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TFS\GIT\code\server\smb2crs\Reports\AllRoles\"/>
    </mc:Choice>
  </mc:AlternateContent>
  <xr:revisionPtr revIDLastSave="0" documentId="13_ncr:1_{4A0FA52D-D864-4C2A-9A92-074249B682CF}" xr6:coauthVersionLast="43" xr6:coauthVersionMax="43" xr10:uidLastSave="{00000000-0000-0000-0000-000000000000}"/>
  <bookViews>
    <workbookView xWindow="-120" yWindow="-120" windowWidth="28110" windowHeight="16440" tabRatio="496" xr2:uid="{00000000-000D-0000-FFFF-FFFF00000000}"/>
  </bookViews>
  <sheets>
    <sheet name="ТЭП ЭБ" sheetId="1" r:id="rId1"/>
    <sheet name="ТЭП ЗБС" sheetId="2" r:id="rId2"/>
    <sheet name="ТЭП Угл." sheetId="3" r:id="rId3"/>
  </sheets>
  <definedNames>
    <definedName name="_xlnm.Print_Titles" localSheetId="1">'ТЭП ЗБС'!$2:$5</definedName>
    <definedName name="_xlnm.Print_Titles" localSheetId="2">'ТЭП Угл.'!$2:$5</definedName>
    <definedName name="_xlnm.Print_Titles" localSheetId="0">'ТЭП ЭБ'!$2:$5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28" i="2" l="1"/>
  <c r="M28" i="2"/>
  <c r="M8" i="2"/>
  <c r="M9" i="2"/>
  <c r="M11" i="2"/>
  <c r="M12" i="2"/>
  <c r="M13" i="2"/>
  <c r="M15" i="2"/>
  <c r="M16" i="2"/>
  <c r="M17" i="2"/>
  <c r="M19" i="2"/>
  <c r="M20" i="2"/>
  <c r="M21" i="2"/>
  <c r="M24" i="2"/>
  <c r="M25" i="2"/>
  <c r="M26" i="2"/>
  <c r="M29" i="2"/>
  <c r="M30" i="2"/>
  <c r="M32" i="2"/>
  <c r="M33" i="2"/>
  <c r="M35" i="2"/>
  <c r="M36" i="2"/>
  <c r="M37" i="2"/>
  <c r="M39" i="2"/>
  <c r="M40" i="2"/>
  <c r="M41" i="2"/>
  <c r="M43" i="2"/>
  <c r="M44" i="2"/>
  <c r="M45" i="2"/>
  <c r="M46" i="2"/>
  <c r="M47" i="2"/>
  <c r="H8" i="2"/>
  <c r="H9" i="2"/>
  <c r="H11" i="2"/>
  <c r="H12" i="2"/>
  <c r="H13" i="2"/>
  <c r="H15" i="2"/>
  <c r="H16" i="2"/>
  <c r="H17" i="2"/>
  <c r="H19" i="2"/>
  <c r="H20" i="2"/>
  <c r="H21" i="2"/>
  <c r="H24" i="2"/>
  <c r="H25" i="2"/>
  <c r="H26" i="2"/>
  <c r="H28" i="2"/>
  <c r="H29" i="2"/>
  <c r="H30" i="2"/>
  <c r="H32" i="2"/>
  <c r="H33" i="2"/>
  <c r="H35" i="2"/>
  <c r="H36" i="2"/>
  <c r="H37" i="2"/>
  <c r="H39" i="2"/>
  <c r="H40" i="2"/>
  <c r="H41" i="2"/>
  <c r="H43" i="2"/>
  <c r="H44" i="2"/>
  <c r="H45" i="2"/>
  <c r="H46" i="2"/>
  <c r="H47" i="2"/>
  <c r="G8" i="2"/>
  <c r="G9" i="2"/>
  <c r="G11" i="2"/>
  <c r="G12" i="2"/>
  <c r="G13" i="2"/>
  <c r="G15" i="2"/>
  <c r="G16" i="2"/>
  <c r="G17" i="2"/>
  <c r="G19" i="2"/>
  <c r="G20" i="2"/>
  <c r="G21" i="2"/>
  <c r="G24" i="2"/>
  <c r="G25" i="2"/>
  <c r="G26" i="2"/>
  <c r="G28" i="2"/>
  <c r="G29" i="2"/>
  <c r="G30" i="2"/>
  <c r="G32" i="2"/>
  <c r="G33" i="2"/>
  <c r="G35" i="2"/>
  <c r="G36" i="2"/>
  <c r="G37" i="2"/>
  <c r="G39" i="2"/>
  <c r="G40" i="2"/>
  <c r="G41" i="2"/>
  <c r="G58" i="1"/>
  <c r="G60" i="1"/>
  <c r="G61" i="1"/>
  <c r="G62" i="1"/>
  <c r="G64" i="1"/>
  <c r="G65" i="1"/>
  <c r="G67" i="1"/>
  <c r="G68" i="1"/>
  <c r="G69" i="1"/>
  <c r="G70" i="1"/>
  <c r="G71" i="1"/>
  <c r="G72" i="1"/>
  <c r="G73" i="1"/>
  <c r="G74" i="1"/>
  <c r="F81" i="2" l="1"/>
  <c r="G81" i="2" s="1"/>
  <c r="G79" i="2" l="1"/>
  <c r="L8" i="2" l="1"/>
  <c r="L9" i="2"/>
  <c r="L12" i="2"/>
  <c r="L13" i="2"/>
  <c r="L16" i="2"/>
  <c r="L17" i="2"/>
  <c r="L20" i="2"/>
  <c r="L21" i="2"/>
  <c r="L24" i="2"/>
  <c r="L25" i="2"/>
  <c r="L26" i="2"/>
  <c r="L29" i="2"/>
  <c r="L30" i="2"/>
  <c r="L32" i="2"/>
  <c r="L33" i="2"/>
  <c r="L35" i="2"/>
  <c r="L36" i="2"/>
  <c r="L37" i="2"/>
  <c r="L39" i="2"/>
  <c r="L40" i="2"/>
  <c r="L41" i="2"/>
  <c r="M78" i="1"/>
  <c r="M79" i="1"/>
  <c r="M80" i="1"/>
  <c r="M81" i="1"/>
  <c r="M82" i="1"/>
  <c r="M83" i="1"/>
  <c r="M84" i="1"/>
  <c r="M85" i="1"/>
  <c r="M86" i="1"/>
  <c r="M87" i="1"/>
  <c r="M88" i="1"/>
  <c r="M77" i="1"/>
  <c r="M69" i="1"/>
  <c r="M70" i="1"/>
  <c r="M71" i="1"/>
  <c r="M72" i="1"/>
  <c r="M73" i="1"/>
  <c r="M74" i="1"/>
  <c r="M68" i="1"/>
  <c r="L69" i="1"/>
  <c r="L70" i="1"/>
  <c r="L71" i="1"/>
  <c r="L72" i="1"/>
  <c r="L73" i="1"/>
  <c r="L74" i="1"/>
  <c r="L68" i="1"/>
  <c r="M65" i="1"/>
  <c r="L65" i="1"/>
  <c r="M61" i="1"/>
  <c r="M62" i="1"/>
  <c r="M60" i="1"/>
  <c r="L61" i="1"/>
  <c r="L62" i="1"/>
  <c r="L60" i="1"/>
  <c r="M58" i="1"/>
  <c r="M57" i="1"/>
  <c r="L58" i="1"/>
  <c r="L57" i="1"/>
  <c r="M54" i="1"/>
  <c r="M55" i="1"/>
  <c r="M53" i="1"/>
  <c r="L54" i="1"/>
  <c r="L55" i="1"/>
  <c r="L53" i="1"/>
  <c r="M50" i="1"/>
  <c r="M51" i="1"/>
  <c r="M49" i="1"/>
  <c r="L50" i="1"/>
  <c r="L51" i="1"/>
  <c r="L49" i="1"/>
  <c r="L37" i="1"/>
  <c r="L38" i="1"/>
  <c r="L39" i="1"/>
  <c r="M32" i="1"/>
  <c r="M33" i="1"/>
  <c r="L32" i="1"/>
  <c r="L33" i="1"/>
  <c r="M26" i="1"/>
  <c r="M27" i="1"/>
  <c r="M28" i="1"/>
  <c r="M29" i="1"/>
  <c r="L26" i="1"/>
  <c r="L27" i="1"/>
  <c r="L28" i="1"/>
  <c r="L29" i="1"/>
  <c r="M20" i="1"/>
  <c r="M21" i="1"/>
  <c r="M22" i="1"/>
  <c r="M23" i="1"/>
  <c r="L20" i="1"/>
  <c r="L21" i="1"/>
  <c r="L22" i="1"/>
  <c r="L23" i="1"/>
  <c r="M14" i="1"/>
  <c r="M15" i="1"/>
  <c r="M16" i="1"/>
  <c r="M17" i="1"/>
  <c r="L14" i="1"/>
  <c r="L15" i="1"/>
  <c r="L16" i="1"/>
  <c r="L17" i="1"/>
  <c r="M8" i="1"/>
  <c r="M9" i="1"/>
  <c r="M10" i="1"/>
  <c r="M11" i="1"/>
  <c r="L8" i="1"/>
  <c r="L9" i="1"/>
  <c r="L10" i="1"/>
  <c r="L11" i="1"/>
  <c r="G57" i="1"/>
  <c r="G54" i="1"/>
  <c r="G55" i="1"/>
  <c r="G53" i="1"/>
  <c r="G50" i="1"/>
  <c r="G51" i="1"/>
  <c r="G49" i="1"/>
  <c r="G37" i="1"/>
  <c r="G38" i="1"/>
  <c r="G32" i="1"/>
  <c r="G33" i="1"/>
  <c r="G26" i="1"/>
  <c r="G27" i="1"/>
  <c r="G28" i="1"/>
  <c r="G29" i="1"/>
  <c r="G20" i="1"/>
  <c r="G21" i="1"/>
  <c r="G22" i="1"/>
  <c r="G23" i="1"/>
  <c r="G14" i="1"/>
  <c r="G15" i="1"/>
  <c r="G16" i="1"/>
  <c r="G17" i="1"/>
  <c r="G8" i="1"/>
  <c r="G9" i="1"/>
  <c r="G10" i="1"/>
  <c r="G11" i="1"/>
  <c r="K131" i="1" l="1"/>
  <c r="I131" i="1"/>
  <c r="F131" i="1"/>
  <c r="D131" i="1"/>
  <c r="G101" i="1"/>
  <c r="L101" i="1"/>
  <c r="K101" i="1"/>
  <c r="I101" i="1"/>
  <c r="F101" i="1"/>
  <c r="D101" i="1"/>
  <c r="K60" i="2"/>
  <c r="I60" i="2"/>
  <c r="F60" i="2"/>
  <c r="D60" i="2"/>
  <c r="K90" i="2"/>
  <c r="I90" i="2"/>
  <c r="F90" i="2"/>
  <c r="D90" i="2"/>
  <c r="L97" i="2" l="1"/>
  <c r="L93" i="2"/>
  <c r="L100" i="2"/>
  <c r="L96" i="2"/>
  <c r="L92" i="2"/>
  <c r="L99" i="2"/>
  <c r="L95" i="2"/>
  <c r="L91" i="2"/>
  <c r="L90" i="2" s="1"/>
  <c r="L98" i="2"/>
  <c r="L94" i="2"/>
  <c r="L69" i="2"/>
  <c r="L65" i="2"/>
  <c r="L61" i="2"/>
  <c r="L68" i="2"/>
  <c r="L64" i="2"/>
  <c r="L67" i="2"/>
  <c r="L63" i="2"/>
  <c r="L70" i="2"/>
  <c r="L66" i="2"/>
  <c r="L62" i="2"/>
  <c r="G140" i="1"/>
  <c r="G136" i="1"/>
  <c r="G132" i="1"/>
  <c r="G139" i="1"/>
  <c r="G135" i="1"/>
  <c r="G138" i="1"/>
  <c r="G134" i="1"/>
  <c r="G141" i="1"/>
  <c r="G137" i="1"/>
  <c r="G133" i="1"/>
  <c r="G99" i="2"/>
  <c r="G95" i="2"/>
  <c r="G91" i="2"/>
  <c r="G98" i="2"/>
  <c r="G94" i="2"/>
  <c r="G97" i="2"/>
  <c r="G93" i="2"/>
  <c r="G100" i="2"/>
  <c r="G96" i="2"/>
  <c r="G92" i="2"/>
  <c r="G68" i="2"/>
  <c r="G64" i="2"/>
  <c r="G67" i="2"/>
  <c r="G63" i="2"/>
  <c r="G70" i="2"/>
  <c r="G66" i="2"/>
  <c r="G62" i="2"/>
  <c r="G69" i="2"/>
  <c r="G65" i="2"/>
  <c r="G61" i="2"/>
  <c r="L138" i="1"/>
  <c r="L134" i="1"/>
  <c r="L141" i="1"/>
  <c r="L137" i="1"/>
  <c r="L133" i="1"/>
  <c r="L140" i="1"/>
  <c r="L136" i="1"/>
  <c r="L132" i="1"/>
  <c r="L139" i="1"/>
  <c r="L135" i="1"/>
  <c r="J45" i="1"/>
  <c r="K45" i="1"/>
  <c r="I45" i="1"/>
  <c r="E45" i="1"/>
  <c r="F45" i="1"/>
  <c r="D45" i="1"/>
  <c r="G131" i="1" l="1"/>
  <c r="M45" i="1"/>
  <c r="L45" i="1"/>
  <c r="L131" i="1"/>
  <c r="G60" i="2"/>
  <c r="G45" i="1"/>
  <c r="G90" i="2"/>
  <c r="L60" i="2"/>
  <c r="J3" i="1"/>
  <c r="E3" i="1"/>
  <c r="M4" i="1"/>
  <c r="I42" i="1" l="1"/>
  <c r="I41" i="1"/>
  <c r="I40" i="1" s="1"/>
  <c r="D41" i="1"/>
  <c r="D42" i="1"/>
  <c r="D40" i="1" l="1"/>
  <c r="M4" i="3"/>
  <c r="H4" i="3"/>
  <c r="J3" i="3"/>
  <c r="I3" i="3"/>
  <c r="E3" i="3"/>
  <c r="D3" i="3"/>
  <c r="M4" i="2"/>
  <c r="H4" i="2"/>
  <c r="J3" i="2"/>
  <c r="I3" i="2"/>
  <c r="E3" i="2"/>
  <c r="D3" i="2"/>
  <c r="K143" i="1" l="1"/>
  <c r="I143" i="1"/>
  <c r="F143" i="1"/>
  <c r="D143" i="1"/>
  <c r="D113" i="1"/>
  <c r="G148" i="1" l="1"/>
  <c r="G144" i="1"/>
  <c r="G147" i="1"/>
  <c r="G146" i="1"/>
  <c r="G149" i="1"/>
  <c r="G145" i="1"/>
  <c r="L146" i="1"/>
  <c r="L149" i="1"/>
  <c r="L145" i="1"/>
  <c r="L148" i="1"/>
  <c r="L144" i="1"/>
  <c r="L147" i="1"/>
  <c r="I113" i="1"/>
  <c r="L143" i="1" l="1"/>
  <c r="G143" i="1"/>
  <c r="M42" i="3"/>
  <c r="H42" i="3"/>
  <c r="L36" i="3"/>
  <c r="G36" i="3"/>
  <c r="M30" i="3"/>
  <c r="L30" i="3"/>
  <c r="K32" i="3"/>
  <c r="J32" i="3"/>
  <c r="L32" i="3" s="1"/>
  <c r="J30" i="3"/>
  <c r="K30" i="3"/>
  <c r="I32" i="3"/>
  <c r="M32" i="3" s="1"/>
  <c r="I30" i="3"/>
  <c r="G30" i="3"/>
  <c r="F32" i="3"/>
  <c r="E32" i="3"/>
  <c r="G32" i="3" s="1"/>
  <c r="E30" i="3"/>
  <c r="F30" i="3"/>
  <c r="D32" i="3"/>
  <c r="H32" i="3" s="1"/>
  <c r="D30" i="3"/>
  <c r="H30" i="3" s="1"/>
  <c r="H60" i="1"/>
  <c r="D66" i="3" l="1"/>
  <c r="F66" i="3"/>
  <c r="I66" i="3"/>
  <c r="K66" i="3"/>
  <c r="L72" i="3"/>
  <c r="G72" i="3"/>
  <c r="D95" i="3"/>
  <c r="F95" i="3"/>
  <c r="I95" i="3"/>
  <c r="K95" i="3"/>
  <c r="L101" i="3"/>
  <c r="G101" i="3"/>
  <c r="D102" i="2"/>
  <c r="F102" i="2"/>
  <c r="I102" i="2"/>
  <c r="K102" i="2"/>
  <c r="K72" i="2"/>
  <c r="I72" i="2"/>
  <c r="F72" i="2"/>
  <c r="D72" i="2"/>
  <c r="K113" i="1"/>
  <c r="L113" i="1" s="1"/>
  <c r="F113" i="1"/>
  <c r="G113" i="1" s="1"/>
  <c r="L105" i="2" l="1"/>
  <c r="L108" i="2"/>
  <c r="L104" i="2"/>
  <c r="L107" i="2"/>
  <c r="L103" i="2"/>
  <c r="L106" i="2"/>
  <c r="G75" i="2"/>
  <c r="G78" i="2"/>
  <c r="G74" i="2"/>
  <c r="G77" i="2"/>
  <c r="G73" i="2"/>
  <c r="G76" i="2"/>
  <c r="G107" i="2"/>
  <c r="G103" i="2"/>
  <c r="G106" i="2"/>
  <c r="G105" i="2"/>
  <c r="G108" i="2"/>
  <c r="G104" i="2"/>
  <c r="L77" i="2"/>
  <c r="L73" i="2"/>
  <c r="L76" i="2"/>
  <c r="L75" i="2"/>
  <c r="L78" i="2"/>
  <c r="L74" i="2"/>
  <c r="J64" i="1"/>
  <c r="E64" i="1"/>
  <c r="L72" i="2" l="1"/>
  <c r="G102" i="2"/>
  <c r="G72" i="2"/>
  <c r="L102" i="2"/>
  <c r="I3" i="1"/>
  <c r="K19" i="2" l="1"/>
  <c r="J19" i="2"/>
  <c r="I19" i="2"/>
  <c r="K15" i="2"/>
  <c r="J15" i="2"/>
  <c r="I15" i="2"/>
  <c r="F19" i="2"/>
  <c r="E19" i="2"/>
  <c r="D19" i="2"/>
  <c r="F15" i="2"/>
  <c r="E15" i="2"/>
  <c r="D15" i="2"/>
  <c r="K122" i="1"/>
  <c r="I122" i="1"/>
  <c r="F122" i="1"/>
  <c r="D122" i="1"/>
  <c r="G100" i="3"/>
  <c r="L98" i="3"/>
  <c r="L96" i="3"/>
  <c r="G96" i="3"/>
  <c r="L99" i="3"/>
  <c r="G95" i="3"/>
  <c r="G99" i="3"/>
  <c r="K84" i="3"/>
  <c r="I84" i="3"/>
  <c r="F84" i="3"/>
  <c r="D84" i="3"/>
  <c r="L78" i="3"/>
  <c r="K75" i="3"/>
  <c r="L92" i="3" s="1"/>
  <c r="I75" i="3"/>
  <c r="F75" i="3"/>
  <c r="G93" i="3" s="1"/>
  <c r="D75" i="3"/>
  <c r="G68" i="3"/>
  <c r="L71" i="3"/>
  <c r="G71" i="3"/>
  <c r="K55" i="3"/>
  <c r="L55" i="3" s="1"/>
  <c r="I55" i="3"/>
  <c r="F55" i="3"/>
  <c r="G55" i="3" s="1"/>
  <c r="D55" i="3"/>
  <c r="K46" i="3"/>
  <c r="I46" i="3"/>
  <c r="F46" i="3"/>
  <c r="D46" i="3"/>
  <c r="M41" i="3"/>
  <c r="H41" i="3"/>
  <c r="M40" i="3"/>
  <c r="H40" i="3"/>
  <c r="M39" i="3"/>
  <c r="H39" i="3"/>
  <c r="M36" i="3"/>
  <c r="H36" i="3"/>
  <c r="M35" i="3"/>
  <c r="L35" i="3"/>
  <c r="H35" i="3"/>
  <c r="G35" i="3"/>
  <c r="K34" i="3"/>
  <c r="M34" i="3" s="1"/>
  <c r="J34" i="3"/>
  <c r="I34" i="3"/>
  <c r="F34" i="3"/>
  <c r="E34" i="3"/>
  <c r="D34" i="3"/>
  <c r="K28" i="3"/>
  <c r="L28" i="3" s="1"/>
  <c r="I28" i="3"/>
  <c r="M28" i="3" s="1"/>
  <c r="G28" i="3"/>
  <c r="H28" i="3"/>
  <c r="M26" i="3"/>
  <c r="L26" i="3"/>
  <c r="H26" i="3"/>
  <c r="G26" i="3"/>
  <c r="K25" i="3"/>
  <c r="J25" i="3"/>
  <c r="L25" i="3" s="1"/>
  <c r="I25" i="3"/>
  <c r="F25" i="3"/>
  <c r="E25" i="3"/>
  <c r="G25" i="3" s="1"/>
  <c r="D25" i="3"/>
  <c r="H25" i="3" s="1"/>
  <c r="M23" i="3"/>
  <c r="L23" i="3"/>
  <c r="H23" i="3"/>
  <c r="G23" i="3"/>
  <c r="K22" i="3"/>
  <c r="J22" i="3"/>
  <c r="I22" i="3"/>
  <c r="F22" i="3"/>
  <c r="E22" i="3"/>
  <c r="D22" i="3"/>
  <c r="M19" i="3"/>
  <c r="L19" i="3"/>
  <c r="H19" i="3"/>
  <c r="G19" i="3"/>
  <c r="M18" i="3"/>
  <c r="L18" i="3"/>
  <c r="H18" i="3"/>
  <c r="G18" i="3"/>
  <c r="K17" i="3"/>
  <c r="J17" i="3"/>
  <c r="L17" i="3" s="1"/>
  <c r="I17" i="3"/>
  <c r="F17" i="3"/>
  <c r="E17" i="3"/>
  <c r="G17" i="3" s="1"/>
  <c r="D17" i="3"/>
  <c r="H17" i="3" s="1"/>
  <c r="M15" i="3"/>
  <c r="L15" i="3"/>
  <c r="H15" i="3"/>
  <c r="G15" i="3"/>
  <c r="K14" i="3"/>
  <c r="K31" i="3" s="1"/>
  <c r="J14" i="3"/>
  <c r="I14" i="3"/>
  <c r="F14" i="3"/>
  <c r="E14" i="3"/>
  <c r="E31" i="3" s="1"/>
  <c r="G31" i="3" s="1"/>
  <c r="D14" i="3"/>
  <c r="D31" i="3" s="1"/>
  <c r="H31" i="3" s="1"/>
  <c r="M12" i="3"/>
  <c r="L12" i="3"/>
  <c r="H12" i="3"/>
  <c r="G12" i="3"/>
  <c r="K11" i="3"/>
  <c r="J11" i="3"/>
  <c r="I11" i="3"/>
  <c r="F11" i="3"/>
  <c r="E11" i="3"/>
  <c r="D11" i="3"/>
  <c r="M9" i="3"/>
  <c r="L9" i="3"/>
  <c r="H9" i="3"/>
  <c r="G9" i="3"/>
  <c r="M8" i="3"/>
  <c r="L8" i="3"/>
  <c r="H8" i="3"/>
  <c r="G8" i="3"/>
  <c r="K7" i="3"/>
  <c r="J7" i="3"/>
  <c r="L7" i="3" s="1"/>
  <c r="I7" i="3"/>
  <c r="F7" i="3"/>
  <c r="E7" i="3"/>
  <c r="D7" i="3"/>
  <c r="K7" i="2"/>
  <c r="J7" i="2"/>
  <c r="I7" i="2"/>
  <c r="K11" i="2"/>
  <c r="J11" i="2"/>
  <c r="I11" i="2"/>
  <c r="E11" i="2"/>
  <c r="F11" i="2"/>
  <c r="D11" i="2"/>
  <c r="L15" i="2" l="1"/>
  <c r="L11" i="2"/>
  <c r="G92" i="3"/>
  <c r="G85" i="3"/>
  <c r="M7" i="2"/>
  <c r="L7" i="2"/>
  <c r="G122" i="1"/>
  <c r="G120" i="1"/>
  <c r="G34" i="3"/>
  <c r="L120" i="1"/>
  <c r="L122" i="1"/>
  <c r="L19" i="2"/>
  <c r="G14" i="3"/>
  <c r="F31" i="3"/>
  <c r="G64" i="3"/>
  <c r="G46" i="3"/>
  <c r="L11" i="3"/>
  <c r="M14" i="3"/>
  <c r="I31" i="3"/>
  <c r="M31" i="3" s="1"/>
  <c r="L85" i="3"/>
  <c r="H7" i="3"/>
  <c r="H11" i="3"/>
  <c r="L14" i="3"/>
  <c r="J31" i="3"/>
  <c r="L31" i="3" s="1"/>
  <c r="L64" i="3"/>
  <c r="L46" i="3"/>
  <c r="G73" i="3"/>
  <c r="G75" i="3"/>
  <c r="L79" i="3"/>
  <c r="G87" i="3"/>
  <c r="M25" i="3"/>
  <c r="L73" i="3"/>
  <c r="G82" i="3"/>
  <c r="G89" i="3"/>
  <c r="L89" i="3"/>
  <c r="L81" i="3"/>
  <c r="L93" i="3"/>
  <c r="L76" i="3"/>
  <c r="G76" i="3"/>
  <c r="G80" i="3"/>
  <c r="G84" i="3"/>
  <c r="G91" i="3"/>
  <c r="G61" i="3"/>
  <c r="M11" i="3"/>
  <c r="M22" i="3"/>
  <c r="M7" i="3"/>
  <c r="G11" i="3"/>
  <c r="M17" i="3"/>
  <c r="H22" i="3"/>
  <c r="L22" i="3"/>
  <c r="H34" i="3"/>
  <c r="G48" i="3"/>
  <c r="G59" i="3"/>
  <c r="G70" i="3"/>
  <c r="L75" i="3"/>
  <c r="G78" i="3"/>
  <c r="L80" i="3"/>
  <c r="L87" i="3"/>
  <c r="L91" i="3"/>
  <c r="L95" i="3"/>
  <c r="G98" i="3"/>
  <c r="L34" i="3"/>
  <c r="G52" i="3"/>
  <c r="G63" i="3"/>
  <c r="G50" i="3"/>
  <c r="G22" i="3"/>
  <c r="G7" i="3"/>
  <c r="H14" i="3"/>
  <c r="G57" i="3"/>
  <c r="L77" i="3"/>
  <c r="L82" i="3"/>
  <c r="L97" i="3"/>
  <c r="L100" i="3"/>
  <c r="L48" i="3"/>
  <c r="L50" i="3"/>
  <c r="L52" i="3"/>
  <c r="L57" i="3"/>
  <c r="L59" i="3"/>
  <c r="L61" i="3"/>
  <c r="L63" i="3"/>
  <c r="L66" i="3"/>
  <c r="L68" i="3"/>
  <c r="L70" i="3"/>
  <c r="G44" i="3"/>
  <c r="G47" i="3"/>
  <c r="G49" i="3"/>
  <c r="G51" i="3"/>
  <c r="G53" i="3"/>
  <c r="G56" i="3"/>
  <c r="G58" i="3"/>
  <c r="G60" i="3"/>
  <c r="G62" i="3"/>
  <c r="G66" i="3"/>
  <c r="G67" i="3"/>
  <c r="G69" i="3"/>
  <c r="G77" i="3"/>
  <c r="G79" i="3"/>
  <c r="G81" i="3"/>
  <c r="G86" i="3"/>
  <c r="G88" i="3"/>
  <c r="G90" i="3"/>
  <c r="G97" i="3"/>
  <c r="L44" i="3"/>
  <c r="L47" i="3"/>
  <c r="L49" i="3"/>
  <c r="L51" i="3"/>
  <c r="L53" i="3"/>
  <c r="L56" i="3"/>
  <c r="L58" i="3"/>
  <c r="L60" i="3"/>
  <c r="L62" i="3"/>
  <c r="L67" i="3"/>
  <c r="L69" i="3"/>
  <c r="L84" i="3"/>
  <c r="L86" i="3"/>
  <c r="L88" i="3"/>
  <c r="L90" i="3"/>
  <c r="K42" i="1"/>
  <c r="J42" i="1"/>
  <c r="K41" i="1"/>
  <c r="J41" i="1"/>
  <c r="E42" i="1"/>
  <c r="F42" i="1"/>
  <c r="G42" i="1" s="1"/>
  <c r="F41" i="1"/>
  <c r="E41" i="1"/>
  <c r="K46" i="1"/>
  <c r="J46" i="1"/>
  <c r="I46" i="1"/>
  <c r="F46" i="1"/>
  <c r="E46" i="1"/>
  <c r="D46" i="1"/>
  <c r="H46" i="1" s="1"/>
  <c r="L42" i="1" l="1"/>
  <c r="G46" i="1"/>
  <c r="M46" i="1"/>
  <c r="L46" i="1"/>
  <c r="F40" i="1"/>
  <c r="G41" i="1"/>
  <c r="K40" i="1"/>
  <c r="L40" i="1" s="1"/>
  <c r="L41" i="1"/>
  <c r="E40" i="1"/>
  <c r="J40" i="1"/>
  <c r="K81" i="2"/>
  <c r="I81" i="2"/>
  <c r="D81" i="2"/>
  <c r="K51" i="2"/>
  <c r="I51" i="2"/>
  <c r="F51" i="2"/>
  <c r="D51" i="2"/>
  <c r="K64" i="1"/>
  <c r="I64" i="1"/>
  <c r="F64" i="1"/>
  <c r="D64" i="1"/>
  <c r="H64" i="1" s="1"/>
  <c r="H65" i="1"/>
  <c r="H68" i="1"/>
  <c r="K92" i="1"/>
  <c r="I92" i="1"/>
  <c r="K36" i="1"/>
  <c r="J36" i="1"/>
  <c r="I36" i="1"/>
  <c r="K31" i="1"/>
  <c r="J31" i="1"/>
  <c r="I31" i="1"/>
  <c r="K25" i="1"/>
  <c r="J25" i="1"/>
  <c r="I25" i="1"/>
  <c r="K19" i="1"/>
  <c r="J19" i="1"/>
  <c r="I19" i="1"/>
  <c r="K13" i="1"/>
  <c r="J13" i="1"/>
  <c r="I13" i="1"/>
  <c r="K7" i="1"/>
  <c r="J7" i="1"/>
  <c r="I7" i="1"/>
  <c r="F7" i="2"/>
  <c r="E7" i="2"/>
  <c r="D7" i="2"/>
  <c r="H62" i="1"/>
  <c r="H61" i="1"/>
  <c r="F36" i="1"/>
  <c r="E36" i="1"/>
  <c r="D36" i="1"/>
  <c r="E31" i="1"/>
  <c r="F31" i="1"/>
  <c r="D31" i="1"/>
  <c r="F25" i="1"/>
  <c r="E25" i="1"/>
  <c r="D25" i="1"/>
  <c r="F19" i="1"/>
  <c r="E19" i="1"/>
  <c r="D19" i="1"/>
  <c r="F13" i="1"/>
  <c r="E13" i="1"/>
  <c r="D13" i="1"/>
  <c r="E7" i="1"/>
  <c r="F7" i="1"/>
  <c r="D7" i="1"/>
  <c r="F92" i="1"/>
  <c r="D92" i="1"/>
  <c r="G7" i="2" l="1"/>
  <c r="H7" i="2"/>
  <c r="M25" i="1"/>
  <c r="L25" i="1"/>
  <c r="L99" i="1"/>
  <c r="L95" i="1"/>
  <c r="L98" i="1"/>
  <c r="L94" i="1"/>
  <c r="L97" i="1"/>
  <c r="L93" i="1"/>
  <c r="L96" i="1"/>
  <c r="L92" i="1"/>
  <c r="L90" i="1"/>
  <c r="G49" i="2"/>
  <c r="G51" i="2"/>
  <c r="G99" i="1"/>
  <c r="G95" i="1"/>
  <c r="G90" i="1"/>
  <c r="G98" i="1"/>
  <c r="G94" i="1"/>
  <c r="G97" i="1"/>
  <c r="G93" i="1"/>
  <c r="G96" i="1"/>
  <c r="G92" i="1"/>
  <c r="G25" i="1"/>
  <c r="L19" i="1"/>
  <c r="M19" i="1"/>
  <c r="L81" i="2"/>
  <c r="L79" i="2"/>
  <c r="G19" i="1"/>
  <c r="M13" i="1"/>
  <c r="L13" i="1"/>
  <c r="L36" i="1"/>
  <c r="L64" i="1"/>
  <c r="M64" i="1"/>
  <c r="L51" i="2"/>
  <c r="L49" i="2"/>
  <c r="G7" i="1"/>
  <c r="G13" i="1"/>
  <c r="G31" i="1"/>
  <c r="G36" i="1"/>
  <c r="L7" i="1"/>
  <c r="M7" i="1"/>
  <c r="L31" i="1"/>
  <c r="M31" i="1"/>
  <c r="G40" i="1"/>
  <c r="H4" i="1"/>
  <c r="D3" i="1" l="1"/>
  <c r="H58" i="1" l="1"/>
  <c r="H10" i="1" l="1"/>
  <c r="H11" i="1"/>
  <c r="H13" i="1"/>
  <c r="H14" i="1"/>
  <c r="H15" i="1"/>
  <c r="H16" i="1"/>
  <c r="H17" i="1"/>
  <c r="H19" i="1"/>
  <c r="H20" i="1"/>
  <c r="H21" i="1"/>
  <c r="H22" i="1"/>
  <c r="H23" i="1"/>
  <c r="H25" i="1"/>
  <c r="H26" i="1"/>
  <c r="H27" i="1"/>
  <c r="H28" i="1"/>
  <c r="H29" i="1"/>
  <c r="H31" i="1"/>
  <c r="H32" i="1"/>
  <c r="H33" i="1"/>
  <c r="H45" i="1"/>
  <c r="H49" i="1"/>
  <c r="H50" i="1"/>
  <c r="H51" i="1"/>
  <c r="H53" i="1"/>
  <c r="H54" i="1"/>
  <c r="H55" i="1"/>
  <c r="H57" i="1"/>
  <c r="H69" i="1"/>
  <c r="H70" i="1"/>
  <c r="H71" i="1"/>
  <c r="H72" i="1"/>
  <c r="H73" i="1"/>
  <c r="H74" i="1"/>
  <c r="H77" i="1"/>
  <c r="H78" i="1"/>
  <c r="H79" i="1"/>
  <c r="H80" i="1"/>
  <c r="H81" i="1"/>
  <c r="H82" i="1"/>
  <c r="H83" i="1"/>
  <c r="H84" i="1"/>
  <c r="H85" i="1"/>
  <c r="H86" i="1"/>
  <c r="H87" i="1"/>
  <c r="H88" i="1"/>
  <c r="H7" i="1"/>
  <c r="H8" i="1"/>
  <c r="H9" i="1"/>
</calcChain>
</file>

<file path=xl/sharedStrings.xml><?xml version="1.0" encoding="utf-8"?>
<sst xmlns="http://schemas.openxmlformats.org/spreadsheetml/2006/main" count="1361" uniqueCount="119">
  <si>
    <t>№ п.п.</t>
  </si>
  <si>
    <t>Показатели</t>
  </si>
  <si>
    <t>Единица измерен.</t>
  </si>
  <si>
    <t>с начала года</t>
  </si>
  <si>
    <t>план</t>
  </si>
  <si>
    <t>факт</t>
  </si>
  <si>
    <t xml:space="preserve"> %</t>
  </si>
  <si>
    <t>Проходка (выполненный объем)</t>
  </si>
  <si>
    <t>метр</t>
  </si>
  <si>
    <t>в т.ч. наклонно-направленных</t>
  </si>
  <si>
    <t/>
  </si>
  <si>
    <t xml:space="preserve">          горизонтальных</t>
  </si>
  <si>
    <t xml:space="preserve">          водозаборные скважины</t>
  </si>
  <si>
    <t>Проходка (по скв., зак. бурением)</t>
  </si>
  <si>
    <t>Скважины, законченные бурением</t>
  </si>
  <si>
    <t>скв.</t>
  </si>
  <si>
    <t>Сдача скважин</t>
  </si>
  <si>
    <t>Ввод (нефтедобывающих) скважин</t>
  </si>
  <si>
    <t>Суммарный дебит из вводных скв.</t>
  </si>
  <si>
    <t>тн</t>
  </si>
  <si>
    <t>Средний дебит на 1 скважину</t>
  </si>
  <si>
    <t>Средняя глубина 1 скважины</t>
  </si>
  <si>
    <t>Коммерческая скорость</t>
  </si>
  <si>
    <t xml:space="preserve"> 9.1</t>
  </si>
  <si>
    <t>За календарный месяц</t>
  </si>
  <si>
    <t>м/ст.мес.</t>
  </si>
  <si>
    <t xml:space="preserve"> 9.2</t>
  </si>
  <si>
    <t>По скв., зак. бурением в отчетном месяце</t>
  </si>
  <si>
    <t>Среднее кол-во бур. бригад в работе</t>
  </si>
  <si>
    <t>бр.</t>
  </si>
  <si>
    <t>Проходка на 1 буровую бригаду</t>
  </si>
  <si>
    <t>Средняя  продолжит-сть бур.1 скв.:</t>
  </si>
  <si>
    <t>сут.</t>
  </si>
  <si>
    <t xml:space="preserve">                   с отходом до 800м.</t>
  </si>
  <si>
    <t xml:space="preserve">                   с отходом до 2000м.</t>
  </si>
  <si>
    <t xml:space="preserve">                   с отходом свыше 2000м.</t>
  </si>
  <si>
    <t xml:space="preserve">                  с пилотом</t>
  </si>
  <si>
    <t xml:space="preserve">                  без пилота</t>
  </si>
  <si>
    <t>Продолжительность бур.и осв.1 скв.:</t>
  </si>
  <si>
    <t>наклонно-направленных без ГРП</t>
  </si>
  <si>
    <t>наклонно-направленных с ГРП</t>
  </si>
  <si>
    <t>горизонтальных</t>
  </si>
  <si>
    <t xml:space="preserve">                  с  МГРП</t>
  </si>
  <si>
    <t>сут</t>
  </si>
  <si>
    <t>в т.ч. наклонно-направленных уч.</t>
  </si>
  <si>
    <t xml:space="preserve">          горизонтальных уч.</t>
  </si>
  <si>
    <t xml:space="preserve"> 2.1</t>
  </si>
  <si>
    <t>Проходка (по скв. закон. бурением)</t>
  </si>
  <si>
    <t xml:space="preserve"> 2.2</t>
  </si>
  <si>
    <t xml:space="preserve"> 4.1</t>
  </si>
  <si>
    <t xml:space="preserve"> 4.2</t>
  </si>
  <si>
    <t>Средняя  продолжит-сть бур.1 скв.</t>
  </si>
  <si>
    <t>Сред.прод-сть бур.и осв.1 скв.:</t>
  </si>
  <si>
    <t>наклонно-направленных уч. без ГРП</t>
  </si>
  <si>
    <t>наклонно-направленных уч. с ГРП</t>
  </si>
  <si>
    <t>наклонно-направленных уч. с МГРП</t>
  </si>
  <si>
    <t>горизонтальных уч.</t>
  </si>
  <si>
    <t>Сред. прод-ть бур.и осв.1 скв.:</t>
  </si>
  <si>
    <t>% к</t>
  </si>
  <si>
    <t xml:space="preserve">Производственные показатели по эксплуатационному бурению за  </t>
  </si>
  <si>
    <t>месяц</t>
  </si>
  <si>
    <t>в т.ч.</t>
  </si>
  <si>
    <t>Производственные показатели по  Углублениям за</t>
  </si>
  <si>
    <t xml:space="preserve"> </t>
  </si>
  <si>
    <t>-</t>
  </si>
  <si>
    <t>x</t>
  </si>
  <si>
    <t xml:space="preserve">          газовые</t>
  </si>
  <si>
    <t>Скорость бурения</t>
  </si>
  <si>
    <t>сут./1000 м</t>
  </si>
  <si>
    <t>Непроизводительное время бур.
(по законченным бурением скважинам)</t>
  </si>
  <si>
    <t>Производительное время бур.
(по законченным бурением скважинам)</t>
  </si>
  <si>
    <t xml:space="preserve">             простои (метео)</t>
  </si>
  <si>
    <t xml:space="preserve">             ремонты</t>
  </si>
  <si>
    <t>из них: аварии</t>
  </si>
  <si>
    <t xml:space="preserve">             осложнения</t>
  </si>
  <si>
    <t xml:space="preserve">             геологические осложнения</t>
  </si>
  <si>
    <t xml:space="preserve">             ликв. брака</t>
  </si>
  <si>
    <t xml:space="preserve">             простои</t>
  </si>
  <si>
    <t>Причины НПВ
(по законченным бурением скважинам)</t>
  </si>
  <si>
    <t>из них: по вине буровых подрядчиков</t>
  </si>
  <si>
    <t xml:space="preserve">            по вине подр. по ННБ</t>
  </si>
  <si>
    <t xml:space="preserve">            по вине подрядчика по буровым растворам</t>
  </si>
  <si>
    <t xml:space="preserve">            по вине подрядчика по цементированию</t>
  </si>
  <si>
    <t xml:space="preserve">            по вине подр. по инж. сопр. спуска хвостовиков</t>
  </si>
  <si>
    <t xml:space="preserve">            по вине других подрядчиков</t>
  </si>
  <si>
    <t xml:space="preserve">            по вине Заказчика</t>
  </si>
  <si>
    <t xml:space="preserve">                          в т.ч геол. осложнения</t>
  </si>
  <si>
    <t xml:space="preserve">                                  простои метео</t>
  </si>
  <si>
    <t>х</t>
  </si>
  <si>
    <t>НПВ по вине буровых подрядчиков
(по законченным бурением скважинам)</t>
  </si>
  <si>
    <t xml:space="preserve">            осложнения</t>
  </si>
  <si>
    <t xml:space="preserve">            ликв. брака</t>
  </si>
  <si>
    <t xml:space="preserve">            простои</t>
  </si>
  <si>
    <t xml:space="preserve">            ремонты</t>
  </si>
  <si>
    <t>Производительное время бур.
(за календарное время)</t>
  </si>
  <si>
    <t>Непроизводительное время бур.
(за календарное время)</t>
  </si>
  <si>
    <t>Причины НПВ
(за календарное время)</t>
  </si>
  <si>
    <t>НПВ по вине буровых подрядчиков
(за календарное время)</t>
  </si>
  <si>
    <t xml:space="preserve">Комментарии по причинам НПВ 
(за календарное время) </t>
  </si>
  <si>
    <t xml:space="preserve">            геол.осложнения</t>
  </si>
  <si>
    <t>по вине подрядчика по буровым растворам</t>
  </si>
  <si>
    <t>по вине подрядчика по цементированию</t>
  </si>
  <si>
    <t>по вине подр. по инж. сопр. спуска хвостовиков</t>
  </si>
  <si>
    <t>по вине других подрядчиков</t>
  </si>
  <si>
    <t>по вине Заказчика</t>
  </si>
  <si>
    <t>в т.ч геол. осложнения</t>
  </si>
  <si>
    <t>по вине подр. по ННБ</t>
  </si>
  <si>
    <t>осложнения</t>
  </si>
  <si>
    <t>ликв. брака</t>
  </si>
  <si>
    <t>простои</t>
  </si>
  <si>
    <t>ремонты</t>
  </si>
  <si>
    <t>геол. осложнения</t>
  </si>
  <si>
    <t>геологические осложнения</t>
  </si>
  <si>
    <t xml:space="preserve"> ликв. брака</t>
  </si>
  <si>
    <t>простои (метео)</t>
  </si>
  <si>
    <t>простои метео</t>
  </si>
  <si>
    <t>виновная сторона не определена</t>
  </si>
  <si>
    <t xml:space="preserve">        виновная сторона не определена</t>
  </si>
  <si>
    <t xml:space="preserve">        в т.ч геол. осложнения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</si>
</sst>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dd/mm/yy;@"/>
    <numFmt numFmtId="166" formatCode="0.0%"/>
    <numFmt numFmtId="167" formatCode="#,##0.0"/>
    <numFmt numFmtId="168" formatCode="#\ ##0"/>
  </numFmts>
  <fonts count="42" x14ac:knownFonts="1">
    <font>
      <sz val="10"/>
      <color indexed="64"/>
      <name val="Arial"/>
    </font>
    <font>
      <b/>
      <i/>
      <sz val="9"/>
      <color indexed="64"/>
      <name val="Times New Roman"/>
      <family val="1"/>
      <charset val="204"/>
    </font>
    <font>
      <b/>
      <sz val="9"/>
      <color indexed="64"/>
      <name val="Times New Roman"/>
      <family val="1"/>
      <charset val="204"/>
    </font>
    <font>
      <sz val="9"/>
      <color indexed="64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indexed="64"/>
      <name val="Times New Roman"/>
      <family val="1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u/>
      <sz val="10"/>
      <color indexed="12"/>
      <name val="Arial"/>
      <family val="2"/>
      <charset val="204"/>
    </font>
    <font>
      <u/>
      <sz val="10"/>
      <color indexed="20"/>
      <name val="Arial"/>
      <family val="2"/>
      <charset val="204"/>
    </font>
    <font>
      <sz val="9"/>
      <color indexed="9"/>
      <name val="Times New Roman"/>
      <family val="1"/>
      <charset val="204"/>
    </font>
    <font>
      <sz val="10"/>
      <color indexed="64"/>
      <name val="Arial"/>
      <family val="2"/>
      <charset val="204"/>
    </font>
    <font>
      <b/>
      <sz val="14"/>
      <color indexed="64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color indexed="64"/>
      <name val="Times New Roman"/>
      <family val="1"/>
      <charset val="204"/>
    </font>
    <font>
      <b/>
      <sz val="10"/>
      <color indexed="64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i/>
      <sz val="10"/>
      <color indexed="64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indexed="64"/>
      <name val="Times New Roman"/>
      <family val="1"/>
      <charset val="204"/>
    </font>
    <font>
      <sz val="9"/>
      <color indexed="64"/>
      <name val="Times New Roman"/>
      <family val="1"/>
      <charset val="204"/>
    </font>
    <font>
      <sz val="1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9"/>
      <color indexed="64"/>
      <name val="Times New Roman"/>
      <family val="1"/>
      <charset val="204"/>
    </font>
    <font>
      <sz val="9"/>
      <color indexed="64"/>
      <name val="Times New Roman"/>
      <family val="1"/>
      <charset val="204"/>
    </font>
    <font>
      <i/>
      <sz val="9"/>
      <color indexed="64"/>
      <name val="Times New Roman"/>
      <family val="1"/>
      <charset val="204"/>
    </font>
    <font>
      <sz val="9"/>
      <name val="Times New Roman"/>
      <family val="1"/>
      <charset val="204"/>
    </font>
    <font>
      <b/>
      <i/>
      <sz val="9"/>
      <name val="Times New Roman"/>
      <family val="1"/>
      <charset val="204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5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6">
    <xf numFmtId="0" fontId="0" fillId="0" borderId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10" borderId="0" applyNumberFormat="0" applyBorder="0" applyAlignment="0" applyProtection="0"/>
    <xf numFmtId="0" fontId="7" fillId="4" borderId="1" applyNumberFormat="0" applyAlignment="0" applyProtection="0"/>
    <xf numFmtId="0" fontId="8" fillId="11" borderId="2" applyNumberFormat="0" applyAlignment="0" applyProtection="0"/>
    <xf numFmtId="0" fontId="9" fillId="11" borderId="1" applyNumberFormat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12" borderId="7" applyNumberFormat="0" applyAlignment="0" applyProtection="0"/>
    <xf numFmtId="0" fontId="15" fillId="0" borderId="0" applyNumberFormat="0" applyFill="0" applyBorder="0" applyAlignment="0" applyProtection="0"/>
    <xf numFmtId="0" fontId="16" fillId="13" borderId="0" applyNumberFormat="0" applyBorder="0" applyAlignment="0" applyProtection="0"/>
    <xf numFmtId="0" fontId="17" fillId="2" borderId="0" applyNumberFormat="0" applyBorder="0" applyAlignment="0" applyProtection="0"/>
    <xf numFmtId="0" fontId="18" fillId="0" borderId="0" applyNumberFormat="0" applyFill="0" applyBorder="0" applyAlignment="0" applyProtection="0"/>
    <xf numFmtId="0" fontId="25" fillId="14" borderId="8" applyNumberFormat="0" applyFont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</cellStyleXfs>
  <cellXfs count="231">
    <xf numFmtId="0" fontId="0" fillId="0" borderId="0" xfId="0"/>
    <xf numFmtId="0" fontId="3" fillId="0" borderId="10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10" xfId="0" applyNumberFormat="1" applyFont="1" applyFill="1" applyBorder="1" applyAlignment="1" applyProtection="1">
      <alignment horizontal="center" vertical="center"/>
    </xf>
    <xf numFmtId="0" fontId="3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NumberFormat="1" applyFont="1" applyFill="1" applyBorder="1" applyAlignment="1" applyProtection="1">
      <alignment horizontal="center" vertical="center"/>
    </xf>
    <xf numFmtId="0" fontId="3" fillId="15" borderId="0" xfId="0" applyNumberFormat="1" applyFont="1" applyFill="1" applyBorder="1" applyAlignment="1" applyProtection="1">
      <alignment horizontal="center" vertical="center"/>
    </xf>
    <xf numFmtId="168" fontId="2" fillId="16" borderId="35" xfId="0" applyNumberFormat="1" applyFont="1" applyFill="1" applyBorder="1" applyAlignment="1" applyProtection="1">
      <alignment horizontal="center" vertical="center" wrapText="1"/>
    </xf>
    <xf numFmtId="0" fontId="33" fillId="16" borderId="12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164" fontId="1" fillId="0" borderId="29" xfId="0" applyNumberFormat="1" applyFont="1" applyFill="1" applyBorder="1" applyAlignment="1" applyProtection="1">
      <alignment horizontal="center" vertical="center"/>
    </xf>
    <xf numFmtId="164" fontId="1" fillId="0" borderId="22" xfId="0" applyNumberFormat="1" applyFont="1" applyFill="1" applyBorder="1" applyAlignment="1" applyProtection="1">
      <alignment horizontal="center" vertical="center"/>
    </xf>
    <xf numFmtId="1" fontId="1" fillId="0" borderId="22" xfId="0" applyNumberFormat="1" applyFont="1" applyFill="1" applyBorder="1" applyAlignment="1" applyProtection="1">
      <alignment horizontal="center" vertical="center"/>
    </xf>
    <xf numFmtId="165" fontId="3" fillId="0" borderId="22" xfId="0" applyNumberFormat="1" applyFont="1" applyFill="1" applyBorder="1" applyAlignment="1" applyProtection="1">
      <alignment horizontal="center" vertical="center"/>
    </xf>
    <xf numFmtId="1" fontId="41" fillId="0" borderId="22" xfId="0" applyNumberFormat="1" applyFont="1" applyFill="1" applyBorder="1" applyAlignment="1" applyProtection="1">
      <alignment horizontal="center" vertical="center"/>
    </xf>
    <xf numFmtId="0" fontId="39" fillId="0" borderId="3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164" fontId="2" fillId="0" borderId="29" xfId="0" applyNumberFormat="1" applyFont="1" applyFill="1" applyBorder="1" applyAlignment="1" applyProtection="1">
      <alignment horizontal="center" vertical="center"/>
    </xf>
    <xf numFmtId="165" fontId="2" fillId="0" borderId="22" xfId="0" applyNumberFormat="1" applyFont="1" applyFill="1" applyBorder="1" applyAlignment="1" applyProtection="1">
      <alignment horizontal="center" vertical="center"/>
    </xf>
    <xf numFmtId="164" fontId="2" fillId="0" borderId="22" xfId="0" applyNumberFormat="1" applyFont="1" applyFill="1" applyBorder="1" applyAlignment="1" applyProtection="1">
      <alignment horizontal="center" vertical="center"/>
    </xf>
    <xf numFmtId="1" fontId="2" fillId="0" borderId="22" xfId="0" applyNumberFormat="1" applyFont="1" applyFill="1" applyBorder="1" applyAlignment="1" applyProtection="1">
      <alignment horizontal="center" vertical="center"/>
    </xf>
    <xf numFmtId="0" fontId="1" fillId="0" borderId="30" xfId="0" applyNumberFormat="1" applyFont="1" applyFill="1" applyBorder="1" applyAlignment="1" applyProtection="1">
      <alignment horizontal="center" vertical="center"/>
    </xf>
    <xf numFmtId="1" fontId="3" fillId="0" borderId="22" xfId="0" applyNumberFormat="1" applyFont="1" applyFill="1" applyBorder="1" applyAlignment="1" applyProtection="1">
      <alignment horizontal="center" vertical="center"/>
    </xf>
    <xf numFmtId="0" fontId="2" fillId="0" borderId="18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166" fontId="4" fillId="0" borderId="22" xfId="0" applyNumberFormat="1" applyFont="1" applyFill="1" applyBorder="1" applyAlignment="1" applyProtection="1">
      <alignment horizontal="center" vertical="center"/>
    </xf>
    <xf numFmtId="166" fontId="5" fillId="0" borderId="0" xfId="0" applyNumberFormat="1" applyFont="1" applyFill="1" applyBorder="1" applyAlignment="1" applyProtection="1">
      <alignment horizontal="center" vertical="center"/>
    </xf>
    <xf numFmtId="0" fontId="2" fillId="0" borderId="27" xfId="0" applyNumberFormat="1" applyFont="1" applyFill="1" applyBorder="1" applyAlignment="1" applyProtection="1">
      <alignment horizontal="center" vertical="center"/>
    </xf>
    <xf numFmtId="1" fontId="2" fillId="0" borderId="26" xfId="0" applyNumberFormat="1" applyFont="1" applyFill="1" applyBorder="1" applyAlignment="1" applyProtection="1">
      <alignment horizontal="center" vertical="center"/>
    </xf>
    <xf numFmtId="1" fontId="2" fillId="0" borderId="25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165" fontId="2" fillId="0" borderId="24" xfId="0" applyNumberFormat="1" applyFont="1" applyFill="1" applyBorder="1" applyAlignment="1" applyProtection="1">
      <alignment horizontal="center" vertical="center"/>
    </xf>
    <xf numFmtId="1" fontId="39" fillId="0" borderId="22" xfId="0" applyNumberFormat="1" applyFont="1" applyFill="1" applyBorder="1" applyAlignment="1" applyProtection="1">
      <alignment horizontal="center" vertical="center"/>
    </xf>
    <xf numFmtId="0" fontId="3" fillId="0" borderId="17" xfId="0" applyNumberFormat="1" applyFont="1" applyFill="1" applyBorder="1" applyAlignment="1" applyProtection="1">
      <alignment horizontal="center" vertical="center"/>
    </xf>
    <xf numFmtId="165" fontId="2" fillId="0" borderId="25" xfId="0" applyNumberFormat="1" applyFont="1" applyFill="1" applyBorder="1" applyAlignment="1" applyProtection="1">
      <alignment horizontal="center" vertical="center"/>
    </xf>
    <xf numFmtId="168" fontId="26" fillId="15" borderId="0" xfId="0" applyNumberFormat="1" applyFont="1" applyFill="1" applyBorder="1" applyAlignment="1" applyProtection="1">
      <alignment horizontal="center" vertical="center"/>
    </xf>
    <xf numFmtId="2" fontId="1" fillId="0" borderId="22" xfId="0" applyNumberFormat="1" applyFont="1" applyFill="1" applyBorder="1" applyAlignment="1" applyProtection="1">
      <alignment horizontal="center" vertical="center"/>
    </xf>
    <xf numFmtId="2" fontId="1" fillId="0" borderId="29" xfId="0" applyNumberFormat="1" applyFont="1" applyFill="1" applyBorder="1" applyAlignment="1" applyProtection="1">
      <alignment horizontal="center" vertical="center"/>
    </xf>
    <xf numFmtId="2" fontId="2" fillId="0" borderId="29" xfId="0" applyNumberFormat="1" applyFont="1" applyFill="1" applyBorder="1" applyAlignment="1" applyProtection="1">
      <alignment horizontal="center" vertical="center"/>
    </xf>
    <xf numFmtId="2" fontId="2" fillId="0" borderId="22" xfId="0" applyNumberFormat="1" applyFont="1" applyFill="1" applyBorder="1" applyAlignment="1" applyProtection="1">
      <alignment horizontal="center" vertical="center"/>
    </xf>
    <xf numFmtId="2" fontId="4" fillId="0" borderId="22" xfId="0" applyNumberFormat="1" applyFont="1" applyFill="1" applyBorder="1" applyAlignment="1" applyProtection="1">
      <alignment horizontal="center" vertical="center"/>
    </xf>
    <xf numFmtId="166" fontId="4" fillId="0" borderId="0" xfId="0" applyNumberFormat="1" applyFont="1" applyFill="1" applyBorder="1" applyAlignment="1" applyProtection="1">
      <alignment horizontal="center" vertical="center"/>
    </xf>
    <xf numFmtId="2" fontId="4" fillId="0" borderId="23" xfId="0" applyNumberFormat="1" applyFont="1" applyFill="1" applyBorder="1" applyAlignment="1" applyProtection="1">
      <alignment horizontal="center" vertical="center"/>
    </xf>
    <xf numFmtId="166" fontId="4" fillId="0" borderId="52" xfId="0" applyNumberFormat="1" applyFont="1" applyFill="1" applyBorder="1" applyAlignment="1" applyProtection="1">
      <alignment horizontal="center" vertical="center"/>
    </xf>
    <xf numFmtId="2" fontId="4" fillId="0" borderId="28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68" fontId="36" fillId="15" borderId="0" xfId="0" applyNumberFormat="1" applyFont="1" applyFill="1" applyBorder="1" applyAlignment="1" applyProtection="1">
      <alignment horizontal="center" vertical="center"/>
    </xf>
    <xf numFmtId="0" fontId="4" fillId="15" borderId="0" xfId="0" applyNumberFormat="1" applyFont="1" applyFill="1" applyBorder="1" applyAlignment="1" applyProtection="1">
      <alignment horizontal="center" vertical="center"/>
    </xf>
    <xf numFmtId="0" fontId="28" fillId="0" borderId="29" xfId="0" applyNumberFormat="1" applyFont="1" applyFill="1" applyBorder="1" applyAlignment="1" applyProtection="1">
      <alignment horizontal="center" vertical="center"/>
    </xf>
    <xf numFmtId="0" fontId="28" fillId="0" borderId="22" xfId="0" applyNumberFormat="1" applyFont="1" applyFill="1" applyBorder="1" applyAlignment="1" applyProtection="1">
      <alignment horizontal="center" vertical="center"/>
    </xf>
    <xf numFmtId="0" fontId="28" fillId="0" borderId="24" xfId="0" applyNumberFormat="1" applyFont="1" applyFill="1" applyBorder="1" applyAlignment="1" applyProtection="1">
      <alignment horizontal="center" vertical="center"/>
    </xf>
    <xf numFmtId="0" fontId="28" fillId="0" borderId="48" xfId="0" applyNumberFormat="1" applyFont="1" applyFill="1" applyBorder="1" applyAlignment="1" applyProtection="1">
      <alignment horizontal="center" vertical="center"/>
    </xf>
    <xf numFmtId="0" fontId="28" fillId="0" borderId="53" xfId="0" applyNumberFormat="1" applyFont="1" applyFill="1" applyBorder="1" applyAlignment="1" applyProtection="1">
      <alignment horizontal="center" vertical="center"/>
    </xf>
    <xf numFmtId="0" fontId="28" fillId="0" borderId="47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1" fontId="29" fillId="0" borderId="29" xfId="0" applyNumberFormat="1" applyFont="1" applyFill="1" applyBorder="1" applyAlignment="1" applyProtection="1">
      <alignment horizontal="center" vertical="center"/>
    </xf>
    <xf numFmtId="1" fontId="29" fillId="0" borderId="22" xfId="0" applyNumberFormat="1" applyFont="1" applyFill="1" applyBorder="1" applyAlignment="1" applyProtection="1">
      <alignment horizontal="center" vertical="center"/>
    </xf>
    <xf numFmtId="1" fontId="29" fillId="0" borderId="28" xfId="0" applyNumberFormat="1" applyFont="1" applyFill="1" applyBorder="1" applyAlignment="1" applyProtection="1">
      <alignment horizontal="center" vertical="center"/>
    </xf>
    <xf numFmtId="166" fontId="29" fillId="0" borderId="22" xfId="0" applyNumberFormat="1" applyFont="1" applyFill="1" applyBorder="1" applyAlignment="1" applyProtection="1">
      <alignment horizontal="center" vertical="center"/>
    </xf>
    <xf numFmtId="166" fontId="27" fillId="0" borderId="24" xfId="0" applyNumberFormat="1" applyFont="1" applyFill="1" applyBorder="1" applyAlignment="1">
      <alignment horizontal="center" vertical="center"/>
    </xf>
    <xf numFmtId="166" fontId="27" fillId="0" borderId="30" xfId="0" applyNumberFormat="1" applyFont="1" applyFill="1" applyBorder="1" applyAlignment="1">
      <alignment horizontal="center" vertical="center"/>
    </xf>
    <xf numFmtId="1" fontId="28" fillId="0" borderId="29" xfId="0" applyNumberFormat="1" applyFont="1" applyFill="1" applyBorder="1" applyAlignment="1" applyProtection="1">
      <alignment horizontal="center" vertical="center"/>
    </xf>
    <xf numFmtId="1" fontId="28" fillId="0" borderId="22" xfId="0" applyNumberFormat="1" applyFont="1" applyFill="1" applyBorder="1" applyAlignment="1" applyProtection="1">
      <alignment horizontal="center" vertical="center"/>
    </xf>
    <xf numFmtId="3" fontId="28" fillId="0" borderId="29" xfId="0" applyNumberFormat="1" applyFont="1" applyFill="1" applyBorder="1" applyAlignment="1" applyProtection="1">
      <alignment horizontal="center" vertical="center"/>
    </xf>
    <xf numFmtId="3" fontId="28" fillId="0" borderId="22" xfId="0" applyNumberFormat="1" applyFont="1" applyFill="1" applyBorder="1" applyAlignment="1" applyProtection="1">
      <alignment horizontal="center" vertical="center"/>
    </xf>
    <xf numFmtId="2" fontId="28" fillId="0" borderId="29" xfId="0" applyNumberFormat="1" applyFont="1" applyFill="1" applyBorder="1" applyAlignment="1" applyProtection="1">
      <alignment horizontal="center" vertical="center"/>
    </xf>
    <xf numFmtId="2" fontId="28" fillId="0" borderId="22" xfId="0" applyNumberFormat="1" applyFont="1" applyFill="1" applyBorder="1" applyAlignment="1" applyProtection="1">
      <alignment horizontal="center" vertical="center"/>
    </xf>
    <xf numFmtId="1" fontId="38" fillId="0" borderId="29" xfId="0" applyNumberFormat="1" applyFont="1" applyFill="1" applyBorder="1" applyAlignment="1" applyProtection="1">
      <alignment horizontal="center" vertical="center"/>
    </xf>
    <xf numFmtId="1" fontId="38" fillId="0" borderId="22" xfId="0" applyNumberFormat="1" applyFont="1" applyFill="1" applyBorder="1" applyAlignment="1" applyProtection="1">
      <alignment horizontal="center" vertical="center"/>
    </xf>
    <xf numFmtId="1" fontId="3" fillId="15" borderId="0" xfId="0" applyNumberFormat="1" applyFont="1" applyFill="1" applyBorder="1" applyAlignment="1" applyProtection="1">
      <alignment horizontal="center" vertical="center"/>
    </xf>
    <xf numFmtId="164" fontId="29" fillId="0" borderId="29" xfId="0" applyNumberFormat="1" applyFont="1" applyFill="1" applyBorder="1" applyAlignment="1" applyProtection="1">
      <alignment horizontal="center" vertical="center"/>
    </xf>
    <xf numFmtId="164" fontId="29" fillId="0" borderId="28" xfId="0" applyNumberFormat="1" applyFont="1" applyFill="1" applyBorder="1" applyAlignment="1" applyProtection="1">
      <alignment horizontal="center" vertical="center"/>
    </xf>
    <xf numFmtId="0" fontId="34" fillId="0" borderId="10" xfId="0" applyNumberFormat="1" applyFont="1" applyFill="1" applyBorder="1" applyAlignment="1" applyProtection="1">
      <alignment horizontal="center" vertical="center"/>
    </xf>
    <xf numFmtId="0" fontId="37" fillId="0" borderId="23" xfId="0" applyNumberFormat="1" applyFont="1" applyFill="1" applyBorder="1" applyAlignment="1" applyProtection="1">
      <alignment horizontal="center" vertical="center"/>
    </xf>
    <xf numFmtId="2" fontId="28" fillId="0" borderId="23" xfId="0" applyNumberFormat="1" applyFont="1" applyFill="1" applyBorder="1" applyAlignment="1" applyProtection="1">
      <alignment horizontal="center" vertical="center"/>
    </xf>
    <xf numFmtId="2" fontId="28" fillId="0" borderId="28" xfId="0" applyNumberFormat="1" applyFont="1" applyFill="1" applyBorder="1" applyAlignment="1" applyProtection="1">
      <alignment horizontal="center" vertical="center"/>
    </xf>
    <xf numFmtId="0" fontId="38" fillId="0" borderId="23" xfId="0" applyNumberFormat="1" applyFont="1" applyFill="1" applyBorder="1" applyAlignment="1" applyProtection="1">
      <alignment horizontal="center" vertical="center"/>
    </xf>
    <xf numFmtId="164" fontId="28" fillId="0" borderId="29" xfId="0" applyNumberFormat="1" applyFont="1" applyFill="1" applyBorder="1" applyAlignment="1" applyProtection="1">
      <alignment horizontal="center" vertical="center"/>
    </xf>
    <xf numFmtId="164" fontId="28" fillId="0" borderId="22" xfId="0" applyNumberFormat="1" applyFont="1" applyFill="1" applyBorder="1" applyAlignment="1" applyProtection="1">
      <alignment horizontal="center" vertical="center"/>
    </xf>
    <xf numFmtId="1" fontId="4" fillId="15" borderId="0" xfId="0" applyNumberFormat="1" applyFont="1" applyFill="1" applyBorder="1" applyAlignment="1" applyProtection="1">
      <alignment horizontal="center" vertical="center"/>
    </xf>
    <xf numFmtId="167" fontId="30" fillId="0" borderId="29" xfId="0" applyNumberFormat="1" applyFont="1" applyFill="1" applyBorder="1" applyAlignment="1" applyProtection="1">
      <alignment horizontal="center" vertical="center"/>
    </xf>
    <xf numFmtId="167" fontId="30" fillId="0" borderId="28" xfId="0" applyNumberFormat="1" applyFont="1" applyFill="1" applyBorder="1" applyAlignment="1" applyProtection="1">
      <alignment horizontal="center" vertical="center"/>
    </xf>
    <xf numFmtId="1" fontId="28" fillId="0" borderId="28" xfId="0" applyNumberFormat="1" applyFont="1" applyFill="1" applyBorder="1" applyAlignment="1" applyProtection="1">
      <alignment horizontal="center" vertical="center"/>
    </xf>
    <xf numFmtId="1" fontId="28" fillId="0" borderId="23" xfId="0" applyNumberFormat="1" applyFont="1" applyFill="1" applyBorder="1" applyAlignment="1" applyProtection="1">
      <alignment horizontal="center" vertical="center"/>
    </xf>
    <xf numFmtId="164" fontId="29" fillId="0" borderId="22" xfId="0" applyNumberFormat="1" applyFont="1" applyFill="1" applyBorder="1" applyAlignment="1" applyProtection="1">
      <alignment horizontal="center" vertical="center"/>
    </xf>
    <xf numFmtId="166" fontId="28" fillId="0" borderId="22" xfId="0" applyNumberFormat="1" applyFont="1" applyFill="1" applyBorder="1" applyAlignment="1" applyProtection="1">
      <alignment horizontal="center" vertical="center"/>
    </xf>
    <xf numFmtId="0" fontId="2" fillId="0" borderId="32" xfId="0" applyNumberFormat="1" applyFont="1" applyFill="1" applyBorder="1" applyAlignment="1" applyProtection="1">
      <alignment horizontal="center" vertical="center" wrapText="1"/>
    </xf>
    <xf numFmtId="2" fontId="29" fillId="0" borderId="35" xfId="0" applyNumberFormat="1" applyFont="1" applyFill="1" applyBorder="1" applyAlignment="1" applyProtection="1">
      <alignment horizontal="center" vertical="center"/>
    </xf>
    <xf numFmtId="2" fontId="28" fillId="0" borderId="26" xfId="0" applyNumberFormat="1" applyFont="1" applyFill="1" applyBorder="1" applyAlignment="1" applyProtection="1">
      <alignment horizontal="center" vertical="center"/>
    </xf>
    <xf numFmtId="2" fontId="29" fillId="0" borderId="25" xfId="0" applyNumberFormat="1" applyFont="1" applyFill="1" applyBorder="1" applyAlignment="1" applyProtection="1">
      <alignment horizontal="center" vertical="center"/>
    </xf>
    <xf numFmtId="1" fontId="28" fillId="0" borderId="25" xfId="0" applyNumberFormat="1" applyFont="1" applyFill="1" applyBorder="1" applyAlignment="1" applyProtection="1">
      <alignment horizontal="center" vertical="center"/>
    </xf>
    <xf numFmtId="2" fontId="35" fillId="0" borderId="26" xfId="0" applyNumberFormat="1" applyFont="1" applyFill="1" applyBorder="1" applyAlignment="1">
      <alignment horizontal="center" vertical="center"/>
    </xf>
    <xf numFmtId="2" fontId="35" fillId="0" borderId="12" xfId="0" applyNumberFormat="1" applyFont="1" applyFill="1" applyBorder="1" applyAlignment="1">
      <alignment horizontal="center" vertical="center"/>
    </xf>
    <xf numFmtId="0" fontId="5" fillId="15" borderId="0" xfId="0" applyNumberFormat="1" applyFont="1" applyFill="1" applyBorder="1" applyAlignment="1" applyProtection="1">
      <alignment horizontal="center" vertical="center"/>
    </xf>
    <xf numFmtId="2" fontId="28" fillId="0" borderId="24" xfId="0" applyNumberFormat="1" applyFont="1" applyFill="1" applyBorder="1" applyAlignment="1" applyProtection="1">
      <alignment horizontal="center" vertical="center"/>
    </xf>
    <xf numFmtId="2" fontId="35" fillId="0" borderId="24" xfId="0" applyNumberFormat="1" applyFont="1" applyFill="1" applyBorder="1" applyAlignment="1">
      <alignment horizontal="center" vertical="center"/>
    </xf>
    <xf numFmtId="2" fontId="35" fillId="0" borderId="30" xfId="0" applyNumberFormat="1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2" fontId="31" fillId="0" borderId="23" xfId="0" applyNumberFormat="1" applyFont="1" applyFill="1" applyBorder="1" applyAlignment="1" applyProtection="1">
      <alignment horizontal="center" vertical="center"/>
    </xf>
    <xf numFmtId="2" fontId="31" fillId="0" borderId="22" xfId="0" applyNumberFormat="1" applyFont="1" applyFill="1" applyBorder="1" applyAlignment="1" applyProtection="1">
      <alignment horizontal="center" vertical="center"/>
    </xf>
    <xf numFmtId="2" fontId="3" fillId="0" borderId="29" xfId="0" applyNumberFormat="1" applyFont="1" applyFill="1" applyBorder="1" applyAlignment="1" applyProtection="1">
      <alignment horizontal="center" vertical="center"/>
    </xf>
    <xf numFmtId="2" fontId="3" fillId="0" borderId="22" xfId="0" applyNumberFormat="1" applyFont="1" applyFill="1" applyBorder="1" applyAlignment="1" applyProtection="1">
      <alignment horizontal="center" vertical="center"/>
    </xf>
    <xf numFmtId="1" fontId="40" fillId="0" borderId="22" xfId="0" applyNumberFormat="1" applyFont="1" applyFill="1" applyBorder="1" applyAlignment="1" applyProtection="1">
      <alignment horizontal="center" vertical="center"/>
    </xf>
    <xf numFmtId="2" fontId="31" fillId="0" borderId="29" xfId="0" applyNumberFormat="1" applyFont="1" applyFill="1" applyBorder="1" applyAlignment="1" applyProtection="1">
      <alignment horizontal="center" vertical="center"/>
    </xf>
    <xf numFmtId="2" fontId="3" fillId="0" borderId="0" xfId="0" applyNumberFormat="1" applyFont="1" applyFill="1" applyBorder="1" applyAlignment="1" applyProtection="1">
      <alignment horizontal="center" vertical="center"/>
    </xf>
    <xf numFmtId="168" fontId="4" fillId="15" borderId="0" xfId="0" applyNumberFormat="1" applyFont="1" applyFill="1" applyBorder="1" applyAlignment="1" applyProtection="1">
      <alignment horizontal="center" vertical="center"/>
    </xf>
    <xf numFmtId="0" fontId="3" fillId="0" borderId="21" xfId="0" applyNumberFormat="1" applyFont="1" applyFill="1" applyBorder="1" applyAlignment="1" applyProtection="1">
      <alignment horizontal="center" vertical="center"/>
    </xf>
    <xf numFmtId="0" fontId="3" fillId="0" borderId="34" xfId="0" applyNumberFormat="1" applyFont="1" applyFill="1" applyBorder="1" applyAlignment="1" applyProtection="1">
      <alignment horizontal="center" vertical="center"/>
    </xf>
    <xf numFmtId="0" fontId="3" fillId="0" borderId="34" xfId="0" applyNumberFormat="1" applyFont="1" applyFill="1" applyBorder="1" applyAlignment="1" applyProtection="1">
      <alignment horizontal="center" vertical="center" wrapText="1"/>
    </xf>
    <xf numFmtId="165" fontId="3" fillId="0" borderId="16" xfId="0" applyNumberFormat="1" applyFont="1" applyFill="1" applyBorder="1" applyAlignment="1" applyProtection="1">
      <alignment horizontal="center" vertical="center"/>
    </xf>
    <xf numFmtId="0" fontId="39" fillId="0" borderId="33" xfId="0" applyNumberFormat="1" applyFont="1" applyFill="1" applyBorder="1" applyAlignment="1" applyProtection="1">
      <alignment horizontal="center" vertical="center"/>
    </xf>
    <xf numFmtId="0" fontId="1" fillId="0" borderId="34" xfId="0" applyNumberFormat="1" applyFont="1" applyFill="1" applyBorder="1" applyAlignment="1" applyProtection="1">
      <alignment horizontal="center" vertical="center" wrapText="1"/>
    </xf>
    <xf numFmtId="0" fontId="3" fillId="0" borderId="29" xfId="0" applyNumberFormat="1" applyFont="1" applyFill="1" applyBorder="1" applyAlignment="1" applyProtection="1">
      <alignment horizontal="center" vertical="center"/>
    </xf>
    <xf numFmtId="0" fontId="3" fillId="0" borderId="22" xfId="0" applyNumberFormat="1" applyFont="1" applyFill="1" applyBorder="1" applyAlignment="1" applyProtection="1">
      <alignment horizontal="center" vertical="center"/>
    </xf>
    <xf numFmtId="0" fontId="3" fillId="0" borderId="30" xfId="0" applyNumberFormat="1" applyFont="1" applyFill="1" applyBorder="1" applyAlignment="1" applyProtection="1">
      <alignment horizontal="center" vertical="center"/>
    </xf>
    <xf numFmtId="0" fontId="3" fillId="0" borderId="46" xfId="0" applyNumberFormat="1" applyFont="1" applyFill="1" applyBorder="1" applyAlignment="1" applyProtection="1">
      <alignment horizontal="center" vertical="center"/>
    </xf>
    <xf numFmtId="0" fontId="3" fillId="0" borderId="47" xfId="0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Fill="1" applyBorder="1" applyAlignment="1" applyProtection="1">
      <alignment horizontal="center" vertical="center"/>
    </xf>
    <xf numFmtId="1" fontId="2" fillId="0" borderId="0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 vertical="center"/>
    </xf>
    <xf numFmtId="1" fontId="3" fillId="0" borderId="29" xfId="0" applyNumberFormat="1" applyFont="1" applyFill="1" applyBorder="1" applyAlignment="1" applyProtection="1">
      <alignment horizontal="center" vertical="center"/>
    </xf>
    <xf numFmtId="16" fontId="2" fillId="0" borderId="10" xfId="0" applyNumberFormat="1" applyFont="1" applyFill="1" applyBorder="1" applyAlignment="1" applyProtection="1">
      <alignment horizontal="center" vertical="center"/>
    </xf>
    <xf numFmtId="1" fontId="2" fillId="0" borderId="23" xfId="0" applyNumberFormat="1" applyFont="1" applyFill="1" applyBorder="1" applyAlignment="1" applyProtection="1">
      <alignment horizontal="center" vertical="center"/>
    </xf>
    <xf numFmtId="1" fontId="2" fillId="0" borderId="28" xfId="0" applyNumberFormat="1" applyFont="1" applyFill="1" applyBorder="1" applyAlignment="1" applyProtection="1">
      <alignment horizontal="center" vertical="center"/>
    </xf>
    <xf numFmtId="164" fontId="34" fillId="0" borderId="0" xfId="0" applyNumberFormat="1" applyFont="1" applyFill="1" applyBorder="1" applyAlignment="1" applyProtection="1">
      <alignment horizontal="center" vertical="center"/>
    </xf>
    <xf numFmtId="1" fontId="34" fillId="0" borderId="0" xfId="0" applyNumberFormat="1" applyFont="1" applyFill="1" applyBorder="1" applyAlignment="1" applyProtection="1">
      <alignment horizontal="center" vertical="center"/>
    </xf>
    <xf numFmtId="16" fontId="3" fillId="0" borderId="23" xfId="0" applyNumberFormat="1" applyFont="1" applyFill="1" applyBorder="1" applyAlignment="1" applyProtection="1">
      <alignment horizontal="center" vertical="center"/>
    </xf>
    <xf numFmtId="164" fontId="3" fillId="0" borderId="22" xfId="0" applyNumberFormat="1" applyFont="1" applyFill="1" applyBorder="1" applyAlignment="1" applyProtection="1">
      <alignment horizontal="center" vertical="center"/>
    </xf>
    <xf numFmtId="164" fontId="3" fillId="0" borderId="29" xfId="0" applyNumberFormat="1" applyFont="1" applyFill="1" applyBorder="1" applyAlignment="1" applyProtection="1">
      <alignment horizontal="center" vertical="center"/>
    </xf>
    <xf numFmtId="164" fontId="3" fillId="0" borderId="0" xfId="0" applyNumberFormat="1" applyFont="1" applyFill="1" applyBorder="1" applyAlignment="1" applyProtection="1">
      <alignment horizontal="center" vertical="center"/>
    </xf>
    <xf numFmtId="1" fontId="24" fillId="15" borderId="0" xfId="0" applyNumberFormat="1" applyFont="1" applyFill="1" applyBorder="1" applyAlignment="1" applyProtection="1">
      <alignment horizontal="center" vertical="center"/>
    </xf>
    <xf numFmtId="1" fontId="3" fillId="0" borderId="23" xfId="0" applyNumberFormat="1" applyFont="1" applyFill="1" applyBorder="1" applyAlignment="1" applyProtection="1">
      <alignment horizontal="center" vertical="center"/>
    </xf>
    <xf numFmtId="1" fontId="3" fillId="0" borderId="28" xfId="0" applyNumberFormat="1" applyFont="1" applyFill="1" applyBorder="1" applyAlignment="1" applyProtection="1">
      <alignment horizontal="center" vertical="center"/>
    </xf>
    <xf numFmtId="166" fontId="29" fillId="0" borderId="20" xfId="0" applyNumberFormat="1" applyFont="1" applyFill="1" applyBorder="1" applyAlignment="1" applyProtection="1">
      <alignment horizontal="center" vertical="center"/>
    </xf>
    <xf numFmtId="166" fontId="27" fillId="0" borderId="19" xfId="0" applyNumberFormat="1" applyFont="1" applyFill="1" applyBorder="1" applyAlignment="1">
      <alignment horizontal="center" vertical="center"/>
    </xf>
    <xf numFmtId="0" fontId="2" fillId="15" borderId="0" xfId="0" applyNumberFormat="1" applyFont="1" applyFill="1" applyBorder="1" applyAlignment="1" applyProtection="1">
      <alignment horizontal="center" vertical="center"/>
    </xf>
    <xf numFmtId="164" fontId="3" fillId="0" borderId="24" xfId="0" applyNumberFormat="1" applyFont="1" applyFill="1" applyBorder="1" applyAlignment="1" applyProtection="1">
      <alignment horizontal="center" vertical="center"/>
    </xf>
    <xf numFmtId="2" fontId="1" fillId="0" borderId="23" xfId="0" applyNumberFormat="1" applyFont="1" applyFill="1" applyBorder="1" applyAlignment="1" applyProtection="1">
      <alignment horizontal="center" vertical="center"/>
    </xf>
    <xf numFmtId="0" fontId="3" fillId="0" borderId="31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165" fontId="3" fillId="0" borderId="20" xfId="0" applyNumberFormat="1" applyFont="1" applyFill="1" applyBorder="1" applyAlignment="1" applyProtection="1">
      <alignment horizontal="center" vertical="center"/>
    </xf>
    <xf numFmtId="1" fontId="40" fillId="0" borderId="20" xfId="0" applyNumberFormat="1" applyFont="1" applyFill="1" applyBorder="1" applyAlignment="1" applyProtection="1">
      <alignment horizontal="center" vertical="center"/>
    </xf>
    <xf numFmtId="0" fontId="39" fillId="0" borderId="19" xfId="0" applyNumberFormat="1" applyFont="1" applyFill="1" applyBorder="1" applyAlignment="1" applyProtection="1">
      <alignment horizontal="center" vertical="center"/>
    </xf>
    <xf numFmtId="0" fontId="3" fillId="0" borderId="28" xfId="0" applyNumberFormat="1" applyFont="1" applyFill="1" applyBorder="1" applyAlignment="1" applyProtection="1">
      <alignment horizontal="center" vertical="center"/>
    </xf>
    <xf numFmtId="166" fontId="2" fillId="0" borderId="0" xfId="0" applyNumberFormat="1" applyFont="1" applyFill="1" applyBorder="1" applyAlignment="1" applyProtection="1">
      <alignment horizontal="center" vertical="center"/>
    </xf>
    <xf numFmtId="166" fontId="2" fillId="0" borderId="30" xfId="0" applyNumberFormat="1" applyFont="1" applyFill="1" applyBorder="1" applyAlignment="1" applyProtection="1">
      <alignment horizontal="center" vertical="center"/>
    </xf>
    <xf numFmtId="166" fontId="3" fillId="0" borderId="0" xfId="0" applyNumberFormat="1" applyFont="1" applyFill="1" applyBorder="1" applyAlignment="1" applyProtection="1">
      <alignment horizontal="center" vertical="center"/>
    </xf>
    <xf numFmtId="166" fontId="3" fillId="0" borderId="30" xfId="0" applyNumberFormat="1" applyFont="1" applyFill="1" applyBorder="1" applyAlignment="1" applyProtection="1">
      <alignment horizontal="center" vertical="center"/>
    </xf>
    <xf numFmtId="0" fontId="2" fillId="0" borderId="30" xfId="0" applyNumberFormat="1" applyFont="1" applyFill="1" applyBorder="1" applyAlignment="1" applyProtection="1">
      <alignment horizontal="center" vertical="center"/>
    </xf>
    <xf numFmtId="1" fontId="2" fillId="15" borderId="0" xfId="0" applyNumberFormat="1" applyFont="1" applyFill="1" applyBorder="1" applyAlignment="1" applyProtection="1">
      <alignment horizontal="center" vertical="center"/>
    </xf>
    <xf numFmtId="164" fontId="3" fillId="0" borderId="28" xfId="0" applyNumberFormat="1" applyFont="1" applyFill="1" applyBorder="1" applyAlignment="1" applyProtection="1">
      <alignment horizontal="center" vertical="center"/>
    </xf>
    <xf numFmtId="164" fontId="3" fillId="0" borderId="23" xfId="0" applyNumberFormat="1" applyFont="1" applyFill="1" applyBorder="1" applyAlignment="1" applyProtection="1">
      <alignment horizontal="center" vertical="center"/>
    </xf>
    <xf numFmtId="2" fontId="28" fillId="0" borderId="0" xfId="0" applyNumberFormat="1" applyFont="1" applyFill="1" applyBorder="1" applyAlignment="1" applyProtection="1">
      <alignment horizontal="center" vertical="center"/>
    </xf>
    <xf numFmtId="164" fontId="2" fillId="0" borderId="28" xfId="0" applyNumberFormat="1" applyFont="1" applyFill="1" applyBorder="1" applyAlignment="1" applyProtection="1">
      <alignment horizontal="center" vertical="center"/>
    </xf>
    <xf numFmtId="164" fontId="1" fillId="0" borderId="23" xfId="0" applyNumberFormat="1" applyFont="1" applyFill="1" applyBorder="1" applyAlignment="1" applyProtection="1">
      <alignment horizontal="center" vertical="center"/>
    </xf>
    <xf numFmtId="164" fontId="39" fillId="0" borderId="22" xfId="0" applyNumberFormat="1" applyFont="1" applyFill="1" applyBorder="1" applyAlignment="1" applyProtection="1">
      <alignment horizontal="center" vertical="center"/>
    </xf>
    <xf numFmtId="168" fontId="26" fillId="15" borderId="0" xfId="0" applyNumberFormat="1" applyFont="1" applyFill="1" applyBorder="1" applyAlignment="1" applyProtection="1">
      <alignment vertical="center"/>
    </xf>
    <xf numFmtId="0" fontId="3" fillId="0" borderId="10" xfId="0" applyNumberFormat="1" applyFont="1" applyFill="1" applyBorder="1" applyAlignment="1" applyProtection="1">
      <alignment horizontal="left" vertical="center" indent="2"/>
    </xf>
    <xf numFmtId="0" fontId="3" fillId="0" borderId="10" xfId="0" applyNumberFormat="1" applyFont="1" applyFill="1" applyBorder="1" applyAlignment="1" applyProtection="1">
      <alignment horizontal="left" vertical="center"/>
    </xf>
    <xf numFmtId="0" fontId="3" fillId="0" borderId="10" xfId="0" applyNumberFormat="1" applyFont="1" applyFill="1" applyBorder="1" applyAlignment="1" applyProtection="1">
      <alignment horizontal="left" vertical="center" indent="5"/>
    </xf>
    <xf numFmtId="0" fontId="3" fillId="0" borderId="31" xfId="0" applyNumberFormat="1" applyFont="1" applyFill="1" applyBorder="1" applyAlignment="1" applyProtection="1">
      <alignment horizontal="left" vertical="center" indent="5"/>
    </xf>
    <xf numFmtId="0" fontId="3" fillId="0" borderId="10" xfId="0" applyNumberFormat="1" applyFont="1" applyFill="1" applyBorder="1" applyAlignment="1" applyProtection="1">
      <alignment horizontal="left" vertical="center" indent="4"/>
    </xf>
    <xf numFmtId="2" fontId="38" fillId="0" borderId="29" xfId="0" applyNumberFormat="1" applyFont="1" applyFill="1" applyBorder="1" applyAlignment="1" applyProtection="1">
      <alignment horizontal="center" vertical="center"/>
    </xf>
    <xf numFmtId="2" fontId="29" fillId="0" borderId="29" xfId="0" applyNumberFormat="1" applyFont="1" applyFill="1" applyBorder="1" applyAlignment="1" applyProtection="1">
      <alignment horizontal="center" vertical="center"/>
    </xf>
    <xf numFmtId="2" fontId="29" fillId="0" borderId="28" xfId="0" applyNumberFormat="1" applyFont="1" applyFill="1" applyBorder="1" applyAlignment="1" applyProtection="1">
      <alignment horizontal="center" vertical="center"/>
    </xf>
    <xf numFmtId="1" fontId="29" fillId="0" borderId="23" xfId="0" applyNumberFormat="1" applyFont="1" applyFill="1" applyBorder="1" applyAlignment="1" applyProtection="1">
      <alignment horizontal="center" vertical="center"/>
    </xf>
    <xf numFmtId="1" fontId="38" fillId="0" borderId="23" xfId="0" applyNumberFormat="1" applyFont="1" applyFill="1" applyBorder="1" applyAlignment="1" applyProtection="1">
      <alignment horizontal="center" vertical="center"/>
    </xf>
    <xf numFmtId="1" fontId="38" fillId="0" borderId="24" xfId="0" applyNumberFormat="1" applyFont="1" applyFill="1" applyBorder="1" applyAlignment="1" applyProtection="1">
      <alignment horizontal="center" vertical="center"/>
    </xf>
    <xf numFmtId="165" fontId="3" fillId="0" borderId="24" xfId="0" applyNumberFormat="1" applyFont="1" applyFill="1" applyBorder="1" applyAlignment="1" applyProtection="1">
      <alignment horizontal="center" vertical="center"/>
    </xf>
    <xf numFmtId="4" fontId="28" fillId="0" borderId="29" xfId="0" applyNumberFormat="1" applyFont="1" applyFill="1" applyBorder="1" applyAlignment="1" applyProtection="1">
      <alignment horizontal="center" vertical="center"/>
    </xf>
    <xf numFmtId="3" fontId="1" fillId="0" borderId="28" xfId="0" applyNumberFormat="1" applyFont="1" applyFill="1" applyBorder="1" applyAlignment="1" applyProtection="1">
      <alignment horizontal="center" vertical="center"/>
    </xf>
    <xf numFmtId="3" fontId="40" fillId="0" borderId="22" xfId="0" applyNumberFormat="1" applyFont="1" applyFill="1" applyBorder="1" applyAlignment="1" applyProtection="1">
      <alignment horizontal="center" vertical="center"/>
    </xf>
    <xf numFmtId="167" fontId="1" fillId="0" borderId="22" xfId="0" applyNumberFormat="1" applyFont="1" applyFill="1" applyBorder="1" applyAlignment="1" applyProtection="1">
      <alignment horizontal="center" vertical="center"/>
    </xf>
    <xf numFmtId="167" fontId="3" fillId="0" borderId="22" xfId="0" applyNumberFormat="1" applyFont="1" applyFill="1" applyBorder="1" applyAlignment="1" applyProtection="1">
      <alignment horizontal="center" vertical="center"/>
    </xf>
    <xf numFmtId="167" fontId="2" fillId="0" borderId="22" xfId="0" applyNumberFormat="1" applyFont="1" applyFill="1" applyBorder="1" applyAlignment="1" applyProtection="1">
      <alignment horizontal="center" vertical="center"/>
    </xf>
    <xf numFmtId="3" fontId="41" fillId="0" borderId="22" xfId="0" applyNumberFormat="1" applyFont="1" applyFill="1" applyBorder="1" applyAlignment="1" applyProtection="1">
      <alignment horizontal="center" vertical="center"/>
    </xf>
    <xf numFmtId="167" fontId="1" fillId="0" borderId="28" xfId="0" applyNumberFormat="1" applyFont="1" applyFill="1" applyBorder="1" applyAlignment="1" applyProtection="1">
      <alignment horizontal="center" vertical="center"/>
    </xf>
    <xf numFmtId="167" fontId="1" fillId="0" borderId="29" xfId="0" applyNumberFormat="1" applyFont="1" applyFill="1" applyBorder="1" applyAlignment="1" applyProtection="1">
      <alignment horizontal="center" vertical="center"/>
    </xf>
    <xf numFmtId="167" fontId="3" fillId="0" borderId="29" xfId="0" applyNumberFormat="1" applyFont="1" applyFill="1" applyBorder="1" applyAlignment="1" applyProtection="1">
      <alignment horizontal="center" vertical="center"/>
    </xf>
    <xf numFmtId="167" fontId="2" fillId="0" borderId="29" xfId="0" applyNumberFormat="1" applyFont="1" applyFill="1" applyBorder="1" applyAlignment="1" applyProtection="1">
      <alignment horizontal="center" vertical="center"/>
    </xf>
    <xf numFmtId="3" fontId="40" fillId="0" borderId="16" xfId="0" applyNumberFormat="1" applyFont="1" applyFill="1" applyBorder="1" applyAlignment="1" applyProtection="1">
      <alignment horizontal="center" vertical="center"/>
    </xf>
    <xf numFmtId="167" fontId="3" fillId="0" borderId="14" xfId="0" applyNumberFormat="1" applyFont="1" applyFill="1" applyBorder="1" applyAlignment="1" applyProtection="1">
      <alignment horizontal="center" vertical="center"/>
    </xf>
    <xf numFmtId="167" fontId="3" fillId="0" borderId="16" xfId="0" applyNumberFormat="1" applyFont="1" applyFill="1" applyBorder="1" applyAlignment="1" applyProtection="1">
      <alignment horizontal="center" vertical="center"/>
    </xf>
    <xf numFmtId="167" fontId="3" fillId="0" borderId="15" xfId="0" applyNumberFormat="1" applyFont="1" applyFill="1" applyBorder="1" applyAlignment="1" applyProtection="1">
      <alignment horizontal="center" vertical="center"/>
    </xf>
    <xf numFmtId="167" fontId="3" fillId="0" borderId="20" xfId="0" applyNumberFormat="1" applyFont="1" applyFill="1" applyBorder="1" applyAlignment="1" applyProtection="1">
      <alignment horizontal="center" vertical="center"/>
    </xf>
    <xf numFmtId="167" fontId="2" fillId="0" borderId="35" xfId="0" applyNumberFormat="1" applyFont="1" applyFill="1" applyBorder="1" applyAlignment="1" applyProtection="1">
      <alignment horizontal="center" vertical="center"/>
    </xf>
    <xf numFmtId="167" fontId="2" fillId="0" borderId="25" xfId="0" applyNumberFormat="1" applyFont="1" applyFill="1" applyBorder="1" applyAlignment="1" applyProtection="1">
      <alignment horizontal="center" vertical="center"/>
    </xf>
    <xf numFmtId="167" fontId="3" fillId="0" borderId="0" xfId="0" applyNumberFormat="1" applyFont="1" applyFill="1" applyBorder="1" applyAlignment="1" applyProtection="1">
      <alignment horizontal="center" vertical="center"/>
    </xf>
    <xf numFmtId="167" fontId="31" fillId="0" borderId="23" xfId="0" applyNumberFormat="1" applyFont="1" applyFill="1" applyBorder="1" applyAlignment="1" applyProtection="1">
      <alignment horizontal="center" vertical="center"/>
    </xf>
    <xf numFmtId="167" fontId="31" fillId="0" borderId="0" xfId="0" applyNumberFormat="1" applyFont="1" applyFill="1" applyBorder="1" applyAlignment="1" applyProtection="1">
      <alignment horizontal="center" vertical="center"/>
    </xf>
    <xf numFmtId="167" fontId="31" fillId="0" borderId="22" xfId="0" applyNumberFormat="1" applyFont="1" applyFill="1" applyBorder="1" applyAlignment="1" applyProtection="1">
      <alignment horizontal="center" vertical="center"/>
    </xf>
    <xf numFmtId="167" fontId="2" fillId="0" borderId="15" xfId="0" applyNumberFormat="1" applyFont="1" applyFill="1" applyBorder="1" applyAlignment="1" applyProtection="1">
      <alignment horizontal="center" vertical="center"/>
    </xf>
    <xf numFmtId="167" fontId="2" fillId="0" borderId="20" xfId="0" applyNumberFormat="1" applyFont="1" applyFill="1" applyBorder="1" applyAlignment="1" applyProtection="1">
      <alignment horizontal="center" vertical="center"/>
    </xf>
    <xf numFmtId="168" fontId="26" fillId="15" borderId="17" xfId="0" applyNumberFormat="1" applyFont="1" applyFill="1" applyBorder="1" applyAlignment="1" applyProtection="1">
      <alignment horizontal="center" vertical="center"/>
    </xf>
    <xf numFmtId="0" fontId="2" fillId="16" borderId="39" xfId="0" applyNumberFormat="1" applyFont="1" applyFill="1" applyBorder="1" applyAlignment="1" applyProtection="1">
      <alignment horizontal="center" vertical="center"/>
    </xf>
    <xf numFmtId="168" fontId="33" fillId="16" borderId="30" xfId="0" applyNumberFormat="1" applyFont="1" applyFill="1" applyBorder="1" applyAlignment="1" applyProtection="1">
      <alignment horizontal="center" vertical="center" wrapText="1"/>
    </xf>
    <xf numFmtId="0" fontId="33" fillId="16" borderId="33" xfId="0" applyNumberFormat="1" applyFont="1" applyFill="1" applyBorder="1" applyAlignment="1" applyProtection="1">
      <alignment horizontal="center" vertical="center" wrapText="1"/>
    </xf>
    <xf numFmtId="168" fontId="2" fillId="16" borderId="40" xfId="0" applyNumberFormat="1" applyFont="1" applyFill="1" applyBorder="1" applyAlignment="1" applyProtection="1">
      <alignment horizontal="center" vertical="center"/>
    </xf>
    <xf numFmtId="0" fontId="2" fillId="16" borderId="41" xfId="0" applyNumberFormat="1" applyFont="1" applyFill="1" applyBorder="1" applyAlignment="1" applyProtection="1">
      <alignment horizontal="center" vertical="center"/>
    </xf>
    <xf numFmtId="0" fontId="2" fillId="16" borderId="42" xfId="0" applyNumberFormat="1" applyFont="1" applyFill="1" applyBorder="1" applyAlignment="1" applyProtection="1">
      <alignment horizontal="center" vertical="center"/>
    </xf>
    <xf numFmtId="0" fontId="2" fillId="16" borderId="0" xfId="0" applyNumberFormat="1" applyFont="1" applyFill="1" applyBorder="1" applyAlignment="1" applyProtection="1">
      <alignment horizontal="center" vertical="center"/>
    </xf>
    <xf numFmtId="0" fontId="2" fillId="16" borderId="17" xfId="0" applyNumberFormat="1" applyFont="1" applyFill="1" applyBorder="1" applyAlignment="1" applyProtection="1">
      <alignment horizontal="center" vertical="center"/>
    </xf>
    <xf numFmtId="0" fontId="32" fillId="16" borderId="29" xfId="0" applyFont="1" applyFill="1" applyBorder="1" applyAlignment="1">
      <alignment horizontal="center" vertical="center" wrapText="1"/>
    </xf>
    <xf numFmtId="0" fontId="32" fillId="16" borderId="14" xfId="0" applyFont="1" applyFill="1" applyBorder="1" applyAlignment="1">
      <alignment horizontal="center" vertical="center" wrapText="1"/>
    </xf>
    <xf numFmtId="0" fontId="2" fillId="16" borderId="30" xfId="0" applyNumberFormat="1" applyFont="1" applyFill="1" applyBorder="1" applyAlignment="1" applyProtection="1">
      <alignment horizontal="center" vertical="center" wrapText="1"/>
    </xf>
    <xf numFmtId="0" fontId="2" fillId="16" borderId="33" xfId="0" applyNumberFormat="1" applyFont="1" applyFill="1" applyBorder="1" applyAlignment="1" applyProtection="1">
      <alignment horizontal="center" vertical="center" wrapText="1"/>
    </xf>
    <xf numFmtId="0" fontId="2" fillId="16" borderId="22" xfId="0" applyNumberFormat="1" applyFont="1" applyFill="1" applyBorder="1" applyAlignment="1" applyProtection="1">
      <alignment horizontal="center" vertical="center"/>
    </xf>
    <xf numFmtId="0" fontId="2" fillId="16" borderId="16" xfId="0" applyNumberFormat="1" applyFont="1" applyFill="1" applyBorder="1" applyAlignment="1" applyProtection="1">
      <alignment horizontal="center" vertical="center"/>
    </xf>
    <xf numFmtId="0" fontId="2" fillId="16" borderId="36" xfId="0" applyNumberFormat="1" applyFont="1" applyFill="1" applyBorder="1" applyAlignment="1" applyProtection="1">
      <alignment horizontal="center" vertical="center" wrapText="1"/>
    </xf>
    <xf numFmtId="0" fontId="2" fillId="16" borderId="23" xfId="0" applyNumberFormat="1" applyFont="1" applyFill="1" applyBorder="1" applyAlignment="1" applyProtection="1">
      <alignment horizontal="center" vertical="center" wrapText="1"/>
    </xf>
    <xf numFmtId="0" fontId="2" fillId="16" borderId="18" xfId="0" applyNumberFormat="1" applyFont="1" applyFill="1" applyBorder="1" applyAlignment="1" applyProtection="1">
      <alignment horizontal="center" vertical="center" wrapText="1"/>
    </xf>
    <xf numFmtId="0" fontId="2" fillId="16" borderId="37" xfId="0" applyNumberFormat="1" applyFont="1" applyFill="1" applyBorder="1" applyAlignment="1" applyProtection="1">
      <alignment horizontal="center" vertical="center"/>
    </xf>
    <xf numFmtId="0" fontId="2" fillId="16" borderId="10" xfId="0" applyNumberFormat="1" applyFont="1" applyFill="1" applyBorder="1" applyAlignment="1" applyProtection="1">
      <alignment horizontal="center" vertical="center"/>
    </xf>
    <xf numFmtId="0" fontId="2" fillId="16" borderId="34" xfId="0" applyNumberFormat="1" applyFont="1" applyFill="1" applyBorder="1" applyAlignment="1" applyProtection="1">
      <alignment horizontal="center" vertical="center"/>
    </xf>
    <xf numFmtId="0" fontId="2" fillId="16" borderId="38" xfId="0" applyNumberFormat="1" applyFont="1" applyFill="1" applyBorder="1" applyAlignment="1" applyProtection="1">
      <alignment horizontal="center" vertical="center" wrapText="1"/>
    </xf>
    <xf numFmtId="0" fontId="2" fillId="16" borderId="0" xfId="0" applyNumberFormat="1" applyFont="1" applyFill="1" applyBorder="1" applyAlignment="1" applyProtection="1">
      <alignment horizontal="center" vertical="center" wrapText="1"/>
    </xf>
    <xf numFmtId="0" fontId="2" fillId="16" borderId="17" xfId="0" applyNumberFormat="1" applyFont="1" applyFill="1" applyBorder="1" applyAlignment="1" applyProtection="1">
      <alignment horizontal="center" vertical="center" wrapText="1"/>
    </xf>
    <xf numFmtId="0" fontId="33" fillId="16" borderId="43" xfId="0" applyNumberFormat="1" applyFont="1" applyFill="1" applyBorder="1" applyAlignment="1" applyProtection="1">
      <alignment horizontal="center" vertical="center"/>
    </xf>
    <xf numFmtId="0" fontId="2" fillId="16" borderId="44" xfId="0" applyNumberFormat="1" applyFont="1" applyFill="1" applyBorder="1" applyAlignment="1" applyProtection="1">
      <alignment horizontal="center" vertical="center"/>
    </xf>
    <xf numFmtId="0" fontId="2" fillId="16" borderId="45" xfId="0" applyNumberFormat="1" applyFont="1" applyFill="1" applyBorder="1" applyAlignment="1" applyProtection="1">
      <alignment horizontal="center" vertical="center"/>
    </xf>
    <xf numFmtId="1" fontId="3" fillId="0" borderId="18" xfId="0" applyNumberFormat="1" applyFont="1" applyFill="1" applyBorder="1" applyAlignment="1" applyProtection="1">
      <alignment horizontal="left" vertical="top" wrapText="1"/>
    </xf>
    <xf numFmtId="1" fontId="3" fillId="0" borderId="17" xfId="0" applyNumberFormat="1" applyFont="1" applyFill="1" applyBorder="1" applyAlignment="1" applyProtection="1">
      <alignment horizontal="left" vertical="top" wrapText="1"/>
    </xf>
    <xf numFmtId="1" fontId="3" fillId="0" borderId="54" xfId="0" applyNumberFormat="1" applyFont="1" applyFill="1" applyBorder="1" applyAlignment="1" applyProtection="1">
      <alignment horizontal="left" vertical="top" wrapText="1"/>
    </xf>
    <xf numFmtId="1" fontId="3" fillId="0" borderId="49" xfId="0" applyNumberFormat="1" applyFont="1" applyFill="1" applyBorder="1" applyAlignment="1" applyProtection="1">
      <alignment horizontal="left" vertical="top" wrapText="1"/>
    </xf>
    <xf numFmtId="1" fontId="3" fillId="0" borderId="50" xfId="0" applyNumberFormat="1" applyFont="1" applyFill="1" applyBorder="1" applyAlignment="1" applyProtection="1">
      <alignment horizontal="left" vertical="top" wrapText="1"/>
    </xf>
    <xf numFmtId="1" fontId="3" fillId="0" borderId="51" xfId="0" applyNumberFormat="1" applyFont="1" applyFill="1" applyBorder="1" applyAlignment="1" applyProtection="1">
      <alignment horizontal="left" vertical="top" wrapText="1"/>
    </xf>
    <xf numFmtId="1" fontId="3" fillId="0" borderId="49" xfId="0" applyNumberFormat="1" applyFont="1" applyFill="1" applyBorder="1" applyAlignment="1" applyProtection="1">
      <alignment horizontal="center" vertical="center" wrapText="1"/>
    </xf>
    <xf numFmtId="1" fontId="3" fillId="0" borderId="50" xfId="0" applyNumberFormat="1" applyFont="1" applyFill="1" applyBorder="1" applyAlignment="1" applyProtection="1">
      <alignment horizontal="center" vertical="center" wrapText="1"/>
    </xf>
    <xf numFmtId="1" fontId="3" fillId="0" borderId="51" xfId="0" applyNumberFormat="1" applyFont="1" applyFill="1" applyBorder="1" applyAlignment="1" applyProtection="1">
      <alignment horizontal="center" vertical="center" wrapText="1"/>
    </xf>
  </cellXfs>
  <cellStyles count="26">
    <cellStyle name="_43" xfId="1" xr:uid="{00000000-0005-0000-0000-000000000000}"/>
    <cellStyle name="_54" xfId="2" xr:uid="{00000000-0005-0000-0000-000001000000}"/>
    <cellStyle name="Акцент1" xfId="3" builtinId="29" customBuiltin="1"/>
    <cellStyle name="Акцент2" xfId="4" builtinId="33" customBuiltin="1"/>
    <cellStyle name="Акцент3" xfId="5" builtinId="37" customBuiltin="1"/>
    <cellStyle name="Акцент4" xfId="6" builtinId="41" customBuiltin="1"/>
    <cellStyle name="Акцент5" xfId="7" builtinId="45" customBuiltin="1"/>
    <cellStyle name="Акцент6" xfId="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12" builtinId="16" customBuiltin="1"/>
    <cellStyle name="Заголовок 2" xfId="13" builtinId="17" customBuiltin="1"/>
    <cellStyle name="Заголовок 3" xfId="14" builtinId="18" customBuiltin="1"/>
    <cellStyle name="Заголовок 4" xfId="15" builtinId="19" customBuiltin="1"/>
    <cellStyle name="Итог" xfId="16" builtinId="25" customBuiltin="1"/>
    <cellStyle name="Контрольная ячейка" xfId="17" builtinId="23" customBuiltin="1"/>
    <cellStyle name="Название" xfId="18" builtinId="15" customBuiltin="1"/>
    <cellStyle name="Нейтральный" xfId="19" builtinId="28" customBuiltin="1"/>
    <cellStyle name="Обычный" xfId="0" builtinId="0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4"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  <dxf>
      <font>
        <b val="0"/>
        <i val="0"/>
        <condense val="0"/>
        <extend val="0"/>
        <outline val="0"/>
        <shadow val="0"/>
        <color indexed="10"/>
      </font>
    </dxf>
  </dxfs>
  <tableStyles count="0" defaultTableStyle="TableStyleMedium2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R150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M1"/>
    </sheetView>
  </sheetViews>
  <sheetFormatPr defaultRowHeight="12.75" x14ac:dyDescent="0.2"/>
  <cols>
    <col min="1" max="1" width="4.85546875" style="47" customWidth="1"/>
    <col min="2" max="2" width="33.85546875" style="47" customWidth="1"/>
    <col min="3" max="3" width="9.7109375" style="47" customWidth="1"/>
    <col min="4" max="4" width="7.42578125" style="47" customWidth="1"/>
    <col min="5" max="5" width="9.5703125" style="47" customWidth="1"/>
    <col min="6" max="6" width="9.7109375" style="47" customWidth="1"/>
    <col min="7" max="7" width="10" style="47" customWidth="1"/>
    <col min="8" max="8" width="9" style="47" customWidth="1"/>
    <col min="9" max="9" width="9.85546875" style="47" customWidth="1"/>
    <col min="10" max="10" width="11" style="47" customWidth="1"/>
    <col min="11" max="11" width="10.140625" style="47" customWidth="1"/>
    <col min="12" max="12" width="9.5703125" style="47" customWidth="1"/>
    <col min="13" max="13" width="8.7109375" style="47" customWidth="1"/>
    <col min="14" max="14" width="9.140625" style="47"/>
    <col min="15" max="15" width="9.28515625" style="47" customWidth="1"/>
    <col min="16" max="16" width="9" style="47" customWidth="1"/>
    <col min="17" max="16384" width="9.140625" style="47"/>
  </cols>
  <sheetData>
    <row r="1" spans="1:18" ht="34.5" customHeight="1" thickBot="1" x14ac:dyDescent="0.25">
      <c r="A1" s="195" t="s">
        <v>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46"/>
      <c r="O1" s="46"/>
      <c r="P1" s="35"/>
      <c r="Q1" s="35"/>
      <c r="R1" s="35"/>
    </row>
    <row r="2" spans="1:18" ht="13.5" customHeight="1" x14ac:dyDescent="0.2">
      <c r="A2" s="210" t="s">
        <v>0</v>
      </c>
      <c r="B2" s="213" t="s">
        <v>1</v>
      </c>
      <c r="C2" s="216" t="s">
        <v>2</v>
      </c>
      <c r="D2" s="219" t="s">
        <v>60</v>
      </c>
      <c r="E2" s="220"/>
      <c r="F2" s="220"/>
      <c r="G2" s="220"/>
      <c r="H2" s="221"/>
      <c r="I2" s="196" t="s">
        <v>3</v>
      </c>
      <c r="J2" s="196"/>
      <c r="K2" s="196"/>
      <c r="L2" s="196"/>
      <c r="M2" s="196"/>
    </row>
    <row r="3" spans="1:18" ht="12.75" customHeight="1" x14ac:dyDescent="0.2">
      <c r="A3" s="211"/>
      <c r="B3" s="214"/>
      <c r="C3" s="217"/>
      <c r="D3" s="7" t="str">
        <f>N1&amp;" г."</f>
        <v xml:space="preserve"> г.</v>
      </c>
      <c r="E3" s="199" t="str">
        <f>O1&amp;" г."</f>
        <v xml:space="preserve"> г.</v>
      </c>
      <c r="F3" s="200"/>
      <c r="G3" s="201"/>
      <c r="H3" s="8" t="s">
        <v>58</v>
      </c>
      <c r="I3" s="7" t="str">
        <f>N1&amp;" г."</f>
        <v xml:space="preserve"> г.</v>
      </c>
      <c r="J3" s="199" t="str">
        <f>O1&amp;" г."</f>
        <v xml:space="preserve"> г.</v>
      </c>
      <c r="K3" s="200"/>
      <c r="L3" s="201"/>
      <c r="M3" s="8" t="s">
        <v>58</v>
      </c>
    </row>
    <row r="4" spans="1:18" ht="12.75" customHeight="1" x14ac:dyDescent="0.2">
      <c r="A4" s="211"/>
      <c r="B4" s="214"/>
      <c r="C4" s="217"/>
      <c r="D4" s="204" t="s">
        <v>5</v>
      </c>
      <c r="E4" s="202" t="s">
        <v>4</v>
      </c>
      <c r="F4" s="208" t="s">
        <v>5</v>
      </c>
      <c r="G4" s="202" t="s">
        <v>6</v>
      </c>
      <c r="H4" s="197" t="str">
        <f>N1&amp;" г."</f>
        <v xml:space="preserve"> г.</v>
      </c>
      <c r="I4" s="204" t="s">
        <v>5</v>
      </c>
      <c r="J4" s="202" t="s">
        <v>4</v>
      </c>
      <c r="K4" s="208" t="s">
        <v>5</v>
      </c>
      <c r="L4" s="202" t="s">
        <v>6</v>
      </c>
      <c r="M4" s="206" t="str">
        <f>N1&amp;" г."</f>
        <v xml:space="preserve"> г.</v>
      </c>
    </row>
    <row r="5" spans="1:18" ht="13.5" thickBot="1" x14ac:dyDescent="0.25">
      <c r="A5" s="212"/>
      <c r="B5" s="215"/>
      <c r="C5" s="218"/>
      <c r="D5" s="205"/>
      <c r="E5" s="203"/>
      <c r="F5" s="209"/>
      <c r="G5" s="203"/>
      <c r="H5" s="198"/>
      <c r="I5" s="205"/>
      <c r="J5" s="203"/>
      <c r="K5" s="209"/>
      <c r="L5" s="203"/>
      <c r="M5" s="207"/>
    </row>
    <row r="6" spans="1:18" ht="12" customHeight="1" x14ac:dyDescent="0.2">
      <c r="A6" s="4" t="s">
        <v>63</v>
      </c>
      <c r="B6" s="3"/>
      <c r="C6" s="2"/>
      <c r="D6" s="48"/>
      <c r="E6" s="49"/>
      <c r="F6" s="49"/>
      <c r="G6" s="49"/>
      <c r="H6" s="50"/>
      <c r="I6" s="51"/>
      <c r="J6" s="52"/>
      <c r="K6" s="52"/>
      <c r="L6" s="52"/>
      <c r="M6" s="53"/>
    </row>
    <row r="7" spans="1:18" x14ac:dyDescent="0.2">
      <c r="A7" s="5">
        <v>1</v>
      </c>
      <c r="B7" s="54" t="s">
        <v>7</v>
      </c>
      <c r="C7" s="55" t="s">
        <v>8</v>
      </c>
      <c r="D7" s="56">
        <f>SUM(D8:D11)</f>
        <v>0</v>
      </c>
      <c r="E7" s="57">
        <f t="shared" ref="E7:F7" si="0">SUM(E8:E11)</f>
        <v>0</v>
      </c>
      <c r="F7" s="58">
        <f t="shared" si="0"/>
        <v>0</v>
      </c>
      <c r="G7" s="59">
        <f>IFERROR(F7/E7,0)</f>
        <v>0</v>
      </c>
      <c r="H7" s="60">
        <f t="shared" ref="H7:H8" si="1">IF(D7=0,0,F7/D7)</f>
        <v>0</v>
      </c>
      <c r="I7" s="56">
        <f>SUM(I8:I11)</f>
        <v>0</v>
      </c>
      <c r="J7" s="57">
        <f t="shared" ref="J7" si="2">SUM(J8:J11)</f>
        <v>0</v>
      </c>
      <c r="K7" s="58">
        <f t="shared" ref="K7" si="3">SUM(K8:K11)</f>
        <v>0</v>
      </c>
      <c r="L7" s="59">
        <f>IFERROR(K7/J7,0)</f>
        <v>0</v>
      </c>
      <c r="M7" s="61">
        <f>IFERROR(K7/I7,0)</f>
        <v>0</v>
      </c>
    </row>
    <row r="8" spans="1:18" x14ac:dyDescent="0.2">
      <c r="A8" s="4"/>
      <c r="B8" s="3" t="s">
        <v>9</v>
      </c>
      <c r="C8" s="45" t="s">
        <v>8</v>
      </c>
      <c r="D8" s="62"/>
      <c r="E8" s="63"/>
      <c r="F8" s="63"/>
      <c r="G8" s="59">
        <f t="shared" ref="G8:G11" si="4">IFERROR(F8/E8,0)</f>
        <v>0</v>
      </c>
      <c r="H8" s="60">
        <f t="shared" si="1"/>
        <v>0</v>
      </c>
      <c r="I8" s="62"/>
      <c r="J8" s="63"/>
      <c r="K8" s="63"/>
      <c r="L8" s="59">
        <f t="shared" ref="L8:L11" si="5">IFERROR(K8/J8,0)</f>
        <v>0</v>
      </c>
      <c r="M8" s="61">
        <f t="shared" ref="M8:M11" si="6">IFERROR(K8/I8,0)</f>
        <v>0</v>
      </c>
    </row>
    <row r="9" spans="1:18" x14ac:dyDescent="0.2">
      <c r="A9" s="4"/>
      <c r="B9" s="3" t="s">
        <v>11</v>
      </c>
      <c r="C9" s="45" t="s">
        <v>8</v>
      </c>
      <c r="D9" s="62"/>
      <c r="E9" s="63"/>
      <c r="F9" s="63"/>
      <c r="G9" s="59">
        <f t="shared" si="4"/>
        <v>0</v>
      </c>
      <c r="H9" s="60">
        <f>IF(D9=0,0,F9/D9)</f>
        <v>0</v>
      </c>
      <c r="I9" s="62"/>
      <c r="J9" s="63"/>
      <c r="K9" s="63"/>
      <c r="L9" s="59">
        <f t="shared" si="5"/>
        <v>0</v>
      </c>
      <c r="M9" s="61">
        <f t="shared" si="6"/>
        <v>0</v>
      </c>
    </row>
    <row r="10" spans="1:18" x14ac:dyDescent="0.2">
      <c r="A10" s="4"/>
      <c r="B10" s="3" t="s">
        <v>12</v>
      </c>
      <c r="C10" s="45" t="s">
        <v>8</v>
      </c>
      <c r="D10" s="62"/>
      <c r="E10" s="63"/>
      <c r="F10" s="63"/>
      <c r="G10" s="59">
        <f t="shared" si="4"/>
        <v>0</v>
      </c>
      <c r="H10" s="60">
        <f t="shared" ref="H10:H57" si="7">IF(D10=0,0,F10/D10)</f>
        <v>0</v>
      </c>
      <c r="I10" s="62"/>
      <c r="J10" s="63"/>
      <c r="K10" s="63"/>
      <c r="L10" s="59">
        <f t="shared" si="5"/>
        <v>0</v>
      </c>
      <c r="M10" s="61">
        <f t="shared" si="6"/>
        <v>0</v>
      </c>
    </row>
    <row r="11" spans="1:18" ht="12.75" customHeight="1" x14ac:dyDescent="0.2">
      <c r="A11" s="4"/>
      <c r="B11" s="3" t="s">
        <v>66</v>
      </c>
      <c r="C11" s="45" t="s">
        <v>8</v>
      </c>
      <c r="D11" s="62"/>
      <c r="E11" s="63"/>
      <c r="F11" s="63"/>
      <c r="G11" s="59">
        <f t="shared" si="4"/>
        <v>0</v>
      </c>
      <c r="H11" s="60">
        <f t="shared" si="7"/>
        <v>0</v>
      </c>
      <c r="I11" s="62"/>
      <c r="J11" s="63"/>
      <c r="K11" s="63"/>
      <c r="L11" s="59">
        <f t="shared" si="5"/>
        <v>0</v>
      </c>
      <c r="M11" s="61">
        <f t="shared" si="6"/>
        <v>0</v>
      </c>
    </row>
    <row r="12" spans="1:18" ht="12.75" customHeight="1" x14ac:dyDescent="0.2">
      <c r="A12" s="4"/>
      <c r="B12" s="3"/>
      <c r="C12" s="45"/>
      <c r="D12" s="62"/>
      <c r="E12" s="63"/>
      <c r="F12" s="63"/>
      <c r="G12" s="59"/>
      <c r="H12" s="60"/>
      <c r="I12" s="62"/>
      <c r="J12" s="63"/>
      <c r="K12" s="63"/>
      <c r="L12" s="59"/>
      <c r="M12" s="61"/>
    </row>
    <row r="13" spans="1:18" x14ac:dyDescent="0.2">
      <c r="A13" s="5">
        <v>2</v>
      </c>
      <c r="B13" s="54" t="s">
        <v>13</v>
      </c>
      <c r="C13" s="16" t="s">
        <v>8</v>
      </c>
      <c r="D13" s="56">
        <f>SUM(D14:D17)</f>
        <v>0</v>
      </c>
      <c r="E13" s="57">
        <f t="shared" ref="E13" si="8">SUM(E14:E17)</f>
        <v>0</v>
      </c>
      <c r="F13" s="58">
        <f t="shared" ref="F13" si="9">SUM(F14:F17)</f>
        <v>0</v>
      </c>
      <c r="G13" s="59">
        <f>IFERROR(F13/E13,0)</f>
        <v>0</v>
      </c>
      <c r="H13" s="60">
        <f t="shared" si="7"/>
        <v>0</v>
      </c>
      <c r="I13" s="56">
        <f>SUM(I14:I17)</f>
        <v>0</v>
      </c>
      <c r="J13" s="57">
        <f t="shared" ref="J13" si="10">SUM(J14:J17)</f>
        <v>0</v>
      </c>
      <c r="K13" s="58">
        <f t="shared" ref="K13" si="11">SUM(K14:K17)</f>
        <v>0</v>
      </c>
      <c r="L13" s="59">
        <f>IFERROR(K13/J13,0)</f>
        <v>0</v>
      </c>
      <c r="M13" s="61">
        <f>IFERROR(K13/I13,0)</f>
        <v>0</v>
      </c>
    </row>
    <row r="14" spans="1:18" x14ac:dyDescent="0.2">
      <c r="A14" s="4"/>
      <c r="B14" s="3" t="s">
        <v>9</v>
      </c>
      <c r="C14" s="2" t="s">
        <v>8</v>
      </c>
      <c r="D14" s="62"/>
      <c r="E14" s="63"/>
      <c r="F14" s="63"/>
      <c r="G14" s="59">
        <f t="shared" ref="G14:G17" si="12">IFERROR(F14/E14,0)</f>
        <v>0</v>
      </c>
      <c r="H14" s="60">
        <f t="shared" si="7"/>
        <v>0</v>
      </c>
      <c r="I14" s="62"/>
      <c r="J14" s="63"/>
      <c r="K14" s="63"/>
      <c r="L14" s="59">
        <f t="shared" ref="L14:L17" si="13">IFERROR(K14/J14,0)</f>
        <v>0</v>
      </c>
      <c r="M14" s="61">
        <f t="shared" ref="M14:M17" si="14">IFERROR(K14/I14,0)</f>
        <v>0</v>
      </c>
    </row>
    <row r="15" spans="1:18" x14ac:dyDescent="0.2">
      <c r="A15" s="4"/>
      <c r="B15" s="3" t="s">
        <v>11</v>
      </c>
      <c r="C15" s="2" t="s">
        <v>8</v>
      </c>
      <c r="D15" s="62"/>
      <c r="E15" s="63"/>
      <c r="F15" s="63"/>
      <c r="G15" s="59">
        <f t="shared" si="12"/>
        <v>0</v>
      </c>
      <c r="H15" s="60">
        <f t="shared" si="7"/>
        <v>0</v>
      </c>
      <c r="I15" s="62"/>
      <c r="J15" s="63"/>
      <c r="K15" s="63"/>
      <c r="L15" s="59">
        <f t="shared" si="13"/>
        <v>0</v>
      </c>
      <c r="M15" s="61">
        <f t="shared" si="14"/>
        <v>0</v>
      </c>
    </row>
    <row r="16" spans="1:18" x14ac:dyDescent="0.2">
      <c r="A16" s="4"/>
      <c r="B16" s="3" t="s">
        <v>12</v>
      </c>
      <c r="C16" s="2" t="s">
        <v>8</v>
      </c>
      <c r="D16" s="62"/>
      <c r="E16" s="63"/>
      <c r="F16" s="63"/>
      <c r="G16" s="59">
        <f t="shared" si="12"/>
        <v>0</v>
      </c>
      <c r="H16" s="60">
        <f t="shared" si="7"/>
        <v>0</v>
      </c>
      <c r="I16" s="62"/>
      <c r="J16" s="63"/>
      <c r="K16" s="63"/>
      <c r="L16" s="59">
        <f t="shared" si="13"/>
        <v>0</v>
      </c>
      <c r="M16" s="61">
        <f t="shared" si="14"/>
        <v>0</v>
      </c>
    </row>
    <row r="17" spans="1:13" x14ac:dyDescent="0.2">
      <c r="A17" s="4"/>
      <c r="B17" s="3" t="s">
        <v>66</v>
      </c>
      <c r="C17" s="2" t="s">
        <v>8</v>
      </c>
      <c r="D17" s="62"/>
      <c r="E17" s="63"/>
      <c r="F17" s="63"/>
      <c r="G17" s="59">
        <f t="shared" si="12"/>
        <v>0</v>
      </c>
      <c r="H17" s="60">
        <f t="shared" si="7"/>
        <v>0</v>
      </c>
      <c r="I17" s="62"/>
      <c r="J17" s="63"/>
      <c r="K17" s="63"/>
      <c r="L17" s="59">
        <f t="shared" si="13"/>
        <v>0</v>
      </c>
      <c r="M17" s="61">
        <f t="shared" si="14"/>
        <v>0</v>
      </c>
    </row>
    <row r="18" spans="1:13" ht="12" customHeight="1" x14ac:dyDescent="0.2">
      <c r="A18" s="4"/>
      <c r="B18" s="3"/>
      <c r="C18" s="45"/>
      <c r="D18" s="62"/>
      <c r="E18" s="63"/>
      <c r="F18" s="63"/>
      <c r="G18" s="59"/>
      <c r="H18" s="60"/>
      <c r="I18" s="62"/>
      <c r="J18" s="63"/>
      <c r="K18" s="63"/>
      <c r="L18" s="59"/>
      <c r="M18" s="61"/>
    </row>
    <row r="19" spans="1:13" x14ac:dyDescent="0.2">
      <c r="A19" s="5">
        <v>3</v>
      </c>
      <c r="B19" s="54" t="s">
        <v>14</v>
      </c>
      <c r="C19" s="16" t="s">
        <v>15</v>
      </c>
      <c r="D19" s="56">
        <f>SUM(D20:D23)</f>
        <v>0</v>
      </c>
      <c r="E19" s="57">
        <f t="shared" ref="E19" si="15">SUM(E20:E23)</f>
        <v>0</v>
      </c>
      <c r="F19" s="58">
        <f t="shared" ref="F19" si="16">SUM(F20:F23)</f>
        <v>0</v>
      </c>
      <c r="G19" s="59">
        <f>IFERROR(F19/E19,0)</f>
        <v>0</v>
      </c>
      <c r="H19" s="60">
        <f t="shared" si="7"/>
        <v>0</v>
      </c>
      <c r="I19" s="56">
        <f>SUM(I20:I23)</f>
        <v>0</v>
      </c>
      <c r="J19" s="57">
        <f t="shared" ref="J19" si="17">SUM(J20:J23)</f>
        <v>0</v>
      </c>
      <c r="K19" s="58">
        <f t="shared" ref="K19" si="18">SUM(K20:K23)</f>
        <v>0</v>
      </c>
      <c r="L19" s="59">
        <f>IFERROR(K19/J19,0)</f>
        <v>0</v>
      </c>
      <c r="M19" s="61">
        <f>IFERROR(K19/I19,0)</f>
        <v>0</v>
      </c>
    </row>
    <row r="20" spans="1:13" x14ac:dyDescent="0.2">
      <c r="A20" s="4"/>
      <c r="B20" s="3" t="s">
        <v>9</v>
      </c>
      <c r="C20" s="2" t="s">
        <v>15</v>
      </c>
      <c r="D20" s="62"/>
      <c r="E20" s="63"/>
      <c r="F20" s="63"/>
      <c r="G20" s="59">
        <f t="shared" ref="G20:G23" si="19">IFERROR(F20/E20,0)</f>
        <v>0</v>
      </c>
      <c r="H20" s="60">
        <f t="shared" si="7"/>
        <v>0</v>
      </c>
      <c r="I20" s="62"/>
      <c r="J20" s="63"/>
      <c r="K20" s="63"/>
      <c r="L20" s="59">
        <f t="shared" ref="L20:L23" si="20">IFERROR(K20/J20,0)</f>
        <v>0</v>
      </c>
      <c r="M20" s="61">
        <f t="shared" ref="M20:M23" si="21">IFERROR(K20/I20,0)</f>
        <v>0</v>
      </c>
    </row>
    <row r="21" spans="1:13" x14ac:dyDescent="0.2">
      <c r="A21" s="4"/>
      <c r="B21" s="3" t="s">
        <v>11</v>
      </c>
      <c r="C21" s="2" t="s">
        <v>15</v>
      </c>
      <c r="D21" s="62"/>
      <c r="E21" s="63"/>
      <c r="F21" s="63"/>
      <c r="G21" s="59">
        <f t="shared" si="19"/>
        <v>0</v>
      </c>
      <c r="H21" s="60">
        <f t="shared" si="7"/>
        <v>0</v>
      </c>
      <c r="I21" s="62"/>
      <c r="J21" s="63"/>
      <c r="K21" s="63"/>
      <c r="L21" s="59">
        <f t="shared" si="20"/>
        <v>0</v>
      </c>
      <c r="M21" s="61">
        <f t="shared" si="21"/>
        <v>0</v>
      </c>
    </row>
    <row r="22" spans="1:13" x14ac:dyDescent="0.2">
      <c r="A22" s="4"/>
      <c r="B22" s="3" t="s">
        <v>12</v>
      </c>
      <c r="C22" s="2" t="s">
        <v>15</v>
      </c>
      <c r="D22" s="62"/>
      <c r="E22" s="63"/>
      <c r="F22" s="63"/>
      <c r="G22" s="59">
        <f t="shared" si="19"/>
        <v>0</v>
      </c>
      <c r="H22" s="60">
        <f t="shared" si="7"/>
        <v>0</v>
      </c>
      <c r="I22" s="62"/>
      <c r="J22" s="63"/>
      <c r="K22" s="63"/>
      <c r="L22" s="59">
        <f t="shared" si="20"/>
        <v>0</v>
      </c>
      <c r="M22" s="61">
        <f t="shared" si="21"/>
        <v>0</v>
      </c>
    </row>
    <row r="23" spans="1:13" x14ac:dyDescent="0.2">
      <c r="A23" s="4"/>
      <c r="B23" s="3" t="s">
        <v>66</v>
      </c>
      <c r="C23" s="2" t="s">
        <v>15</v>
      </c>
      <c r="D23" s="62"/>
      <c r="E23" s="63"/>
      <c r="F23" s="63"/>
      <c r="G23" s="59">
        <f t="shared" si="19"/>
        <v>0</v>
      </c>
      <c r="H23" s="60">
        <f t="shared" si="7"/>
        <v>0</v>
      </c>
      <c r="I23" s="62"/>
      <c r="J23" s="63"/>
      <c r="K23" s="63"/>
      <c r="L23" s="59">
        <f t="shared" si="20"/>
        <v>0</v>
      </c>
      <c r="M23" s="61">
        <f t="shared" si="21"/>
        <v>0</v>
      </c>
    </row>
    <row r="24" spans="1:13" ht="13.5" customHeight="1" x14ac:dyDescent="0.2">
      <c r="A24" s="4"/>
      <c r="B24" s="3"/>
      <c r="C24" s="2"/>
      <c r="D24" s="62"/>
      <c r="E24" s="63"/>
      <c r="F24" s="63"/>
      <c r="G24" s="59"/>
      <c r="H24" s="60"/>
      <c r="I24" s="62"/>
      <c r="J24" s="63"/>
      <c r="K24" s="63"/>
      <c r="L24" s="59"/>
      <c r="M24" s="61"/>
    </row>
    <row r="25" spans="1:13" x14ac:dyDescent="0.2">
      <c r="A25" s="5">
        <v>4</v>
      </c>
      <c r="B25" s="54" t="s">
        <v>16</v>
      </c>
      <c r="C25" s="16" t="s">
        <v>15</v>
      </c>
      <c r="D25" s="56">
        <f>SUM(D26:D29)</f>
        <v>0</v>
      </c>
      <c r="E25" s="57">
        <f t="shared" ref="E25" si="22">SUM(E26:E29)</f>
        <v>0</v>
      </c>
      <c r="F25" s="58">
        <f t="shared" ref="F25" si="23">SUM(F26:F29)</f>
        <v>0</v>
      </c>
      <c r="G25" s="59">
        <f>IFERROR(F25/E25,0)</f>
        <v>0</v>
      </c>
      <c r="H25" s="60">
        <f t="shared" si="7"/>
        <v>0</v>
      </c>
      <c r="I25" s="56">
        <f>SUM(I26:I29)</f>
        <v>0</v>
      </c>
      <c r="J25" s="57">
        <f t="shared" ref="J25" si="24">SUM(J26:J29)</f>
        <v>0</v>
      </c>
      <c r="K25" s="58">
        <f t="shared" ref="K25" si="25">SUM(K26:K29)</f>
        <v>0</v>
      </c>
      <c r="L25" s="59">
        <f>IFERROR(K25/J25,0)</f>
        <v>0</v>
      </c>
      <c r="M25" s="61">
        <f>IFERROR(K25/I25,0)</f>
        <v>0</v>
      </c>
    </row>
    <row r="26" spans="1:13" x14ac:dyDescent="0.2">
      <c r="A26" s="4"/>
      <c r="B26" s="3" t="s">
        <v>9</v>
      </c>
      <c r="C26" s="2" t="s">
        <v>15</v>
      </c>
      <c r="D26" s="62"/>
      <c r="E26" s="63"/>
      <c r="F26" s="63"/>
      <c r="G26" s="59">
        <f t="shared" ref="G26:G29" si="26">IFERROR(F26/E26,0)</f>
        <v>0</v>
      </c>
      <c r="H26" s="60">
        <f t="shared" si="7"/>
        <v>0</v>
      </c>
      <c r="I26" s="62"/>
      <c r="J26" s="63"/>
      <c r="K26" s="63"/>
      <c r="L26" s="59">
        <f t="shared" ref="L26:L29" si="27">IFERROR(K26/J26,0)</f>
        <v>0</v>
      </c>
      <c r="M26" s="61">
        <f t="shared" ref="M26:M29" si="28">IFERROR(K26/I26,0)</f>
        <v>0</v>
      </c>
    </row>
    <row r="27" spans="1:13" x14ac:dyDescent="0.2">
      <c r="A27" s="4"/>
      <c r="B27" s="3" t="s">
        <v>11</v>
      </c>
      <c r="C27" s="2" t="s">
        <v>15</v>
      </c>
      <c r="D27" s="62"/>
      <c r="E27" s="63"/>
      <c r="F27" s="63"/>
      <c r="G27" s="59">
        <f t="shared" si="26"/>
        <v>0</v>
      </c>
      <c r="H27" s="60">
        <f t="shared" si="7"/>
        <v>0</v>
      </c>
      <c r="I27" s="62"/>
      <c r="J27" s="63"/>
      <c r="K27" s="63"/>
      <c r="L27" s="59">
        <f t="shared" si="27"/>
        <v>0</v>
      </c>
      <c r="M27" s="61">
        <f t="shared" si="28"/>
        <v>0</v>
      </c>
    </row>
    <row r="28" spans="1:13" x14ac:dyDescent="0.2">
      <c r="A28" s="4"/>
      <c r="B28" s="3" t="s">
        <v>12</v>
      </c>
      <c r="C28" s="2" t="s">
        <v>15</v>
      </c>
      <c r="D28" s="62"/>
      <c r="E28" s="63"/>
      <c r="F28" s="63"/>
      <c r="G28" s="59">
        <f t="shared" si="26"/>
        <v>0</v>
      </c>
      <c r="H28" s="60">
        <f t="shared" si="7"/>
        <v>0</v>
      </c>
      <c r="I28" s="62"/>
      <c r="J28" s="63"/>
      <c r="K28" s="63"/>
      <c r="L28" s="59">
        <f t="shared" si="27"/>
        <v>0</v>
      </c>
      <c r="M28" s="61">
        <f t="shared" si="28"/>
        <v>0</v>
      </c>
    </row>
    <row r="29" spans="1:13" x14ac:dyDescent="0.2">
      <c r="A29" s="4"/>
      <c r="B29" s="3" t="s">
        <v>66</v>
      </c>
      <c r="C29" s="2" t="s">
        <v>15</v>
      </c>
      <c r="D29" s="62"/>
      <c r="E29" s="63"/>
      <c r="F29" s="63"/>
      <c r="G29" s="59">
        <f t="shared" si="26"/>
        <v>0</v>
      </c>
      <c r="H29" s="60">
        <f t="shared" si="7"/>
        <v>0</v>
      </c>
      <c r="I29" s="62"/>
      <c r="J29" s="63"/>
      <c r="K29" s="63"/>
      <c r="L29" s="59">
        <f t="shared" si="27"/>
        <v>0</v>
      </c>
      <c r="M29" s="61">
        <f t="shared" si="28"/>
        <v>0</v>
      </c>
    </row>
    <row r="30" spans="1:13" ht="13.5" customHeight="1" x14ac:dyDescent="0.2">
      <c r="A30" s="4"/>
      <c r="B30" s="3"/>
      <c r="C30" s="45"/>
      <c r="D30" s="64"/>
      <c r="E30" s="65"/>
      <c r="F30" s="65"/>
      <c r="G30" s="59"/>
      <c r="H30" s="60"/>
      <c r="I30" s="64"/>
      <c r="J30" s="65"/>
      <c r="K30" s="65"/>
      <c r="L30" s="59"/>
      <c r="M30" s="61"/>
    </row>
    <row r="31" spans="1:13" ht="14.25" customHeight="1" x14ac:dyDescent="0.2">
      <c r="A31" s="5">
        <v>5</v>
      </c>
      <c r="B31" s="54" t="s">
        <v>17</v>
      </c>
      <c r="C31" s="16" t="s">
        <v>15</v>
      </c>
      <c r="D31" s="56">
        <f>SUM(D32:D33)</f>
        <v>0</v>
      </c>
      <c r="E31" s="58">
        <f t="shared" ref="E31:F31" si="29">SUM(E32:E33)</f>
        <v>0</v>
      </c>
      <c r="F31" s="58">
        <f t="shared" si="29"/>
        <v>0</v>
      </c>
      <c r="G31" s="59">
        <f>IFERROR(F31/E31,0)</f>
        <v>0</v>
      </c>
      <c r="H31" s="60">
        <f t="shared" si="7"/>
        <v>0</v>
      </c>
      <c r="I31" s="56">
        <f>SUM(I32:I33)</f>
        <v>0</v>
      </c>
      <c r="J31" s="58">
        <f t="shared" ref="J31" si="30">SUM(J32:J33)</f>
        <v>0</v>
      </c>
      <c r="K31" s="58">
        <f t="shared" ref="K31" si="31">SUM(K32:K33)</f>
        <v>0</v>
      </c>
      <c r="L31" s="59">
        <f>IFERROR(K31/J31,0)</f>
        <v>0</v>
      </c>
      <c r="M31" s="61">
        <f>IFERROR(K31/I31,0)</f>
        <v>0</v>
      </c>
    </row>
    <row r="32" spans="1:13" ht="12.75" customHeight="1" x14ac:dyDescent="0.2">
      <c r="A32" s="4"/>
      <c r="B32" s="3" t="s">
        <v>9</v>
      </c>
      <c r="C32" s="2" t="s">
        <v>15</v>
      </c>
      <c r="D32" s="62"/>
      <c r="E32" s="63"/>
      <c r="F32" s="63"/>
      <c r="G32" s="59">
        <f t="shared" ref="G32:G33" si="32">IFERROR(F32/E32,0)</f>
        <v>0</v>
      </c>
      <c r="H32" s="60">
        <f t="shared" si="7"/>
        <v>0</v>
      </c>
      <c r="I32" s="62"/>
      <c r="J32" s="63"/>
      <c r="K32" s="63"/>
      <c r="L32" s="59">
        <f t="shared" ref="L32:L33" si="33">IFERROR(K32/J32,0)</f>
        <v>0</v>
      </c>
      <c r="M32" s="61">
        <f t="shared" ref="M32:M33" si="34">IFERROR(K32/I32,0)</f>
        <v>0</v>
      </c>
    </row>
    <row r="33" spans="1:13" ht="13.5" customHeight="1" x14ac:dyDescent="0.2">
      <c r="A33" s="4"/>
      <c r="B33" s="3" t="s">
        <v>11</v>
      </c>
      <c r="C33" s="2" t="s">
        <v>15</v>
      </c>
      <c r="D33" s="62"/>
      <c r="E33" s="63"/>
      <c r="F33" s="63"/>
      <c r="G33" s="59">
        <f t="shared" si="32"/>
        <v>0</v>
      </c>
      <c r="H33" s="60">
        <f t="shared" si="7"/>
        <v>0</v>
      </c>
      <c r="I33" s="62"/>
      <c r="J33" s="63"/>
      <c r="K33" s="63"/>
      <c r="L33" s="59">
        <f t="shared" si="33"/>
        <v>0</v>
      </c>
      <c r="M33" s="61">
        <f t="shared" si="34"/>
        <v>0</v>
      </c>
    </row>
    <row r="34" spans="1:13" ht="13.5" customHeight="1" x14ac:dyDescent="0.2">
      <c r="A34" s="4"/>
      <c r="B34" s="3"/>
      <c r="C34" s="2"/>
      <c r="D34" s="62"/>
      <c r="E34" s="63"/>
      <c r="F34" s="63"/>
      <c r="G34" s="59"/>
      <c r="H34" s="60"/>
      <c r="I34" s="62"/>
      <c r="J34" s="63"/>
      <c r="K34" s="63"/>
      <c r="L34" s="59"/>
      <c r="M34" s="61"/>
    </row>
    <row r="35" spans="1:13" ht="13.5" customHeight="1" x14ac:dyDescent="0.2">
      <c r="A35" s="4"/>
      <c r="B35" s="3"/>
      <c r="C35" s="45"/>
      <c r="D35" s="62"/>
      <c r="E35" s="63"/>
      <c r="F35" s="63"/>
      <c r="G35" s="59"/>
      <c r="H35" s="60"/>
      <c r="I35" s="62"/>
      <c r="J35" s="63"/>
      <c r="K35" s="63"/>
      <c r="L35" s="59"/>
      <c r="M35" s="61"/>
    </row>
    <row r="36" spans="1:13" ht="12.75" customHeight="1" x14ac:dyDescent="0.2">
      <c r="A36" s="5">
        <v>6</v>
      </c>
      <c r="B36" s="54" t="s">
        <v>18</v>
      </c>
      <c r="C36" s="16" t="s">
        <v>19</v>
      </c>
      <c r="D36" s="165">
        <f>SUM(D37:D38)</f>
        <v>0</v>
      </c>
      <c r="E36" s="166">
        <f t="shared" ref="E36" si="35">SUM(E37:E38)</f>
        <v>0</v>
      </c>
      <c r="F36" s="166">
        <f t="shared" ref="F36" si="36">SUM(F37:F38)</f>
        <v>0</v>
      </c>
      <c r="G36" s="59">
        <f>IFERROR(F36/E36,0)</f>
        <v>0</v>
      </c>
      <c r="H36" s="60" t="s">
        <v>64</v>
      </c>
      <c r="I36" s="165">
        <f>SUM(I37:I38)</f>
        <v>0</v>
      </c>
      <c r="J36" s="166">
        <f t="shared" ref="J36" si="37">SUM(J37:J38)</f>
        <v>0</v>
      </c>
      <c r="K36" s="166">
        <f t="shared" ref="K36" si="38">SUM(K37:K38)</f>
        <v>0</v>
      </c>
      <c r="L36" s="59">
        <f>IFERROR(K36/J36,0)</f>
        <v>0</v>
      </c>
      <c r="M36" s="61" t="s">
        <v>64</v>
      </c>
    </row>
    <row r="37" spans="1:13" ht="12.75" customHeight="1" x14ac:dyDescent="0.2">
      <c r="A37" s="4"/>
      <c r="B37" s="3" t="s">
        <v>9</v>
      </c>
      <c r="C37" s="16" t="s">
        <v>19</v>
      </c>
      <c r="D37" s="66"/>
      <c r="E37" s="67"/>
      <c r="F37" s="67"/>
      <c r="G37" s="59">
        <f t="shared" ref="G37:G38" si="39">IFERROR(F37/E37,0)</f>
        <v>0</v>
      </c>
      <c r="H37" s="60" t="s">
        <v>64</v>
      </c>
      <c r="I37" s="66"/>
      <c r="J37" s="67"/>
      <c r="K37" s="67"/>
      <c r="L37" s="59">
        <f t="shared" ref="L37:L42" si="40">IFERROR(K37/J37,0)</f>
        <v>0</v>
      </c>
      <c r="M37" s="61" t="s">
        <v>64</v>
      </c>
    </row>
    <row r="38" spans="1:13" ht="12.75" customHeight="1" x14ac:dyDescent="0.2">
      <c r="A38" s="4"/>
      <c r="B38" s="3" t="s">
        <v>11</v>
      </c>
      <c r="C38" s="16" t="s">
        <v>19</v>
      </c>
      <c r="D38" s="66"/>
      <c r="E38" s="67"/>
      <c r="F38" s="67"/>
      <c r="G38" s="59">
        <f t="shared" si="39"/>
        <v>0</v>
      </c>
      <c r="H38" s="60" t="s">
        <v>64</v>
      </c>
      <c r="I38" s="66"/>
      <c r="J38" s="67"/>
      <c r="K38" s="67"/>
      <c r="L38" s="59">
        <f t="shared" si="40"/>
        <v>0</v>
      </c>
      <c r="M38" s="61" t="s">
        <v>64</v>
      </c>
    </row>
    <row r="39" spans="1:13" ht="12.75" customHeight="1" x14ac:dyDescent="0.2">
      <c r="A39" s="4"/>
      <c r="B39" s="3"/>
      <c r="C39" s="2"/>
      <c r="D39" s="66"/>
      <c r="E39" s="67"/>
      <c r="F39" s="67"/>
      <c r="G39" s="59"/>
      <c r="H39" s="60"/>
      <c r="I39" s="66"/>
      <c r="J39" s="67"/>
      <c r="K39" s="67"/>
      <c r="L39" s="59">
        <f t="shared" si="40"/>
        <v>0</v>
      </c>
      <c r="M39" s="61"/>
    </row>
    <row r="40" spans="1:13" ht="12.75" customHeight="1" x14ac:dyDescent="0.2">
      <c r="A40" s="5">
        <v>7</v>
      </c>
      <c r="B40" s="54" t="s">
        <v>20</v>
      </c>
      <c r="C40" s="16" t="s">
        <v>19</v>
      </c>
      <c r="D40" s="167">
        <f>IF(D41=0,IF(D42=0,0,D42),IF(D42=0,D41, AVERAGE(D41:D42)))</f>
        <v>0</v>
      </c>
      <c r="E40" s="57">
        <f t="shared" ref="E40:F40" si="41">IF(E41=0,IF(E42=0,0,E42),IF(E42=0,E41, AVERAGE(E41:E42)))</f>
        <v>0</v>
      </c>
      <c r="F40" s="58">
        <f t="shared" si="41"/>
        <v>0</v>
      </c>
      <c r="G40" s="59">
        <f>IFERROR(F40/E40,0)</f>
        <v>0</v>
      </c>
      <c r="H40" s="60" t="s">
        <v>64</v>
      </c>
      <c r="I40" s="167">
        <f>IF(I41=0,IF(I42=0,0,I42),IF(I42=0,I41, AVERAGE(I41:I42)))</f>
        <v>0</v>
      </c>
      <c r="J40" s="57">
        <f>IF(J41=0,IF(J42=0,0,J42),IF(J42=0,J41, AVERAGE(J41:J42)))</f>
        <v>0</v>
      </c>
      <c r="K40" s="58">
        <f>IF(K41=0,IF(K42=0,0,K42),IF(K42=0,K41, AVERAGE(K41:K42)))</f>
        <v>0</v>
      </c>
      <c r="L40" s="59">
        <f t="shared" si="40"/>
        <v>0</v>
      </c>
      <c r="M40" s="61" t="s">
        <v>64</v>
      </c>
    </row>
    <row r="41" spans="1:13" ht="12.75" customHeight="1" x14ac:dyDescent="0.2">
      <c r="A41" s="4"/>
      <c r="B41" s="3" t="s">
        <v>9</v>
      </c>
      <c r="C41" s="2" t="s">
        <v>19</v>
      </c>
      <c r="D41" s="164">
        <f t="shared" ref="D41:F42" si="42">IF(OR(D32=0,D32="",),0,D37/D32)</f>
        <v>0</v>
      </c>
      <c r="E41" s="67">
        <f t="shared" si="42"/>
        <v>0</v>
      </c>
      <c r="F41" s="67">
        <f t="shared" si="42"/>
        <v>0</v>
      </c>
      <c r="G41" s="59">
        <f t="shared" ref="G41:G42" si="43">IFERROR(F41/E41,0)</f>
        <v>0</v>
      </c>
      <c r="H41" s="60" t="s">
        <v>64</v>
      </c>
      <c r="I41" s="164">
        <f t="shared" ref="I41:K42" si="44">IF(OR(I32=0,I32="",),0,I37/I32)</f>
        <v>0</v>
      </c>
      <c r="J41" s="67">
        <f t="shared" si="44"/>
        <v>0</v>
      </c>
      <c r="K41" s="67">
        <f t="shared" si="44"/>
        <v>0</v>
      </c>
      <c r="L41" s="59">
        <f t="shared" si="40"/>
        <v>0</v>
      </c>
      <c r="M41" s="61" t="s">
        <v>64</v>
      </c>
    </row>
    <row r="42" spans="1:13" ht="12.75" customHeight="1" x14ac:dyDescent="0.2">
      <c r="A42" s="4"/>
      <c r="B42" s="3" t="s">
        <v>11</v>
      </c>
      <c r="C42" s="2" t="s">
        <v>19</v>
      </c>
      <c r="D42" s="164">
        <f t="shared" si="42"/>
        <v>0</v>
      </c>
      <c r="E42" s="67">
        <f t="shared" si="42"/>
        <v>0</v>
      </c>
      <c r="F42" s="67">
        <f t="shared" si="42"/>
        <v>0</v>
      </c>
      <c r="G42" s="59">
        <f t="shared" si="43"/>
        <v>0</v>
      </c>
      <c r="H42" s="60" t="s">
        <v>64</v>
      </c>
      <c r="I42" s="164">
        <f t="shared" si="44"/>
        <v>0</v>
      </c>
      <c r="J42" s="67">
        <f t="shared" si="44"/>
        <v>0</v>
      </c>
      <c r="K42" s="67">
        <f t="shared" si="44"/>
        <v>0</v>
      </c>
      <c r="L42" s="59">
        <f t="shared" si="40"/>
        <v>0</v>
      </c>
      <c r="M42" s="61" t="s">
        <v>64</v>
      </c>
    </row>
    <row r="43" spans="1:13" ht="12.75" customHeight="1" x14ac:dyDescent="0.2">
      <c r="A43" s="4"/>
      <c r="B43" s="3"/>
      <c r="C43" s="2"/>
      <c r="D43" s="66"/>
      <c r="E43" s="67"/>
      <c r="F43" s="67"/>
      <c r="G43" s="59"/>
      <c r="H43" s="60"/>
      <c r="I43" s="66"/>
      <c r="J43" s="67"/>
      <c r="K43" s="67"/>
      <c r="L43" s="59"/>
      <c r="M43" s="61"/>
    </row>
    <row r="44" spans="1:13" ht="12.75" customHeight="1" x14ac:dyDescent="0.2">
      <c r="A44" s="5">
        <v>8</v>
      </c>
      <c r="B44" s="54" t="s">
        <v>21</v>
      </c>
      <c r="C44" s="16"/>
      <c r="D44" s="56"/>
      <c r="E44" s="57"/>
      <c r="F44" s="57"/>
      <c r="G44" s="59"/>
      <c r="H44" s="60"/>
      <c r="I44" s="56"/>
      <c r="J44" s="57"/>
      <c r="K44" s="57"/>
      <c r="L44" s="59"/>
      <c r="M44" s="61"/>
    </row>
    <row r="45" spans="1:13" ht="12.75" customHeight="1" x14ac:dyDescent="0.2">
      <c r="A45" s="4"/>
      <c r="B45" s="3" t="s">
        <v>9</v>
      </c>
      <c r="C45" s="2" t="s">
        <v>8</v>
      </c>
      <c r="D45" s="168">
        <f>IF(OR(D14+D16=0,OR(D14="",D16=""),D20+D22=0,OR(D20="",D22="")),0,(D14+D16)/(D20+D22))</f>
        <v>0</v>
      </c>
      <c r="E45" s="169">
        <f t="shared" ref="E45:F45" si="45">IF(OR(E14+E16=0,OR(E14="",E16=""),E20+E22=0,OR(E20="",E22="")),0,(E14+E16)/(E20+E22))</f>
        <v>0</v>
      </c>
      <c r="F45" s="69">
        <f t="shared" si="45"/>
        <v>0</v>
      </c>
      <c r="G45" s="59">
        <f>IFERROR(F45/E45,0)</f>
        <v>0</v>
      </c>
      <c r="H45" s="60">
        <f t="shared" si="7"/>
        <v>0</v>
      </c>
      <c r="I45" s="168">
        <f>IF(OR(I14+I16=0,OR(I14="",I16=""),I20+I22=0,OR(I20="",I22="")),0,(I14+I16)/(I20+I22))</f>
        <v>0</v>
      </c>
      <c r="J45" s="169">
        <f t="shared" ref="J45:K45" si="46">IF(OR(J14+J16=0,OR(J14="",J16=""),J20+J22=0,OR(J20="",J22="")),0,(J14+J16)/(J20+J22))</f>
        <v>0</v>
      </c>
      <c r="K45" s="69">
        <f t="shared" si="46"/>
        <v>0</v>
      </c>
      <c r="L45" s="59">
        <f>IFERROR(K45/J45,0)</f>
        <v>0</v>
      </c>
      <c r="M45" s="61">
        <f>IFERROR(K45/I45,0)</f>
        <v>0</v>
      </c>
    </row>
    <row r="46" spans="1:13" x14ac:dyDescent="0.2">
      <c r="A46" s="4"/>
      <c r="B46" s="3" t="s">
        <v>11</v>
      </c>
      <c r="C46" s="2" t="s">
        <v>8</v>
      </c>
      <c r="D46" s="68">
        <f>IF(OR(D15=0,D15="",D21=0,D21=""),0,D15/D21)</f>
        <v>0</v>
      </c>
      <c r="E46" s="69">
        <f>IF(OR(E21=0,E21="",E15=0,E15=""),0,E15/E21)</f>
        <v>0</v>
      </c>
      <c r="F46" s="69">
        <f>IF(OR(F21=0,F21="",F15=0,F15=""),0,F15/F21)</f>
        <v>0</v>
      </c>
      <c r="G46" s="59">
        <f>IFERROR(F46/E46,0)</f>
        <v>0</v>
      </c>
      <c r="H46" s="60">
        <f t="shared" si="7"/>
        <v>0</v>
      </c>
      <c r="I46" s="68">
        <f>IF(OR(I15=0,I15="",I21=0,I21=""),0,I15/I21)</f>
        <v>0</v>
      </c>
      <c r="J46" s="69">
        <f>IF(OR(J21=0,J21="",J15=0,J15=""),0,J15/J21)</f>
        <v>0</v>
      </c>
      <c r="K46" s="69">
        <f>IF(OR(K21=0,K21="",K15=0,K15=""),0,K15/K21)</f>
        <v>0</v>
      </c>
      <c r="L46" s="59">
        <f>IFERROR(K46/J46,0)</f>
        <v>0</v>
      </c>
      <c r="M46" s="61">
        <f>IFERROR(K46/I46,0)</f>
        <v>0</v>
      </c>
    </row>
    <row r="47" spans="1:13" ht="11.25" customHeight="1" x14ac:dyDescent="0.2">
      <c r="A47" s="4"/>
      <c r="B47" s="3"/>
      <c r="C47" s="2"/>
      <c r="D47" s="62"/>
      <c r="E47" s="63"/>
      <c r="F47" s="63"/>
      <c r="G47" s="59"/>
      <c r="H47" s="60"/>
      <c r="I47" s="62"/>
      <c r="J47" s="63"/>
      <c r="K47" s="63"/>
      <c r="L47" s="59"/>
      <c r="M47" s="61"/>
    </row>
    <row r="48" spans="1:13" ht="14.25" customHeight="1" x14ac:dyDescent="0.2">
      <c r="A48" s="5">
        <v>9</v>
      </c>
      <c r="B48" s="54" t="s">
        <v>22</v>
      </c>
      <c r="C48" s="2"/>
      <c r="D48" s="62"/>
      <c r="E48" s="63"/>
      <c r="F48" s="63"/>
      <c r="G48" s="59"/>
      <c r="H48" s="60"/>
      <c r="I48" s="62"/>
      <c r="J48" s="63"/>
      <c r="K48" s="63"/>
      <c r="L48" s="59"/>
      <c r="M48" s="61"/>
    </row>
    <row r="49" spans="1:15" ht="14.25" customHeight="1" x14ac:dyDescent="0.2">
      <c r="A49" s="5" t="s">
        <v>23</v>
      </c>
      <c r="B49" s="54" t="s">
        <v>24</v>
      </c>
      <c r="C49" s="16" t="s">
        <v>25</v>
      </c>
      <c r="D49" s="56"/>
      <c r="E49" s="57"/>
      <c r="F49" s="57"/>
      <c r="G49" s="59">
        <f>IFERROR(F49/E49,0)</f>
        <v>0</v>
      </c>
      <c r="H49" s="60">
        <f t="shared" si="7"/>
        <v>0</v>
      </c>
      <c r="I49" s="56"/>
      <c r="J49" s="57"/>
      <c r="K49" s="57"/>
      <c r="L49" s="59">
        <f>IFERROR(K49/J49,0)</f>
        <v>0</v>
      </c>
      <c r="M49" s="61">
        <f>IFERROR(K49/I49,0)</f>
        <v>0</v>
      </c>
    </row>
    <row r="50" spans="1:15" ht="13.5" customHeight="1" x14ac:dyDescent="0.2">
      <c r="A50" s="4"/>
      <c r="B50" s="3" t="s">
        <v>9</v>
      </c>
      <c r="C50" s="2" t="s">
        <v>25</v>
      </c>
      <c r="D50" s="62"/>
      <c r="E50" s="63"/>
      <c r="F50" s="63"/>
      <c r="G50" s="59">
        <f t="shared" ref="G50:G51" si="47">IFERROR(F50/E50,0)</f>
        <v>0</v>
      </c>
      <c r="H50" s="60">
        <f t="shared" si="7"/>
        <v>0</v>
      </c>
      <c r="I50" s="62"/>
      <c r="J50" s="63"/>
      <c r="K50" s="63"/>
      <c r="L50" s="59">
        <f t="shared" ref="L50:L51" si="48">IFERROR(K50/J50,0)</f>
        <v>0</v>
      </c>
      <c r="M50" s="61">
        <f t="shared" ref="M50:M51" si="49">IFERROR(K50/I50,0)</f>
        <v>0</v>
      </c>
      <c r="O50" s="70"/>
    </row>
    <row r="51" spans="1:15" ht="12.75" customHeight="1" x14ac:dyDescent="0.2">
      <c r="A51" s="4"/>
      <c r="B51" s="3" t="s">
        <v>11</v>
      </c>
      <c r="C51" s="2" t="s">
        <v>25</v>
      </c>
      <c r="D51" s="62"/>
      <c r="E51" s="63"/>
      <c r="F51" s="63"/>
      <c r="G51" s="59">
        <f t="shared" si="47"/>
        <v>0</v>
      </c>
      <c r="H51" s="60">
        <f t="shared" si="7"/>
        <v>0</v>
      </c>
      <c r="I51" s="62"/>
      <c r="J51" s="63"/>
      <c r="K51" s="63"/>
      <c r="L51" s="59">
        <f t="shared" si="48"/>
        <v>0</v>
      </c>
      <c r="M51" s="61">
        <f t="shared" si="49"/>
        <v>0</v>
      </c>
      <c r="O51" s="70"/>
    </row>
    <row r="52" spans="1:15" ht="12.75" customHeight="1" x14ac:dyDescent="0.2">
      <c r="A52" s="4"/>
      <c r="B52" s="3"/>
      <c r="C52" s="2"/>
      <c r="D52" s="62"/>
      <c r="E52" s="63"/>
      <c r="F52" s="63"/>
      <c r="G52" s="59"/>
      <c r="H52" s="60"/>
      <c r="I52" s="62"/>
      <c r="J52" s="63"/>
      <c r="K52" s="63"/>
      <c r="L52" s="59"/>
      <c r="M52" s="61"/>
      <c r="O52" s="70"/>
    </row>
    <row r="53" spans="1:15" ht="12.75" customHeight="1" x14ac:dyDescent="0.2">
      <c r="A53" s="5" t="s">
        <v>26</v>
      </c>
      <c r="B53" s="54" t="s">
        <v>27</v>
      </c>
      <c r="C53" s="16" t="s">
        <v>25</v>
      </c>
      <c r="D53" s="56"/>
      <c r="E53" s="57"/>
      <c r="F53" s="57"/>
      <c r="G53" s="59">
        <f>IFERROR(F53/E53,0)</f>
        <v>0</v>
      </c>
      <c r="H53" s="60">
        <f t="shared" si="7"/>
        <v>0</v>
      </c>
      <c r="I53" s="56"/>
      <c r="J53" s="57"/>
      <c r="K53" s="57"/>
      <c r="L53" s="59">
        <f>IFERROR(K53/J53,0)</f>
        <v>0</v>
      </c>
      <c r="M53" s="61">
        <f>IFERROR(K53/I53,0)</f>
        <v>0</v>
      </c>
      <c r="O53" s="70"/>
    </row>
    <row r="54" spans="1:15" ht="12.75" customHeight="1" x14ac:dyDescent="0.2">
      <c r="A54" s="4"/>
      <c r="B54" s="3" t="s">
        <v>9</v>
      </c>
      <c r="C54" s="2" t="s">
        <v>25</v>
      </c>
      <c r="D54" s="62"/>
      <c r="E54" s="63"/>
      <c r="F54" s="63"/>
      <c r="G54" s="59">
        <f t="shared" ref="G54:G55" si="50">IFERROR(F54/E54,0)</f>
        <v>0</v>
      </c>
      <c r="H54" s="60">
        <f t="shared" si="7"/>
        <v>0</v>
      </c>
      <c r="I54" s="62"/>
      <c r="J54" s="63"/>
      <c r="K54" s="63"/>
      <c r="L54" s="59">
        <f t="shared" ref="L54:L55" si="51">IFERROR(K54/J54,0)</f>
        <v>0</v>
      </c>
      <c r="M54" s="61">
        <f t="shared" ref="M54:M55" si="52">IFERROR(K54/I54,0)</f>
        <v>0</v>
      </c>
      <c r="O54" s="70"/>
    </row>
    <row r="55" spans="1:15" ht="12.75" customHeight="1" x14ac:dyDescent="0.2">
      <c r="A55" s="4"/>
      <c r="B55" s="3" t="s">
        <v>11</v>
      </c>
      <c r="C55" s="2" t="s">
        <v>25</v>
      </c>
      <c r="D55" s="62"/>
      <c r="E55" s="63"/>
      <c r="F55" s="63"/>
      <c r="G55" s="59">
        <f t="shared" si="50"/>
        <v>0</v>
      </c>
      <c r="H55" s="60">
        <f t="shared" si="7"/>
        <v>0</v>
      </c>
      <c r="I55" s="62"/>
      <c r="J55" s="63"/>
      <c r="K55" s="63"/>
      <c r="L55" s="59">
        <f t="shared" si="51"/>
        <v>0</v>
      </c>
      <c r="M55" s="61">
        <f t="shared" si="52"/>
        <v>0</v>
      </c>
      <c r="O55" s="70"/>
    </row>
    <row r="56" spans="1:15" ht="12" customHeight="1" x14ac:dyDescent="0.2">
      <c r="A56" s="4"/>
      <c r="B56" s="3"/>
      <c r="C56" s="2"/>
      <c r="D56" s="62"/>
      <c r="E56" s="63"/>
      <c r="F56" s="63"/>
      <c r="G56" s="59"/>
      <c r="H56" s="60"/>
      <c r="I56" s="62"/>
      <c r="J56" s="63"/>
      <c r="K56" s="63"/>
      <c r="L56" s="59"/>
      <c r="M56" s="61"/>
    </row>
    <row r="57" spans="1:15" x14ac:dyDescent="0.2">
      <c r="A57" s="5">
        <v>10</v>
      </c>
      <c r="B57" s="54" t="s">
        <v>28</v>
      </c>
      <c r="C57" s="16" t="s">
        <v>29</v>
      </c>
      <c r="D57" s="71"/>
      <c r="E57" s="85"/>
      <c r="F57" s="72"/>
      <c r="G57" s="59">
        <f>IFERROR(F57/E57,0)</f>
        <v>0</v>
      </c>
      <c r="H57" s="60">
        <f t="shared" si="7"/>
        <v>0</v>
      </c>
      <c r="I57" s="71"/>
      <c r="J57" s="85"/>
      <c r="K57" s="72"/>
      <c r="L57" s="59">
        <f>IFERROR(K57/J57,0)</f>
        <v>0</v>
      </c>
      <c r="M57" s="61">
        <f>IFERROR(K57/I57,0)</f>
        <v>0</v>
      </c>
    </row>
    <row r="58" spans="1:15" x14ac:dyDescent="0.2">
      <c r="A58" s="4"/>
      <c r="B58" s="73" t="s">
        <v>61</v>
      </c>
      <c r="C58" s="2" t="s">
        <v>29</v>
      </c>
      <c r="D58" s="78"/>
      <c r="E58" s="79"/>
      <c r="F58" s="79"/>
      <c r="G58" s="59">
        <f t="shared" ref="G58:G74" si="53">IFERROR(F58/E58,0)</f>
        <v>0</v>
      </c>
      <c r="H58" s="60">
        <f t="shared" ref="H58:H88" si="54">IF(D58=0,0,F58/D58)</f>
        <v>0</v>
      </c>
      <c r="I58" s="78"/>
      <c r="J58" s="79"/>
      <c r="K58" s="79"/>
      <c r="L58" s="59">
        <f>IFERROR(K58/J58,0)</f>
        <v>0</v>
      </c>
      <c r="M58" s="61">
        <f>IFERROR(K58/I58,0)</f>
        <v>0</v>
      </c>
    </row>
    <row r="59" spans="1:15" x14ac:dyDescent="0.2">
      <c r="A59" s="4"/>
      <c r="B59" s="73"/>
      <c r="C59" s="2"/>
      <c r="D59" s="66"/>
      <c r="E59" s="63"/>
      <c r="F59" s="67"/>
      <c r="G59" s="59"/>
      <c r="H59" s="60"/>
      <c r="I59" s="66"/>
      <c r="J59" s="63"/>
      <c r="K59" s="63"/>
      <c r="L59" s="59"/>
      <c r="M59" s="61"/>
    </row>
    <row r="60" spans="1:15" x14ac:dyDescent="0.2">
      <c r="A60" s="5">
        <v>11</v>
      </c>
      <c r="B60" s="74" t="s">
        <v>67</v>
      </c>
      <c r="C60" s="1" t="s">
        <v>68</v>
      </c>
      <c r="D60" s="75"/>
      <c r="E60" s="67"/>
      <c r="F60" s="67"/>
      <c r="G60" s="59">
        <f t="shared" si="53"/>
        <v>0</v>
      </c>
      <c r="H60" s="26">
        <f>IF(OR(D60="",D60=0),0,F60/D60)</f>
        <v>0</v>
      </c>
      <c r="I60" s="75"/>
      <c r="J60" s="95"/>
      <c r="K60" s="67"/>
      <c r="L60" s="59">
        <f>IFERROR(K60/J60,0)</f>
        <v>0</v>
      </c>
      <c r="M60" s="61">
        <f>IFERROR(K60/I60,0)</f>
        <v>0</v>
      </c>
    </row>
    <row r="61" spans="1:15" x14ac:dyDescent="0.2">
      <c r="A61" s="4"/>
      <c r="B61" s="77" t="s">
        <v>9</v>
      </c>
      <c r="C61" s="1" t="s">
        <v>68</v>
      </c>
      <c r="D61" s="75"/>
      <c r="E61" s="67"/>
      <c r="F61" s="76"/>
      <c r="G61" s="59">
        <f t="shared" si="53"/>
        <v>0</v>
      </c>
      <c r="H61" s="26">
        <f>IF(OR(D61="",D61=0),0,F61/D61)</f>
        <v>0</v>
      </c>
      <c r="I61" s="75"/>
      <c r="J61" s="67"/>
      <c r="K61" s="76"/>
      <c r="L61" s="59">
        <f t="shared" ref="L61:L62" si="55">IFERROR(K61/J61,0)</f>
        <v>0</v>
      </c>
      <c r="M61" s="61">
        <f t="shared" ref="M61:M62" si="56">IFERROR(K61/I61,0)</f>
        <v>0</v>
      </c>
    </row>
    <row r="62" spans="1:15" x14ac:dyDescent="0.2">
      <c r="A62" s="4"/>
      <c r="B62" s="77" t="s">
        <v>11</v>
      </c>
      <c r="C62" s="1" t="s">
        <v>68</v>
      </c>
      <c r="D62" s="75"/>
      <c r="E62" s="67"/>
      <c r="F62" s="76"/>
      <c r="G62" s="59">
        <f t="shared" si="53"/>
        <v>0</v>
      </c>
      <c r="H62" s="26">
        <f>IF(OR(D62="",D62=0),0,F62/D62)</f>
        <v>0</v>
      </c>
      <c r="I62" s="75"/>
      <c r="J62" s="67"/>
      <c r="K62" s="76"/>
      <c r="L62" s="59">
        <f t="shared" si="55"/>
        <v>0</v>
      </c>
      <c r="M62" s="61">
        <f t="shared" si="56"/>
        <v>0</v>
      </c>
    </row>
    <row r="63" spans="1:15" ht="12" customHeight="1" x14ac:dyDescent="0.2">
      <c r="A63" s="4"/>
      <c r="B63" s="3"/>
      <c r="C63" s="2"/>
      <c r="D63" s="78"/>
      <c r="E63" s="79"/>
      <c r="F63" s="79"/>
      <c r="G63" s="59"/>
      <c r="H63" s="60"/>
      <c r="I63" s="78"/>
      <c r="J63" s="79"/>
      <c r="K63" s="79"/>
      <c r="L63" s="59"/>
      <c r="M63" s="61"/>
      <c r="O63" s="80"/>
    </row>
    <row r="64" spans="1:15" ht="12" customHeight="1" x14ac:dyDescent="0.2">
      <c r="A64" s="5">
        <v>12</v>
      </c>
      <c r="B64" s="54" t="s">
        <v>30</v>
      </c>
      <c r="C64" s="16" t="s">
        <v>8</v>
      </c>
      <c r="D64" s="56">
        <f>IF(OR(D57=0,D57="",D57=0,D57=""),0,D7/D57)</f>
        <v>0</v>
      </c>
      <c r="E64" s="57">
        <f>IF(OR(E57=0,E57="",E57=0,E57=""),0,E7/E57)</f>
        <v>0</v>
      </c>
      <c r="F64" s="58">
        <f t="shared" ref="F64" si="57">IF(OR(F57=0,F57="",F57=0,F57=""),0,F7/F57)</f>
        <v>0</v>
      </c>
      <c r="G64" s="59">
        <f t="shared" si="53"/>
        <v>0</v>
      </c>
      <c r="H64" s="60">
        <f t="shared" si="54"/>
        <v>0</v>
      </c>
      <c r="I64" s="56">
        <f>IF(OR(I57=0,I57="",I57=0,I57=""),0,I7/I57)</f>
        <v>0</v>
      </c>
      <c r="J64" s="57">
        <f>IF(OR(J57=0,J57="",J57=0,J57=""),0,J7/J57)</f>
        <v>0</v>
      </c>
      <c r="K64" s="58">
        <f t="shared" ref="K64" si="58">IF(OR(K57=0,K57="",K57=0,K57=""),0,K7/K57)</f>
        <v>0</v>
      </c>
      <c r="L64" s="59">
        <f>IFERROR(K64/J64,0)</f>
        <v>0</v>
      </c>
      <c r="M64" s="61">
        <f>IFERROR(K64/I64,0)</f>
        <v>0</v>
      </c>
    </row>
    <row r="65" spans="1:13" ht="12" customHeight="1" x14ac:dyDescent="0.2">
      <c r="A65" s="4"/>
      <c r="B65" s="73" t="s">
        <v>61</v>
      </c>
      <c r="C65" s="2" t="s">
        <v>8</v>
      </c>
      <c r="D65" s="171"/>
      <c r="E65" s="65"/>
      <c r="F65" s="65"/>
      <c r="G65" s="59">
        <f t="shared" si="53"/>
        <v>0</v>
      </c>
      <c r="H65" s="60">
        <f t="shared" si="54"/>
        <v>0</v>
      </c>
      <c r="I65" s="171"/>
      <c r="J65" s="65"/>
      <c r="K65" s="65"/>
      <c r="L65" s="59">
        <f>IFERROR(K65/J65,0)</f>
        <v>0</v>
      </c>
      <c r="M65" s="61">
        <f>IFERROR(K65/I65,0)</f>
        <v>0</v>
      </c>
    </row>
    <row r="66" spans="1:13" x14ac:dyDescent="0.2">
      <c r="A66" s="4"/>
      <c r="B66" s="3"/>
      <c r="C66" s="2"/>
      <c r="D66" s="62"/>
      <c r="E66" s="63"/>
      <c r="F66" s="63"/>
      <c r="G66" s="59"/>
      <c r="H66" s="60"/>
      <c r="I66" s="62"/>
      <c r="J66" s="63"/>
      <c r="K66" s="63"/>
      <c r="L66" s="59"/>
      <c r="M66" s="61"/>
    </row>
    <row r="67" spans="1:13" x14ac:dyDescent="0.2">
      <c r="A67" s="5">
        <v>13</v>
      </c>
      <c r="B67" s="54" t="s">
        <v>31</v>
      </c>
      <c r="C67" s="16"/>
      <c r="D67" s="81"/>
      <c r="E67" s="82"/>
      <c r="F67" s="82"/>
      <c r="G67" s="59">
        <f t="shared" si="53"/>
        <v>0</v>
      </c>
      <c r="H67" s="60"/>
      <c r="I67" s="81"/>
      <c r="J67" s="82"/>
      <c r="K67" s="82"/>
      <c r="L67" s="59"/>
      <c r="M67" s="61"/>
    </row>
    <row r="68" spans="1:13" x14ac:dyDescent="0.2">
      <c r="A68" s="4"/>
      <c r="B68" s="3" t="s">
        <v>9</v>
      </c>
      <c r="C68" s="1" t="s">
        <v>32</v>
      </c>
      <c r="D68" s="62"/>
      <c r="E68" s="63"/>
      <c r="F68" s="63"/>
      <c r="G68" s="59">
        <f t="shared" si="53"/>
        <v>0</v>
      </c>
      <c r="H68" s="61">
        <f t="shared" si="54"/>
        <v>0</v>
      </c>
      <c r="I68" s="83"/>
      <c r="J68" s="63"/>
      <c r="K68" s="63"/>
      <c r="L68" s="59">
        <f>IFERROR(K68/J68,0)</f>
        <v>0</v>
      </c>
      <c r="M68" s="61">
        <f>IFERROR(K68/I68,0)</f>
        <v>0</v>
      </c>
    </row>
    <row r="69" spans="1:13" x14ac:dyDescent="0.2">
      <c r="A69" s="4"/>
      <c r="B69" s="3" t="s">
        <v>33</v>
      </c>
      <c r="C69" s="2" t="s">
        <v>32</v>
      </c>
      <c r="D69" s="62"/>
      <c r="E69" s="63"/>
      <c r="F69" s="63"/>
      <c r="G69" s="59">
        <f t="shared" si="53"/>
        <v>0</v>
      </c>
      <c r="H69" s="60">
        <f t="shared" si="54"/>
        <v>0</v>
      </c>
      <c r="I69" s="62"/>
      <c r="J69" s="63"/>
      <c r="K69" s="63"/>
      <c r="L69" s="59">
        <f t="shared" ref="L69:L74" si="59">IFERROR(K69/J69,0)</f>
        <v>0</v>
      </c>
      <c r="M69" s="61">
        <f t="shared" ref="M69:M74" si="60">IFERROR(K69/I69,0)</f>
        <v>0</v>
      </c>
    </row>
    <row r="70" spans="1:13" x14ac:dyDescent="0.2">
      <c r="A70" s="4"/>
      <c r="B70" s="3" t="s">
        <v>34</v>
      </c>
      <c r="C70" s="2" t="s">
        <v>32</v>
      </c>
      <c r="D70" s="62"/>
      <c r="E70" s="63"/>
      <c r="F70" s="63"/>
      <c r="G70" s="59">
        <f t="shared" si="53"/>
        <v>0</v>
      </c>
      <c r="H70" s="60">
        <f t="shared" si="54"/>
        <v>0</v>
      </c>
      <c r="I70" s="62"/>
      <c r="J70" s="63"/>
      <c r="K70" s="63"/>
      <c r="L70" s="59">
        <f t="shared" si="59"/>
        <v>0</v>
      </c>
      <c r="M70" s="61">
        <f t="shared" si="60"/>
        <v>0</v>
      </c>
    </row>
    <row r="71" spans="1:13" x14ac:dyDescent="0.2">
      <c r="A71" s="4"/>
      <c r="B71" s="3" t="s">
        <v>35</v>
      </c>
      <c r="C71" s="2" t="s">
        <v>32</v>
      </c>
      <c r="D71" s="62"/>
      <c r="E71" s="63"/>
      <c r="F71" s="63"/>
      <c r="G71" s="59">
        <f t="shared" si="53"/>
        <v>0</v>
      </c>
      <c r="H71" s="60">
        <f t="shared" si="54"/>
        <v>0</v>
      </c>
      <c r="I71" s="62"/>
      <c r="J71" s="63"/>
      <c r="K71" s="63"/>
      <c r="L71" s="59">
        <f t="shared" si="59"/>
        <v>0</v>
      </c>
      <c r="M71" s="61">
        <f t="shared" si="60"/>
        <v>0</v>
      </c>
    </row>
    <row r="72" spans="1:13" x14ac:dyDescent="0.2">
      <c r="A72" s="4"/>
      <c r="B72" s="3" t="s">
        <v>11</v>
      </c>
      <c r="C72" s="2" t="s">
        <v>32</v>
      </c>
      <c r="D72" s="84"/>
      <c r="E72" s="63"/>
      <c r="F72" s="83"/>
      <c r="G72" s="59">
        <f t="shared" si="53"/>
        <v>0</v>
      </c>
      <c r="H72" s="60">
        <f t="shared" si="54"/>
        <v>0</v>
      </c>
      <c r="I72" s="84"/>
      <c r="J72" s="63"/>
      <c r="K72" s="83"/>
      <c r="L72" s="59">
        <f t="shared" si="59"/>
        <v>0</v>
      </c>
      <c r="M72" s="61">
        <f t="shared" si="60"/>
        <v>0</v>
      </c>
    </row>
    <row r="73" spans="1:13" x14ac:dyDescent="0.2">
      <c r="A73" s="4"/>
      <c r="B73" s="3" t="s">
        <v>36</v>
      </c>
      <c r="C73" s="2" t="s">
        <v>32</v>
      </c>
      <c r="D73" s="62"/>
      <c r="E73" s="63"/>
      <c r="F73" s="63"/>
      <c r="G73" s="59">
        <f t="shared" si="53"/>
        <v>0</v>
      </c>
      <c r="H73" s="60">
        <f t="shared" si="54"/>
        <v>0</v>
      </c>
      <c r="I73" s="62"/>
      <c r="J73" s="63"/>
      <c r="K73" s="63"/>
      <c r="L73" s="59">
        <f t="shared" si="59"/>
        <v>0</v>
      </c>
      <c r="M73" s="61">
        <f t="shared" si="60"/>
        <v>0</v>
      </c>
    </row>
    <row r="74" spans="1:13" x14ac:dyDescent="0.2">
      <c r="A74" s="4"/>
      <c r="B74" s="3" t="s">
        <v>37</v>
      </c>
      <c r="C74" s="2" t="s">
        <v>32</v>
      </c>
      <c r="D74" s="62"/>
      <c r="E74" s="63"/>
      <c r="F74" s="63"/>
      <c r="G74" s="59">
        <f t="shared" si="53"/>
        <v>0</v>
      </c>
      <c r="H74" s="60">
        <f t="shared" si="54"/>
        <v>0</v>
      </c>
      <c r="I74" s="62"/>
      <c r="J74" s="63"/>
      <c r="K74" s="63"/>
      <c r="L74" s="59">
        <f t="shared" si="59"/>
        <v>0</v>
      </c>
      <c r="M74" s="61">
        <f t="shared" si="60"/>
        <v>0</v>
      </c>
    </row>
    <row r="75" spans="1:13" x14ac:dyDescent="0.2">
      <c r="A75" s="4"/>
      <c r="B75" s="3"/>
      <c r="C75" s="2"/>
      <c r="D75" s="78"/>
      <c r="E75" s="79"/>
      <c r="F75" s="79"/>
      <c r="G75" s="59"/>
      <c r="H75" s="60"/>
      <c r="I75" s="78"/>
      <c r="J75" s="79"/>
      <c r="K75" s="79"/>
      <c r="L75" s="59"/>
      <c r="M75" s="61"/>
    </row>
    <row r="76" spans="1:13" x14ac:dyDescent="0.2">
      <c r="A76" s="5">
        <v>14</v>
      </c>
      <c r="B76" s="54" t="s">
        <v>38</v>
      </c>
      <c r="C76" s="16"/>
      <c r="D76" s="71"/>
      <c r="E76" s="85"/>
      <c r="F76" s="85"/>
      <c r="G76" s="59"/>
      <c r="H76" s="60"/>
      <c r="I76" s="71"/>
      <c r="J76" s="85"/>
      <c r="K76" s="85"/>
      <c r="L76" s="59"/>
      <c r="M76" s="61"/>
    </row>
    <row r="77" spans="1:13" x14ac:dyDescent="0.2">
      <c r="A77" s="4"/>
      <c r="B77" s="3" t="s">
        <v>39</v>
      </c>
      <c r="C77" s="2" t="s">
        <v>32</v>
      </c>
      <c r="D77" s="62"/>
      <c r="E77" s="79" t="s">
        <v>65</v>
      </c>
      <c r="F77" s="63"/>
      <c r="G77" s="86" t="s">
        <v>65</v>
      </c>
      <c r="H77" s="60">
        <f t="shared" si="54"/>
        <v>0</v>
      </c>
      <c r="I77" s="62"/>
      <c r="J77" s="79" t="s">
        <v>65</v>
      </c>
      <c r="K77" s="63"/>
      <c r="L77" s="86" t="s">
        <v>65</v>
      </c>
      <c r="M77" s="61">
        <f>IFERROR(K77/I77,0)</f>
        <v>0</v>
      </c>
    </row>
    <row r="78" spans="1:13" x14ac:dyDescent="0.2">
      <c r="A78" s="4"/>
      <c r="B78" s="3" t="s">
        <v>33</v>
      </c>
      <c r="C78" s="2" t="s">
        <v>32</v>
      </c>
      <c r="D78" s="62"/>
      <c r="E78" s="79" t="s">
        <v>65</v>
      </c>
      <c r="F78" s="63"/>
      <c r="G78" s="86" t="s">
        <v>65</v>
      </c>
      <c r="H78" s="60">
        <f t="shared" si="54"/>
        <v>0</v>
      </c>
      <c r="I78" s="62"/>
      <c r="J78" s="79" t="s">
        <v>65</v>
      </c>
      <c r="K78" s="63"/>
      <c r="L78" s="86" t="s">
        <v>65</v>
      </c>
      <c r="M78" s="61">
        <f t="shared" ref="M78:M88" si="61">IFERROR(K78/I78,0)</f>
        <v>0</v>
      </c>
    </row>
    <row r="79" spans="1:13" x14ac:dyDescent="0.2">
      <c r="A79" s="4"/>
      <c r="B79" s="3" t="s">
        <v>34</v>
      </c>
      <c r="C79" s="2" t="s">
        <v>32</v>
      </c>
      <c r="D79" s="62"/>
      <c r="E79" s="79" t="s">
        <v>65</v>
      </c>
      <c r="F79" s="63"/>
      <c r="G79" s="86" t="s">
        <v>65</v>
      </c>
      <c r="H79" s="60">
        <f t="shared" si="54"/>
        <v>0</v>
      </c>
      <c r="I79" s="62"/>
      <c r="J79" s="79" t="s">
        <v>65</v>
      </c>
      <c r="K79" s="63"/>
      <c r="L79" s="86" t="s">
        <v>65</v>
      </c>
      <c r="M79" s="61">
        <f t="shared" si="61"/>
        <v>0</v>
      </c>
    </row>
    <row r="80" spans="1:13" x14ac:dyDescent="0.2">
      <c r="A80" s="4"/>
      <c r="B80" s="3" t="s">
        <v>35</v>
      </c>
      <c r="C80" s="2" t="s">
        <v>32</v>
      </c>
      <c r="D80" s="62"/>
      <c r="E80" s="79" t="s">
        <v>65</v>
      </c>
      <c r="F80" s="63"/>
      <c r="G80" s="86" t="s">
        <v>65</v>
      </c>
      <c r="H80" s="60">
        <f t="shared" si="54"/>
        <v>0</v>
      </c>
      <c r="I80" s="62"/>
      <c r="J80" s="79" t="s">
        <v>65</v>
      </c>
      <c r="K80" s="63"/>
      <c r="L80" s="86" t="s">
        <v>65</v>
      </c>
      <c r="M80" s="61">
        <f t="shared" si="61"/>
        <v>0</v>
      </c>
    </row>
    <row r="81" spans="1:14" x14ac:dyDescent="0.2">
      <c r="A81" s="4"/>
      <c r="B81" s="3" t="s">
        <v>40</v>
      </c>
      <c r="C81" s="2" t="s">
        <v>32</v>
      </c>
      <c r="D81" s="62"/>
      <c r="E81" s="79" t="s">
        <v>65</v>
      </c>
      <c r="F81" s="63"/>
      <c r="G81" s="86" t="s">
        <v>65</v>
      </c>
      <c r="H81" s="60">
        <f t="shared" si="54"/>
        <v>0</v>
      </c>
      <c r="I81" s="62"/>
      <c r="J81" s="79" t="s">
        <v>65</v>
      </c>
      <c r="K81" s="63"/>
      <c r="L81" s="86" t="s">
        <v>65</v>
      </c>
      <c r="M81" s="61">
        <f t="shared" si="61"/>
        <v>0</v>
      </c>
    </row>
    <row r="82" spans="1:14" x14ac:dyDescent="0.2">
      <c r="A82" s="4"/>
      <c r="B82" s="3" t="s">
        <v>33</v>
      </c>
      <c r="C82" s="2" t="s">
        <v>32</v>
      </c>
      <c r="D82" s="62"/>
      <c r="E82" s="79" t="s">
        <v>65</v>
      </c>
      <c r="F82" s="63"/>
      <c r="G82" s="86" t="s">
        <v>65</v>
      </c>
      <c r="H82" s="60">
        <f t="shared" si="54"/>
        <v>0</v>
      </c>
      <c r="I82" s="62"/>
      <c r="J82" s="79" t="s">
        <v>65</v>
      </c>
      <c r="K82" s="63"/>
      <c r="L82" s="86" t="s">
        <v>65</v>
      </c>
      <c r="M82" s="61">
        <f t="shared" si="61"/>
        <v>0</v>
      </c>
    </row>
    <row r="83" spans="1:14" x14ac:dyDescent="0.2">
      <c r="A83" s="4"/>
      <c r="B83" s="3" t="s">
        <v>34</v>
      </c>
      <c r="C83" s="2" t="s">
        <v>32</v>
      </c>
      <c r="D83" s="62"/>
      <c r="E83" s="79" t="s">
        <v>65</v>
      </c>
      <c r="F83" s="63"/>
      <c r="G83" s="86" t="s">
        <v>65</v>
      </c>
      <c r="H83" s="60">
        <f t="shared" si="54"/>
        <v>0</v>
      </c>
      <c r="I83" s="62"/>
      <c r="J83" s="79" t="s">
        <v>65</v>
      </c>
      <c r="K83" s="63"/>
      <c r="L83" s="86" t="s">
        <v>65</v>
      </c>
      <c r="M83" s="61">
        <f t="shared" si="61"/>
        <v>0</v>
      </c>
    </row>
    <row r="84" spans="1:14" ht="13.5" customHeight="1" x14ac:dyDescent="0.2">
      <c r="A84" s="4"/>
      <c r="B84" s="3" t="s">
        <v>35</v>
      </c>
      <c r="C84" s="2" t="s">
        <v>32</v>
      </c>
      <c r="D84" s="62"/>
      <c r="E84" s="79" t="s">
        <v>65</v>
      </c>
      <c r="F84" s="63"/>
      <c r="G84" s="86" t="s">
        <v>65</v>
      </c>
      <c r="H84" s="60">
        <f t="shared" si="54"/>
        <v>0</v>
      </c>
      <c r="I84" s="62"/>
      <c r="J84" s="79" t="s">
        <v>65</v>
      </c>
      <c r="K84" s="63"/>
      <c r="L84" s="86" t="s">
        <v>65</v>
      </c>
      <c r="M84" s="61">
        <f t="shared" si="61"/>
        <v>0</v>
      </c>
    </row>
    <row r="85" spans="1:14" ht="13.5" customHeight="1" x14ac:dyDescent="0.2">
      <c r="A85" s="4"/>
      <c r="B85" s="3" t="s">
        <v>41</v>
      </c>
      <c r="C85" s="2" t="s">
        <v>32</v>
      </c>
      <c r="D85" s="62"/>
      <c r="E85" s="79" t="s">
        <v>65</v>
      </c>
      <c r="F85" s="63"/>
      <c r="G85" s="86" t="s">
        <v>65</v>
      </c>
      <c r="H85" s="60">
        <f t="shared" si="54"/>
        <v>0</v>
      </c>
      <c r="I85" s="62"/>
      <c r="J85" s="79" t="s">
        <v>65</v>
      </c>
      <c r="K85" s="63"/>
      <c r="L85" s="86" t="s">
        <v>65</v>
      </c>
      <c r="M85" s="61">
        <f t="shared" si="61"/>
        <v>0</v>
      </c>
    </row>
    <row r="86" spans="1:14" x14ac:dyDescent="0.2">
      <c r="A86" s="4"/>
      <c r="B86" s="3" t="s">
        <v>36</v>
      </c>
      <c r="C86" s="2" t="s">
        <v>32</v>
      </c>
      <c r="D86" s="62"/>
      <c r="E86" s="79" t="s">
        <v>65</v>
      </c>
      <c r="F86" s="63"/>
      <c r="G86" s="86" t="s">
        <v>65</v>
      </c>
      <c r="H86" s="60">
        <f t="shared" si="54"/>
        <v>0</v>
      </c>
      <c r="I86" s="62"/>
      <c r="J86" s="79" t="s">
        <v>65</v>
      </c>
      <c r="K86" s="63"/>
      <c r="L86" s="86" t="s">
        <v>65</v>
      </c>
      <c r="M86" s="61">
        <f t="shared" si="61"/>
        <v>0</v>
      </c>
    </row>
    <row r="87" spans="1:14" x14ac:dyDescent="0.2">
      <c r="A87" s="4"/>
      <c r="B87" s="3" t="s">
        <v>37</v>
      </c>
      <c r="C87" s="2" t="s">
        <v>32</v>
      </c>
      <c r="D87" s="62"/>
      <c r="E87" s="79" t="s">
        <v>65</v>
      </c>
      <c r="F87" s="63"/>
      <c r="G87" s="86" t="s">
        <v>65</v>
      </c>
      <c r="H87" s="60">
        <f t="shared" si="54"/>
        <v>0</v>
      </c>
      <c r="I87" s="62"/>
      <c r="J87" s="79" t="s">
        <v>65</v>
      </c>
      <c r="K87" s="63"/>
      <c r="L87" s="86" t="s">
        <v>65</v>
      </c>
      <c r="M87" s="61">
        <f t="shared" si="61"/>
        <v>0</v>
      </c>
    </row>
    <row r="88" spans="1:14" x14ac:dyDescent="0.2">
      <c r="A88" s="4"/>
      <c r="B88" s="3" t="s">
        <v>42</v>
      </c>
      <c r="C88" s="2" t="s">
        <v>32</v>
      </c>
      <c r="D88" s="62"/>
      <c r="E88" s="79" t="s">
        <v>65</v>
      </c>
      <c r="F88" s="63"/>
      <c r="G88" s="86" t="s">
        <v>65</v>
      </c>
      <c r="H88" s="60">
        <f t="shared" si="54"/>
        <v>0</v>
      </c>
      <c r="I88" s="62"/>
      <c r="J88" s="79" t="s">
        <v>65</v>
      </c>
      <c r="K88" s="63"/>
      <c r="L88" s="86" t="s">
        <v>65</v>
      </c>
      <c r="M88" s="61">
        <f t="shared" si="61"/>
        <v>0</v>
      </c>
    </row>
    <row r="89" spans="1:14" x14ac:dyDescent="0.2">
      <c r="A89" s="4"/>
      <c r="B89" s="3"/>
      <c r="C89" s="45"/>
      <c r="D89" s="48"/>
      <c r="E89" s="49"/>
      <c r="F89" s="49"/>
      <c r="G89" s="59"/>
      <c r="H89" s="60"/>
      <c r="I89" s="48"/>
      <c r="J89" s="49"/>
      <c r="K89" s="49"/>
      <c r="L89" s="59"/>
      <c r="M89" s="61"/>
    </row>
    <row r="90" spans="1:14" s="94" customFormat="1" ht="24" x14ac:dyDescent="0.2">
      <c r="A90" s="27">
        <v>15</v>
      </c>
      <c r="B90" s="87" t="s">
        <v>70</v>
      </c>
      <c r="C90" s="9" t="s">
        <v>43</v>
      </c>
      <c r="D90" s="88"/>
      <c r="E90" s="89" t="s">
        <v>65</v>
      </c>
      <c r="F90" s="90"/>
      <c r="G90" s="91">
        <f>IFERROR(F90*100/SUM(F90:F92),0)</f>
        <v>0</v>
      </c>
      <c r="H90" s="92" t="s">
        <v>65</v>
      </c>
      <c r="I90" s="88"/>
      <c r="J90" s="89" t="s">
        <v>65</v>
      </c>
      <c r="K90" s="90"/>
      <c r="L90" s="91">
        <f>IFERROR(K90*100/SUM(K90:K92),0)</f>
        <v>0</v>
      </c>
      <c r="M90" s="93" t="s">
        <v>65</v>
      </c>
      <c r="N90" s="47"/>
    </row>
    <row r="91" spans="1:14" x14ac:dyDescent="0.2">
      <c r="A91" s="4"/>
      <c r="B91" s="3"/>
      <c r="C91" s="2"/>
      <c r="D91" s="66"/>
      <c r="E91" s="95"/>
      <c r="F91" s="67"/>
      <c r="G91" s="63"/>
      <c r="H91" s="96"/>
      <c r="I91" s="66"/>
      <c r="J91" s="95"/>
      <c r="K91" s="67"/>
      <c r="L91" s="63"/>
      <c r="M91" s="97"/>
    </row>
    <row r="92" spans="1:14" s="94" customFormat="1" ht="24" x14ac:dyDescent="0.2">
      <c r="A92" s="5">
        <v>16</v>
      </c>
      <c r="B92" s="98" t="s">
        <v>69</v>
      </c>
      <c r="C92" s="2" t="s">
        <v>43</v>
      </c>
      <c r="D92" s="190">
        <f>SUM(D93:D99)</f>
        <v>0</v>
      </c>
      <c r="E92" s="67" t="s">
        <v>65</v>
      </c>
      <c r="F92" s="191">
        <f>SUM(F93:F99)</f>
        <v>0</v>
      </c>
      <c r="G92" s="63">
        <f>IFERROR(F92*100/SUM(F90:F92),0)</f>
        <v>0</v>
      </c>
      <c r="H92" s="96" t="s">
        <v>65</v>
      </c>
      <c r="I92" s="190">
        <f>SUM(I93:I99)</f>
        <v>0</v>
      </c>
      <c r="J92" s="67" t="s">
        <v>65</v>
      </c>
      <c r="K92" s="191">
        <f>SUM(K93:K99)</f>
        <v>0</v>
      </c>
      <c r="L92" s="63">
        <f>IFERROR(K92*100/SUM(K90:K92),0)</f>
        <v>0</v>
      </c>
      <c r="M92" s="97" t="s">
        <v>65</v>
      </c>
      <c r="N92" s="47"/>
    </row>
    <row r="93" spans="1:14" s="94" customFormat="1" ht="13.5" x14ac:dyDescent="0.2">
      <c r="A93" s="5"/>
      <c r="B93" s="159" t="s">
        <v>73</v>
      </c>
      <c r="C93" s="2" t="s">
        <v>43</v>
      </c>
      <c r="D93" s="190"/>
      <c r="E93" s="67" t="s">
        <v>65</v>
      </c>
      <c r="F93" s="192"/>
      <c r="G93" s="63">
        <f>IFERROR(F93*100/F92,0)</f>
        <v>0</v>
      </c>
      <c r="H93" s="96" t="s">
        <v>65</v>
      </c>
      <c r="I93" s="190"/>
      <c r="J93" s="67" t="s">
        <v>65</v>
      </c>
      <c r="K93" s="192"/>
      <c r="L93" s="63">
        <f>IFERROR(K93*100/K92,0)</f>
        <v>0</v>
      </c>
      <c r="M93" s="97" t="s">
        <v>65</v>
      </c>
      <c r="N93" s="47"/>
    </row>
    <row r="94" spans="1:14" s="94" customFormat="1" ht="13.5" x14ac:dyDescent="0.2">
      <c r="A94" s="5"/>
      <c r="B94" s="161" t="s">
        <v>107</v>
      </c>
      <c r="C94" s="2" t="s">
        <v>43</v>
      </c>
      <c r="D94" s="190"/>
      <c r="E94" s="67" t="s">
        <v>65</v>
      </c>
      <c r="F94" s="192"/>
      <c r="G94" s="63">
        <f>IFERROR(F94*100/F92,0)</f>
        <v>0</v>
      </c>
      <c r="H94" s="96" t="s">
        <v>65</v>
      </c>
      <c r="I94" s="190"/>
      <c r="J94" s="67" t="s">
        <v>65</v>
      </c>
      <c r="K94" s="192"/>
      <c r="L94" s="63">
        <f>IFERROR(K94*100/K92,0)</f>
        <v>0</v>
      </c>
      <c r="M94" s="97" t="s">
        <v>65</v>
      </c>
      <c r="N94" s="47"/>
    </row>
    <row r="95" spans="1:14" s="94" customFormat="1" ht="13.5" x14ac:dyDescent="0.2">
      <c r="A95" s="5"/>
      <c r="B95" s="161" t="s">
        <v>112</v>
      </c>
      <c r="C95" s="2" t="s">
        <v>43</v>
      </c>
      <c r="D95" s="190"/>
      <c r="E95" s="67" t="s">
        <v>65</v>
      </c>
      <c r="F95" s="192"/>
      <c r="G95" s="63">
        <f>IFERROR(F95*100/F92,0)</f>
        <v>0</v>
      </c>
      <c r="H95" s="96" t="s">
        <v>65</v>
      </c>
      <c r="I95" s="190"/>
      <c r="J95" s="67" t="s">
        <v>65</v>
      </c>
      <c r="K95" s="192"/>
      <c r="L95" s="63">
        <f>IFERROR(K95*100/K92,0)</f>
        <v>0</v>
      </c>
      <c r="M95" s="97" t="s">
        <v>65</v>
      </c>
      <c r="N95" s="47"/>
    </row>
    <row r="96" spans="1:14" s="94" customFormat="1" ht="13.5" x14ac:dyDescent="0.2">
      <c r="A96" s="5"/>
      <c r="B96" s="161" t="s">
        <v>113</v>
      </c>
      <c r="C96" s="2" t="s">
        <v>43</v>
      </c>
      <c r="D96" s="190"/>
      <c r="E96" s="67" t="s">
        <v>65</v>
      </c>
      <c r="F96" s="192"/>
      <c r="G96" s="63">
        <f>IFERROR(F96*100/F92,0)</f>
        <v>0</v>
      </c>
      <c r="H96" s="96" t="s">
        <v>65</v>
      </c>
      <c r="I96" s="190"/>
      <c r="J96" s="67" t="s">
        <v>65</v>
      </c>
      <c r="K96" s="192"/>
      <c r="L96" s="63">
        <f>IFERROR(K96*100/K92,0)</f>
        <v>0</v>
      </c>
      <c r="M96" s="97" t="s">
        <v>65</v>
      </c>
      <c r="N96" s="47"/>
    </row>
    <row r="97" spans="1:14" ht="13.5" x14ac:dyDescent="0.2">
      <c r="A97" s="4"/>
      <c r="B97" s="161" t="s">
        <v>109</v>
      </c>
      <c r="C97" s="2" t="s">
        <v>43</v>
      </c>
      <c r="D97" s="190"/>
      <c r="E97" s="67" t="s">
        <v>65</v>
      </c>
      <c r="F97" s="192"/>
      <c r="G97" s="63">
        <f>IFERROR(F97*100/F92,0)</f>
        <v>0</v>
      </c>
      <c r="H97" s="96" t="s">
        <v>65</v>
      </c>
      <c r="I97" s="190"/>
      <c r="J97" s="67" t="s">
        <v>65</v>
      </c>
      <c r="K97" s="192"/>
      <c r="L97" s="63">
        <f>IFERROR(K97*100/K92,0)</f>
        <v>0</v>
      </c>
      <c r="M97" s="97" t="s">
        <v>65</v>
      </c>
    </row>
    <row r="98" spans="1:14" ht="13.5" x14ac:dyDescent="0.2">
      <c r="A98" s="4"/>
      <c r="B98" s="161" t="s">
        <v>114</v>
      </c>
      <c r="C98" s="2" t="s">
        <v>43</v>
      </c>
      <c r="D98" s="190"/>
      <c r="E98" s="67" t="s">
        <v>65</v>
      </c>
      <c r="F98" s="192"/>
      <c r="G98" s="63">
        <f>IFERROR(F98*100/F92,0)</f>
        <v>0</v>
      </c>
      <c r="H98" s="96" t="s">
        <v>65</v>
      </c>
      <c r="I98" s="190"/>
      <c r="J98" s="67" t="s">
        <v>65</v>
      </c>
      <c r="K98" s="192"/>
      <c r="L98" s="63">
        <f>IFERROR(K98*100/K92,0)</f>
        <v>0</v>
      </c>
      <c r="M98" s="97" t="s">
        <v>65</v>
      </c>
    </row>
    <row r="99" spans="1:14" ht="13.5" x14ac:dyDescent="0.2">
      <c r="A99" s="4"/>
      <c r="B99" s="161" t="s">
        <v>110</v>
      </c>
      <c r="C99" s="2" t="s">
        <v>43</v>
      </c>
      <c r="D99" s="190"/>
      <c r="E99" s="67" t="s">
        <v>65</v>
      </c>
      <c r="F99" s="192"/>
      <c r="G99" s="63">
        <f>IFERROR(F99*100/F92,0)</f>
        <v>0</v>
      </c>
      <c r="H99" s="96" t="s">
        <v>65</v>
      </c>
      <c r="I99" s="190"/>
      <c r="J99" s="67" t="s">
        <v>65</v>
      </c>
      <c r="K99" s="192"/>
      <c r="L99" s="63">
        <f>IFERROR(K99*100/K92,0)</f>
        <v>0</v>
      </c>
      <c r="M99" s="97" t="s">
        <v>65</v>
      </c>
    </row>
    <row r="100" spans="1:14" ht="13.5" x14ac:dyDescent="0.2">
      <c r="A100" s="4"/>
      <c r="B100" s="3"/>
      <c r="C100" s="1"/>
      <c r="D100" s="99"/>
      <c r="E100" s="67"/>
      <c r="F100" s="100"/>
      <c r="G100" s="63"/>
      <c r="H100" s="96"/>
      <c r="I100" s="99"/>
      <c r="J100" s="67"/>
      <c r="K100" s="100"/>
      <c r="L100" s="67"/>
      <c r="M100" s="97"/>
    </row>
    <row r="101" spans="1:14" s="94" customFormat="1" ht="24" x14ac:dyDescent="0.2">
      <c r="A101" s="54">
        <v>17</v>
      </c>
      <c r="B101" s="98" t="s">
        <v>78</v>
      </c>
      <c r="C101" s="2" t="s">
        <v>43</v>
      </c>
      <c r="D101" s="179">
        <f>SUM(D102:D108)+D111</f>
        <v>0</v>
      </c>
      <c r="E101" s="170" t="s">
        <v>88</v>
      </c>
      <c r="F101" s="174">
        <f>SUM(F102:F108)+F111</f>
        <v>0</v>
      </c>
      <c r="G101" s="172">
        <f>SUM(G102:G108)+G111</f>
        <v>0</v>
      </c>
      <c r="H101" s="15" t="s">
        <v>88</v>
      </c>
      <c r="I101" s="179">
        <f>SUM(I102:I108)+I111</f>
        <v>0</v>
      </c>
      <c r="J101" s="170" t="s">
        <v>88</v>
      </c>
      <c r="K101" s="174">
        <f>SUM(K102:K108)+K111</f>
        <v>0</v>
      </c>
      <c r="L101" s="172">
        <f>SUM(L102:L108)+L111</f>
        <v>0</v>
      </c>
      <c r="M101" s="15" t="s">
        <v>88</v>
      </c>
      <c r="N101" s="47"/>
    </row>
    <row r="102" spans="1:14" s="94" customFormat="1" x14ac:dyDescent="0.2">
      <c r="A102" s="5"/>
      <c r="B102" s="160" t="s">
        <v>79</v>
      </c>
      <c r="C102" s="2" t="s">
        <v>43</v>
      </c>
      <c r="D102" s="180"/>
      <c r="E102" s="13" t="s">
        <v>88</v>
      </c>
      <c r="F102" s="175"/>
      <c r="G102" s="173"/>
      <c r="H102" s="15" t="s">
        <v>88</v>
      </c>
      <c r="I102" s="180"/>
      <c r="J102" s="13" t="s">
        <v>88</v>
      </c>
      <c r="K102" s="175"/>
      <c r="L102" s="173"/>
      <c r="M102" s="15" t="s">
        <v>88</v>
      </c>
      <c r="N102" s="47"/>
    </row>
    <row r="103" spans="1:14" s="94" customFormat="1" x14ac:dyDescent="0.2">
      <c r="A103" s="5"/>
      <c r="B103" s="159" t="s">
        <v>106</v>
      </c>
      <c r="C103" s="2" t="s">
        <v>43</v>
      </c>
      <c r="D103" s="180"/>
      <c r="E103" s="13" t="s">
        <v>88</v>
      </c>
      <c r="F103" s="175"/>
      <c r="G103" s="173"/>
      <c r="H103" s="15" t="s">
        <v>88</v>
      </c>
      <c r="I103" s="180"/>
      <c r="J103" s="13" t="s">
        <v>88</v>
      </c>
      <c r="K103" s="175"/>
      <c r="L103" s="173"/>
      <c r="M103" s="15" t="s">
        <v>88</v>
      </c>
      <c r="N103" s="47"/>
    </row>
    <row r="104" spans="1:14" s="94" customFormat="1" x14ac:dyDescent="0.2">
      <c r="A104" s="5"/>
      <c r="B104" s="159" t="s">
        <v>100</v>
      </c>
      <c r="C104" s="2" t="s">
        <v>43</v>
      </c>
      <c r="D104" s="180"/>
      <c r="E104" s="13" t="s">
        <v>88</v>
      </c>
      <c r="F104" s="175"/>
      <c r="G104" s="173"/>
      <c r="H104" s="15" t="s">
        <v>88</v>
      </c>
      <c r="I104" s="180"/>
      <c r="J104" s="13" t="s">
        <v>88</v>
      </c>
      <c r="K104" s="175"/>
      <c r="L104" s="173"/>
      <c r="M104" s="15" t="s">
        <v>88</v>
      </c>
      <c r="N104" s="47"/>
    </row>
    <row r="105" spans="1:14" s="94" customFormat="1" x14ac:dyDescent="0.2">
      <c r="A105" s="5"/>
      <c r="B105" s="159" t="s">
        <v>101</v>
      </c>
      <c r="C105" s="2" t="s">
        <v>43</v>
      </c>
      <c r="D105" s="180"/>
      <c r="E105" s="13" t="s">
        <v>88</v>
      </c>
      <c r="F105" s="175"/>
      <c r="G105" s="173"/>
      <c r="H105" s="15" t="s">
        <v>88</v>
      </c>
      <c r="I105" s="180"/>
      <c r="J105" s="13" t="s">
        <v>88</v>
      </c>
      <c r="K105" s="175"/>
      <c r="L105" s="173"/>
      <c r="M105" s="15" t="s">
        <v>88</v>
      </c>
      <c r="N105" s="47"/>
    </row>
    <row r="106" spans="1:14" s="94" customFormat="1" x14ac:dyDescent="0.2">
      <c r="A106" s="5"/>
      <c r="B106" s="159" t="s">
        <v>102</v>
      </c>
      <c r="C106" s="2" t="s">
        <v>43</v>
      </c>
      <c r="D106" s="180"/>
      <c r="E106" s="13" t="s">
        <v>88</v>
      </c>
      <c r="F106" s="175"/>
      <c r="G106" s="173"/>
      <c r="H106" s="15" t="s">
        <v>88</v>
      </c>
      <c r="I106" s="180"/>
      <c r="J106" s="13" t="s">
        <v>88</v>
      </c>
      <c r="K106" s="175"/>
      <c r="L106" s="173"/>
      <c r="M106" s="15" t="s">
        <v>88</v>
      </c>
      <c r="N106" s="47"/>
    </row>
    <row r="107" spans="1:14" s="94" customFormat="1" x14ac:dyDescent="0.2">
      <c r="A107" s="5"/>
      <c r="B107" s="159" t="s">
        <v>103</v>
      </c>
      <c r="C107" s="2" t="s">
        <v>43</v>
      </c>
      <c r="D107" s="180"/>
      <c r="E107" s="13" t="s">
        <v>88</v>
      </c>
      <c r="F107" s="175"/>
      <c r="G107" s="173"/>
      <c r="H107" s="15" t="s">
        <v>88</v>
      </c>
      <c r="I107" s="180"/>
      <c r="J107" s="13" t="s">
        <v>88</v>
      </c>
      <c r="K107" s="175"/>
      <c r="L107" s="173"/>
      <c r="M107" s="15" t="s">
        <v>88</v>
      </c>
      <c r="N107" s="47"/>
    </row>
    <row r="108" spans="1:14" s="94" customFormat="1" x14ac:dyDescent="0.2">
      <c r="A108" s="5"/>
      <c r="B108" s="159" t="s">
        <v>104</v>
      </c>
      <c r="C108" s="2" t="s">
        <v>43</v>
      </c>
      <c r="D108" s="180"/>
      <c r="E108" s="13" t="s">
        <v>88</v>
      </c>
      <c r="F108" s="175"/>
      <c r="G108" s="173"/>
      <c r="H108" s="15" t="s">
        <v>88</v>
      </c>
      <c r="I108" s="180"/>
      <c r="J108" s="13" t="s">
        <v>88</v>
      </c>
      <c r="K108" s="175"/>
      <c r="L108" s="173"/>
      <c r="M108" s="15" t="s">
        <v>88</v>
      </c>
      <c r="N108" s="47"/>
    </row>
    <row r="109" spans="1:14" s="94" customFormat="1" x14ac:dyDescent="0.2">
      <c r="A109" s="5"/>
      <c r="B109" s="163" t="s">
        <v>105</v>
      </c>
      <c r="C109" s="2" t="s">
        <v>43</v>
      </c>
      <c r="D109" s="180"/>
      <c r="E109" s="13" t="s">
        <v>88</v>
      </c>
      <c r="F109" s="175"/>
      <c r="G109" s="173"/>
      <c r="H109" s="15" t="s">
        <v>88</v>
      </c>
      <c r="I109" s="180"/>
      <c r="J109" s="13" t="s">
        <v>88</v>
      </c>
      <c r="K109" s="175"/>
      <c r="L109" s="173"/>
      <c r="M109" s="15" t="s">
        <v>88</v>
      </c>
      <c r="N109" s="47"/>
    </row>
    <row r="110" spans="1:14" s="94" customFormat="1" x14ac:dyDescent="0.2">
      <c r="A110" s="5"/>
      <c r="B110" s="163" t="s">
        <v>115</v>
      </c>
      <c r="C110" s="2" t="s">
        <v>43</v>
      </c>
      <c r="D110" s="180"/>
      <c r="E110" s="13" t="s">
        <v>88</v>
      </c>
      <c r="F110" s="175"/>
      <c r="G110" s="173"/>
      <c r="H110" s="15" t="s">
        <v>88</v>
      </c>
      <c r="I110" s="180"/>
      <c r="J110" s="13" t="s">
        <v>88</v>
      </c>
      <c r="K110" s="175"/>
      <c r="L110" s="173"/>
      <c r="M110" s="15" t="s">
        <v>88</v>
      </c>
      <c r="N110" s="47"/>
    </row>
    <row r="111" spans="1:14" x14ac:dyDescent="0.2">
      <c r="A111" s="4"/>
      <c r="B111" s="160" t="s">
        <v>117</v>
      </c>
      <c r="C111" s="2" t="s">
        <v>43</v>
      </c>
      <c r="D111" s="180"/>
      <c r="E111" s="13" t="s">
        <v>88</v>
      </c>
      <c r="F111" s="175"/>
      <c r="G111" s="173"/>
      <c r="H111" s="15" t="s">
        <v>88</v>
      </c>
      <c r="I111" s="180"/>
      <c r="J111" s="13" t="s">
        <v>88</v>
      </c>
      <c r="K111" s="175"/>
      <c r="L111" s="173"/>
      <c r="M111" s="15" t="s">
        <v>88</v>
      </c>
    </row>
    <row r="112" spans="1:14" ht="13.5" x14ac:dyDescent="0.2">
      <c r="A112" s="4"/>
      <c r="B112" s="3"/>
      <c r="C112" s="2"/>
      <c r="D112" s="104"/>
      <c r="E112" s="67"/>
      <c r="F112" s="67"/>
      <c r="G112" s="63"/>
      <c r="H112" s="96"/>
      <c r="I112" s="104"/>
      <c r="J112" s="67"/>
      <c r="K112" s="67"/>
      <c r="L112" s="67"/>
      <c r="M112" s="97"/>
    </row>
    <row r="113" spans="1:17" s="94" customFormat="1" ht="24" x14ac:dyDescent="0.2">
      <c r="A113" s="5">
        <v>18</v>
      </c>
      <c r="B113" s="98" t="s">
        <v>89</v>
      </c>
      <c r="C113" s="2" t="s">
        <v>43</v>
      </c>
      <c r="D113" s="179">
        <f>SUM(D114:D119)</f>
        <v>0</v>
      </c>
      <c r="E113" s="13" t="s">
        <v>88</v>
      </c>
      <c r="F113" s="174">
        <f>SUM(F114:F119)</f>
        <v>0</v>
      </c>
      <c r="G113" s="14">
        <f>IFERROR(F113*100/F113,0)</f>
        <v>0</v>
      </c>
      <c r="H113" s="15" t="s">
        <v>88</v>
      </c>
      <c r="I113" s="179">
        <f>SUM(I114:I119)</f>
        <v>0</v>
      </c>
      <c r="J113" s="13" t="s">
        <v>88</v>
      </c>
      <c r="K113" s="174">
        <f>SUM(K114:K119)</f>
        <v>0</v>
      </c>
      <c r="L113" s="14">
        <f>IFERROR(K113*100/K113,0)</f>
        <v>0</v>
      </c>
      <c r="M113" s="15" t="s">
        <v>88</v>
      </c>
      <c r="N113" s="47"/>
    </row>
    <row r="114" spans="1:17" x14ac:dyDescent="0.2">
      <c r="A114" s="4"/>
      <c r="B114" s="159" t="s">
        <v>73</v>
      </c>
      <c r="C114" s="2" t="s">
        <v>43</v>
      </c>
      <c r="D114" s="180"/>
      <c r="E114" s="13" t="s">
        <v>88</v>
      </c>
      <c r="F114" s="175"/>
      <c r="G114" s="103"/>
      <c r="H114" s="15" t="s">
        <v>88</v>
      </c>
      <c r="I114" s="180"/>
      <c r="J114" s="13" t="s">
        <v>88</v>
      </c>
      <c r="K114" s="175"/>
      <c r="L114" s="103"/>
      <c r="M114" s="15" t="s">
        <v>88</v>
      </c>
    </row>
    <row r="115" spans="1:17" x14ac:dyDescent="0.2">
      <c r="A115" s="4"/>
      <c r="B115" s="161" t="s">
        <v>107</v>
      </c>
      <c r="C115" s="2" t="s">
        <v>43</v>
      </c>
      <c r="D115" s="180"/>
      <c r="E115" s="13" t="s">
        <v>88</v>
      </c>
      <c r="F115" s="175"/>
      <c r="G115" s="103"/>
      <c r="H115" s="15" t="s">
        <v>88</v>
      </c>
      <c r="I115" s="180"/>
      <c r="J115" s="13" t="s">
        <v>88</v>
      </c>
      <c r="K115" s="175"/>
      <c r="L115" s="103"/>
      <c r="M115" s="15" t="s">
        <v>88</v>
      </c>
    </row>
    <row r="116" spans="1:17" x14ac:dyDescent="0.2">
      <c r="A116" s="4"/>
      <c r="B116" s="161" t="s">
        <v>108</v>
      </c>
      <c r="C116" s="2" t="s">
        <v>43</v>
      </c>
      <c r="D116" s="180"/>
      <c r="E116" s="13" t="s">
        <v>88</v>
      </c>
      <c r="F116" s="175"/>
      <c r="G116" s="103"/>
      <c r="H116" s="15" t="s">
        <v>88</v>
      </c>
      <c r="I116" s="180"/>
      <c r="J116" s="13" t="s">
        <v>88</v>
      </c>
      <c r="K116" s="175"/>
      <c r="L116" s="103"/>
      <c r="M116" s="15" t="s">
        <v>88</v>
      </c>
    </row>
    <row r="117" spans="1:17" x14ac:dyDescent="0.2">
      <c r="A117" s="4"/>
      <c r="B117" s="161" t="s">
        <v>109</v>
      </c>
      <c r="C117" s="2" t="s">
        <v>43</v>
      </c>
      <c r="D117" s="180"/>
      <c r="E117" s="13" t="s">
        <v>88</v>
      </c>
      <c r="F117" s="175"/>
      <c r="G117" s="103"/>
      <c r="H117" s="15" t="s">
        <v>88</v>
      </c>
      <c r="I117" s="180"/>
      <c r="J117" s="13" t="s">
        <v>88</v>
      </c>
      <c r="K117" s="175"/>
      <c r="L117" s="103"/>
      <c r="M117" s="15" t="s">
        <v>88</v>
      </c>
    </row>
    <row r="118" spans="1:17" x14ac:dyDescent="0.2">
      <c r="A118" s="4"/>
      <c r="B118" s="161" t="s">
        <v>110</v>
      </c>
      <c r="C118" s="2" t="s">
        <v>43</v>
      </c>
      <c r="D118" s="180"/>
      <c r="E118" s="13" t="s">
        <v>88</v>
      </c>
      <c r="F118" s="175"/>
      <c r="G118" s="103"/>
      <c r="H118" s="15" t="s">
        <v>88</v>
      </c>
      <c r="I118" s="180"/>
      <c r="J118" s="13" t="s">
        <v>88</v>
      </c>
      <c r="K118" s="175"/>
      <c r="L118" s="103"/>
      <c r="M118" s="15" t="s">
        <v>88</v>
      </c>
    </row>
    <row r="119" spans="1:17" x14ac:dyDescent="0.2">
      <c r="A119" s="4"/>
      <c r="B119" s="162" t="s">
        <v>111</v>
      </c>
      <c r="C119" s="2" t="s">
        <v>43</v>
      </c>
      <c r="D119" s="180"/>
      <c r="E119" s="13" t="s">
        <v>88</v>
      </c>
      <c r="F119" s="175"/>
      <c r="G119" s="103"/>
      <c r="H119" s="15" t="s">
        <v>88</v>
      </c>
      <c r="I119" s="180"/>
      <c r="J119" s="13" t="s">
        <v>88</v>
      </c>
      <c r="K119" s="175"/>
      <c r="L119" s="103"/>
      <c r="M119" s="15" t="s">
        <v>88</v>
      </c>
    </row>
    <row r="120" spans="1:17" ht="24" x14ac:dyDescent="0.2">
      <c r="A120" s="27">
        <v>19</v>
      </c>
      <c r="B120" s="87" t="s">
        <v>94</v>
      </c>
      <c r="C120" s="9" t="s">
        <v>43</v>
      </c>
      <c r="D120" s="187">
        <v>0</v>
      </c>
      <c r="E120" s="34" t="s">
        <v>88</v>
      </c>
      <c r="F120" s="188">
        <v>0</v>
      </c>
      <c r="G120" s="29">
        <f>IFERROR(F120*100/SUM(F120:F122),0)</f>
        <v>0</v>
      </c>
      <c r="H120" s="30" t="s">
        <v>88</v>
      </c>
      <c r="I120" s="187">
        <v>0</v>
      </c>
      <c r="J120" s="34" t="s">
        <v>88</v>
      </c>
      <c r="K120" s="188">
        <v>0</v>
      </c>
      <c r="L120" s="29">
        <f>IFERROR(K120*100/SUM(K120:K122),0)</f>
        <v>0</v>
      </c>
      <c r="M120" s="30" t="s">
        <v>88</v>
      </c>
    </row>
    <row r="121" spans="1:17" x14ac:dyDescent="0.2">
      <c r="A121" s="4"/>
      <c r="B121" s="3"/>
      <c r="C121" s="2"/>
      <c r="D121" s="179"/>
      <c r="E121" s="13"/>
      <c r="F121" s="175"/>
      <c r="G121" s="22"/>
      <c r="H121" s="21"/>
      <c r="I121" s="179"/>
      <c r="J121" s="13"/>
      <c r="K121" s="189"/>
      <c r="L121" s="22"/>
      <c r="M121" s="21"/>
    </row>
    <row r="122" spans="1:17" ht="24" x14ac:dyDescent="0.2">
      <c r="A122" s="5">
        <v>20</v>
      </c>
      <c r="B122" s="98" t="s">
        <v>95</v>
      </c>
      <c r="C122" s="16" t="s">
        <v>43</v>
      </c>
      <c r="D122" s="179">
        <f>SUM(D123:D129)</f>
        <v>0</v>
      </c>
      <c r="E122" s="18" t="s">
        <v>88</v>
      </c>
      <c r="F122" s="174">
        <f>SUM(F123:F129)</f>
        <v>0</v>
      </c>
      <c r="G122" s="12">
        <f>IFERROR(F122*100/SUM(F120:F122),0)</f>
        <v>0</v>
      </c>
      <c r="H122" s="21" t="s">
        <v>88</v>
      </c>
      <c r="I122" s="179">
        <f>SUM(I123:I129)</f>
        <v>0</v>
      </c>
      <c r="J122" s="18" t="s">
        <v>88</v>
      </c>
      <c r="K122" s="174">
        <f>SUM(K123:K129)</f>
        <v>0</v>
      </c>
      <c r="L122" s="12">
        <f>IFERROR(K122*100/SUM(K120:K122),0)</f>
        <v>0</v>
      </c>
      <c r="M122" s="21" t="s">
        <v>88</v>
      </c>
    </row>
    <row r="123" spans="1:17" x14ac:dyDescent="0.2">
      <c r="A123" s="4"/>
      <c r="B123" s="159" t="s">
        <v>73</v>
      </c>
      <c r="C123" s="2" t="s">
        <v>43</v>
      </c>
      <c r="D123" s="180"/>
      <c r="E123" s="13" t="s">
        <v>88</v>
      </c>
      <c r="F123" s="175"/>
      <c r="G123" s="103"/>
      <c r="H123" s="15" t="s">
        <v>88</v>
      </c>
      <c r="I123" s="180"/>
      <c r="J123" s="13" t="s">
        <v>88</v>
      </c>
      <c r="K123" s="175"/>
      <c r="L123" s="103"/>
      <c r="M123" s="15" t="s">
        <v>88</v>
      </c>
    </row>
    <row r="124" spans="1:17" ht="12.75" customHeight="1" x14ac:dyDescent="0.2">
      <c r="A124" s="4"/>
      <c r="B124" s="161" t="s">
        <v>107</v>
      </c>
      <c r="C124" s="2" t="s">
        <v>43</v>
      </c>
      <c r="D124" s="180"/>
      <c r="E124" s="13" t="s">
        <v>88</v>
      </c>
      <c r="F124" s="175"/>
      <c r="G124" s="103"/>
      <c r="H124" s="15" t="s">
        <v>88</v>
      </c>
      <c r="I124" s="180"/>
      <c r="J124" s="13" t="s">
        <v>88</v>
      </c>
      <c r="K124" s="175"/>
      <c r="L124" s="103"/>
      <c r="M124" s="15" t="s">
        <v>88</v>
      </c>
      <c r="Q124" s="106"/>
    </row>
    <row r="125" spans="1:17" ht="12.75" customHeight="1" x14ac:dyDescent="0.2">
      <c r="A125" s="4"/>
      <c r="B125" s="161" t="s">
        <v>112</v>
      </c>
      <c r="C125" s="2" t="s">
        <v>43</v>
      </c>
      <c r="D125" s="180"/>
      <c r="E125" s="13" t="s">
        <v>88</v>
      </c>
      <c r="F125" s="175"/>
      <c r="G125" s="103"/>
      <c r="H125" s="15" t="s">
        <v>88</v>
      </c>
      <c r="I125" s="180"/>
      <c r="J125" s="13" t="s">
        <v>88</v>
      </c>
      <c r="K125" s="175"/>
      <c r="L125" s="22"/>
      <c r="M125" s="15" t="s">
        <v>88</v>
      </c>
      <c r="Q125" s="106"/>
    </row>
    <row r="126" spans="1:17" ht="12.75" customHeight="1" x14ac:dyDescent="0.2">
      <c r="A126" s="4"/>
      <c r="B126" s="161" t="s">
        <v>113</v>
      </c>
      <c r="C126" s="2" t="s">
        <v>43</v>
      </c>
      <c r="D126" s="180"/>
      <c r="E126" s="13" t="s">
        <v>88</v>
      </c>
      <c r="F126" s="175"/>
      <c r="G126" s="103"/>
      <c r="H126" s="15" t="s">
        <v>88</v>
      </c>
      <c r="I126" s="180"/>
      <c r="J126" s="13" t="s">
        <v>88</v>
      </c>
      <c r="K126" s="175"/>
      <c r="L126" s="103"/>
      <c r="M126" s="15" t="s">
        <v>88</v>
      </c>
      <c r="Q126" s="106"/>
    </row>
    <row r="127" spans="1:17" ht="12.75" customHeight="1" x14ac:dyDescent="0.2">
      <c r="A127" s="4"/>
      <c r="B127" s="161" t="s">
        <v>109</v>
      </c>
      <c r="C127" s="2" t="s">
        <v>43</v>
      </c>
      <c r="D127" s="180"/>
      <c r="E127" s="13" t="s">
        <v>88</v>
      </c>
      <c r="F127" s="175"/>
      <c r="G127" s="103"/>
      <c r="H127" s="15" t="s">
        <v>88</v>
      </c>
      <c r="I127" s="180"/>
      <c r="J127" s="13" t="s">
        <v>88</v>
      </c>
      <c r="K127" s="175"/>
      <c r="L127" s="103"/>
      <c r="M127" s="15" t="s">
        <v>88</v>
      </c>
      <c r="Q127" s="106"/>
    </row>
    <row r="128" spans="1:17" ht="12.75" customHeight="1" x14ac:dyDescent="0.2">
      <c r="A128" s="4"/>
      <c r="B128" s="161" t="s">
        <v>114</v>
      </c>
      <c r="C128" s="2" t="s">
        <v>43</v>
      </c>
      <c r="D128" s="180"/>
      <c r="E128" s="13" t="s">
        <v>88</v>
      </c>
      <c r="F128" s="175"/>
      <c r="G128" s="103"/>
      <c r="H128" s="15" t="s">
        <v>88</v>
      </c>
      <c r="I128" s="180"/>
      <c r="J128" s="13" t="s">
        <v>88</v>
      </c>
      <c r="K128" s="175"/>
      <c r="L128" s="103"/>
      <c r="M128" s="15" t="s">
        <v>88</v>
      </c>
      <c r="Q128" s="106"/>
    </row>
    <row r="129" spans="1:17" ht="12.75" customHeight="1" x14ac:dyDescent="0.2">
      <c r="A129" s="4"/>
      <c r="B129" s="161" t="s">
        <v>110</v>
      </c>
      <c r="C129" s="2" t="s">
        <v>43</v>
      </c>
      <c r="D129" s="180"/>
      <c r="E129" s="13" t="s">
        <v>88</v>
      </c>
      <c r="F129" s="175"/>
      <c r="G129" s="103"/>
      <c r="H129" s="15" t="s">
        <v>88</v>
      </c>
      <c r="I129" s="180"/>
      <c r="J129" s="13" t="s">
        <v>88</v>
      </c>
      <c r="K129" s="175"/>
      <c r="L129" s="103"/>
      <c r="M129" s="15" t="s">
        <v>88</v>
      </c>
      <c r="Q129" s="106"/>
    </row>
    <row r="130" spans="1:17" ht="12.75" customHeight="1" x14ac:dyDescent="0.2">
      <c r="A130" s="4"/>
      <c r="B130" s="3"/>
      <c r="C130" s="2"/>
      <c r="D130" s="38"/>
      <c r="E130" s="13"/>
      <c r="F130" s="39"/>
      <c r="G130" s="22"/>
      <c r="H130" s="15"/>
      <c r="I130" s="38"/>
      <c r="J130" s="13"/>
      <c r="K130" s="39"/>
      <c r="L130" s="22"/>
      <c r="M130" s="15"/>
      <c r="Q130" s="106"/>
    </row>
    <row r="131" spans="1:17" ht="24.75" customHeight="1" x14ac:dyDescent="0.2">
      <c r="A131" s="5">
        <v>21</v>
      </c>
      <c r="B131" s="98" t="s">
        <v>96</v>
      </c>
      <c r="C131" s="2" t="s">
        <v>43</v>
      </c>
      <c r="D131" s="179">
        <f>SUM(D132:D138)+D141</f>
        <v>0</v>
      </c>
      <c r="E131" s="13" t="s">
        <v>88</v>
      </c>
      <c r="F131" s="178">
        <f>SUM(F132:F138)+F141</f>
        <v>0</v>
      </c>
      <c r="G131" s="172">
        <f>SUM(G132:G138,G141)</f>
        <v>0</v>
      </c>
      <c r="H131" s="15" t="s">
        <v>88</v>
      </c>
      <c r="I131" s="179">
        <f>SUM(I132:I138)+I141</f>
        <v>0</v>
      </c>
      <c r="J131" s="170" t="s">
        <v>88</v>
      </c>
      <c r="K131" s="174">
        <f>SUM(K132:K138)+K141</f>
        <v>0</v>
      </c>
      <c r="L131" s="172">
        <f>SUM(L132:L138,L141)</f>
        <v>0</v>
      </c>
      <c r="M131" s="15" t="s">
        <v>88</v>
      </c>
      <c r="Q131" s="106"/>
    </row>
    <row r="132" spans="1:17" ht="12.75" customHeight="1" x14ac:dyDescent="0.2">
      <c r="A132" s="4"/>
      <c r="B132" s="160" t="s">
        <v>79</v>
      </c>
      <c r="C132" s="2" t="s">
        <v>43</v>
      </c>
      <c r="D132" s="180"/>
      <c r="E132" s="13" t="s">
        <v>88</v>
      </c>
      <c r="F132" s="175"/>
      <c r="G132" s="173">
        <f>IFERROR(F132*100/F131,0)</f>
        <v>0</v>
      </c>
      <c r="H132" s="15" t="s">
        <v>88</v>
      </c>
      <c r="I132" s="180"/>
      <c r="J132" s="13" t="s">
        <v>88</v>
      </c>
      <c r="K132" s="175"/>
      <c r="L132" s="173">
        <f>IFERROR(K132*100/K131,0)</f>
        <v>0</v>
      </c>
      <c r="M132" s="15" t="s">
        <v>88</v>
      </c>
      <c r="Q132" s="106"/>
    </row>
    <row r="133" spans="1:17" ht="12.75" customHeight="1" x14ac:dyDescent="0.2">
      <c r="A133" s="4"/>
      <c r="B133" s="159" t="s">
        <v>106</v>
      </c>
      <c r="C133" s="2" t="s">
        <v>43</v>
      </c>
      <c r="D133" s="180"/>
      <c r="E133" s="13" t="s">
        <v>88</v>
      </c>
      <c r="F133" s="175"/>
      <c r="G133" s="173">
        <f>IFERROR(F133*100/F131,0)</f>
        <v>0</v>
      </c>
      <c r="H133" s="15" t="s">
        <v>88</v>
      </c>
      <c r="I133" s="180"/>
      <c r="J133" s="13" t="s">
        <v>88</v>
      </c>
      <c r="K133" s="175"/>
      <c r="L133" s="173">
        <f>IFERROR(K133*100/K131,0)</f>
        <v>0</v>
      </c>
      <c r="M133" s="15" t="s">
        <v>88</v>
      </c>
      <c r="Q133" s="106"/>
    </row>
    <row r="134" spans="1:17" ht="12.75" customHeight="1" x14ac:dyDescent="0.2">
      <c r="A134" s="4"/>
      <c r="B134" s="159" t="s">
        <v>100</v>
      </c>
      <c r="C134" s="2" t="s">
        <v>43</v>
      </c>
      <c r="D134" s="180"/>
      <c r="E134" s="13" t="s">
        <v>88</v>
      </c>
      <c r="F134" s="175"/>
      <c r="G134" s="173">
        <f>IFERROR(F134*100/F131,0)</f>
        <v>0</v>
      </c>
      <c r="H134" s="15" t="s">
        <v>88</v>
      </c>
      <c r="I134" s="180"/>
      <c r="J134" s="13" t="s">
        <v>88</v>
      </c>
      <c r="K134" s="175"/>
      <c r="L134" s="173">
        <f>IFERROR(K134*100/K131,0)</f>
        <v>0</v>
      </c>
      <c r="M134" s="15" t="s">
        <v>88</v>
      </c>
      <c r="Q134" s="106"/>
    </row>
    <row r="135" spans="1:17" ht="12.75" customHeight="1" x14ac:dyDescent="0.2">
      <c r="A135" s="4"/>
      <c r="B135" s="159" t="s">
        <v>101</v>
      </c>
      <c r="C135" s="2" t="s">
        <v>43</v>
      </c>
      <c r="D135" s="180"/>
      <c r="E135" s="13" t="s">
        <v>88</v>
      </c>
      <c r="F135" s="175"/>
      <c r="G135" s="173">
        <f>IFERROR(F135*100/F131,0)</f>
        <v>0</v>
      </c>
      <c r="H135" s="15" t="s">
        <v>88</v>
      </c>
      <c r="I135" s="180"/>
      <c r="J135" s="13" t="s">
        <v>88</v>
      </c>
      <c r="K135" s="175"/>
      <c r="L135" s="173">
        <f>IFERROR(K135*100/K131,0)</f>
        <v>0</v>
      </c>
      <c r="M135" s="15" t="s">
        <v>88</v>
      </c>
      <c r="Q135" s="106"/>
    </row>
    <row r="136" spans="1:17" ht="12.75" customHeight="1" x14ac:dyDescent="0.2">
      <c r="A136" s="4"/>
      <c r="B136" s="159" t="s">
        <v>102</v>
      </c>
      <c r="C136" s="2" t="s">
        <v>43</v>
      </c>
      <c r="D136" s="180"/>
      <c r="E136" s="13" t="s">
        <v>88</v>
      </c>
      <c r="F136" s="175"/>
      <c r="G136" s="173">
        <f>IFERROR(F136*100/F131,0)</f>
        <v>0</v>
      </c>
      <c r="H136" s="15" t="s">
        <v>88</v>
      </c>
      <c r="I136" s="180"/>
      <c r="J136" s="13" t="s">
        <v>88</v>
      </c>
      <c r="K136" s="175"/>
      <c r="L136" s="173">
        <f>IFERROR(K136*100/K131,0)</f>
        <v>0</v>
      </c>
      <c r="M136" s="15" t="s">
        <v>88</v>
      </c>
      <c r="Q136" s="106"/>
    </row>
    <row r="137" spans="1:17" ht="12.75" customHeight="1" x14ac:dyDescent="0.2">
      <c r="A137" s="4"/>
      <c r="B137" s="159" t="s">
        <v>103</v>
      </c>
      <c r="C137" s="2" t="s">
        <v>43</v>
      </c>
      <c r="D137" s="180"/>
      <c r="E137" s="13" t="s">
        <v>88</v>
      </c>
      <c r="F137" s="175"/>
      <c r="G137" s="173">
        <f>IFERROR(F137*100/F131,0)</f>
        <v>0</v>
      </c>
      <c r="H137" s="15" t="s">
        <v>88</v>
      </c>
      <c r="I137" s="180"/>
      <c r="J137" s="13" t="s">
        <v>88</v>
      </c>
      <c r="K137" s="175"/>
      <c r="L137" s="173">
        <f>IFERROR(K137*100/K131,0)</f>
        <v>0</v>
      </c>
      <c r="M137" s="15" t="s">
        <v>88</v>
      </c>
      <c r="Q137" s="106"/>
    </row>
    <row r="138" spans="1:17" ht="12.75" customHeight="1" x14ac:dyDescent="0.2">
      <c r="A138" s="4"/>
      <c r="B138" s="159" t="s">
        <v>104</v>
      </c>
      <c r="C138" s="2" t="s">
        <v>43</v>
      </c>
      <c r="D138" s="180"/>
      <c r="E138" s="13" t="s">
        <v>88</v>
      </c>
      <c r="F138" s="175"/>
      <c r="G138" s="173">
        <f>IFERROR(F138*100/F131,0)</f>
        <v>0</v>
      </c>
      <c r="H138" s="15" t="s">
        <v>88</v>
      </c>
      <c r="I138" s="180"/>
      <c r="J138" s="13" t="s">
        <v>88</v>
      </c>
      <c r="K138" s="175"/>
      <c r="L138" s="173">
        <f>IFERROR(K138*100/K131,0)</f>
        <v>0</v>
      </c>
      <c r="M138" s="15" t="s">
        <v>88</v>
      </c>
      <c r="Q138" s="106"/>
    </row>
    <row r="139" spans="1:17" x14ac:dyDescent="0.2">
      <c r="A139" s="4"/>
      <c r="B139" s="163" t="s">
        <v>105</v>
      </c>
      <c r="C139" s="2" t="s">
        <v>43</v>
      </c>
      <c r="D139" s="180"/>
      <c r="E139" s="13" t="s">
        <v>88</v>
      </c>
      <c r="F139" s="175"/>
      <c r="G139" s="173">
        <f>IFERROR(F139*100/F131,0)</f>
        <v>0</v>
      </c>
      <c r="H139" s="15" t="s">
        <v>88</v>
      </c>
      <c r="I139" s="180"/>
      <c r="J139" s="13" t="s">
        <v>88</v>
      </c>
      <c r="K139" s="175"/>
      <c r="L139" s="173">
        <f>IFERROR(K139*100/K131,0)</f>
        <v>0</v>
      </c>
      <c r="M139" s="15" t="s">
        <v>88</v>
      </c>
    </row>
    <row r="140" spans="1:17" x14ac:dyDescent="0.2">
      <c r="A140" s="4"/>
      <c r="B140" s="163" t="s">
        <v>115</v>
      </c>
      <c r="C140" s="2" t="s">
        <v>43</v>
      </c>
      <c r="D140" s="180"/>
      <c r="E140" s="13" t="s">
        <v>88</v>
      </c>
      <c r="F140" s="175"/>
      <c r="G140" s="173">
        <f>IFERROR(F140*100/F131,0)</f>
        <v>0</v>
      </c>
      <c r="H140" s="15" t="s">
        <v>88</v>
      </c>
      <c r="I140" s="180"/>
      <c r="J140" s="13" t="s">
        <v>88</v>
      </c>
      <c r="K140" s="175"/>
      <c r="L140" s="173">
        <f>IFERROR(K140*100/K131,0)</f>
        <v>0</v>
      </c>
      <c r="M140" s="15" t="s">
        <v>88</v>
      </c>
    </row>
    <row r="141" spans="1:17" x14ac:dyDescent="0.2">
      <c r="A141" s="4"/>
      <c r="B141" s="3" t="s">
        <v>116</v>
      </c>
      <c r="C141" s="2" t="s">
        <v>43</v>
      </c>
      <c r="D141" s="181"/>
      <c r="E141" s="13"/>
      <c r="F141" s="176"/>
      <c r="G141" s="173">
        <f>IFERROR(F141*100/F131,0)</f>
        <v>0</v>
      </c>
      <c r="H141" s="15"/>
      <c r="I141" s="181"/>
      <c r="J141" s="13"/>
      <c r="K141" s="176"/>
      <c r="L141" s="173">
        <f>IFERROR(K141*100/K131,0)</f>
        <v>0</v>
      </c>
      <c r="M141" s="15"/>
    </row>
    <row r="142" spans="1:17" x14ac:dyDescent="0.2">
      <c r="A142" s="4"/>
      <c r="B142" s="3"/>
      <c r="C142" s="2"/>
      <c r="D142" s="38"/>
      <c r="E142" s="13"/>
      <c r="F142" s="39"/>
      <c r="G142" s="103"/>
      <c r="H142" s="15"/>
      <c r="I142" s="38"/>
      <c r="J142" s="13"/>
      <c r="K142" s="39"/>
      <c r="L142" s="22"/>
      <c r="M142" s="15"/>
    </row>
    <row r="143" spans="1:17" ht="24" x14ac:dyDescent="0.2">
      <c r="A143" s="5">
        <v>22</v>
      </c>
      <c r="B143" s="98" t="s">
        <v>97</v>
      </c>
      <c r="C143" s="2" t="s">
        <v>43</v>
      </c>
      <c r="D143" s="179">
        <f>SUM(D144:D149)</f>
        <v>0</v>
      </c>
      <c r="E143" s="13" t="s">
        <v>88</v>
      </c>
      <c r="F143" s="174">
        <f>SUM(F144:F149)</f>
        <v>0</v>
      </c>
      <c r="G143" s="14">
        <f>SUM(G144:G149)</f>
        <v>0</v>
      </c>
      <c r="H143" s="15" t="s">
        <v>88</v>
      </c>
      <c r="I143" s="179">
        <f>SUM(I144:I149)</f>
        <v>0</v>
      </c>
      <c r="J143" s="13" t="s">
        <v>88</v>
      </c>
      <c r="K143" s="174">
        <f>SUM(K144:K149)</f>
        <v>0</v>
      </c>
      <c r="L143" s="14">
        <f>SUM(L144:L149)</f>
        <v>0</v>
      </c>
      <c r="M143" s="15" t="s">
        <v>88</v>
      </c>
    </row>
    <row r="144" spans="1:17" x14ac:dyDescent="0.2">
      <c r="A144" s="4"/>
      <c r="B144" s="159" t="s">
        <v>73</v>
      </c>
      <c r="C144" s="2" t="s">
        <v>43</v>
      </c>
      <c r="D144" s="180"/>
      <c r="E144" s="13" t="s">
        <v>88</v>
      </c>
      <c r="F144" s="175"/>
      <c r="G144" s="173">
        <f>IFERROR(F144*100/F143,0)</f>
        <v>0</v>
      </c>
      <c r="H144" s="15" t="s">
        <v>88</v>
      </c>
      <c r="I144" s="180"/>
      <c r="J144" s="13" t="s">
        <v>88</v>
      </c>
      <c r="K144" s="175"/>
      <c r="L144" s="173">
        <f>IFERROR(K144*100/K143,0)</f>
        <v>0</v>
      </c>
      <c r="M144" s="15" t="s">
        <v>88</v>
      </c>
    </row>
    <row r="145" spans="1:13" x14ac:dyDescent="0.2">
      <c r="A145" s="4"/>
      <c r="B145" s="161" t="s">
        <v>107</v>
      </c>
      <c r="C145" s="2" t="s">
        <v>43</v>
      </c>
      <c r="D145" s="180"/>
      <c r="E145" s="13" t="s">
        <v>88</v>
      </c>
      <c r="F145" s="175"/>
      <c r="G145" s="173">
        <f>IFERROR(F145*100/F143,0)</f>
        <v>0</v>
      </c>
      <c r="H145" s="15" t="s">
        <v>88</v>
      </c>
      <c r="I145" s="180"/>
      <c r="J145" s="13" t="s">
        <v>88</v>
      </c>
      <c r="K145" s="175"/>
      <c r="L145" s="173">
        <f>IFERROR(K145*100/K143,0)</f>
        <v>0</v>
      </c>
      <c r="M145" s="15" t="s">
        <v>88</v>
      </c>
    </row>
    <row r="146" spans="1:13" x14ac:dyDescent="0.2">
      <c r="A146" s="4"/>
      <c r="B146" s="161" t="s">
        <v>108</v>
      </c>
      <c r="C146" s="2" t="s">
        <v>43</v>
      </c>
      <c r="D146" s="180"/>
      <c r="E146" s="13" t="s">
        <v>88</v>
      </c>
      <c r="F146" s="175"/>
      <c r="G146" s="173">
        <f>IFERROR(F146*100/F143,0)</f>
        <v>0</v>
      </c>
      <c r="H146" s="15" t="s">
        <v>88</v>
      </c>
      <c r="I146" s="180"/>
      <c r="J146" s="13" t="s">
        <v>88</v>
      </c>
      <c r="K146" s="175"/>
      <c r="L146" s="173">
        <f>IFERROR(K146*100/K143,0)</f>
        <v>0</v>
      </c>
      <c r="M146" s="15" t="s">
        <v>88</v>
      </c>
    </row>
    <row r="147" spans="1:13" x14ac:dyDescent="0.2">
      <c r="A147" s="4"/>
      <c r="B147" s="161" t="s">
        <v>109</v>
      </c>
      <c r="C147" s="2" t="s">
        <v>43</v>
      </c>
      <c r="D147" s="180"/>
      <c r="E147" s="13" t="s">
        <v>88</v>
      </c>
      <c r="F147" s="175"/>
      <c r="G147" s="173">
        <f>IFERROR(F147*100/F143,0)</f>
        <v>0</v>
      </c>
      <c r="H147" s="15" t="s">
        <v>88</v>
      </c>
      <c r="I147" s="180"/>
      <c r="J147" s="13" t="s">
        <v>88</v>
      </c>
      <c r="K147" s="175"/>
      <c r="L147" s="173">
        <f>IFERROR(K147*100/K143,0)</f>
        <v>0</v>
      </c>
      <c r="M147" s="15" t="s">
        <v>88</v>
      </c>
    </row>
    <row r="148" spans="1:13" x14ac:dyDescent="0.2">
      <c r="A148" s="4"/>
      <c r="B148" s="161" t="s">
        <v>110</v>
      </c>
      <c r="C148" s="2" t="s">
        <v>43</v>
      </c>
      <c r="D148" s="180"/>
      <c r="E148" s="13" t="s">
        <v>88</v>
      </c>
      <c r="F148" s="175"/>
      <c r="G148" s="173">
        <f>IFERROR(F148*100/F143,0)</f>
        <v>0</v>
      </c>
      <c r="H148" s="15" t="s">
        <v>88</v>
      </c>
      <c r="I148" s="180"/>
      <c r="J148" s="13" t="s">
        <v>88</v>
      </c>
      <c r="K148" s="175"/>
      <c r="L148" s="173">
        <f>IFERROR(K148*100/K143,0)</f>
        <v>0</v>
      </c>
      <c r="M148" s="15" t="s">
        <v>88</v>
      </c>
    </row>
    <row r="149" spans="1:13" ht="13.5" thickBot="1" x14ac:dyDescent="0.25">
      <c r="A149" s="107"/>
      <c r="B149" s="162" t="s">
        <v>111</v>
      </c>
      <c r="C149" s="109" t="s">
        <v>43</v>
      </c>
      <c r="D149" s="183"/>
      <c r="E149" s="110" t="s">
        <v>88</v>
      </c>
      <c r="F149" s="184"/>
      <c r="G149" s="182">
        <f>IFERROR(F149*100/F143,0)</f>
        <v>0</v>
      </c>
      <c r="H149" s="111" t="s">
        <v>88</v>
      </c>
      <c r="I149" s="183"/>
      <c r="J149" s="110" t="s">
        <v>88</v>
      </c>
      <c r="K149" s="184"/>
      <c r="L149" s="182">
        <f>IFERROR(K149*100/K143,0)</f>
        <v>0</v>
      </c>
      <c r="M149" s="111" t="s">
        <v>88</v>
      </c>
    </row>
    <row r="150" spans="1:13" ht="37.5" customHeight="1" thickBot="1" x14ac:dyDescent="0.25">
      <c r="A150" s="23">
        <v>23</v>
      </c>
      <c r="B150" s="112" t="s">
        <v>98</v>
      </c>
      <c r="C150" s="24"/>
      <c r="D150" s="222"/>
      <c r="E150" s="223"/>
      <c r="F150" s="223"/>
      <c r="G150" s="223"/>
      <c r="H150" s="223"/>
      <c r="I150" s="223"/>
      <c r="J150" s="223"/>
      <c r="K150" s="223"/>
      <c r="L150" s="223"/>
      <c r="M150" s="224"/>
    </row>
  </sheetData>
  <mergeCells count="19">
    <mergeCell ref="D150:M150"/>
    <mergeCell ref="F4:F5"/>
    <mergeCell ref="G4:G5"/>
    <mergeCell ref="A1:M1"/>
    <mergeCell ref="I2:M2"/>
    <mergeCell ref="H4:H5"/>
    <mergeCell ref="J3:L3"/>
    <mergeCell ref="J4:J5"/>
    <mergeCell ref="D4:D5"/>
    <mergeCell ref="I4:I5"/>
    <mergeCell ref="M4:M5"/>
    <mergeCell ref="K4:K5"/>
    <mergeCell ref="L4:L5"/>
    <mergeCell ref="A2:A5"/>
    <mergeCell ref="B2:B5"/>
    <mergeCell ref="C2:C5"/>
    <mergeCell ref="D2:H2"/>
    <mergeCell ref="E3:G3"/>
    <mergeCell ref="E4:E5"/>
  </mergeCells>
  <conditionalFormatting sqref="Q124:Q138">
    <cfRule type="cellIs" dxfId="3" priority="1" stopIfTrue="1" operator="lessThan">
      <formula>0</formula>
    </cfRule>
  </conditionalFormatting>
  <conditionalFormatting sqref="A1">
    <cfRule type="cellIs" dxfId="2" priority="3" stopIfTrue="1" operator="lessThan">
      <formula>0</formula>
    </cfRule>
  </conditionalFormatting>
  <printOptions horizontalCentered="1"/>
  <pageMargins left="0.59055118110236227" right="0.39370078740157483" top="0.39370078740157483" bottom="0.39370078740157483" header="0" footer="0"/>
  <pageSetup paperSize="9" scale="3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U109"/>
  <sheetViews>
    <sheetView workbookViewId="0">
      <pane xSplit="3" ySplit="5" topLeftCell="D6" activePane="bottomRight" state="frozen"/>
      <selection pane="topRight"/>
      <selection pane="bottomLeft"/>
      <selection pane="bottomRight" sqref="A1:M1"/>
    </sheetView>
  </sheetViews>
  <sheetFormatPr defaultRowHeight="12" x14ac:dyDescent="0.2"/>
  <cols>
    <col min="1" max="1" width="4.85546875" style="6" customWidth="1"/>
    <col min="2" max="2" width="36.42578125" style="6" customWidth="1"/>
    <col min="3" max="3" width="9.7109375" style="6" customWidth="1"/>
    <col min="4" max="4" width="9.5703125" style="6" customWidth="1"/>
    <col min="5" max="7" width="10.5703125" style="6" customWidth="1"/>
    <col min="8" max="8" width="7.42578125" style="6" customWidth="1"/>
    <col min="9" max="9" width="9" style="6" customWidth="1"/>
    <col min="10" max="12" width="10.5703125" style="6" customWidth="1"/>
    <col min="13" max="13" width="7.42578125" style="6" customWidth="1"/>
    <col min="14" max="16384" width="9.140625" style="6"/>
  </cols>
  <sheetData>
    <row r="1" spans="1:21" ht="34.5" customHeight="1" thickBot="1" x14ac:dyDescent="0.25">
      <c r="A1" s="195" t="s">
        <v>59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46"/>
      <c r="O1" s="46"/>
      <c r="P1" s="158"/>
      <c r="Q1" s="158"/>
      <c r="R1" s="158"/>
      <c r="S1" s="158"/>
      <c r="T1" s="158"/>
      <c r="U1" s="158"/>
    </row>
    <row r="2" spans="1:21" ht="13.5" customHeight="1" x14ac:dyDescent="0.2">
      <c r="A2" s="210" t="s">
        <v>0</v>
      </c>
      <c r="B2" s="213" t="s">
        <v>1</v>
      </c>
      <c r="C2" s="216" t="s">
        <v>2</v>
      </c>
      <c r="D2" s="219" t="s">
        <v>60</v>
      </c>
      <c r="E2" s="220"/>
      <c r="F2" s="220"/>
      <c r="G2" s="220"/>
      <c r="H2" s="221"/>
      <c r="I2" s="196" t="s">
        <v>3</v>
      </c>
      <c r="J2" s="196"/>
      <c r="K2" s="196"/>
      <c r="L2" s="196"/>
      <c r="M2" s="196"/>
    </row>
    <row r="3" spans="1:21" ht="12.75" customHeight="1" x14ac:dyDescent="0.2">
      <c r="A3" s="211"/>
      <c r="B3" s="214"/>
      <c r="C3" s="217"/>
      <c r="D3" s="7" t="str">
        <f>N1&amp;" г."</f>
        <v xml:space="preserve"> г.</v>
      </c>
      <c r="E3" s="199">
        <f>O1</f>
        <v>0</v>
      </c>
      <c r="F3" s="200"/>
      <c r="G3" s="201"/>
      <c r="H3" s="8" t="s">
        <v>58</v>
      </c>
      <c r="I3" s="7" t="str">
        <f>N1&amp;" г."</f>
        <v xml:space="preserve"> г.</v>
      </c>
      <c r="J3" s="199">
        <f>O1</f>
        <v>0</v>
      </c>
      <c r="K3" s="200"/>
      <c r="L3" s="201"/>
      <c r="M3" s="8" t="s">
        <v>58</v>
      </c>
    </row>
    <row r="4" spans="1:21" ht="12.75" customHeight="1" x14ac:dyDescent="0.2">
      <c r="A4" s="211"/>
      <c r="B4" s="214"/>
      <c r="C4" s="217"/>
      <c r="D4" s="204" t="s">
        <v>5</v>
      </c>
      <c r="E4" s="202" t="s">
        <v>4</v>
      </c>
      <c r="F4" s="208" t="s">
        <v>5</v>
      </c>
      <c r="G4" s="202" t="s">
        <v>6</v>
      </c>
      <c r="H4" s="197" t="str">
        <f>N1&amp;" г."</f>
        <v xml:space="preserve"> г.</v>
      </c>
      <c r="I4" s="204" t="s">
        <v>5</v>
      </c>
      <c r="J4" s="202" t="s">
        <v>4</v>
      </c>
      <c r="K4" s="208" t="s">
        <v>5</v>
      </c>
      <c r="L4" s="202" t="s">
        <v>6</v>
      </c>
      <c r="M4" s="206" t="str">
        <f>O1&amp;" г."</f>
        <v xml:space="preserve"> г.</v>
      </c>
    </row>
    <row r="5" spans="1:21" ht="12.75" thickBot="1" x14ac:dyDescent="0.25">
      <c r="A5" s="212"/>
      <c r="B5" s="215"/>
      <c r="C5" s="218"/>
      <c r="D5" s="205"/>
      <c r="E5" s="203"/>
      <c r="F5" s="209"/>
      <c r="G5" s="203"/>
      <c r="H5" s="198"/>
      <c r="I5" s="205"/>
      <c r="J5" s="203"/>
      <c r="K5" s="209"/>
      <c r="L5" s="203"/>
      <c r="M5" s="207"/>
    </row>
    <row r="6" spans="1:21" x14ac:dyDescent="0.2">
      <c r="A6" s="3"/>
      <c r="B6" s="3"/>
      <c r="C6" s="1"/>
      <c r="D6" s="113"/>
      <c r="E6" s="45"/>
      <c r="F6" s="114"/>
      <c r="G6" s="45"/>
      <c r="H6" s="115"/>
      <c r="I6" s="113"/>
      <c r="J6" s="45"/>
      <c r="K6" s="114"/>
      <c r="L6" s="116"/>
      <c r="M6" s="117"/>
    </row>
    <row r="7" spans="1:21" ht="12.75" x14ac:dyDescent="0.2">
      <c r="A7" s="54">
        <v>1</v>
      </c>
      <c r="B7" s="54" t="s">
        <v>7</v>
      </c>
      <c r="C7" s="54" t="s">
        <v>8</v>
      </c>
      <c r="D7" s="118">
        <f>SUM(D8:D9)</f>
        <v>0</v>
      </c>
      <c r="E7" s="119">
        <f>SUM(E8:E9)</f>
        <v>0</v>
      </c>
      <c r="F7" s="20">
        <f>SUM(F8:F9)</f>
        <v>0</v>
      </c>
      <c r="G7" s="59">
        <f>IFERROR(F7/E7,0)</f>
        <v>0</v>
      </c>
      <c r="H7" s="60">
        <f>IFERROR(F7/D7,0)</f>
        <v>0</v>
      </c>
      <c r="I7" s="118">
        <f>SUM(I8:I9)</f>
        <v>0</v>
      </c>
      <c r="J7" s="119">
        <f>SUM(J8:J9)</f>
        <v>0</v>
      </c>
      <c r="K7" s="20">
        <f>SUM(K8:K9)</f>
        <v>0</v>
      </c>
      <c r="L7" s="59">
        <f>IFERROR(K7/J7,0)</f>
        <v>0</v>
      </c>
      <c r="M7" s="61">
        <f>IFERROR(K7/I7,0)</f>
        <v>0</v>
      </c>
    </row>
    <row r="8" spans="1:21" ht="12.75" x14ac:dyDescent="0.2">
      <c r="A8" s="120" t="s">
        <v>10</v>
      </c>
      <c r="B8" s="3" t="s">
        <v>44</v>
      </c>
      <c r="C8" s="3" t="s">
        <v>8</v>
      </c>
      <c r="D8" s="118"/>
      <c r="E8" s="121"/>
      <c r="F8" s="22"/>
      <c r="G8" s="59">
        <f t="shared" ref="G8:G41" si="0">IFERROR(F8/E8,0)</f>
        <v>0</v>
      </c>
      <c r="H8" s="60">
        <f t="shared" ref="H8:H47" si="1">IFERROR(F8/D8,0)</f>
        <v>0</v>
      </c>
      <c r="I8" s="122"/>
      <c r="J8" s="121"/>
      <c r="K8" s="22"/>
      <c r="L8" s="59">
        <f t="shared" ref="L8:L41" si="2">IFERROR(K8/J8,0)</f>
        <v>0</v>
      </c>
      <c r="M8" s="61">
        <f t="shared" ref="M8:M47" si="3">IFERROR(K8/I8,0)</f>
        <v>0</v>
      </c>
    </row>
    <row r="9" spans="1:21" ht="12.75" x14ac:dyDescent="0.2">
      <c r="A9" s="120" t="s">
        <v>10</v>
      </c>
      <c r="B9" s="3" t="s">
        <v>45</v>
      </c>
      <c r="C9" s="3" t="s">
        <v>8</v>
      </c>
      <c r="D9" s="118"/>
      <c r="E9" s="121"/>
      <c r="F9" s="22"/>
      <c r="G9" s="59">
        <f t="shared" si="0"/>
        <v>0</v>
      </c>
      <c r="H9" s="60">
        <f t="shared" si="1"/>
        <v>0</v>
      </c>
      <c r="I9" s="122"/>
      <c r="J9" s="121"/>
      <c r="K9" s="22"/>
      <c r="L9" s="59">
        <f t="shared" si="2"/>
        <v>0</v>
      </c>
      <c r="M9" s="61">
        <f t="shared" si="3"/>
        <v>0</v>
      </c>
    </row>
    <row r="10" spans="1:21" ht="12.75" x14ac:dyDescent="0.2">
      <c r="A10" s="120" t="s">
        <v>10</v>
      </c>
      <c r="B10" s="3"/>
      <c r="C10" s="3"/>
      <c r="D10" s="118"/>
      <c r="E10" s="121"/>
      <c r="F10" s="22"/>
      <c r="G10" s="59"/>
      <c r="H10" s="60"/>
      <c r="I10" s="122"/>
      <c r="J10" s="121"/>
      <c r="K10" s="22"/>
      <c r="L10" s="59"/>
      <c r="M10" s="61"/>
    </row>
    <row r="11" spans="1:21" ht="12.75" x14ac:dyDescent="0.2">
      <c r="A11" s="123" t="s">
        <v>46</v>
      </c>
      <c r="B11" s="54" t="s">
        <v>47</v>
      </c>
      <c r="C11" s="54" t="s">
        <v>8</v>
      </c>
      <c r="D11" s="124">
        <f>SUM(D12:D13)</f>
        <v>0</v>
      </c>
      <c r="E11" s="20">
        <f t="shared" ref="E11:F11" si="4">SUM(E12:E13)</f>
        <v>0</v>
      </c>
      <c r="F11" s="125">
        <f t="shared" si="4"/>
        <v>0</v>
      </c>
      <c r="G11" s="59">
        <f t="shared" si="0"/>
        <v>0</v>
      </c>
      <c r="H11" s="60">
        <f t="shared" si="1"/>
        <v>0</v>
      </c>
      <c r="I11" s="124">
        <f>SUM(I12:I13)</f>
        <v>0</v>
      </c>
      <c r="J11" s="20">
        <f t="shared" ref="J11" si="5">SUM(J12:J13)</f>
        <v>0</v>
      </c>
      <c r="K11" s="125">
        <f t="shared" ref="K11" si="6">SUM(K12:K13)</f>
        <v>0</v>
      </c>
      <c r="L11" s="59">
        <f t="shared" si="2"/>
        <v>0</v>
      </c>
      <c r="M11" s="61">
        <f t="shared" si="3"/>
        <v>0</v>
      </c>
    </row>
    <row r="12" spans="1:21" ht="12.75" x14ac:dyDescent="0.2">
      <c r="A12" s="3"/>
      <c r="B12" s="3" t="s">
        <v>44</v>
      </c>
      <c r="C12" s="3" t="s">
        <v>8</v>
      </c>
      <c r="D12" s="118"/>
      <c r="E12" s="121"/>
      <c r="F12" s="22"/>
      <c r="G12" s="59">
        <f t="shared" si="0"/>
        <v>0</v>
      </c>
      <c r="H12" s="60">
        <f t="shared" si="1"/>
        <v>0</v>
      </c>
      <c r="I12" s="122"/>
      <c r="J12" s="121"/>
      <c r="K12" s="22"/>
      <c r="L12" s="59">
        <f t="shared" si="2"/>
        <v>0</v>
      </c>
      <c r="M12" s="61">
        <f t="shared" si="3"/>
        <v>0</v>
      </c>
    </row>
    <row r="13" spans="1:21" ht="12.75" x14ac:dyDescent="0.2">
      <c r="A13" s="3"/>
      <c r="B13" s="3" t="s">
        <v>45</v>
      </c>
      <c r="C13" s="3" t="s">
        <v>8</v>
      </c>
      <c r="D13" s="118"/>
      <c r="E13" s="121"/>
      <c r="F13" s="22"/>
      <c r="G13" s="59">
        <f t="shared" si="0"/>
        <v>0</v>
      </c>
      <c r="H13" s="60">
        <f t="shared" si="1"/>
        <v>0</v>
      </c>
      <c r="I13" s="122"/>
      <c r="J13" s="121"/>
      <c r="K13" s="22"/>
      <c r="L13" s="59">
        <f t="shared" si="2"/>
        <v>0</v>
      </c>
      <c r="M13" s="61">
        <f t="shared" si="3"/>
        <v>0</v>
      </c>
    </row>
    <row r="14" spans="1:21" ht="12.75" x14ac:dyDescent="0.2">
      <c r="A14" s="3"/>
      <c r="B14" s="3"/>
      <c r="C14" s="1"/>
      <c r="D14" s="118"/>
      <c r="E14" s="121"/>
      <c r="F14" s="22"/>
      <c r="G14" s="59"/>
      <c r="H14" s="60"/>
      <c r="I14" s="122"/>
      <c r="J14" s="121"/>
      <c r="K14" s="22"/>
      <c r="L14" s="59"/>
      <c r="M14" s="61"/>
    </row>
    <row r="15" spans="1:21" ht="12.75" x14ac:dyDescent="0.2">
      <c r="A15" s="123" t="s">
        <v>48</v>
      </c>
      <c r="B15" s="54" t="s">
        <v>14</v>
      </c>
      <c r="C15" s="98" t="s">
        <v>15</v>
      </c>
      <c r="D15" s="124">
        <f>SUM(D16:D17)</f>
        <v>0</v>
      </c>
      <c r="E15" s="20">
        <f t="shared" ref="E15" si="7">SUM(E16:E17)</f>
        <v>0</v>
      </c>
      <c r="F15" s="125">
        <f t="shared" ref="F15" si="8">SUM(F16:F17)</f>
        <v>0</v>
      </c>
      <c r="G15" s="59">
        <f t="shared" si="0"/>
        <v>0</v>
      </c>
      <c r="H15" s="60">
        <f t="shared" si="1"/>
        <v>0</v>
      </c>
      <c r="I15" s="124">
        <f>SUM(I16:I17)</f>
        <v>0</v>
      </c>
      <c r="J15" s="20">
        <f t="shared" ref="J15" si="9">SUM(J16:J17)</f>
        <v>0</v>
      </c>
      <c r="K15" s="125">
        <f t="shared" ref="K15" si="10">SUM(K16:K17)</f>
        <v>0</v>
      </c>
      <c r="L15" s="59">
        <f t="shared" si="2"/>
        <v>0</v>
      </c>
      <c r="M15" s="61">
        <f t="shared" si="3"/>
        <v>0</v>
      </c>
    </row>
    <row r="16" spans="1:21" ht="12.75" x14ac:dyDescent="0.2">
      <c r="A16" s="3"/>
      <c r="B16" s="3" t="s">
        <v>44</v>
      </c>
      <c r="C16" s="1" t="s">
        <v>15</v>
      </c>
      <c r="D16" s="118"/>
      <c r="E16" s="121"/>
      <c r="F16" s="22"/>
      <c r="G16" s="59">
        <f t="shared" si="0"/>
        <v>0</v>
      </c>
      <c r="H16" s="60">
        <f t="shared" si="1"/>
        <v>0</v>
      </c>
      <c r="I16" s="122"/>
      <c r="J16" s="121"/>
      <c r="K16" s="22"/>
      <c r="L16" s="59">
        <f t="shared" si="2"/>
        <v>0</v>
      </c>
      <c r="M16" s="61">
        <f t="shared" si="3"/>
        <v>0</v>
      </c>
    </row>
    <row r="17" spans="1:13" ht="12.75" x14ac:dyDescent="0.2">
      <c r="A17" s="3"/>
      <c r="B17" s="3" t="s">
        <v>45</v>
      </c>
      <c r="C17" s="1" t="s">
        <v>15</v>
      </c>
      <c r="D17" s="118"/>
      <c r="E17" s="121"/>
      <c r="F17" s="22"/>
      <c r="G17" s="59">
        <f t="shared" si="0"/>
        <v>0</v>
      </c>
      <c r="H17" s="60">
        <f t="shared" si="1"/>
        <v>0</v>
      </c>
      <c r="I17" s="122"/>
      <c r="J17" s="121"/>
      <c r="K17" s="22"/>
      <c r="L17" s="59">
        <f t="shared" si="2"/>
        <v>0</v>
      </c>
      <c r="M17" s="61">
        <f t="shared" si="3"/>
        <v>0</v>
      </c>
    </row>
    <row r="18" spans="1:13" ht="12.75" x14ac:dyDescent="0.2">
      <c r="A18" s="3"/>
      <c r="B18" s="3"/>
      <c r="C18" s="1"/>
      <c r="D18" s="118"/>
      <c r="E18" s="121"/>
      <c r="F18" s="22"/>
      <c r="G18" s="59"/>
      <c r="H18" s="60"/>
      <c r="I18" s="122"/>
      <c r="J18" s="121"/>
      <c r="K18" s="22"/>
      <c r="L18" s="59"/>
      <c r="M18" s="61"/>
    </row>
    <row r="19" spans="1:13" ht="12.75" x14ac:dyDescent="0.2">
      <c r="A19" s="54">
        <v>3</v>
      </c>
      <c r="B19" s="54" t="s">
        <v>17</v>
      </c>
      <c r="C19" s="98" t="s">
        <v>15</v>
      </c>
      <c r="D19" s="124">
        <f>SUM(D20:D21)</f>
        <v>0</v>
      </c>
      <c r="E19" s="20">
        <f t="shared" ref="E19" si="11">SUM(E20:E21)</f>
        <v>0</v>
      </c>
      <c r="F19" s="125">
        <f t="shared" ref="F19" si="12">SUM(F20:F21)</f>
        <v>0</v>
      </c>
      <c r="G19" s="59">
        <f t="shared" si="0"/>
        <v>0</v>
      </c>
      <c r="H19" s="60">
        <f t="shared" si="1"/>
        <v>0</v>
      </c>
      <c r="I19" s="124">
        <f>SUM(I20:I21)</f>
        <v>0</v>
      </c>
      <c r="J19" s="20">
        <f t="shared" ref="J19" si="13">SUM(J20:J21)</f>
        <v>0</v>
      </c>
      <c r="K19" s="125">
        <f t="shared" ref="K19" si="14">SUM(K20:K21)</f>
        <v>0</v>
      </c>
      <c r="L19" s="59">
        <f t="shared" si="2"/>
        <v>0</v>
      </c>
      <c r="M19" s="61">
        <f t="shared" si="3"/>
        <v>0</v>
      </c>
    </row>
    <row r="20" spans="1:13" ht="12.75" x14ac:dyDescent="0.2">
      <c r="A20" s="3"/>
      <c r="B20" s="3" t="s">
        <v>44</v>
      </c>
      <c r="C20" s="1" t="s">
        <v>15</v>
      </c>
      <c r="D20" s="118"/>
      <c r="E20" s="121"/>
      <c r="F20" s="22"/>
      <c r="G20" s="59">
        <f t="shared" si="0"/>
        <v>0</v>
      </c>
      <c r="H20" s="60">
        <f t="shared" si="1"/>
        <v>0</v>
      </c>
      <c r="I20" s="122"/>
      <c r="J20" s="121"/>
      <c r="K20" s="22"/>
      <c r="L20" s="59">
        <f t="shared" si="2"/>
        <v>0</v>
      </c>
      <c r="M20" s="61">
        <f t="shared" si="3"/>
        <v>0</v>
      </c>
    </row>
    <row r="21" spans="1:13" ht="12.75" x14ac:dyDescent="0.2">
      <c r="A21" s="3"/>
      <c r="B21" s="3" t="s">
        <v>45</v>
      </c>
      <c r="C21" s="1" t="s">
        <v>15</v>
      </c>
      <c r="D21" s="118"/>
      <c r="E21" s="121"/>
      <c r="F21" s="22"/>
      <c r="G21" s="59">
        <f t="shared" si="0"/>
        <v>0</v>
      </c>
      <c r="H21" s="60">
        <f t="shared" si="1"/>
        <v>0</v>
      </c>
      <c r="I21" s="122"/>
      <c r="J21" s="121"/>
      <c r="K21" s="22"/>
      <c r="L21" s="59">
        <f t="shared" si="2"/>
        <v>0</v>
      </c>
      <c r="M21" s="61">
        <f t="shared" si="3"/>
        <v>0</v>
      </c>
    </row>
    <row r="22" spans="1:13" ht="12.75" x14ac:dyDescent="0.2">
      <c r="A22" s="3"/>
      <c r="B22" s="3"/>
      <c r="C22" s="3"/>
      <c r="D22" s="118"/>
      <c r="E22" s="121"/>
      <c r="F22" s="22"/>
      <c r="G22" s="59"/>
      <c r="H22" s="60"/>
      <c r="I22" s="122"/>
      <c r="J22" s="121"/>
      <c r="K22" s="22"/>
      <c r="L22" s="59"/>
      <c r="M22" s="61"/>
    </row>
    <row r="23" spans="1:13" ht="12.75" x14ac:dyDescent="0.2">
      <c r="A23" s="54">
        <v>4</v>
      </c>
      <c r="B23" s="54" t="s">
        <v>22</v>
      </c>
      <c r="C23" s="98"/>
      <c r="D23" s="118"/>
      <c r="E23" s="121"/>
      <c r="F23" s="22"/>
      <c r="G23" s="59"/>
      <c r="H23" s="60"/>
      <c r="I23" s="122"/>
      <c r="J23" s="121"/>
      <c r="K23" s="22"/>
      <c r="L23" s="59"/>
      <c r="M23" s="61"/>
    </row>
    <row r="24" spans="1:13" ht="12.75" x14ac:dyDescent="0.2">
      <c r="A24" s="5" t="s">
        <v>49</v>
      </c>
      <c r="B24" s="54" t="s">
        <v>24</v>
      </c>
      <c r="C24" s="16" t="s">
        <v>25</v>
      </c>
      <c r="D24" s="118"/>
      <c r="E24" s="20"/>
      <c r="F24" s="20"/>
      <c r="G24" s="59">
        <f t="shared" si="0"/>
        <v>0</v>
      </c>
      <c r="H24" s="60">
        <f t="shared" si="1"/>
        <v>0</v>
      </c>
      <c r="I24" s="118"/>
      <c r="J24" s="20"/>
      <c r="K24" s="20"/>
      <c r="L24" s="59">
        <f t="shared" si="2"/>
        <v>0</v>
      </c>
      <c r="M24" s="61">
        <f t="shared" si="3"/>
        <v>0</v>
      </c>
    </row>
    <row r="25" spans="1:13" ht="12.75" x14ac:dyDescent="0.2">
      <c r="A25" s="3"/>
      <c r="B25" s="3" t="s">
        <v>44</v>
      </c>
      <c r="C25" s="1" t="s">
        <v>25</v>
      </c>
      <c r="D25" s="118"/>
      <c r="E25" s="121"/>
      <c r="F25" s="22"/>
      <c r="G25" s="59">
        <f t="shared" si="0"/>
        <v>0</v>
      </c>
      <c r="H25" s="60">
        <f t="shared" si="1"/>
        <v>0</v>
      </c>
      <c r="I25" s="122"/>
      <c r="J25" s="121"/>
      <c r="K25" s="22"/>
      <c r="L25" s="59">
        <f t="shared" si="2"/>
        <v>0</v>
      </c>
      <c r="M25" s="61">
        <f t="shared" si="3"/>
        <v>0</v>
      </c>
    </row>
    <row r="26" spans="1:13" ht="12.75" x14ac:dyDescent="0.2">
      <c r="A26" s="3"/>
      <c r="B26" s="3" t="s">
        <v>45</v>
      </c>
      <c r="C26" s="1" t="s">
        <v>25</v>
      </c>
      <c r="D26" s="118"/>
      <c r="E26" s="121"/>
      <c r="F26" s="22"/>
      <c r="G26" s="59">
        <f t="shared" si="0"/>
        <v>0</v>
      </c>
      <c r="H26" s="60">
        <f t="shared" si="1"/>
        <v>0</v>
      </c>
      <c r="I26" s="122"/>
      <c r="J26" s="121"/>
      <c r="K26" s="22"/>
      <c r="L26" s="59">
        <f t="shared" si="2"/>
        <v>0</v>
      </c>
      <c r="M26" s="61">
        <f t="shared" si="3"/>
        <v>0</v>
      </c>
    </row>
    <row r="27" spans="1:13" ht="12.75" x14ac:dyDescent="0.2">
      <c r="A27" s="3"/>
      <c r="B27" s="3"/>
      <c r="C27" s="1"/>
      <c r="D27" s="118"/>
      <c r="E27" s="121"/>
      <c r="F27" s="22"/>
      <c r="G27" s="59"/>
      <c r="H27" s="60"/>
      <c r="I27" s="122"/>
      <c r="J27" s="121"/>
      <c r="K27" s="22"/>
      <c r="L27" s="59"/>
      <c r="M27" s="61"/>
    </row>
    <row r="28" spans="1:13" ht="12.75" x14ac:dyDescent="0.2">
      <c r="A28" s="5" t="s">
        <v>50</v>
      </c>
      <c r="B28" s="54" t="s">
        <v>27</v>
      </c>
      <c r="C28" s="16" t="s">
        <v>25</v>
      </c>
      <c r="D28" s="118"/>
      <c r="E28" s="20"/>
      <c r="F28" s="20"/>
      <c r="G28" s="59">
        <f t="shared" si="0"/>
        <v>0</v>
      </c>
      <c r="H28" s="60">
        <f t="shared" si="1"/>
        <v>0</v>
      </c>
      <c r="I28" s="118"/>
      <c r="J28" s="20"/>
      <c r="K28" s="20"/>
      <c r="L28" s="59">
        <f t="shared" si="2"/>
        <v>0</v>
      </c>
      <c r="M28" s="61">
        <f t="shared" si="3"/>
        <v>0</v>
      </c>
    </row>
    <row r="29" spans="1:13" ht="12.75" x14ac:dyDescent="0.2">
      <c r="A29" s="5"/>
      <c r="B29" s="3" t="s">
        <v>44</v>
      </c>
      <c r="C29" s="1" t="s">
        <v>25</v>
      </c>
      <c r="D29" s="118"/>
      <c r="E29" s="121"/>
      <c r="F29" s="22"/>
      <c r="G29" s="59">
        <f t="shared" si="0"/>
        <v>0</v>
      </c>
      <c r="H29" s="60">
        <f t="shared" si="1"/>
        <v>0</v>
      </c>
      <c r="I29" s="122"/>
      <c r="J29" s="121"/>
      <c r="K29" s="22"/>
      <c r="L29" s="59">
        <f t="shared" si="2"/>
        <v>0</v>
      </c>
      <c r="M29" s="61">
        <f t="shared" si="3"/>
        <v>0</v>
      </c>
    </row>
    <row r="30" spans="1:13" ht="12.75" x14ac:dyDescent="0.2">
      <c r="A30" s="3"/>
      <c r="B30" s="3" t="s">
        <v>45</v>
      </c>
      <c r="C30" s="1" t="s">
        <v>25</v>
      </c>
      <c r="D30" s="118"/>
      <c r="E30" s="121"/>
      <c r="F30" s="22"/>
      <c r="G30" s="59">
        <f t="shared" si="0"/>
        <v>0</v>
      </c>
      <c r="H30" s="60">
        <f t="shared" si="1"/>
        <v>0</v>
      </c>
      <c r="I30" s="122"/>
      <c r="J30" s="121"/>
      <c r="K30" s="22"/>
      <c r="L30" s="59">
        <f t="shared" si="2"/>
        <v>0</v>
      </c>
      <c r="M30" s="61">
        <f t="shared" si="3"/>
        <v>0</v>
      </c>
    </row>
    <row r="31" spans="1:13" ht="12.75" x14ac:dyDescent="0.2">
      <c r="A31" s="3"/>
      <c r="B31" s="3"/>
      <c r="C31" s="1"/>
      <c r="D31" s="118"/>
      <c r="E31" s="126"/>
      <c r="F31" s="22"/>
      <c r="G31" s="59"/>
      <c r="H31" s="60"/>
      <c r="I31" s="122"/>
      <c r="J31" s="126"/>
      <c r="K31" s="22"/>
      <c r="L31" s="59"/>
      <c r="M31" s="61"/>
    </row>
    <row r="32" spans="1:13" ht="12.75" x14ac:dyDescent="0.2">
      <c r="A32" s="54">
        <v>5</v>
      </c>
      <c r="B32" s="54" t="s">
        <v>28</v>
      </c>
      <c r="C32" s="98" t="s">
        <v>29</v>
      </c>
      <c r="D32" s="17"/>
      <c r="E32" s="126"/>
      <c r="F32" s="19"/>
      <c r="G32" s="59">
        <f t="shared" si="0"/>
        <v>0</v>
      </c>
      <c r="H32" s="60">
        <f t="shared" si="1"/>
        <v>0</v>
      </c>
      <c r="I32" s="17"/>
      <c r="J32" s="126"/>
      <c r="K32" s="19"/>
      <c r="L32" s="59">
        <f t="shared" si="2"/>
        <v>0</v>
      </c>
      <c r="M32" s="61">
        <f t="shared" si="3"/>
        <v>0</v>
      </c>
    </row>
    <row r="33" spans="1:15" ht="12.75" x14ac:dyDescent="0.2">
      <c r="A33" s="3"/>
      <c r="B33" s="73" t="s">
        <v>61</v>
      </c>
      <c r="C33" s="1" t="s">
        <v>29</v>
      </c>
      <c r="D33" s="17"/>
      <c r="E33" s="126"/>
      <c r="F33" s="129"/>
      <c r="G33" s="59">
        <f t="shared" si="0"/>
        <v>0</v>
      </c>
      <c r="H33" s="60">
        <f t="shared" si="1"/>
        <v>0</v>
      </c>
      <c r="I33" s="17"/>
      <c r="J33" s="126"/>
      <c r="K33" s="129"/>
      <c r="L33" s="59">
        <f t="shared" si="2"/>
        <v>0</v>
      </c>
      <c r="M33" s="61">
        <f t="shared" si="3"/>
        <v>0</v>
      </c>
    </row>
    <row r="34" spans="1:15" ht="12.75" x14ac:dyDescent="0.2">
      <c r="A34" s="3"/>
      <c r="B34" s="73"/>
      <c r="C34" s="1"/>
      <c r="D34" s="118"/>
      <c r="E34" s="127"/>
      <c r="F34" s="22"/>
      <c r="G34" s="59"/>
      <c r="H34" s="60"/>
      <c r="I34" s="122"/>
      <c r="J34" s="127"/>
      <c r="K34" s="22"/>
      <c r="L34" s="59"/>
      <c r="M34" s="61"/>
    </row>
    <row r="35" spans="1:15" ht="12.75" x14ac:dyDescent="0.2">
      <c r="A35" s="5">
        <v>6</v>
      </c>
      <c r="B35" s="54" t="s">
        <v>67</v>
      </c>
      <c r="C35" s="2" t="s">
        <v>68</v>
      </c>
      <c r="D35" s="42"/>
      <c r="E35" s="40"/>
      <c r="F35" s="44"/>
      <c r="G35" s="59">
        <f t="shared" si="0"/>
        <v>0</v>
      </c>
      <c r="H35" s="60">
        <f t="shared" si="1"/>
        <v>0</v>
      </c>
      <c r="I35" s="42"/>
      <c r="J35" s="40"/>
      <c r="K35" s="44"/>
      <c r="L35" s="59">
        <f t="shared" si="2"/>
        <v>0</v>
      </c>
      <c r="M35" s="61">
        <f t="shared" si="3"/>
        <v>0</v>
      </c>
    </row>
    <row r="36" spans="1:15" ht="12.75" x14ac:dyDescent="0.2">
      <c r="A36" s="128"/>
      <c r="B36" s="3" t="s">
        <v>44</v>
      </c>
      <c r="C36" s="1" t="s">
        <v>68</v>
      </c>
      <c r="D36" s="42"/>
      <c r="E36" s="40"/>
      <c r="F36" s="44"/>
      <c r="G36" s="59">
        <f t="shared" si="0"/>
        <v>0</v>
      </c>
      <c r="H36" s="60">
        <f t="shared" si="1"/>
        <v>0</v>
      </c>
      <c r="I36" s="42"/>
      <c r="J36" s="40"/>
      <c r="K36" s="44"/>
      <c r="L36" s="59">
        <f t="shared" si="2"/>
        <v>0</v>
      </c>
      <c r="M36" s="61">
        <f t="shared" si="3"/>
        <v>0</v>
      </c>
    </row>
    <row r="37" spans="1:15" ht="12.75" x14ac:dyDescent="0.2">
      <c r="A37" s="4"/>
      <c r="B37" s="3" t="s">
        <v>45</v>
      </c>
      <c r="C37" s="1" t="s">
        <v>68</v>
      </c>
      <c r="D37" s="42"/>
      <c r="E37" s="40"/>
      <c r="F37" s="44"/>
      <c r="G37" s="59">
        <f t="shared" si="0"/>
        <v>0</v>
      </c>
      <c r="H37" s="60">
        <f t="shared" si="1"/>
        <v>0</v>
      </c>
      <c r="I37" s="42"/>
      <c r="J37" s="40"/>
      <c r="K37" s="44"/>
      <c r="L37" s="59">
        <f t="shared" si="2"/>
        <v>0</v>
      </c>
      <c r="M37" s="61">
        <f t="shared" si="3"/>
        <v>0</v>
      </c>
    </row>
    <row r="38" spans="1:15" ht="12.75" x14ac:dyDescent="0.2">
      <c r="A38" s="3"/>
      <c r="B38" s="3"/>
      <c r="C38" s="1"/>
      <c r="D38" s="118"/>
      <c r="E38" s="126"/>
      <c r="F38" s="129"/>
      <c r="G38" s="59"/>
      <c r="H38" s="60"/>
      <c r="I38" s="130"/>
      <c r="J38" s="131"/>
      <c r="K38" s="129"/>
      <c r="L38" s="59"/>
      <c r="M38" s="61"/>
      <c r="O38" s="132">
        <v>7.2104166666666663</v>
      </c>
    </row>
    <row r="39" spans="1:15" ht="12.75" x14ac:dyDescent="0.2">
      <c r="A39" s="54">
        <v>7</v>
      </c>
      <c r="B39" s="54" t="s">
        <v>51</v>
      </c>
      <c r="C39" s="98" t="s">
        <v>32</v>
      </c>
      <c r="D39" s="118"/>
      <c r="E39" s="119"/>
      <c r="F39" s="20"/>
      <c r="G39" s="59">
        <f t="shared" si="0"/>
        <v>0</v>
      </c>
      <c r="H39" s="60">
        <f t="shared" si="1"/>
        <v>0</v>
      </c>
      <c r="I39" s="118"/>
      <c r="J39" s="119"/>
      <c r="K39" s="20"/>
      <c r="L39" s="59">
        <f t="shared" si="2"/>
        <v>0</v>
      </c>
      <c r="M39" s="61">
        <f t="shared" si="3"/>
        <v>0</v>
      </c>
    </row>
    <row r="40" spans="1:15" ht="12.75" x14ac:dyDescent="0.2">
      <c r="A40" s="3"/>
      <c r="B40" s="3" t="s">
        <v>44</v>
      </c>
      <c r="C40" s="1" t="s">
        <v>32</v>
      </c>
      <c r="D40" s="133"/>
      <c r="E40" s="22"/>
      <c r="F40" s="134"/>
      <c r="G40" s="59">
        <f t="shared" si="0"/>
        <v>0</v>
      </c>
      <c r="H40" s="60">
        <f t="shared" si="1"/>
        <v>0</v>
      </c>
      <c r="I40" s="133"/>
      <c r="J40" s="22"/>
      <c r="K40" s="134"/>
      <c r="L40" s="59">
        <f t="shared" si="2"/>
        <v>0</v>
      </c>
      <c r="M40" s="61">
        <f t="shared" si="3"/>
        <v>0</v>
      </c>
    </row>
    <row r="41" spans="1:15" ht="12.75" x14ac:dyDescent="0.2">
      <c r="A41" s="3"/>
      <c r="B41" s="3" t="s">
        <v>45</v>
      </c>
      <c r="C41" s="1" t="s">
        <v>32</v>
      </c>
      <c r="D41" s="133"/>
      <c r="E41" s="22"/>
      <c r="F41" s="134"/>
      <c r="G41" s="59">
        <f t="shared" si="0"/>
        <v>0</v>
      </c>
      <c r="H41" s="60">
        <f t="shared" si="1"/>
        <v>0</v>
      </c>
      <c r="I41" s="133"/>
      <c r="J41" s="22"/>
      <c r="K41" s="134"/>
      <c r="L41" s="59">
        <f t="shared" si="2"/>
        <v>0</v>
      </c>
      <c r="M41" s="61">
        <f t="shared" si="3"/>
        <v>0</v>
      </c>
    </row>
    <row r="42" spans="1:15" ht="12.75" x14ac:dyDescent="0.2">
      <c r="A42" s="3"/>
      <c r="B42" s="3"/>
      <c r="C42" s="1"/>
      <c r="D42" s="118"/>
      <c r="E42" s="131"/>
      <c r="F42" s="129"/>
      <c r="G42" s="59"/>
      <c r="H42" s="60"/>
      <c r="I42" s="130"/>
      <c r="J42" s="131"/>
      <c r="K42" s="129"/>
      <c r="L42" s="59"/>
      <c r="M42" s="61"/>
    </row>
    <row r="43" spans="1:15" ht="12.75" x14ac:dyDescent="0.2">
      <c r="A43" s="54">
        <v>8</v>
      </c>
      <c r="B43" s="54" t="s">
        <v>52</v>
      </c>
      <c r="C43" s="1" t="s">
        <v>32</v>
      </c>
      <c r="D43" s="118"/>
      <c r="E43" s="126" t="s">
        <v>65</v>
      </c>
      <c r="F43" s="19"/>
      <c r="G43" s="86" t="s">
        <v>65</v>
      </c>
      <c r="H43" s="60">
        <f t="shared" si="1"/>
        <v>0</v>
      </c>
      <c r="I43" s="17"/>
      <c r="J43" s="126" t="s">
        <v>65</v>
      </c>
      <c r="K43" s="19"/>
      <c r="L43" s="86" t="s">
        <v>65</v>
      </c>
      <c r="M43" s="61">
        <f t="shared" si="3"/>
        <v>0</v>
      </c>
    </row>
    <row r="44" spans="1:15" ht="12.75" x14ac:dyDescent="0.2">
      <c r="A44" s="3"/>
      <c r="B44" s="3" t="s">
        <v>53</v>
      </c>
      <c r="C44" s="1" t="s">
        <v>32</v>
      </c>
      <c r="D44" s="118"/>
      <c r="E44" s="126" t="s">
        <v>65</v>
      </c>
      <c r="F44" s="22"/>
      <c r="G44" s="86" t="s">
        <v>65</v>
      </c>
      <c r="H44" s="60">
        <f t="shared" si="1"/>
        <v>0</v>
      </c>
      <c r="I44" s="122"/>
      <c r="J44" s="126" t="s">
        <v>65</v>
      </c>
      <c r="K44" s="22"/>
      <c r="L44" s="86" t="s">
        <v>65</v>
      </c>
      <c r="M44" s="61">
        <f t="shared" si="3"/>
        <v>0</v>
      </c>
    </row>
    <row r="45" spans="1:15" ht="12.75" x14ac:dyDescent="0.2">
      <c r="A45" s="3"/>
      <c r="B45" s="3" t="s">
        <v>54</v>
      </c>
      <c r="C45" s="1" t="s">
        <v>32</v>
      </c>
      <c r="D45" s="118"/>
      <c r="E45" s="126" t="s">
        <v>65</v>
      </c>
      <c r="F45" s="22"/>
      <c r="G45" s="86" t="s">
        <v>65</v>
      </c>
      <c r="H45" s="60">
        <f t="shared" si="1"/>
        <v>0</v>
      </c>
      <c r="I45" s="122"/>
      <c r="J45" s="126" t="s">
        <v>65</v>
      </c>
      <c r="K45" s="22"/>
      <c r="L45" s="86" t="s">
        <v>65</v>
      </c>
      <c r="M45" s="61">
        <f t="shared" si="3"/>
        <v>0</v>
      </c>
    </row>
    <row r="46" spans="1:15" ht="12.75" x14ac:dyDescent="0.2">
      <c r="A46" s="3"/>
      <c r="B46" s="3" t="s">
        <v>55</v>
      </c>
      <c r="C46" s="1" t="s">
        <v>32</v>
      </c>
      <c r="D46" s="118"/>
      <c r="E46" s="126" t="s">
        <v>65</v>
      </c>
      <c r="F46" s="22"/>
      <c r="G46" s="86" t="s">
        <v>65</v>
      </c>
      <c r="H46" s="60">
        <f t="shared" si="1"/>
        <v>0</v>
      </c>
      <c r="I46" s="122"/>
      <c r="J46" s="126" t="s">
        <v>65</v>
      </c>
      <c r="K46" s="22"/>
      <c r="L46" s="86" t="s">
        <v>65</v>
      </c>
      <c r="M46" s="61">
        <f t="shared" si="3"/>
        <v>0</v>
      </c>
    </row>
    <row r="47" spans="1:15" ht="12.75" x14ac:dyDescent="0.2">
      <c r="A47" s="3"/>
      <c r="B47" s="3" t="s">
        <v>56</v>
      </c>
      <c r="C47" s="1" t="s">
        <v>32</v>
      </c>
      <c r="D47" s="118"/>
      <c r="E47" s="126" t="s">
        <v>65</v>
      </c>
      <c r="F47" s="22"/>
      <c r="G47" s="86" t="s">
        <v>65</v>
      </c>
      <c r="H47" s="60">
        <f t="shared" si="1"/>
        <v>0</v>
      </c>
      <c r="I47" s="122"/>
      <c r="J47" s="126" t="s">
        <v>65</v>
      </c>
      <c r="K47" s="22"/>
      <c r="L47" s="86" t="s">
        <v>65</v>
      </c>
      <c r="M47" s="61">
        <f t="shared" si="3"/>
        <v>0</v>
      </c>
    </row>
    <row r="48" spans="1:15" ht="12.75" x14ac:dyDescent="0.2">
      <c r="A48" s="3"/>
      <c r="B48" s="3"/>
      <c r="C48" s="1"/>
      <c r="D48" s="118"/>
      <c r="E48" s="131"/>
      <c r="F48" s="129"/>
      <c r="G48" s="59"/>
      <c r="H48" s="60"/>
      <c r="I48" s="130"/>
      <c r="J48" s="131"/>
      <c r="K48" s="129"/>
      <c r="L48" s="135"/>
      <c r="M48" s="136"/>
    </row>
    <row r="49" spans="1:14" s="137" customFormat="1" ht="24" x14ac:dyDescent="0.2">
      <c r="A49" s="27">
        <v>9</v>
      </c>
      <c r="B49" s="87" t="s">
        <v>70</v>
      </c>
      <c r="C49" s="9" t="s">
        <v>43</v>
      </c>
      <c r="D49" s="187">
        <v>0</v>
      </c>
      <c r="E49" s="28" t="s">
        <v>88</v>
      </c>
      <c r="F49" s="188">
        <v>0</v>
      </c>
      <c r="G49" s="29">
        <f>IFERROR(F49*100/SUM(F49:F51),0)</f>
        <v>0</v>
      </c>
      <c r="H49" s="30" t="s">
        <v>88</v>
      </c>
      <c r="I49" s="187">
        <v>0</v>
      </c>
      <c r="J49" s="28" t="s">
        <v>88</v>
      </c>
      <c r="K49" s="188">
        <v>0</v>
      </c>
      <c r="L49" s="29">
        <f>IFERROR(K49*100/SUM(K49:K51),0)</f>
        <v>0</v>
      </c>
      <c r="M49" s="30" t="s">
        <v>88</v>
      </c>
      <c r="N49" s="6"/>
    </row>
    <row r="50" spans="1:14" x14ac:dyDescent="0.2">
      <c r="A50" s="4"/>
      <c r="B50" s="3"/>
      <c r="C50" s="2"/>
      <c r="D50" s="101"/>
      <c r="E50" s="138"/>
      <c r="F50" s="102"/>
      <c r="G50" s="22"/>
      <c r="H50" s="21"/>
      <c r="I50" s="101"/>
      <c r="J50" s="138"/>
      <c r="K50" s="102"/>
      <c r="L50" s="22"/>
      <c r="M50" s="21"/>
    </row>
    <row r="51" spans="1:14" s="137" customFormat="1" ht="24" x14ac:dyDescent="0.2">
      <c r="A51" s="5">
        <v>10</v>
      </c>
      <c r="B51" s="98" t="s">
        <v>69</v>
      </c>
      <c r="C51" s="45" t="s">
        <v>43</v>
      </c>
      <c r="D51" s="179">
        <f>SUM(D52:D58)</f>
        <v>0</v>
      </c>
      <c r="E51" s="31" t="s">
        <v>88</v>
      </c>
      <c r="F51" s="174">
        <f>SUM(F52:F58)</f>
        <v>0</v>
      </c>
      <c r="G51" s="14">
        <f>IFERROR(F51*100/SUM(F49:F51),0)</f>
        <v>0</v>
      </c>
      <c r="H51" s="21" t="s">
        <v>88</v>
      </c>
      <c r="I51" s="179">
        <f>SUM(I52:I58)</f>
        <v>0</v>
      </c>
      <c r="J51" s="18" t="s">
        <v>88</v>
      </c>
      <c r="K51" s="174">
        <f>SUM(K52:K58)</f>
        <v>0</v>
      </c>
      <c r="L51" s="14">
        <f>IFERROR(K51*100/SUM(K49:K51),0)</f>
        <v>0</v>
      </c>
      <c r="M51" s="21" t="s">
        <v>88</v>
      </c>
      <c r="N51" s="6"/>
    </row>
    <row r="52" spans="1:14" x14ac:dyDescent="0.2">
      <c r="A52" s="4"/>
      <c r="B52" s="159" t="s">
        <v>73</v>
      </c>
      <c r="C52" s="2" t="s">
        <v>43</v>
      </c>
      <c r="D52" s="180"/>
      <c r="E52" s="13" t="s">
        <v>88</v>
      </c>
      <c r="F52" s="175"/>
      <c r="G52" s="103"/>
      <c r="H52" s="15" t="s">
        <v>88</v>
      </c>
      <c r="I52" s="180"/>
      <c r="J52" s="13" t="s">
        <v>88</v>
      </c>
      <c r="K52" s="175"/>
      <c r="L52" s="103"/>
      <c r="M52" s="15" t="s">
        <v>88</v>
      </c>
    </row>
    <row r="53" spans="1:14" x14ac:dyDescent="0.2">
      <c r="A53" s="4"/>
      <c r="B53" s="161" t="s">
        <v>107</v>
      </c>
      <c r="C53" s="2" t="s">
        <v>43</v>
      </c>
      <c r="D53" s="180"/>
      <c r="E53" s="13" t="s">
        <v>88</v>
      </c>
      <c r="F53" s="175"/>
      <c r="G53" s="103"/>
      <c r="H53" s="15" t="s">
        <v>88</v>
      </c>
      <c r="I53" s="180"/>
      <c r="J53" s="13" t="s">
        <v>88</v>
      </c>
      <c r="K53" s="175"/>
      <c r="L53" s="103"/>
      <c r="M53" s="15" t="s">
        <v>88</v>
      </c>
    </row>
    <row r="54" spans="1:14" x14ac:dyDescent="0.2">
      <c r="A54" s="4"/>
      <c r="B54" s="161" t="s">
        <v>112</v>
      </c>
      <c r="C54" s="2" t="s">
        <v>43</v>
      </c>
      <c r="D54" s="180"/>
      <c r="E54" s="13" t="s">
        <v>88</v>
      </c>
      <c r="F54" s="175"/>
      <c r="G54" s="103"/>
      <c r="H54" s="15" t="s">
        <v>88</v>
      </c>
      <c r="I54" s="180"/>
      <c r="J54" s="13" t="s">
        <v>88</v>
      </c>
      <c r="K54" s="175"/>
      <c r="L54" s="103"/>
      <c r="M54" s="15" t="s">
        <v>88</v>
      </c>
    </row>
    <row r="55" spans="1:14" x14ac:dyDescent="0.2">
      <c r="A55" s="4"/>
      <c r="B55" s="161" t="s">
        <v>113</v>
      </c>
      <c r="C55" s="2" t="s">
        <v>43</v>
      </c>
      <c r="D55" s="180"/>
      <c r="E55" s="13" t="s">
        <v>88</v>
      </c>
      <c r="F55" s="175"/>
      <c r="G55" s="103"/>
      <c r="H55" s="15" t="s">
        <v>88</v>
      </c>
      <c r="I55" s="180"/>
      <c r="J55" s="13" t="s">
        <v>88</v>
      </c>
      <c r="K55" s="175"/>
      <c r="L55" s="103"/>
      <c r="M55" s="15" t="s">
        <v>88</v>
      </c>
    </row>
    <row r="56" spans="1:14" x14ac:dyDescent="0.2">
      <c r="A56" s="4"/>
      <c r="B56" s="161" t="s">
        <v>109</v>
      </c>
      <c r="C56" s="2" t="s">
        <v>43</v>
      </c>
      <c r="D56" s="180"/>
      <c r="E56" s="13" t="s">
        <v>88</v>
      </c>
      <c r="F56" s="175"/>
      <c r="G56" s="103"/>
      <c r="H56" s="15" t="s">
        <v>88</v>
      </c>
      <c r="I56" s="180"/>
      <c r="J56" s="13" t="s">
        <v>88</v>
      </c>
      <c r="K56" s="175"/>
      <c r="L56" s="103"/>
      <c r="M56" s="15" t="s">
        <v>88</v>
      </c>
    </row>
    <row r="57" spans="1:14" x14ac:dyDescent="0.2">
      <c r="A57" s="4"/>
      <c r="B57" s="161" t="s">
        <v>114</v>
      </c>
      <c r="C57" s="2" t="s">
        <v>43</v>
      </c>
      <c r="D57" s="180"/>
      <c r="E57" s="13" t="s">
        <v>88</v>
      </c>
      <c r="F57" s="175"/>
      <c r="G57" s="103"/>
      <c r="H57" s="15" t="s">
        <v>88</v>
      </c>
      <c r="I57" s="180"/>
      <c r="J57" s="13" t="s">
        <v>88</v>
      </c>
      <c r="K57" s="175"/>
      <c r="L57" s="103"/>
      <c r="M57" s="15" t="s">
        <v>88</v>
      </c>
    </row>
    <row r="58" spans="1:14" x14ac:dyDescent="0.2">
      <c r="A58" s="4"/>
      <c r="B58" s="161" t="s">
        <v>110</v>
      </c>
      <c r="C58" s="2" t="s">
        <v>43</v>
      </c>
      <c r="D58" s="180"/>
      <c r="E58" s="13" t="s">
        <v>88</v>
      </c>
      <c r="F58" s="175"/>
      <c r="G58" s="103"/>
      <c r="H58" s="15" t="s">
        <v>88</v>
      </c>
      <c r="I58" s="180"/>
      <c r="J58" s="13" t="s">
        <v>88</v>
      </c>
      <c r="K58" s="175"/>
      <c r="L58" s="103"/>
      <c r="M58" s="15" t="s">
        <v>88</v>
      </c>
    </row>
    <row r="59" spans="1:14" x14ac:dyDescent="0.2">
      <c r="A59" s="4"/>
      <c r="B59" s="3"/>
      <c r="C59" s="2"/>
      <c r="D59" s="139"/>
      <c r="E59" s="13"/>
      <c r="F59" s="36"/>
      <c r="G59" s="22"/>
      <c r="H59" s="15"/>
      <c r="I59" s="37"/>
      <c r="J59" s="13"/>
      <c r="K59" s="36"/>
      <c r="L59" s="22"/>
      <c r="M59" s="15"/>
    </row>
    <row r="60" spans="1:14" ht="24" x14ac:dyDescent="0.2">
      <c r="A60" s="5">
        <v>11</v>
      </c>
      <c r="B60" s="98" t="s">
        <v>78</v>
      </c>
      <c r="C60" s="45" t="s">
        <v>43</v>
      </c>
      <c r="D60" s="179">
        <f>SUM(D61:D67)+D70</f>
        <v>0</v>
      </c>
      <c r="E60" s="170" t="s">
        <v>88</v>
      </c>
      <c r="F60" s="174">
        <f>SUM(F61:F67)+F70</f>
        <v>0</v>
      </c>
      <c r="G60" s="172">
        <f>SUM(G61:G67,G70)</f>
        <v>0</v>
      </c>
      <c r="H60" s="15" t="s">
        <v>88</v>
      </c>
      <c r="I60" s="179">
        <f>SUM(I61:I67)+I70</f>
        <v>0</v>
      </c>
      <c r="J60" s="170" t="s">
        <v>88</v>
      </c>
      <c r="K60" s="174">
        <f>SUM(K61:K67)+K70</f>
        <v>0</v>
      </c>
      <c r="L60" s="172">
        <f>SUM(L61:L67,L70)</f>
        <v>0</v>
      </c>
      <c r="M60" s="15" t="s">
        <v>88</v>
      </c>
    </row>
    <row r="61" spans="1:14" x14ac:dyDescent="0.2">
      <c r="A61" s="4"/>
      <c r="B61" s="160" t="s">
        <v>79</v>
      </c>
      <c r="C61" s="2" t="s">
        <v>43</v>
      </c>
      <c r="D61" s="180"/>
      <c r="E61" s="13" t="s">
        <v>88</v>
      </c>
      <c r="F61" s="175"/>
      <c r="G61" s="173">
        <f>IFERROR(F61*100/F60,0)</f>
        <v>0</v>
      </c>
      <c r="H61" s="15" t="s">
        <v>88</v>
      </c>
      <c r="I61" s="180"/>
      <c r="J61" s="13" t="s">
        <v>88</v>
      </c>
      <c r="K61" s="175"/>
      <c r="L61" s="173">
        <f>IFERROR(K61*100/K60,0)</f>
        <v>0</v>
      </c>
      <c r="M61" s="15" t="s">
        <v>88</v>
      </c>
    </row>
    <row r="62" spans="1:14" x14ac:dyDescent="0.2">
      <c r="A62" s="4"/>
      <c r="B62" s="159" t="s">
        <v>106</v>
      </c>
      <c r="C62" s="2" t="s">
        <v>43</v>
      </c>
      <c r="D62" s="180"/>
      <c r="E62" s="13" t="s">
        <v>88</v>
      </c>
      <c r="F62" s="175"/>
      <c r="G62" s="173">
        <f>IFERROR(F62*100/F60,0)</f>
        <v>0</v>
      </c>
      <c r="H62" s="15" t="s">
        <v>88</v>
      </c>
      <c r="I62" s="180"/>
      <c r="J62" s="13" t="s">
        <v>88</v>
      </c>
      <c r="K62" s="175"/>
      <c r="L62" s="173">
        <f>IFERROR(K62*100/K60,0)</f>
        <v>0</v>
      </c>
      <c r="M62" s="15" t="s">
        <v>88</v>
      </c>
    </row>
    <row r="63" spans="1:14" x14ac:dyDescent="0.2">
      <c r="A63" s="3"/>
      <c r="B63" s="159" t="s">
        <v>100</v>
      </c>
      <c r="C63" s="2" t="s">
        <v>43</v>
      </c>
      <c r="D63" s="180"/>
      <c r="E63" s="13" t="s">
        <v>88</v>
      </c>
      <c r="F63" s="175"/>
      <c r="G63" s="173">
        <f>IFERROR(F63*100/F60,0)</f>
        <v>0</v>
      </c>
      <c r="H63" s="15" t="s">
        <v>88</v>
      </c>
      <c r="I63" s="180"/>
      <c r="J63" s="13" t="s">
        <v>88</v>
      </c>
      <c r="K63" s="175"/>
      <c r="L63" s="173">
        <f>IFERROR(K63*100/K60,0)</f>
        <v>0</v>
      </c>
      <c r="M63" s="15" t="s">
        <v>88</v>
      </c>
    </row>
    <row r="64" spans="1:14" x14ac:dyDescent="0.2">
      <c r="A64" s="3"/>
      <c r="B64" s="159" t="s">
        <v>101</v>
      </c>
      <c r="C64" s="2" t="s">
        <v>43</v>
      </c>
      <c r="D64" s="180"/>
      <c r="E64" s="13" t="s">
        <v>88</v>
      </c>
      <c r="F64" s="175"/>
      <c r="G64" s="173">
        <f>IFERROR(F64*100/F60,0)</f>
        <v>0</v>
      </c>
      <c r="H64" s="15" t="s">
        <v>88</v>
      </c>
      <c r="I64" s="180"/>
      <c r="J64" s="13" t="s">
        <v>88</v>
      </c>
      <c r="K64" s="175"/>
      <c r="L64" s="173">
        <f>IFERROR(K64*100/K60,0)</f>
        <v>0</v>
      </c>
      <c r="M64" s="15" t="s">
        <v>88</v>
      </c>
    </row>
    <row r="65" spans="1:13" x14ac:dyDescent="0.2">
      <c r="A65" s="3"/>
      <c r="B65" s="159" t="s">
        <v>102</v>
      </c>
      <c r="C65" s="2" t="s">
        <v>43</v>
      </c>
      <c r="D65" s="180"/>
      <c r="E65" s="13" t="s">
        <v>88</v>
      </c>
      <c r="F65" s="175"/>
      <c r="G65" s="173">
        <f>IFERROR(F65*100/F60,0)</f>
        <v>0</v>
      </c>
      <c r="H65" s="15" t="s">
        <v>88</v>
      </c>
      <c r="I65" s="180"/>
      <c r="J65" s="13" t="s">
        <v>88</v>
      </c>
      <c r="K65" s="175"/>
      <c r="L65" s="173">
        <f>IFERROR(K65*100/K60,0)</f>
        <v>0</v>
      </c>
      <c r="M65" s="15" t="s">
        <v>88</v>
      </c>
    </row>
    <row r="66" spans="1:13" x14ac:dyDescent="0.2">
      <c r="A66" s="4"/>
      <c r="B66" s="159" t="s">
        <v>103</v>
      </c>
      <c r="C66" s="2" t="s">
        <v>43</v>
      </c>
      <c r="D66" s="180"/>
      <c r="E66" s="13" t="s">
        <v>88</v>
      </c>
      <c r="F66" s="175"/>
      <c r="G66" s="173">
        <f>IFERROR(F66*100/F60,0)</f>
        <v>0</v>
      </c>
      <c r="H66" s="15" t="s">
        <v>88</v>
      </c>
      <c r="I66" s="180"/>
      <c r="J66" s="13" t="s">
        <v>88</v>
      </c>
      <c r="K66" s="175"/>
      <c r="L66" s="173">
        <f>IFERROR(K66*100/K60,0)</f>
        <v>0</v>
      </c>
      <c r="M66" s="15" t="s">
        <v>88</v>
      </c>
    </row>
    <row r="67" spans="1:13" x14ac:dyDescent="0.2">
      <c r="A67" s="4"/>
      <c r="B67" s="159" t="s">
        <v>104</v>
      </c>
      <c r="C67" s="2" t="s">
        <v>43</v>
      </c>
      <c r="D67" s="180"/>
      <c r="E67" s="13" t="s">
        <v>88</v>
      </c>
      <c r="F67" s="175"/>
      <c r="G67" s="173">
        <f>IFERROR(F67*100/F60,0)</f>
        <v>0</v>
      </c>
      <c r="H67" s="15" t="s">
        <v>88</v>
      </c>
      <c r="I67" s="180"/>
      <c r="J67" s="13" t="s">
        <v>88</v>
      </c>
      <c r="K67" s="175"/>
      <c r="L67" s="173">
        <f>IFERROR(K67*100/K60,0)</f>
        <v>0</v>
      </c>
      <c r="M67" s="15" t="s">
        <v>88</v>
      </c>
    </row>
    <row r="68" spans="1:13" x14ac:dyDescent="0.2">
      <c r="A68" s="4"/>
      <c r="B68" s="159" t="s">
        <v>118</v>
      </c>
      <c r="C68" s="2" t="s">
        <v>43</v>
      </c>
      <c r="D68" s="180"/>
      <c r="E68" s="13" t="s">
        <v>88</v>
      </c>
      <c r="F68" s="175"/>
      <c r="G68" s="173">
        <f>IFERROR(F68*100/F60,0)</f>
        <v>0</v>
      </c>
      <c r="H68" s="15" t="s">
        <v>88</v>
      </c>
      <c r="I68" s="180"/>
      <c r="J68" s="13" t="s">
        <v>88</v>
      </c>
      <c r="K68" s="175"/>
      <c r="L68" s="173">
        <f>IFERROR(K68*100/K60,0)</f>
        <v>0</v>
      </c>
      <c r="M68" s="15" t="s">
        <v>88</v>
      </c>
    </row>
    <row r="69" spans="1:13" x14ac:dyDescent="0.2">
      <c r="A69" s="4"/>
      <c r="B69" s="163" t="s">
        <v>115</v>
      </c>
      <c r="C69" s="2" t="s">
        <v>43</v>
      </c>
      <c r="D69" s="180"/>
      <c r="E69" s="13" t="s">
        <v>88</v>
      </c>
      <c r="F69" s="175"/>
      <c r="G69" s="173">
        <f>IFERROR(F69*100/F60,0)</f>
        <v>0</v>
      </c>
      <c r="H69" s="15" t="s">
        <v>88</v>
      </c>
      <c r="I69" s="180"/>
      <c r="J69" s="13" t="s">
        <v>88</v>
      </c>
      <c r="K69" s="175"/>
      <c r="L69" s="173">
        <f>IFERROR(K69*100/K60,0)</f>
        <v>0</v>
      </c>
      <c r="M69" s="15" t="s">
        <v>88</v>
      </c>
    </row>
    <row r="70" spans="1:13" x14ac:dyDescent="0.2">
      <c r="A70" s="4"/>
      <c r="B70" s="160" t="s">
        <v>117</v>
      </c>
      <c r="C70" s="2" t="s">
        <v>43</v>
      </c>
      <c r="D70" s="180"/>
      <c r="E70" s="13" t="s">
        <v>88</v>
      </c>
      <c r="F70" s="175"/>
      <c r="G70" s="173">
        <f>IFERROR(F70*100/F60,0)</f>
        <v>0</v>
      </c>
      <c r="H70" s="15" t="s">
        <v>88</v>
      </c>
      <c r="I70" s="180"/>
      <c r="J70" s="13" t="s">
        <v>88</v>
      </c>
      <c r="K70" s="175"/>
      <c r="L70" s="173">
        <f>IFERROR(K70*100/K60,0)</f>
        <v>0</v>
      </c>
      <c r="M70" s="15" t="s">
        <v>88</v>
      </c>
    </row>
    <row r="71" spans="1:13" x14ac:dyDescent="0.2">
      <c r="A71" s="4"/>
      <c r="B71" s="3"/>
      <c r="C71" s="2"/>
      <c r="D71" s="139"/>
      <c r="E71" s="13"/>
      <c r="F71" s="36"/>
      <c r="G71" s="22"/>
      <c r="H71" s="15"/>
      <c r="I71" s="37"/>
      <c r="J71" s="13"/>
      <c r="K71" s="36"/>
      <c r="L71" s="22"/>
      <c r="M71" s="15"/>
    </row>
    <row r="72" spans="1:13" ht="24" x14ac:dyDescent="0.2">
      <c r="A72" s="5">
        <v>12</v>
      </c>
      <c r="B72" s="98" t="s">
        <v>89</v>
      </c>
      <c r="C72" s="45" t="s">
        <v>43</v>
      </c>
      <c r="D72" s="179">
        <f>SUM(D73:D78)</f>
        <v>0</v>
      </c>
      <c r="E72" s="13" t="s">
        <v>88</v>
      </c>
      <c r="F72" s="174">
        <f>SUM(F73:F78)</f>
        <v>0</v>
      </c>
      <c r="G72" s="12">
        <f>SUM(G73:G78)</f>
        <v>0</v>
      </c>
      <c r="H72" s="15" t="s">
        <v>88</v>
      </c>
      <c r="I72" s="179">
        <f>SUM(I73:I78)</f>
        <v>0</v>
      </c>
      <c r="J72" s="13" t="s">
        <v>88</v>
      </c>
      <c r="K72" s="174">
        <f>SUM(K73:K78)</f>
        <v>0</v>
      </c>
      <c r="L72" s="12">
        <f>SUM(L73:L78)</f>
        <v>0</v>
      </c>
      <c r="M72" s="15" t="s">
        <v>88</v>
      </c>
    </row>
    <row r="73" spans="1:13" x14ac:dyDescent="0.2">
      <c r="A73" s="4"/>
      <c r="B73" s="159" t="s">
        <v>73</v>
      </c>
      <c r="C73" s="2" t="s">
        <v>43</v>
      </c>
      <c r="D73" s="180"/>
      <c r="E73" s="13" t="s">
        <v>88</v>
      </c>
      <c r="F73" s="175"/>
      <c r="G73" s="173">
        <f>IFERROR(F73*100/F72,0)</f>
        <v>0</v>
      </c>
      <c r="H73" s="15" t="s">
        <v>88</v>
      </c>
      <c r="I73" s="180"/>
      <c r="J73" s="13" t="s">
        <v>88</v>
      </c>
      <c r="K73" s="175"/>
      <c r="L73" s="173">
        <f>IFERROR(K73*100/K72,0)</f>
        <v>0</v>
      </c>
      <c r="M73" s="15" t="s">
        <v>88</v>
      </c>
    </row>
    <row r="74" spans="1:13" x14ac:dyDescent="0.2">
      <c r="A74" s="4"/>
      <c r="B74" s="161" t="s">
        <v>107</v>
      </c>
      <c r="C74" s="2" t="s">
        <v>43</v>
      </c>
      <c r="D74" s="180"/>
      <c r="E74" s="13" t="s">
        <v>88</v>
      </c>
      <c r="F74" s="175"/>
      <c r="G74" s="173">
        <f>IFERROR(F74*100/F72,0)</f>
        <v>0</v>
      </c>
      <c r="H74" s="15" t="s">
        <v>88</v>
      </c>
      <c r="I74" s="180"/>
      <c r="J74" s="13" t="s">
        <v>88</v>
      </c>
      <c r="K74" s="175"/>
      <c r="L74" s="173">
        <f>IFERROR(K74*100/K72,0)</f>
        <v>0</v>
      </c>
      <c r="M74" s="15" t="s">
        <v>88</v>
      </c>
    </row>
    <row r="75" spans="1:13" x14ac:dyDescent="0.2">
      <c r="A75" s="4"/>
      <c r="B75" s="161" t="s">
        <v>108</v>
      </c>
      <c r="C75" s="2" t="s">
        <v>43</v>
      </c>
      <c r="D75" s="180"/>
      <c r="E75" s="13" t="s">
        <v>88</v>
      </c>
      <c r="F75" s="175"/>
      <c r="G75" s="173">
        <f>IFERROR(F75*100/F72,0)</f>
        <v>0</v>
      </c>
      <c r="H75" s="15" t="s">
        <v>88</v>
      </c>
      <c r="I75" s="180"/>
      <c r="J75" s="13" t="s">
        <v>88</v>
      </c>
      <c r="K75" s="175"/>
      <c r="L75" s="173">
        <f>IFERROR(K75*100/K72,0)</f>
        <v>0</v>
      </c>
      <c r="M75" s="15" t="s">
        <v>88</v>
      </c>
    </row>
    <row r="76" spans="1:13" x14ac:dyDescent="0.2">
      <c r="A76" s="4"/>
      <c r="B76" s="161" t="s">
        <v>109</v>
      </c>
      <c r="C76" s="2" t="s">
        <v>43</v>
      </c>
      <c r="D76" s="180"/>
      <c r="E76" s="13" t="s">
        <v>88</v>
      </c>
      <c r="F76" s="175"/>
      <c r="G76" s="173">
        <f>IFERROR(F76*100/F72,0)</f>
        <v>0</v>
      </c>
      <c r="H76" s="15" t="s">
        <v>88</v>
      </c>
      <c r="I76" s="180"/>
      <c r="J76" s="13" t="s">
        <v>88</v>
      </c>
      <c r="K76" s="175"/>
      <c r="L76" s="173">
        <f>IFERROR(K76*100/K72,0)</f>
        <v>0</v>
      </c>
      <c r="M76" s="15" t="s">
        <v>88</v>
      </c>
    </row>
    <row r="77" spans="1:13" x14ac:dyDescent="0.2">
      <c r="A77" s="4"/>
      <c r="B77" s="161" t="s">
        <v>110</v>
      </c>
      <c r="C77" s="2" t="s">
        <v>43</v>
      </c>
      <c r="D77" s="180"/>
      <c r="E77" s="13" t="s">
        <v>88</v>
      </c>
      <c r="F77" s="175"/>
      <c r="G77" s="173">
        <f>IFERROR(F77*100/F72,0)</f>
        <v>0</v>
      </c>
      <c r="H77" s="15" t="s">
        <v>88</v>
      </c>
      <c r="I77" s="180"/>
      <c r="J77" s="13" t="s">
        <v>88</v>
      </c>
      <c r="K77" s="175"/>
      <c r="L77" s="173">
        <f>IFERROR(K77*100/K72,0)</f>
        <v>0</v>
      </c>
      <c r="M77" s="15" t="s">
        <v>88</v>
      </c>
    </row>
    <row r="78" spans="1:13" x14ac:dyDescent="0.2">
      <c r="A78" s="107"/>
      <c r="B78" s="162" t="s">
        <v>111</v>
      </c>
      <c r="C78" s="141" t="s">
        <v>43</v>
      </c>
      <c r="D78" s="185"/>
      <c r="E78" s="142" t="s">
        <v>88</v>
      </c>
      <c r="F78" s="186"/>
      <c r="G78" s="173">
        <f>IFERROR(F78*100/F72,0)</f>
        <v>0</v>
      </c>
      <c r="H78" s="144" t="s">
        <v>88</v>
      </c>
      <c r="I78" s="185"/>
      <c r="J78" s="142" t="s">
        <v>88</v>
      </c>
      <c r="K78" s="186"/>
      <c r="L78" s="173">
        <f>IFERROR(K78*100/K72,0)</f>
        <v>0</v>
      </c>
      <c r="M78" s="144" t="s">
        <v>88</v>
      </c>
    </row>
    <row r="79" spans="1:13" ht="24" x14ac:dyDescent="0.2">
      <c r="A79" s="5">
        <v>13</v>
      </c>
      <c r="B79" s="98" t="s">
        <v>94</v>
      </c>
      <c r="C79" s="16" t="s">
        <v>43</v>
      </c>
      <c r="D79" s="181">
        <v>0</v>
      </c>
      <c r="E79" s="18" t="s">
        <v>88</v>
      </c>
      <c r="F79" s="188">
        <v>0</v>
      </c>
      <c r="G79" s="29">
        <f>IFERROR(F79*100/SUM(F79:F81),0)</f>
        <v>0</v>
      </c>
      <c r="H79" s="21" t="s">
        <v>88</v>
      </c>
      <c r="I79" s="181">
        <v>0</v>
      </c>
      <c r="J79" s="18" t="s">
        <v>88</v>
      </c>
      <c r="K79" s="176">
        <v>0</v>
      </c>
      <c r="L79" s="29">
        <f>IFERROR(K79*100/SUM(K79:K81),0)</f>
        <v>0</v>
      </c>
      <c r="M79" s="21" t="s">
        <v>88</v>
      </c>
    </row>
    <row r="80" spans="1:13" x14ac:dyDescent="0.2">
      <c r="A80" s="4"/>
      <c r="B80" s="3"/>
      <c r="C80" s="2"/>
      <c r="D80" s="37"/>
      <c r="E80" s="13"/>
      <c r="F80" s="102"/>
      <c r="G80" s="22"/>
      <c r="H80" s="21"/>
      <c r="I80" s="37"/>
      <c r="J80" s="13"/>
      <c r="K80" s="105"/>
      <c r="L80" s="22"/>
      <c r="M80" s="21"/>
    </row>
    <row r="81" spans="1:13" ht="24" x14ac:dyDescent="0.2">
      <c r="A81" s="5">
        <v>14</v>
      </c>
      <c r="B81" s="98" t="s">
        <v>95</v>
      </c>
      <c r="C81" s="16" t="s">
        <v>43</v>
      </c>
      <c r="D81" s="179">
        <f>SUM(D82:D88)</f>
        <v>0</v>
      </c>
      <c r="E81" s="18" t="s">
        <v>88</v>
      </c>
      <c r="F81" s="174">
        <f>SUM(F82:F88)</f>
        <v>0</v>
      </c>
      <c r="G81" s="12">
        <f>IFERROR(F81*100/SUM(F79:F81),0)</f>
        <v>0</v>
      </c>
      <c r="H81" s="21" t="s">
        <v>88</v>
      </c>
      <c r="I81" s="179">
        <f>SUM(I82:I88)</f>
        <v>0</v>
      </c>
      <c r="J81" s="18" t="s">
        <v>88</v>
      </c>
      <c r="K81" s="174">
        <f>SUM(K82:K88)</f>
        <v>0</v>
      </c>
      <c r="L81" s="12">
        <f>IFERROR(K81*100/SUM(K79:K81),0)</f>
        <v>0</v>
      </c>
      <c r="M81" s="21" t="s">
        <v>88</v>
      </c>
    </row>
    <row r="82" spans="1:13" x14ac:dyDescent="0.2">
      <c r="A82" s="4"/>
      <c r="B82" s="159" t="s">
        <v>73</v>
      </c>
      <c r="C82" s="2" t="s">
        <v>43</v>
      </c>
      <c r="D82" s="180"/>
      <c r="E82" s="13" t="s">
        <v>88</v>
      </c>
      <c r="F82" s="175"/>
      <c r="G82" s="103"/>
      <c r="H82" s="15" t="s">
        <v>88</v>
      </c>
      <c r="I82" s="180"/>
      <c r="J82" s="13" t="s">
        <v>88</v>
      </c>
      <c r="K82" s="175"/>
      <c r="L82" s="103"/>
      <c r="M82" s="15" t="s">
        <v>88</v>
      </c>
    </row>
    <row r="83" spans="1:13" x14ac:dyDescent="0.2">
      <c r="A83" s="4"/>
      <c r="B83" s="161" t="s">
        <v>107</v>
      </c>
      <c r="C83" s="2" t="s">
        <v>43</v>
      </c>
      <c r="D83" s="180"/>
      <c r="E83" s="13" t="s">
        <v>88</v>
      </c>
      <c r="F83" s="175"/>
      <c r="G83" s="103"/>
      <c r="H83" s="15" t="s">
        <v>88</v>
      </c>
      <c r="I83" s="180"/>
      <c r="J83" s="13" t="s">
        <v>88</v>
      </c>
      <c r="K83" s="175"/>
      <c r="L83" s="103"/>
      <c r="M83" s="15" t="s">
        <v>88</v>
      </c>
    </row>
    <row r="84" spans="1:13" x14ac:dyDescent="0.2">
      <c r="A84" s="4"/>
      <c r="B84" s="161" t="s">
        <v>112</v>
      </c>
      <c r="C84" s="2" t="s">
        <v>43</v>
      </c>
      <c r="D84" s="180"/>
      <c r="E84" s="13" t="s">
        <v>88</v>
      </c>
      <c r="F84" s="175"/>
      <c r="G84" s="103"/>
      <c r="H84" s="15" t="s">
        <v>88</v>
      </c>
      <c r="I84" s="180"/>
      <c r="J84" s="13" t="s">
        <v>88</v>
      </c>
      <c r="K84" s="175"/>
      <c r="L84" s="103"/>
      <c r="M84" s="15" t="s">
        <v>88</v>
      </c>
    </row>
    <row r="85" spans="1:13" x14ac:dyDescent="0.2">
      <c r="A85" s="4"/>
      <c r="B85" s="161" t="s">
        <v>113</v>
      </c>
      <c r="C85" s="2" t="s">
        <v>43</v>
      </c>
      <c r="D85" s="180"/>
      <c r="E85" s="13" t="s">
        <v>88</v>
      </c>
      <c r="F85" s="175"/>
      <c r="G85" s="103"/>
      <c r="H85" s="15" t="s">
        <v>88</v>
      </c>
      <c r="I85" s="180"/>
      <c r="J85" s="13" t="s">
        <v>88</v>
      </c>
      <c r="K85" s="175"/>
      <c r="L85" s="103"/>
      <c r="M85" s="15" t="s">
        <v>88</v>
      </c>
    </row>
    <row r="86" spans="1:13" x14ac:dyDescent="0.2">
      <c r="A86" s="4"/>
      <c r="B86" s="161" t="s">
        <v>109</v>
      </c>
      <c r="C86" s="2" t="s">
        <v>43</v>
      </c>
      <c r="D86" s="180"/>
      <c r="E86" s="13" t="s">
        <v>88</v>
      </c>
      <c r="F86" s="175"/>
      <c r="G86" s="103"/>
      <c r="H86" s="15" t="s">
        <v>88</v>
      </c>
      <c r="I86" s="180"/>
      <c r="J86" s="13" t="s">
        <v>88</v>
      </c>
      <c r="K86" s="175"/>
      <c r="L86" s="103"/>
      <c r="M86" s="15" t="s">
        <v>88</v>
      </c>
    </row>
    <row r="87" spans="1:13" x14ac:dyDescent="0.2">
      <c r="A87" s="4"/>
      <c r="B87" s="161" t="s">
        <v>114</v>
      </c>
      <c r="C87" s="2" t="s">
        <v>43</v>
      </c>
      <c r="D87" s="180"/>
      <c r="E87" s="13" t="s">
        <v>88</v>
      </c>
      <c r="F87" s="175"/>
      <c r="G87" s="103"/>
      <c r="H87" s="15" t="s">
        <v>88</v>
      </c>
      <c r="I87" s="180"/>
      <c r="J87" s="13" t="s">
        <v>88</v>
      </c>
      <c r="K87" s="175"/>
      <c r="L87" s="103"/>
      <c r="M87" s="15" t="s">
        <v>88</v>
      </c>
    </row>
    <row r="88" spans="1:13" x14ac:dyDescent="0.2">
      <c r="A88" s="4"/>
      <c r="B88" s="161" t="s">
        <v>110</v>
      </c>
      <c r="C88" s="2" t="s">
        <v>43</v>
      </c>
      <c r="D88" s="180"/>
      <c r="E88" s="13" t="s">
        <v>88</v>
      </c>
      <c r="F88" s="175"/>
      <c r="G88" s="103"/>
      <c r="H88" s="15" t="s">
        <v>88</v>
      </c>
      <c r="I88" s="180"/>
      <c r="J88" s="13" t="s">
        <v>88</v>
      </c>
      <c r="K88" s="175"/>
      <c r="L88" s="103"/>
      <c r="M88" s="15" t="s">
        <v>88</v>
      </c>
    </row>
    <row r="89" spans="1:13" x14ac:dyDescent="0.2">
      <c r="A89" s="4"/>
      <c r="B89" s="3"/>
      <c r="C89" s="2"/>
      <c r="D89" s="38"/>
      <c r="E89" s="13"/>
      <c r="F89" s="39"/>
      <c r="G89" s="22"/>
      <c r="H89" s="15"/>
      <c r="I89" s="38"/>
      <c r="J89" s="13"/>
      <c r="K89" s="39"/>
      <c r="L89" s="22"/>
      <c r="M89" s="15"/>
    </row>
    <row r="90" spans="1:13" ht="24" x14ac:dyDescent="0.2">
      <c r="A90" s="5">
        <v>15</v>
      </c>
      <c r="B90" s="98" t="s">
        <v>96</v>
      </c>
      <c r="C90" s="2" t="s">
        <v>43</v>
      </c>
      <c r="D90" s="179">
        <f>SUM(D91:D97)+D100</f>
        <v>0</v>
      </c>
      <c r="E90" s="170" t="s">
        <v>88</v>
      </c>
      <c r="F90" s="174">
        <f>SUM(F91:F97)+F100</f>
        <v>0</v>
      </c>
      <c r="G90" s="172">
        <f>SUM(G91:G97,G100)</f>
        <v>0</v>
      </c>
      <c r="H90" s="15" t="s">
        <v>88</v>
      </c>
      <c r="I90" s="179">
        <f>SUM(I91:I97)+I100</f>
        <v>0</v>
      </c>
      <c r="J90" s="170" t="s">
        <v>88</v>
      </c>
      <c r="K90" s="174">
        <f>SUM(K91:K97)+K100</f>
        <v>0</v>
      </c>
      <c r="L90" s="172">
        <f>SUM(L91:L97,L100)</f>
        <v>0</v>
      </c>
      <c r="M90" s="15" t="s">
        <v>88</v>
      </c>
    </row>
    <row r="91" spans="1:13" x14ac:dyDescent="0.2">
      <c r="A91" s="4"/>
      <c r="B91" s="160" t="s">
        <v>79</v>
      </c>
      <c r="C91" s="2" t="s">
        <v>43</v>
      </c>
      <c r="D91" s="180"/>
      <c r="E91" s="13" t="s">
        <v>88</v>
      </c>
      <c r="F91" s="175"/>
      <c r="G91" s="173">
        <f>IFERROR(F91*100/F90,0)</f>
        <v>0</v>
      </c>
      <c r="H91" s="15" t="s">
        <v>88</v>
      </c>
      <c r="I91" s="180"/>
      <c r="J91" s="13" t="s">
        <v>88</v>
      </c>
      <c r="K91" s="175"/>
      <c r="L91" s="173">
        <f>IFERROR(K91*100/K90,0)</f>
        <v>0</v>
      </c>
      <c r="M91" s="15" t="s">
        <v>88</v>
      </c>
    </row>
    <row r="92" spans="1:13" x14ac:dyDescent="0.2">
      <c r="A92" s="4"/>
      <c r="B92" s="159" t="s">
        <v>106</v>
      </c>
      <c r="C92" s="2" t="s">
        <v>43</v>
      </c>
      <c r="D92" s="180"/>
      <c r="E92" s="13" t="s">
        <v>88</v>
      </c>
      <c r="F92" s="175"/>
      <c r="G92" s="173">
        <f>IFERROR(F92*100/F90,0)</f>
        <v>0</v>
      </c>
      <c r="H92" s="15" t="s">
        <v>88</v>
      </c>
      <c r="I92" s="180"/>
      <c r="J92" s="13" t="s">
        <v>88</v>
      </c>
      <c r="K92" s="175"/>
      <c r="L92" s="173">
        <f>IFERROR(K92*100/K90,0)</f>
        <v>0</v>
      </c>
      <c r="M92" s="15" t="s">
        <v>88</v>
      </c>
    </row>
    <row r="93" spans="1:13" x14ac:dyDescent="0.2">
      <c r="A93" s="4"/>
      <c r="B93" s="159" t="s">
        <v>100</v>
      </c>
      <c r="C93" s="2" t="s">
        <v>43</v>
      </c>
      <c r="D93" s="180"/>
      <c r="E93" s="13" t="s">
        <v>88</v>
      </c>
      <c r="F93" s="175"/>
      <c r="G93" s="173">
        <f>IFERROR(F93*100/F90,0)</f>
        <v>0</v>
      </c>
      <c r="H93" s="15" t="s">
        <v>88</v>
      </c>
      <c r="I93" s="180"/>
      <c r="J93" s="13" t="s">
        <v>88</v>
      </c>
      <c r="K93" s="175"/>
      <c r="L93" s="173">
        <f>IFERROR(K93*100/K90,0)</f>
        <v>0</v>
      </c>
      <c r="M93" s="15" t="s">
        <v>88</v>
      </c>
    </row>
    <row r="94" spans="1:13" x14ac:dyDescent="0.2">
      <c r="A94" s="4"/>
      <c r="B94" s="159" t="s">
        <v>101</v>
      </c>
      <c r="C94" s="2" t="s">
        <v>43</v>
      </c>
      <c r="D94" s="180"/>
      <c r="E94" s="13" t="s">
        <v>88</v>
      </c>
      <c r="F94" s="175"/>
      <c r="G94" s="173">
        <f>IFERROR(F94*100/F90,0)</f>
        <v>0</v>
      </c>
      <c r="H94" s="15" t="s">
        <v>88</v>
      </c>
      <c r="I94" s="180"/>
      <c r="J94" s="13" t="s">
        <v>88</v>
      </c>
      <c r="K94" s="175"/>
      <c r="L94" s="173">
        <f>IFERROR(K94*100/K90,0)</f>
        <v>0</v>
      </c>
      <c r="M94" s="15" t="s">
        <v>88</v>
      </c>
    </row>
    <row r="95" spans="1:13" x14ac:dyDescent="0.2">
      <c r="A95" s="4"/>
      <c r="B95" s="159" t="s">
        <v>102</v>
      </c>
      <c r="C95" s="2" t="s">
        <v>43</v>
      </c>
      <c r="D95" s="180"/>
      <c r="E95" s="13" t="s">
        <v>88</v>
      </c>
      <c r="F95" s="175"/>
      <c r="G95" s="173">
        <f>IFERROR(F95*100/F90,0)</f>
        <v>0</v>
      </c>
      <c r="H95" s="15" t="s">
        <v>88</v>
      </c>
      <c r="I95" s="180"/>
      <c r="J95" s="13" t="s">
        <v>88</v>
      </c>
      <c r="K95" s="175"/>
      <c r="L95" s="173">
        <f>IFERROR(K95*100/K90,0)</f>
        <v>0</v>
      </c>
      <c r="M95" s="15" t="s">
        <v>88</v>
      </c>
    </row>
    <row r="96" spans="1:13" x14ac:dyDescent="0.2">
      <c r="A96" s="4"/>
      <c r="B96" s="159" t="s">
        <v>103</v>
      </c>
      <c r="C96" s="2" t="s">
        <v>43</v>
      </c>
      <c r="D96" s="180"/>
      <c r="E96" s="13" t="s">
        <v>88</v>
      </c>
      <c r="F96" s="175"/>
      <c r="G96" s="173">
        <f>IFERROR(F96*100/F90,0)</f>
        <v>0</v>
      </c>
      <c r="H96" s="15" t="s">
        <v>88</v>
      </c>
      <c r="I96" s="180"/>
      <c r="J96" s="13" t="s">
        <v>88</v>
      </c>
      <c r="K96" s="175"/>
      <c r="L96" s="173">
        <f>IFERROR(K96*100/K90,0)</f>
        <v>0</v>
      </c>
      <c r="M96" s="15" t="s">
        <v>88</v>
      </c>
    </row>
    <row r="97" spans="1:13" x14ac:dyDescent="0.2">
      <c r="A97" s="4"/>
      <c r="B97" s="159" t="s">
        <v>104</v>
      </c>
      <c r="C97" s="2" t="s">
        <v>43</v>
      </c>
      <c r="D97" s="180"/>
      <c r="E97" s="13" t="s">
        <v>88</v>
      </c>
      <c r="F97" s="175"/>
      <c r="G97" s="173">
        <f>IFERROR(F97*100/F90,0)</f>
        <v>0</v>
      </c>
      <c r="H97" s="15" t="s">
        <v>88</v>
      </c>
      <c r="I97" s="180"/>
      <c r="J97" s="13" t="s">
        <v>88</v>
      </c>
      <c r="K97" s="175"/>
      <c r="L97" s="173">
        <f>IFERROR(K97*100/K90,0)</f>
        <v>0</v>
      </c>
      <c r="M97" s="15" t="s">
        <v>88</v>
      </c>
    </row>
    <row r="98" spans="1:13" x14ac:dyDescent="0.2">
      <c r="A98" s="4"/>
      <c r="B98" s="159" t="s">
        <v>118</v>
      </c>
      <c r="C98" s="2" t="s">
        <v>43</v>
      </c>
      <c r="D98" s="180"/>
      <c r="E98" s="13" t="s">
        <v>88</v>
      </c>
      <c r="F98" s="175"/>
      <c r="G98" s="173">
        <f>IFERROR(F98*100/F90,0)</f>
        <v>0</v>
      </c>
      <c r="H98" s="15" t="s">
        <v>88</v>
      </c>
      <c r="I98" s="180"/>
      <c r="J98" s="13" t="s">
        <v>88</v>
      </c>
      <c r="K98" s="175"/>
      <c r="L98" s="173">
        <f>IFERROR(K98*100/K90,0)</f>
        <v>0</v>
      </c>
      <c r="M98" s="15" t="s">
        <v>88</v>
      </c>
    </row>
    <row r="99" spans="1:13" x14ac:dyDescent="0.2">
      <c r="A99" s="4"/>
      <c r="B99" s="163" t="s">
        <v>115</v>
      </c>
      <c r="C99" s="2" t="s">
        <v>43</v>
      </c>
      <c r="D99" s="180"/>
      <c r="E99" s="13" t="s">
        <v>88</v>
      </c>
      <c r="F99" s="175"/>
      <c r="G99" s="173">
        <f>IFERROR(F99*100/F90,0)</f>
        <v>0</v>
      </c>
      <c r="H99" s="15" t="s">
        <v>88</v>
      </c>
      <c r="I99" s="180"/>
      <c r="J99" s="13" t="s">
        <v>88</v>
      </c>
      <c r="K99" s="175"/>
      <c r="L99" s="173">
        <f>IFERROR(K99*100/K90,0)</f>
        <v>0</v>
      </c>
      <c r="M99" s="15" t="s">
        <v>88</v>
      </c>
    </row>
    <row r="100" spans="1:13" x14ac:dyDescent="0.2">
      <c r="A100" s="4"/>
      <c r="B100" s="160" t="s">
        <v>117</v>
      </c>
      <c r="C100" s="2" t="s">
        <v>43</v>
      </c>
      <c r="D100" s="180"/>
      <c r="E100" s="13" t="s">
        <v>88</v>
      </c>
      <c r="F100" s="175"/>
      <c r="G100" s="173">
        <f>IFERROR(F100*100/F90,0)</f>
        <v>0</v>
      </c>
      <c r="H100" s="15" t="s">
        <v>88</v>
      </c>
      <c r="I100" s="180"/>
      <c r="J100" s="13" t="s">
        <v>88</v>
      </c>
      <c r="K100" s="175"/>
      <c r="L100" s="173">
        <f>IFERROR(K100*100/K90,0)</f>
        <v>0</v>
      </c>
      <c r="M100" s="15" t="s">
        <v>88</v>
      </c>
    </row>
    <row r="101" spans="1:13" x14ac:dyDescent="0.2">
      <c r="A101" s="4"/>
      <c r="B101" s="3"/>
      <c r="C101" s="2"/>
      <c r="D101" s="38"/>
      <c r="E101" s="13"/>
      <c r="F101" s="39"/>
      <c r="G101" s="103"/>
      <c r="H101" s="15"/>
      <c r="I101" s="38"/>
      <c r="J101" s="13"/>
      <c r="K101" s="39"/>
      <c r="L101" s="22"/>
      <c r="M101" s="15"/>
    </row>
    <row r="102" spans="1:13" ht="24" x14ac:dyDescent="0.2">
      <c r="A102" s="5">
        <v>16</v>
      </c>
      <c r="B102" s="98" t="s">
        <v>97</v>
      </c>
      <c r="C102" s="2" t="s">
        <v>43</v>
      </c>
      <c r="D102" s="179">
        <f>SUM(D103:D108)</f>
        <v>0</v>
      </c>
      <c r="E102" s="13" t="s">
        <v>88</v>
      </c>
      <c r="F102" s="174">
        <f>SUM(F103:F108)</f>
        <v>0</v>
      </c>
      <c r="G102" s="177">
        <f>SUM(G103:G108)</f>
        <v>0</v>
      </c>
      <c r="H102" s="15" t="s">
        <v>88</v>
      </c>
      <c r="I102" s="179">
        <f>SUM(I103:I108)</f>
        <v>0</v>
      </c>
      <c r="J102" s="13" t="s">
        <v>88</v>
      </c>
      <c r="K102" s="174">
        <f>SUM(K103:K108)</f>
        <v>0</v>
      </c>
      <c r="L102" s="177">
        <f>SUM(L103:L108)</f>
        <v>0</v>
      </c>
      <c r="M102" s="15" t="s">
        <v>88</v>
      </c>
    </row>
    <row r="103" spans="1:13" x14ac:dyDescent="0.2">
      <c r="A103" s="4"/>
      <c r="B103" s="159" t="s">
        <v>73</v>
      </c>
      <c r="C103" s="2" t="s">
        <v>43</v>
      </c>
      <c r="D103" s="180"/>
      <c r="E103" s="13" t="s">
        <v>88</v>
      </c>
      <c r="F103" s="175"/>
      <c r="G103" s="173">
        <f>IFERROR(F103*100/F102,0)</f>
        <v>0</v>
      </c>
      <c r="H103" s="15" t="s">
        <v>88</v>
      </c>
      <c r="I103" s="180"/>
      <c r="J103" s="13" t="s">
        <v>88</v>
      </c>
      <c r="K103" s="175"/>
      <c r="L103" s="173">
        <f>IFERROR(K103*100/K102,0)</f>
        <v>0</v>
      </c>
      <c r="M103" s="15" t="s">
        <v>88</v>
      </c>
    </row>
    <row r="104" spans="1:13" x14ac:dyDescent="0.2">
      <c r="A104" s="4"/>
      <c r="B104" s="161" t="s">
        <v>107</v>
      </c>
      <c r="C104" s="2" t="s">
        <v>43</v>
      </c>
      <c r="D104" s="180"/>
      <c r="E104" s="13" t="s">
        <v>88</v>
      </c>
      <c r="F104" s="175"/>
      <c r="G104" s="173">
        <f>IFERROR(F104*100/F102,0)</f>
        <v>0</v>
      </c>
      <c r="H104" s="15" t="s">
        <v>88</v>
      </c>
      <c r="I104" s="180"/>
      <c r="J104" s="13" t="s">
        <v>88</v>
      </c>
      <c r="K104" s="175"/>
      <c r="L104" s="173">
        <f>IFERROR(K104*100/K102,0)</f>
        <v>0</v>
      </c>
      <c r="M104" s="15" t="s">
        <v>88</v>
      </c>
    </row>
    <row r="105" spans="1:13" x14ac:dyDescent="0.2">
      <c r="A105" s="4"/>
      <c r="B105" s="161" t="s">
        <v>108</v>
      </c>
      <c r="C105" s="2" t="s">
        <v>43</v>
      </c>
      <c r="D105" s="180"/>
      <c r="E105" s="13" t="s">
        <v>88</v>
      </c>
      <c r="F105" s="175"/>
      <c r="G105" s="173">
        <f>IFERROR(F105*100/F102,0)</f>
        <v>0</v>
      </c>
      <c r="H105" s="15" t="s">
        <v>88</v>
      </c>
      <c r="I105" s="180"/>
      <c r="J105" s="13" t="s">
        <v>88</v>
      </c>
      <c r="K105" s="175"/>
      <c r="L105" s="173">
        <f>IFERROR(K105*100/K102,0)</f>
        <v>0</v>
      </c>
      <c r="M105" s="15" t="s">
        <v>88</v>
      </c>
    </row>
    <row r="106" spans="1:13" x14ac:dyDescent="0.2">
      <c r="A106" s="4"/>
      <c r="B106" s="161" t="s">
        <v>109</v>
      </c>
      <c r="C106" s="2" t="s">
        <v>43</v>
      </c>
      <c r="D106" s="180"/>
      <c r="E106" s="13" t="s">
        <v>88</v>
      </c>
      <c r="F106" s="175"/>
      <c r="G106" s="173">
        <f>IFERROR(F106*100/F102,0)</f>
        <v>0</v>
      </c>
      <c r="H106" s="15" t="s">
        <v>88</v>
      </c>
      <c r="I106" s="180"/>
      <c r="J106" s="13" t="s">
        <v>88</v>
      </c>
      <c r="K106" s="175"/>
      <c r="L106" s="173">
        <f>IFERROR(K106*100/K102,0)</f>
        <v>0</v>
      </c>
      <c r="M106" s="15" t="s">
        <v>88</v>
      </c>
    </row>
    <row r="107" spans="1:13" x14ac:dyDescent="0.2">
      <c r="A107" s="4"/>
      <c r="B107" s="161" t="s">
        <v>110</v>
      </c>
      <c r="C107" s="2" t="s">
        <v>43</v>
      </c>
      <c r="D107" s="180"/>
      <c r="E107" s="13" t="s">
        <v>88</v>
      </c>
      <c r="F107" s="175"/>
      <c r="G107" s="173">
        <f>IFERROR(F107*100/F102,0)</f>
        <v>0</v>
      </c>
      <c r="H107" s="15" t="s">
        <v>88</v>
      </c>
      <c r="I107" s="180"/>
      <c r="J107" s="13" t="s">
        <v>88</v>
      </c>
      <c r="K107" s="175"/>
      <c r="L107" s="173">
        <f>IFERROR(K107*100/K102,0)</f>
        <v>0</v>
      </c>
      <c r="M107" s="15" t="s">
        <v>88</v>
      </c>
    </row>
    <row r="108" spans="1:13" ht="12.75" thickBot="1" x14ac:dyDescent="0.25">
      <c r="A108" s="107"/>
      <c r="B108" s="162" t="s">
        <v>111</v>
      </c>
      <c r="C108" s="109" t="s">
        <v>43</v>
      </c>
      <c r="D108" s="180"/>
      <c r="E108" s="13" t="s">
        <v>88</v>
      </c>
      <c r="F108" s="175"/>
      <c r="G108" s="173">
        <f>IFERROR(F108*100/F102,0)</f>
        <v>0</v>
      </c>
      <c r="H108" s="15" t="s">
        <v>88</v>
      </c>
      <c r="I108" s="180"/>
      <c r="J108" s="13" t="s">
        <v>88</v>
      </c>
      <c r="K108" s="175"/>
      <c r="L108" s="173">
        <f>IFERROR(K108*100/K102,0)</f>
        <v>0</v>
      </c>
      <c r="M108" s="15" t="s">
        <v>88</v>
      </c>
    </row>
    <row r="109" spans="1:13" ht="37.5" customHeight="1" thickBot="1" x14ac:dyDescent="0.25">
      <c r="A109" s="23">
        <v>17</v>
      </c>
      <c r="B109" s="112" t="s">
        <v>98</v>
      </c>
      <c r="C109" s="24"/>
      <c r="D109" s="225"/>
      <c r="E109" s="226"/>
      <c r="F109" s="226"/>
      <c r="G109" s="226"/>
      <c r="H109" s="226"/>
      <c r="I109" s="226"/>
      <c r="J109" s="226"/>
      <c r="K109" s="226"/>
      <c r="L109" s="226"/>
      <c r="M109" s="227"/>
    </row>
  </sheetData>
  <mergeCells count="19">
    <mergeCell ref="D109:M109"/>
    <mergeCell ref="E3:G3"/>
    <mergeCell ref="D4:D5"/>
    <mergeCell ref="H4:H5"/>
    <mergeCell ref="I4:I5"/>
    <mergeCell ref="G4:G5"/>
    <mergeCell ref="F4:F5"/>
    <mergeCell ref="E4:E5"/>
    <mergeCell ref="C2:C5"/>
    <mergeCell ref="B2:B5"/>
    <mergeCell ref="A2:A5"/>
    <mergeCell ref="A1:M1"/>
    <mergeCell ref="I2:M2"/>
    <mergeCell ref="D2:H2"/>
    <mergeCell ref="M4:M5"/>
    <mergeCell ref="L4:L5"/>
    <mergeCell ref="K4:K5"/>
    <mergeCell ref="J4:J5"/>
    <mergeCell ref="J3:L3"/>
  </mergeCells>
  <conditionalFormatting sqref="A1">
    <cfRule type="cellIs" dxfId="1" priority="1" stopIfTrue="1" operator="lessThan">
      <formula>0</formula>
    </cfRule>
  </conditionalFormatting>
  <printOptions horizontalCentered="1"/>
  <pageMargins left="0.59055118110236227" right="0.39370078740157483" top="0.39370078740157483" bottom="0.39370078740157483" header="0" footer="0"/>
  <pageSetup paperSize="9" scale="29"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X102"/>
  <sheetViews>
    <sheetView workbookViewId="0">
      <pane xSplit="3" ySplit="5" topLeftCell="D6" activePane="bottomRight" state="frozen"/>
      <selection activeCell="E1" sqref="E1"/>
      <selection pane="topRight" activeCell="H1" sqref="H1"/>
      <selection pane="bottomLeft" activeCell="E6" sqref="E6"/>
      <selection pane="bottomRight" sqref="A1:M1"/>
    </sheetView>
  </sheetViews>
  <sheetFormatPr defaultRowHeight="12" x14ac:dyDescent="0.2"/>
  <cols>
    <col min="1" max="1" width="4.85546875" style="6" customWidth="1"/>
    <col min="2" max="2" width="41.140625" style="6" customWidth="1"/>
    <col min="3" max="3" width="9.7109375" style="6" customWidth="1"/>
    <col min="4" max="4" width="9.42578125" style="6" customWidth="1"/>
    <col min="5" max="6" width="12.42578125" style="6" customWidth="1"/>
    <col min="7" max="7" width="11.140625" style="6" customWidth="1"/>
    <col min="8" max="8" width="8.5703125" style="6" customWidth="1"/>
    <col min="9" max="9" width="9.85546875" style="6" customWidth="1"/>
    <col min="10" max="11" width="12.42578125" style="6" customWidth="1"/>
    <col min="12" max="12" width="10.85546875" style="6" customWidth="1"/>
    <col min="13" max="13" width="8" style="6" customWidth="1"/>
    <col min="14" max="16384" width="9.140625" style="6"/>
  </cols>
  <sheetData>
    <row r="1" spans="1:24" ht="34.5" customHeight="1" thickBot="1" x14ac:dyDescent="0.25">
      <c r="A1" s="195" t="s">
        <v>62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46"/>
      <c r="O1" s="46"/>
      <c r="P1" s="158"/>
      <c r="Q1" s="158"/>
      <c r="R1" s="158"/>
      <c r="S1" s="158"/>
      <c r="T1" s="158"/>
      <c r="U1" s="158"/>
      <c r="V1" s="158"/>
      <c r="W1" s="158"/>
      <c r="X1" s="158"/>
    </row>
    <row r="2" spans="1:24" ht="13.5" customHeight="1" x14ac:dyDescent="0.2">
      <c r="A2" s="210" t="s">
        <v>0</v>
      </c>
      <c r="B2" s="213" t="s">
        <v>1</v>
      </c>
      <c r="C2" s="216" t="s">
        <v>2</v>
      </c>
      <c r="D2" s="219" t="s">
        <v>60</v>
      </c>
      <c r="E2" s="220"/>
      <c r="F2" s="220"/>
      <c r="G2" s="220"/>
      <c r="H2" s="221"/>
      <c r="I2" s="196" t="s">
        <v>3</v>
      </c>
      <c r="J2" s="196"/>
      <c r="K2" s="196"/>
      <c r="L2" s="196"/>
      <c r="M2" s="196"/>
    </row>
    <row r="3" spans="1:24" ht="12.75" customHeight="1" x14ac:dyDescent="0.2">
      <c r="A3" s="211"/>
      <c r="B3" s="214"/>
      <c r="C3" s="217"/>
      <c r="D3" s="7" t="str">
        <f>N1&amp;" г."</f>
        <v xml:space="preserve"> г.</v>
      </c>
      <c r="E3" s="199">
        <f>O1</f>
        <v>0</v>
      </c>
      <c r="F3" s="200"/>
      <c r="G3" s="201"/>
      <c r="H3" s="8" t="s">
        <v>58</v>
      </c>
      <c r="I3" s="7" t="str">
        <f>N1&amp;" г."</f>
        <v xml:space="preserve"> г.</v>
      </c>
      <c r="J3" s="199">
        <f>O1</f>
        <v>0</v>
      </c>
      <c r="K3" s="200"/>
      <c r="L3" s="201"/>
      <c r="M3" s="8" t="s">
        <v>58</v>
      </c>
    </row>
    <row r="4" spans="1:24" ht="12.75" customHeight="1" x14ac:dyDescent="0.2">
      <c r="A4" s="211"/>
      <c r="B4" s="214"/>
      <c r="C4" s="217"/>
      <c r="D4" s="204" t="s">
        <v>5</v>
      </c>
      <c r="E4" s="202" t="s">
        <v>4</v>
      </c>
      <c r="F4" s="208" t="s">
        <v>5</v>
      </c>
      <c r="G4" s="202" t="s">
        <v>6</v>
      </c>
      <c r="H4" s="197" t="str">
        <f>N1&amp;" г."</f>
        <v xml:space="preserve"> г.</v>
      </c>
      <c r="I4" s="204" t="s">
        <v>5</v>
      </c>
      <c r="J4" s="202" t="s">
        <v>4</v>
      </c>
      <c r="K4" s="208" t="s">
        <v>5</v>
      </c>
      <c r="L4" s="202" t="s">
        <v>6</v>
      </c>
      <c r="M4" s="206" t="str">
        <f>O1&amp;" г."</f>
        <v xml:space="preserve"> г.</v>
      </c>
    </row>
    <row r="5" spans="1:24" ht="12.75" thickBot="1" x14ac:dyDescent="0.25">
      <c r="A5" s="212"/>
      <c r="B5" s="215"/>
      <c r="C5" s="218"/>
      <c r="D5" s="205"/>
      <c r="E5" s="203"/>
      <c r="F5" s="209"/>
      <c r="G5" s="203"/>
      <c r="H5" s="198"/>
      <c r="I5" s="205"/>
      <c r="J5" s="203"/>
      <c r="K5" s="209"/>
      <c r="L5" s="203"/>
      <c r="M5" s="207"/>
    </row>
    <row r="6" spans="1:24" x14ac:dyDescent="0.2">
      <c r="A6" s="3"/>
      <c r="B6" s="3"/>
      <c r="C6" s="1"/>
      <c r="D6" s="113"/>
      <c r="E6" s="145"/>
      <c r="F6" s="114"/>
      <c r="G6" s="45"/>
      <c r="H6" s="115"/>
      <c r="I6" s="113"/>
      <c r="J6" s="145"/>
      <c r="K6" s="114"/>
      <c r="L6" s="45"/>
      <c r="M6" s="115"/>
    </row>
    <row r="7" spans="1:24" x14ac:dyDescent="0.2">
      <c r="A7" s="54">
        <v>1</v>
      </c>
      <c r="B7" s="54" t="s">
        <v>7</v>
      </c>
      <c r="C7" s="54" t="s">
        <v>8</v>
      </c>
      <c r="D7" s="118">
        <f>D8</f>
        <v>0</v>
      </c>
      <c r="E7" s="125">
        <f>E8</f>
        <v>0</v>
      </c>
      <c r="F7" s="20">
        <f>F8</f>
        <v>0</v>
      </c>
      <c r="G7" s="146">
        <f>IF(OR(E7=0,F7=0),0,F7/E7)</f>
        <v>0</v>
      </c>
      <c r="H7" s="147">
        <f>IF(OR(D7=0,F7=0),0,F7/D7)</f>
        <v>0</v>
      </c>
      <c r="I7" s="118">
        <f>I8</f>
        <v>0</v>
      </c>
      <c r="J7" s="125">
        <f>J8</f>
        <v>0</v>
      </c>
      <c r="K7" s="20">
        <f>K8</f>
        <v>0</v>
      </c>
      <c r="L7" s="146">
        <f>IF(OR(J7=0,K7=0),0,K7/J7)</f>
        <v>0</v>
      </c>
      <c r="M7" s="147">
        <f>IF(OR(I7=0,K7=0),0,K7/I7)</f>
        <v>0</v>
      </c>
    </row>
    <row r="8" spans="1:24" x14ac:dyDescent="0.2">
      <c r="A8" s="3"/>
      <c r="B8" s="3" t="s">
        <v>44</v>
      </c>
      <c r="C8" s="3" t="s">
        <v>8</v>
      </c>
      <c r="D8" s="122">
        <v>0</v>
      </c>
      <c r="E8" s="134">
        <v>0</v>
      </c>
      <c r="F8" s="22">
        <v>0</v>
      </c>
      <c r="G8" s="148">
        <f>IF(OR(E8=0,F8=0),0,F8/E8)</f>
        <v>0</v>
      </c>
      <c r="H8" s="149">
        <f>IF(OR(F8=0,D8=0),0,F8/D8)</f>
        <v>0</v>
      </c>
      <c r="I8" s="122">
        <v>0</v>
      </c>
      <c r="J8" s="134">
        <v>0</v>
      </c>
      <c r="K8" s="22">
        <v>0</v>
      </c>
      <c r="L8" s="148">
        <f>IF(OR(J8=0,K8=0),0,K8/J8)</f>
        <v>0</v>
      </c>
      <c r="M8" s="149">
        <f>IF(OR(K8=0,I8=0),0,K8/I8)</f>
        <v>0</v>
      </c>
    </row>
    <row r="9" spans="1:24" x14ac:dyDescent="0.2">
      <c r="A9" s="3"/>
      <c r="B9" s="3" t="s">
        <v>45</v>
      </c>
      <c r="C9" s="3" t="s">
        <v>8</v>
      </c>
      <c r="D9" s="122"/>
      <c r="E9" s="134"/>
      <c r="F9" s="22"/>
      <c r="G9" s="148">
        <f>IF(OR(E9=0,F9=0),0,F9/E9)</f>
        <v>0</v>
      </c>
      <c r="H9" s="149">
        <f>IF(OR(F9=0,D9=0),0,F9/D9)</f>
        <v>0</v>
      </c>
      <c r="I9" s="122"/>
      <c r="J9" s="134"/>
      <c r="K9" s="22"/>
      <c r="L9" s="148">
        <f>IF(OR(J9=0,K9=0),0,K9/J9)</f>
        <v>0</v>
      </c>
      <c r="M9" s="149">
        <f>IF(OR(K9=0,I9=0),0,K9/I9)</f>
        <v>0</v>
      </c>
    </row>
    <row r="10" spans="1:24" x14ac:dyDescent="0.2">
      <c r="A10" s="3"/>
      <c r="B10" s="3"/>
      <c r="C10" s="3"/>
      <c r="D10" s="122"/>
      <c r="E10" s="134"/>
      <c r="F10" s="22"/>
      <c r="G10" s="45"/>
      <c r="H10" s="115"/>
      <c r="I10" s="122"/>
      <c r="J10" s="134"/>
      <c r="K10" s="22"/>
      <c r="L10" s="45"/>
      <c r="M10" s="115"/>
    </row>
    <row r="11" spans="1:24" x14ac:dyDescent="0.2">
      <c r="A11" s="54" t="s">
        <v>46</v>
      </c>
      <c r="B11" s="54" t="s">
        <v>47</v>
      </c>
      <c r="C11" s="54" t="s">
        <v>8</v>
      </c>
      <c r="D11" s="118">
        <f>D12</f>
        <v>0</v>
      </c>
      <c r="E11" s="119">
        <f>E12</f>
        <v>0</v>
      </c>
      <c r="F11" s="20">
        <f>F12</f>
        <v>0</v>
      </c>
      <c r="G11" s="146">
        <f>IF(OR(E11=0,F11=0),0,F11/E11)</f>
        <v>0</v>
      </c>
      <c r="H11" s="147">
        <f>IF(OR(D11=0,F11=0),0,F11/D11)</f>
        <v>0</v>
      </c>
      <c r="I11" s="118">
        <f>I12</f>
        <v>0</v>
      </c>
      <c r="J11" s="119">
        <f>J12</f>
        <v>0</v>
      </c>
      <c r="K11" s="20">
        <f>K12</f>
        <v>0</v>
      </c>
      <c r="L11" s="146">
        <f>IF(OR(J11=0,K11=0),0,K11/J11)</f>
        <v>0</v>
      </c>
      <c r="M11" s="147">
        <f>IF(OR(I11=0,K11=0),0,K11/I11)</f>
        <v>0</v>
      </c>
    </row>
    <row r="12" spans="1:24" x14ac:dyDescent="0.2">
      <c r="A12" s="3"/>
      <c r="B12" s="3" t="s">
        <v>44</v>
      </c>
      <c r="C12" s="3" t="s">
        <v>8</v>
      </c>
      <c r="D12" s="122">
        <v>0</v>
      </c>
      <c r="E12" s="121">
        <v>0</v>
      </c>
      <c r="F12" s="22">
        <v>0</v>
      </c>
      <c r="G12" s="148">
        <f>IF(OR(E12=0,F12=0),0,F12/E12)</f>
        <v>0</v>
      </c>
      <c r="H12" s="149">
        <f>IF(OR(F12=0,D12=0),0,F12/D12)</f>
        <v>0</v>
      </c>
      <c r="I12" s="122">
        <v>0</v>
      </c>
      <c r="J12" s="121">
        <v>0</v>
      </c>
      <c r="K12" s="22">
        <v>0</v>
      </c>
      <c r="L12" s="148">
        <f>IF(OR(J12=0,K12=0),0,K12/J12)</f>
        <v>0</v>
      </c>
      <c r="M12" s="149">
        <f>IF(OR(K12=0,I12=0),0,K12/I12)</f>
        <v>0</v>
      </c>
    </row>
    <row r="13" spans="1:24" x14ac:dyDescent="0.2">
      <c r="A13" s="3"/>
      <c r="B13" s="3"/>
      <c r="C13" s="1"/>
      <c r="D13" s="122"/>
      <c r="E13" s="134"/>
      <c r="F13" s="22"/>
      <c r="G13" s="148"/>
      <c r="H13" s="149"/>
      <c r="I13" s="122"/>
      <c r="J13" s="134"/>
      <c r="K13" s="22"/>
      <c r="L13" s="148"/>
      <c r="M13" s="149"/>
    </row>
    <row r="14" spans="1:24" x14ac:dyDescent="0.2">
      <c r="A14" s="54" t="s">
        <v>48</v>
      </c>
      <c r="B14" s="54" t="s">
        <v>14</v>
      </c>
      <c r="C14" s="98" t="s">
        <v>15</v>
      </c>
      <c r="D14" s="118">
        <f>D15</f>
        <v>0</v>
      </c>
      <c r="E14" s="125">
        <f>E15</f>
        <v>0</v>
      </c>
      <c r="F14" s="20">
        <f>F15</f>
        <v>0</v>
      </c>
      <c r="G14" s="146">
        <f>IF(OR(E14=0,F14=0),0,F14/E14)</f>
        <v>0</v>
      </c>
      <c r="H14" s="147">
        <f>IF(OR(D14=0,F14=0),0,F14/D14)</f>
        <v>0</v>
      </c>
      <c r="I14" s="118">
        <f>I15</f>
        <v>0</v>
      </c>
      <c r="J14" s="125">
        <f>J15</f>
        <v>0</v>
      </c>
      <c r="K14" s="20">
        <f>K15</f>
        <v>0</v>
      </c>
      <c r="L14" s="146">
        <f>IF(OR(J14=0,K14=0),0,K14/J14)</f>
        <v>0</v>
      </c>
      <c r="M14" s="147">
        <f>IF(OR(I14=0,K14=0),0,K14/I14)</f>
        <v>0</v>
      </c>
    </row>
    <row r="15" spans="1:24" x14ac:dyDescent="0.2">
      <c r="A15" s="3"/>
      <c r="B15" s="3" t="s">
        <v>44</v>
      </c>
      <c r="C15" s="1" t="s">
        <v>15</v>
      </c>
      <c r="D15" s="122">
        <v>0</v>
      </c>
      <c r="E15" s="134">
        <v>0</v>
      </c>
      <c r="F15" s="22">
        <v>0</v>
      </c>
      <c r="G15" s="148">
        <f>IF(OR(E15=0,F15=0),0,F15/E15)</f>
        <v>0</v>
      </c>
      <c r="H15" s="149">
        <f>IF(OR(F15=0,D15=0),0,F15/D15)</f>
        <v>0</v>
      </c>
      <c r="I15" s="122">
        <v>0</v>
      </c>
      <c r="J15" s="134">
        <v>0</v>
      </c>
      <c r="K15" s="22">
        <v>0</v>
      </c>
      <c r="L15" s="148">
        <f>IF(OR(J15=0,K15=0),0,K15/J15)</f>
        <v>0</v>
      </c>
      <c r="M15" s="149">
        <f>IF(OR(K15=0,I15=0),0,K15/I15)</f>
        <v>0</v>
      </c>
    </row>
    <row r="16" spans="1:24" x14ac:dyDescent="0.2">
      <c r="A16" s="3"/>
      <c r="B16" s="3"/>
      <c r="C16" s="1"/>
      <c r="D16" s="122"/>
      <c r="E16" s="134"/>
      <c r="F16" s="22"/>
      <c r="G16" s="45"/>
      <c r="H16" s="115"/>
      <c r="I16" s="122"/>
      <c r="J16" s="134"/>
      <c r="K16" s="22"/>
      <c r="L16" s="45"/>
      <c r="M16" s="115"/>
    </row>
    <row r="17" spans="1:14" x14ac:dyDescent="0.2">
      <c r="A17" s="54">
        <v>3</v>
      </c>
      <c r="B17" s="54" t="s">
        <v>17</v>
      </c>
      <c r="C17" s="98" t="s">
        <v>15</v>
      </c>
      <c r="D17" s="118">
        <f>D18</f>
        <v>0</v>
      </c>
      <c r="E17" s="125">
        <f>E18</f>
        <v>0</v>
      </c>
      <c r="F17" s="20">
        <f>F18</f>
        <v>0</v>
      </c>
      <c r="G17" s="146">
        <f>IF(OR(E17=0,F17=0),0,F17/E17)</f>
        <v>0</v>
      </c>
      <c r="H17" s="147">
        <f>IF(OR(D17=0,F17=0),0,F17/D17)</f>
        <v>0</v>
      </c>
      <c r="I17" s="118">
        <f>I18</f>
        <v>0</v>
      </c>
      <c r="J17" s="125">
        <f>J18</f>
        <v>0</v>
      </c>
      <c r="K17" s="20">
        <f>K18</f>
        <v>0</v>
      </c>
      <c r="L17" s="146">
        <f>IF(OR(J17=0,K17=0),0,K17/J17)</f>
        <v>0</v>
      </c>
      <c r="M17" s="147">
        <f>IF(OR(I17=0,K17=0),0,K17/I17)</f>
        <v>0</v>
      </c>
    </row>
    <row r="18" spans="1:14" x14ac:dyDescent="0.2">
      <c r="A18" s="3"/>
      <c r="B18" s="3" t="s">
        <v>44</v>
      </c>
      <c r="C18" s="1" t="s">
        <v>15</v>
      </c>
      <c r="D18" s="122">
        <v>0</v>
      </c>
      <c r="E18" s="134">
        <v>0</v>
      </c>
      <c r="F18" s="22">
        <v>0</v>
      </c>
      <c r="G18" s="148">
        <f>IF(OR(E18=0,F18=0),0,F18/E18)</f>
        <v>0</v>
      </c>
      <c r="H18" s="149">
        <f>IF(OR(F18=0,D18=0),0,F18/D18)</f>
        <v>0</v>
      </c>
      <c r="I18" s="122">
        <v>0</v>
      </c>
      <c r="J18" s="134">
        <v>0</v>
      </c>
      <c r="K18" s="22">
        <v>0</v>
      </c>
      <c r="L18" s="148">
        <f>IF(OR(J18=0,K18=0),0,K18/J18)</f>
        <v>0</v>
      </c>
      <c r="M18" s="149">
        <f>IF(OR(K18=0,I18=0),0,K18/I18)</f>
        <v>0</v>
      </c>
    </row>
    <row r="19" spans="1:14" x14ac:dyDescent="0.2">
      <c r="A19" s="3"/>
      <c r="B19" s="3" t="s">
        <v>45</v>
      </c>
      <c r="C19" s="1" t="s">
        <v>15</v>
      </c>
      <c r="D19" s="122"/>
      <c r="E19" s="134"/>
      <c r="F19" s="22"/>
      <c r="G19" s="148">
        <f>IF(OR(E19=0,F19=0),0,F19/E19)</f>
        <v>0</v>
      </c>
      <c r="H19" s="149">
        <f>IF(OR(F19=0,D19=0),0,F19/D19)</f>
        <v>0</v>
      </c>
      <c r="I19" s="122"/>
      <c r="J19" s="134"/>
      <c r="K19" s="22"/>
      <c r="L19" s="148">
        <f>IF(OR(J19=0,K19=0),0,K19/J19)</f>
        <v>0</v>
      </c>
      <c r="M19" s="149">
        <f>IF(OR(K19=0,I19=0),0,K19/I19)</f>
        <v>0</v>
      </c>
    </row>
    <row r="20" spans="1:14" x14ac:dyDescent="0.2">
      <c r="A20" s="3"/>
      <c r="B20" s="3"/>
      <c r="C20" s="3"/>
      <c r="D20" s="122"/>
      <c r="E20" s="134"/>
      <c r="F20" s="22"/>
      <c r="G20" s="45"/>
      <c r="H20" s="150"/>
      <c r="I20" s="122"/>
      <c r="J20" s="134"/>
      <c r="K20" s="22"/>
      <c r="L20" s="45"/>
      <c r="M20" s="150"/>
    </row>
    <row r="21" spans="1:14" x14ac:dyDescent="0.2">
      <c r="A21" s="54">
        <v>4</v>
      </c>
      <c r="B21" s="54" t="s">
        <v>22</v>
      </c>
      <c r="C21" s="3"/>
      <c r="D21" s="122"/>
      <c r="E21" s="134"/>
      <c r="F21" s="22"/>
      <c r="G21" s="45"/>
      <c r="H21" s="150"/>
      <c r="I21" s="122"/>
      <c r="J21" s="134"/>
      <c r="K21" s="22"/>
      <c r="L21" s="45"/>
      <c r="M21" s="150"/>
      <c r="N21" s="151"/>
    </row>
    <row r="22" spans="1:14" x14ac:dyDescent="0.2">
      <c r="A22" s="5" t="s">
        <v>49</v>
      </c>
      <c r="B22" s="54" t="s">
        <v>24</v>
      </c>
      <c r="C22" s="16" t="s">
        <v>25</v>
      </c>
      <c r="D22" s="118">
        <f>D23</f>
        <v>0</v>
      </c>
      <c r="E22" s="125">
        <f>E23</f>
        <v>0</v>
      </c>
      <c r="F22" s="20">
        <f>F23</f>
        <v>0</v>
      </c>
      <c r="G22" s="146">
        <f>IF(OR(E22=0,F22=0),0,F22/E22)</f>
        <v>0</v>
      </c>
      <c r="H22" s="147">
        <f>IF(OR(D22=0,F22=0),0,F22/D22)</f>
        <v>0</v>
      </c>
      <c r="I22" s="118">
        <f>I23</f>
        <v>0</v>
      </c>
      <c r="J22" s="125">
        <f>J23</f>
        <v>0</v>
      </c>
      <c r="K22" s="20">
        <f>K23</f>
        <v>0</v>
      </c>
      <c r="L22" s="146">
        <f>IF(OR(J22=0,K22=0),0,K22/J22)</f>
        <v>0</v>
      </c>
      <c r="M22" s="147">
        <f>IF(OR(I22=0,K22=0),0,K22/I22)</f>
        <v>0</v>
      </c>
      <c r="N22" s="151"/>
    </row>
    <row r="23" spans="1:14" x14ac:dyDescent="0.2">
      <c r="A23" s="3"/>
      <c r="B23" s="3" t="s">
        <v>44</v>
      </c>
      <c r="C23" s="1" t="s">
        <v>25</v>
      </c>
      <c r="D23" s="122">
        <v>0</v>
      </c>
      <c r="E23" s="134">
        <v>0</v>
      </c>
      <c r="F23" s="22">
        <v>0</v>
      </c>
      <c r="G23" s="148">
        <f>IF(OR(E23=0,F23=0),0,F23/E23)</f>
        <v>0</v>
      </c>
      <c r="H23" s="149">
        <f>IF(OR(F23=0,D23=0),0,F23/D23)</f>
        <v>0</v>
      </c>
      <c r="I23" s="122">
        <v>0</v>
      </c>
      <c r="J23" s="134">
        <v>0</v>
      </c>
      <c r="K23" s="22">
        <v>0</v>
      </c>
      <c r="L23" s="148">
        <f>IF(OR(J23=0,K23=0),0,K23/J23)</f>
        <v>0</v>
      </c>
      <c r="M23" s="149">
        <f>IF(OR(K23=0,I23=0),0,K23/I23)</f>
        <v>0</v>
      </c>
      <c r="N23" s="70"/>
    </row>
    <row r="24" spans="1:14" x14ac:dyDescent="0.2">
      <c r="A24" s="3"/>
      <c r="B24" s="3"/>
      <c r="C24" s="1"/>
      <c r="D24" s="122"/>
      <c r="E24" s="134"/>
      <c r="F24" s="22"/>
      <c r="G24" s="148"/>
      <c r="H24" s="149"/>
      <c r="I24" s="122"/>
      <c r="J24" s="134"/>
      <c r="K24" s="22"/>
      <c r="L24" s="148"/>
      <c r="M24" s="149"/>
      <c r="N24" s="70"/>
    </row>
    <row r="25" spans="1:14" x14ac:dyDescent="0.2">
      <c r="A25" s="5" t="s">
        <v>50</v>
      </c>
      <c r="B25" s="54" t="s">
        <v>27</v>
      </c>
      <c r="C25" s="16" t="s">
        <v>25</v>
      </c>
      <c r="D25" s="118">
        <f>D26</f>
        <v>0</v>
      </c>
      <c r="E25" s="125">
        <f>E26</f>
        <v>0</v>
      </c>
      <c r="F25" s="20">
        <f>F26</f>
        <v>0</v>
      </c>
      <c r="G25" s="146">
        <f>IF(OR(E25=0,F25=0),0,F25/E25)</f>
        <v>0</v>
      </c>
      <c r="H25" s="147">
        <f>IF(OR(D25=0,F25=0),0,F25/D25)</f>
        <v>0</v>
      </c>
      <c r="I25" s="118">
        <f>I26</f>
        <v>0</v>
      </c>
      <c r="J25" s="125">
        <f>J26</f>
        <v>0</v>
      </c>
      <c r="K25" s="20">
        <f>K26</f>
        <v>0</v>
      </c>
      <c r="L25" s="146">
        <f>IF(OR(J25=0,K25=0),0,K25/J25)</f>
        <v>0</v>
      </c>
      <c r="M25" s="147">
        <f>IF(OR(I25=0,K25=0),0,K25/I25)</f>
        <v>0</v>
      </c>
      <c r="N25" s="70"/>
    </row>
    <row r="26" spans="1:14" x14ac:dyDescent="0.2">
      <c r="A26" s="3"/>
      <c r="B26" s="3" t="s">
        <v>44</v>
      </c>
      <c r="C26" s="1" t="s">
        <v>25</v>
      </c>
      <c r="D26" s="122">
        <v>0</v>
      </c>
      <c r="E26" s="134">
        <v>0</v>
      </c>
      <c r="F26" s="22">
        <v>0</v>
      </c>
      <c r="G26" s="148">
        <f>IF(OR(E26=0,F26=0),0,F26/E26)</f>
        <v>0</v>
      </c>
      <c r="H26" s="149">
        <f>IF(OR(F26=0,D26=0),0,F26/D26)</f>
        <v>0</v>
      </c>
      <c r="I26" s="122">
        <v>0</v>
      </c>
      <c r="J26" s="134">
        <v>0</v>
      </c>
      <c r="K26" s="22">
        <v>0</v>
      </c>
      <c r="L26" s="148">
        <f>IF(OR(J26=0,K26=0),0,K26/J26)</f>
        <v>0</v>
      </c>
      <c r="M26" s="149">
        <f>IF(OR(K26=0,I26=0),0,K26/I26)</f>
        <v>0</v>
      </c>
    </row>
    <row r="27" spans="1:14" x14ac:dyDescent="0.2">
      <c r="A27" s="3"/>
      <c r="B27" s="3"/>
      <c r="C27" s="1"/>
      <c r="D27" s="122"/>
      <c r="E27" s="134"/>
      <c r="F27" s="22"/>
      <c r="G27" s="45"/>
      <c r="H27" s="115"/>
      <c r="I27" s="122"/>
      <c r="J27" s="134"/>
      <c r="K27" s="22"/>
      <c r="L27" s="45"/>
      <c r="M27" s="115"/>
    </row>
    <row r="28" spans="1:14" x14ac:dyDescent="0.2">
      <c r="A28" s="54">
        <v>5</v>
      </c>
      <c r="B28" s="54" t="s">
        <v>28</v>
      </c>
      <c r="C28" s="98" t="s">
        <v>29</v>
      </c>
      <c r="D28" s="17">
        <v>0</v>
      </c>
      <c r="E28" s="125">
        <v>0</v>
      </c>
      <c r="F28" s="19">
        <v>0</v>
      </c>
      <c r="G28" s="146">
        <f t="shared" ref="G28" si="0">IF(OR(E28=0,F28=0),0,F28/E28)</f>
        <v>0</v>
      </c>
      <c r="H28" s="147">
        <f>IF(OR(D28=0,F28=0),0,F28/D28)</f>
        <v>0</v>
      </c>
      <c r="I28" s="17">
        <f>N29</f>
        <v>0</v>
      </c>
      <c r="J28" s="125">
        <v>0</v>
      </c>
      <c r="K28" s="19">
        <f>O29</f>
        <v>0</v>
      </c>
      <c r="L28" s="146">
        <f t="shared" ref="L28" si="1">IF(OR(J28=0,K28=0),0,K28/J28)</f>
        <v>0</v>
      </c>
      <c r="M28" s="147">
        <f>IF(OR(I28=0,K28=0),0,K28/I28)</f>
        <v>0</v>
      </c>
    </row>
    <row r="29" spans="1:14" x14ac:dyDescent="0.2">
      <c r="A29" s="3"/>
      <c r="B29" s="3"/>
      <c r="C29" s="1"/>
      <c r="D29" s="130"/>
      <c r="E29" s="152"/>
      <c r="F29" s="22"/>
      <c r="G29" s="45"/>
      <c r="H29" s="149"/>
      <c r="I29" s="153"/>
      <c r="J29" s="129"/>
      <c r="K29" s="134"/>
      <c r="L29" s="45"/>
      <c r="M29" s="149"/>
    </row>
    <row r="30" spans="1:14" ht="12.75" x14ac:dyDescent="0.2">
      <c r="A30" s="5">
        <v>6</v>
      </c>
      <c r="B30" s="54" t="s">
        <v>67</v>
      </c>
      <c r="C30" s="2" t="s">
        <v>68</v>
      </c>
      <c r="D30" s="75">
        <f>IF(OR(D13=0,D13=""),0,D53/D13)*1000</f>
        <v>0</v>
      </c>
      <c r="E30" s="67">
        <f t="shared" ref="E30:F30" si="2">IF(OR(E13=0,E13=""),0,E53/E13)*1000</f>
        <v>0</v>
      </c>
      <c r="F30" s="154">
        <f t="shared" si="2"/>
        <v>0</v>
      </c>
      <c r="G30" s="25">
        <f>IF(OR(E30="",E30=0),0,F30/E30)</f>
        <v>0</v>
      </c>
      <c r="H30" s="41">
        <f>IF(OR(D30="",D30=0),0,F30/D30)</f>
        <v>0</v>
      </c>
      <c r="I30" s="75">
        <f>IF(OR(I13=0,I13=""),0,I53/I13)*1000</f>
        <v>0</v>
      </c>
      <c r="J30" s="67">
        <f t="shared" ref="J30:K30" si="3">IF(OR(J13=0,J13=""),0,J53/J13)*1000</f>
        <v>0</v>
      </c>
      <c r="K30" s="154">
        <f t="shared" si="3"/>
        <v>0</v>
      </c>
      <c r="L30" s="25">
        <f>IF(OR(J30="",J30=0),0,K30/J30)</f>
        <v>0</v>
      </c>
      <c r="M30" s="43">
        <f>IF(OR(I30="",I30=0),0,K30/I30)</f>
        <v>0</v>
      </c>
    </row>
    <row r="31" spans="1:14" ht="12.75" x14ac:dyDescent="0.2">
      <c r="A31" s="128"/>
      <c r="B31" s="3" t="s">
        <v>44</v>
      </c>
      <c r="C31" s="2" t="s">
        <v>68</v>
      </c>
      <c r="D31" s="75">
        <f t="shared" ref="D31:F32" si="4">IF(OR(D14=0,D14=""),0,D54/D14)*1000</f>
        <v>0</v>
      </c>
      <c r="E31" s="67">
        <f t="shared" si="4"/>
        <v>0</v>
      </c>
      <c r="F31" s="154">
        <f t="shared" si="4"/>
        <v>0</v>
      </c>
      <c r="G31" s="25">
        <f>IF(OR(E31="",E31=0),0,F31/E31)</f>
        <v>0</v>
      </c>
      <c r="H31" s="41">
        <f>IF(OR(D31="",D31=0),0,F31/D31)</f>
        <v>0</v>
      </c>
      <c r="I31" s="75">
        <f t="shared" ref="I31:K32" si="5">IF(OR(I14=0,I14=""),0,I54/I14)*1000</f>
        <v>0</v>
      </c>
      <c r="J31" s="67">
        <f t="shared" si="5"/>
        <v>0</v>
      </c>
      <c r="K31" s="154">
        <f t="shared" si="5"/>
        <v>0</v>
      </c>
      <c r="L31" s="25">
        <f>IF(OR(J31="",J31=0),0,K31/J31)</f>
        <v>0</v>
      </c>
      <c r="M31" s="43">
        <f>IF(OR(I31="",I31=0),0,K31/I31)</f>
        <v>0</v>
      </c>
    </row>
    <row r="32" spans="1:14" ht="12.75" x14ac:dyDescent="0.2">
      <c r="A32" s="4"/>
      <c r="B32" s="3" t="s">
        <v>45</v>
      </c>
      <c r="C32" s="2" t="s">
        <v>68</v>
      </c>
      <c r="D32" s="75">
        <f t="shared" si="4"/>
        <v>0</v>
      </c>
      <c r="E32" s="67">
        <f t="shared" si="4"/>
        <v>0</v>
      </c>
      <c r="F32" s="154">
        <f t="shared" si="4"/>
        <v>0</v>
      </c>
      <c r="G32" s="25">
        <f>IF(OR(E32="",E32=0),0,F32/E32)</f>
        <v>0</v>
      </c>
      <c r="H32" s="41">
        <f>IF(OR(D32="",D32=0),0,F32/D32)</f>
        <v>0</v>
      </c>
      <c r="I32" s="75">
        <f t="shared" si="5"/>
        <v>0</v>
      </c>
      <c r="J32" s="67">
        <f t="shared" si="5"/>
        <v>0</v>
      </c>
      <c r="K32" s="154">
        <f t="shared" si="5"/>
        <v>0</v>
      </c>
      <c r="L32" s="25">
        <f>IF(OR(J32="",J32=0),0,K32/J32)</f>
        <v>0</v>
      </c>
      <c r="M32" s="43">
        <f>IF(OR(I32="",I32=0),0,K32/I32)</f>
        <v>0</v>
      </c>
    </row>
    <row r="33" spans="1:13" x14ac:dyDescent="0.2">
      <c r="A33" s="3"/>
      <c r="B33" s="3"/>
      <c r="C33" s="1"/>
      <c r="D33" s="130"/>
      <c r="E33" s="152"/>
      <c r="F33" s="22"/>
      <c r="G33" s="45"/>
      <c r="H33" s="149"/>
      <c r="I33" s="153"/>
      <c r="J33" s="129"/>
      <c r="K33" s="134"/>
      <c r="L33" s="45"/>
      <c r="M33" s="149"/>
    </row>
    <row r="34" spans="1:13" x14ac:dyDescent="0.2">
      <c r="A34" s="54">
        <v>7</v>
      </c>
      <c r="B34" s="54" t="s">
        <v>51</v>
      </c>
      <c r="C34" s="98" t="s">
        <v>32</v>
      </c>
      <c r="D34" s="118">
        <f>D35</f>
        <v>0</v>
      </c>
      <c r="E34" s="125">
        <f>E35</f>
        <v>0</v>
      </c>
      <c r="F34" s="20">
        <f>F35</f>
        <v>0</v>
      </c>
      <c r="G34" s="146">
        <f>IF(OR(E34=0,F34=0),0,F34/E34)</f>
        <v>0</v>
      </c>
      <c r="H34" s="147">
        <f>IF(OR(D34=0,F34=0),0,F34/D34)</f>
        <v>0</v>
      </c>
      <c r="I34" s="118">
        <f>I35</f>
        <v>0</v>
      </c>
      <c r="J34" s="125">
        <f>J35</f>
        <v>0</v>
      </c>
      <c r="K34" s="20">
        <f>K35</f>
        <v>0</v>
      </c>
      <c r="L34" s="146">
        <f>IF(OR(J34=0,K34=0),0,K34/J34)</f>
        <v>0</v>
      </c>
      <c r="M34" s="147">
        <f>IF(K34=0,0,K34/I34)</f>
        <v>0</v>
      </c>
    </row>
    <row r="35" spans="1:13" x14ac:dyDescent="0.2">
      <c r="A35" s="3"/>
      <c r="B35" s="3" t="s">
        <v>44</v>
      </c>
      <c r="C35" s="1" t="s">
        <v>32</v>
      </c>
      <c r="D35" s="122">
        <v>0</v>
      </c>
      <c r="E35" s="134">
        <v>0</v>
      </c>
      <c r="F35" s="22">
        <v>0</v>
      </c>
      <c r="G35" s="148">
        <f>IF(OR(E35=0,F35=0),0,F35/E35)</f>
        <v>0</v>
      </c>
      <c r="H35" s="149">
        <f>IF(OR(F35=0,D35=0),0,F35/D35)</f>
        <v>0</v>
      </c>
      <c r="I35" s="122">
        <v>0</v>
      </c>
      <c r="J35" s="134">
        <v>0</v>
      </c>
      <c r="K35" s="22">
        <v>0</v>
      </c>
      <c r="L35" s="148">
        <f>IF(OR(J35=0,K35=0),0,K35/J35)</f>
        <v>0</v>
      </c>
      <c r="M35" s="149">
        <f>IF(OR(K35=0,I35=0),0,K35/I35)</f>
        <v>0</v>
      </c>
    </row>
    <row r="36" spans="1:13" x14ac:dyDescent="0.2">
      <c r="A36" s="3"/>
      <c r="B36" s="3" t="s">
        <v>45</v>
      </c>
      <c r="C36" s="1" t="s">
        <v>32</v>
      </c>
      <c r="D36" s="130">
        <v>0</v>
      </c>
      <c r="E36" s="152">
        <v>0</v>
      </c>
      <c r="F36" s="22">
        <v>0</v>
      </c>
      <c r="G36" s="148">
        <f>IF(OR(E36=0,F36=0),0,F36/E36)</f>
        <v>0</v>
      </c>
      <c r="H36" s="149">
        <f>IF(F36=0,0,F36/D36)</f>
        <v>0</v>
      </c>
      <c r="I36" s="130">
        <v>0</v>
      </c>
      <c r="J36" s="152">
        <v>0</v>
      </c>
      <c r="K36" s="22">
        <v>0</v>
      </c>
      <c r="L36" s="148">
        <f>IF(OR(J36=0,K36=0),0,K36/J36)</f>
        <v>0</v>
      </c>
      <c r="M36" s="149">
        <f>IF(K36=0,0,K36/I36)</f>
        <v>0</v>
      </c>
    </row>
    <row r="37" spans="1:13" x14ac:dyDescent="0.2">
      <c r="A37" s="3"/>
      <c r="B37" s="3"/>
      <c r="C37" s="1"/>
      <c r="D37" s="130"/>
      <c r="E37" s="152"/>
      <c r="F37" s="22"/>
      <c r="G37" s="45"/>
      <c r="H37" s="149"/>
      <c r="I37" s="130"/>
      <c r="J37" s="152"/>
      <c r="K37" s="22"/>
      <c r="L37" s="45"/>
      <c r="M37" s="149"/>
    </row>
    <row r="38" spans="1:13" x14ac:dyDescent="0.2">
      <c r="A38" s="54">
        <v>8</v>
      </c>
      <c r="B38" s="54" t="s">
        <v>57</v>
      </c>
      <c r="C38" s="98"/>
      <c r="D38" s="118"/>
      <c r="E38" s="125"/>
      <c r="F38" s="20"/>
      <c r="G38" s="146"/>
      <c r="H38" s="147"/>
      <c r="I38" s="118"/>
      <c r="J38" s="125"/>
      <c r="K38" s="20"/>
      <c r="L38" s="146"/>
      <c r="M38" s="147"/>
    </row>
    <row r="39" spans="1:13" x14ac:dyDescent="0.2">
      <c r="A39" s="54"/>
      <c r="B39" s="3" t="s">
        <v>53</v>
      </c>
      <c r="C39" s="1" t="s">
        <v>32</v>
      </c>
      <c r="D39" s="122">
        <v>0</v>
      </c>
      <c r="E39" s="152" t="s">
        <v>88</v>
      </c>
      <c r="F39" s="22">
        <v>0</v>
      </c>
      <c r="G39" s="45" t="s">
        <v>88</v>
      </c>
      <c r="H39" s="149">
        <f>IF(OR(F39=0,D39=0),0,F39/D39)</f>
        <v>0</v>
      </c>
      <c r="I39" s="122">
        <v>0</v>
      </c>
      <c r="J39" s="152" t="s">
        <v>88</v>
      </c>
      <c r="K39" s="22">
        <v>0</v>
      </c>
      <c r="L39" s="45" t="s">
        <v>88</v>
      </c>
      <c r="M39" s="149">
        <f>IF(OR(K39=0,I39=0),0,K39/I39)</f>
        <v>0</v>
      </c>
    </row>
    <row r="40" spans="1:13" x14ac:dyDescent="0.2">
      <c r="A40" s="3"/>
      <c r="B40" s="3" t="s">
        <v>54</v>
      </c>
      <c r="C40" s="1" t="s">
        <v>32</v>
      </c>
      <c r="D40" s="122">
        <v>0</v>
      </c>
      <c r="E40" s="152" t="s">
        <v>88</v>
      </c>
      <c r="F40" s="22">
        <v>0</v>
      </c>
      <c r="G40" s="45" t="s">
        <v>88</v>
      </c>
      <c r="H40" s="149">
        <f>IF(OR(F40=0,D40=0),0,F40/D40)</f>
        <v>0</v>
      </c>
      <c r="I40" s="122">
        <v>0</v>
      </c>
      <c r="J40" s="152" t="s">
        <v>88</v>
      </c>
      <c r="K40" s="22">
        <v>0</v>
      </c>
      <c r="L40" s="45" t="s">
        <v>88</v>
      </c>
      <c r="M40" s="149">
        <f>IF(OR(K40=0,I40=0),0,K40/I40)</f>
        <v>0</v>
      </c>
    </row>
    <row r="41" spans="1:13" x14ac:dyDescent="0.2">
      <c r="A41" s="3"/>
      <c r="B41" s="3" t="s">
        <v>55</v>
      </c>
      <c r="C41" s="1" t="s">
        <v>32</v>
      </c>
      <c r="D41" s="122">
        <v>0</v>
      </c>
      <c r="E41" s="152" t="s">
        <v>88</v>
      </c>
      <c r="F41" s="22">
        <v>0</v>
      </c>
      <c r="G41" s="45" t="s">
        <v>88</v>
      </c>
      <c r="H41" s="149">
        <f>IF(OR(F41=0,D41=0),0,F41/D41)</f>
        <v>0</v>
      </c>
      <c r="I41" s="122">
        <v>0</v>
      </c>
      <c r="J41" s="152" t="s">
        <v>88</v>
      </c>
      <c r="K41" s="22">
        <v>0</v>
      </c>
      <c r="L41" s="45" t="s">
        <v>88</v>
      </c>
      <c r="M41" s="149">
        <f>IF(OR(K41=0,I41=0),0,K41/I41)</f>
        <v>0</v>
      </c>
    </row>
    <row r="42" spans="1:13" x14ac:dyDescent="0.2">
      <c r="A42" s="3"/>
      <c r="B42" s="3" t="s">
        <v>56</v>
      </c>
      <c r="C42" s="1" t="s">
        <v>32</v>
      </c>
      <c r="D42" s="122">
        <v>0</v>
      </c>
      <c r="E42" s="152" t="s">
        <v>88</v>
      </c>
      <c r="F42" s="22">
        <v>0</v>
      </c>
      <c r="G42" s="45" t="s">
        <v>88</v>
      </c>
      <c r="H42" s="149">
        <f>IF(OR(F42=0,D42=0),0,F42/D42)</f>
        <v>0</v>
      </c>
      <c r="I42" s="122">
        <v>0</v>
      </c>
      <c r="J42" s="152" t="s">
        <v>88</v>
      </c>
      <c r="K42" s="22">
        <v>0</v>
      </c>
      <c r="L42" s="45" t="s">
        <v>88</v>
      </c>
      <c r="M42" s="149">
        <f>IF(OR(K42=0,I42=0),0,K42/I42)</f>
        <v>0</v>
      </c>
    </row>
    <row r="43" spans="1:13" x14ac:dyDescent="0.2">
      <c r="A43" s="54"/>
      <c r="B43" s="54"/>
      <c r="C43" s="98"/>
      <c r="D43" s="17"/>
      <c r="E43" s="155"/>
      <c r="F43" s="19"/>
      <c r="G43" s="45"/>
      <c r="H43" s="147"/>
      <c r="I43" s="17"/>
      <c r="J43" s="155"/>
      <c r="K43" s="19"/>
      <c r="L43" s="45"/>
      <c r="M43" s="147"/>
    </row>
    <row r="44" spans="1:13" ht="24" x14ac:dyDescent="0.2">
      <c r="A44" s="27">
        <v>9</v>
      </c>
      <c r="B44" s="87" t="s">
        <v>70</v>
      </c>
      <c r="C44" s="9" t="s">
        <v>43</v>
      </c>
      <c r="D44" s="187">
        <v>0</v>
      </c>
      <c r="E44" s="28" t="s">
        <v>88</v>
      </c>
      <c r="F44" s="188">
        <v>0</v>
      </c>
      <c r="G44" s="29">
        <f>IF(SUM(F44:F46)=0,0,F44*100/SUM(F44:F46))</f>
        <v>0</v>
      </c>
      <c r="H44" s="30" t="s">
        <v>88</v>
      </c>
      <c r="I44" s="187">
        <v>0</v>
      </c>
      <c r="J44" s="28" t="s">
        <v>88</v>
      </c>
      <c r="K44" s="188">
        <v>0</v>
      </c>
      <c r="L44" s="29">
        <f>IF(SUM(K44:K46)=0,0,K44*100/SUM(K44:K46))</f>
        <v>0</v>
      </c>
      <c r="M44" s="30" t="s">
        <v>88</v>
      </c>
    </row>
    <row r="45" spans="1:13" x14ac:dyDescent="0.2">
      <c r="A45" s="4"/>
      <c r="B45" s="3"/>
      <c r="C45" s="2"/>
      <c r="D45" s="130"/>
      <c r="E45" s="138"/>
      <c r="F45" s="129"/>
      <c r="G45" s="22"/>
      <c r="H45" s="21"/>
      <c r="I45" s="130"/>
      <c r="J45" s="138"/>
      <c r="K45" s="129"/>
      <c r="L45" s="22"/>
      <c r="M45" s="21"/>
    </row>
    <row r="46" spans="1:13" ht="24" x14ac:dyDescent="0.2">
      <c r="A46" s="5">
        <v>10</v>
      </c>
      <c r="B46" s="98" t="s">
        <v>69</v>
      </c>
      <c r="C46" s="2" t="s">
        <v>43</v>
      </c>
      <c r="D46" s="179">
        <f>SUM(D47:D53)</f>
        <v>0</v>
      </c>
      <c r="E46" s="31" t="s">
        <v>88</v>
      </c>
      <c r="F46" s="174">
        <f>SUM(F47:F53)</f>
        <v>0</v>
      </c>
      <c r="G46" s="12">
        <f>IF(F44+F46=0,0,F46*100/(F44+F46))</f>
        <v>0</v>
      </c>
      <c r="H46" s="21" t="s">
        <v>88</v>
      </c>
      <c r="I46" s="179">
        <f>SUM(I47:I53)</f>
        <v>0</v>
      </c>
      <c r="J46" s="18" t="s">
        <v>88</v>
      </c>
      <c r="K46" s="174">
        <f>SUM(K47:K53)</f>
        <v>0</v>
      </c>
      <c r="L46" s="12">
        <f>IF(K44+K46=0,0,K46*100/(K44+K46))</f>
        <v>0</v>
      </c>
      <c r="M46" s="21" t="s">
        <v>88</v>
      </c>
    </row>
    <row r="47" spans="1:13" x14ac:dyDescent="0.2">
      <c r="A47" s="4"/>
      <c r="B47" s="3" t="s">
        <v>73</v>
      </c>
      <c r="C47" s="2" t="s">
        <v>43</v>
      </c>
      <c r="D47" s="180">
        <v>0</v>
      </c>
      <c r="E47" s="13" t="s">
        <v>88</v>
      </c>
      <c r="F47" s="175">
        <v>0</v>
      </c>
      <c r="G47" s="103">
        <f>IF(F46=0,0,F47*100/F46)</f>
        <v>0</v>
      </c>
      <c r="H47" s="15" t="s">
        <v>88</v>
      </c>
      <c r="I47" s="180">
        <v>0</v>
      </c>
      <c r="J47" s="13" t="s">
        <v>88</v>
      </c>
      <c r="K47" s="175">
        <v>0</v>
      </c>
      <c r="L47" s="103">
        <f>IF(K46=0,0,K47*100/K46)</f>
        <v>0</v>
      </c>
      <c r="M47" s="15" t="s">
        <v>88</v>
      </c>
    </row>
    <row r="48" spans="1:13" x14ac:dyDescent="0.2">
      <c r="A48" s="4"/>
      <c r="B48" s="3" t="s">
        <v>74</v>
      </c>
      <c r="C48" s="2" t="s">
        <v>43</v>
      </c>
      <c r="D48" s="180">
        <v>0</v>
      </c>
      <c r="E48" s="13" t="s">
        <v>88</v>
      </c>
      <c r="F48" s="175">
        <v>0</v>
      </c>
      <c r="G48" s="103">
        <f>IF(F46=0,0,F48*100/F46)</f>
        <v>0</v>
      </c>
      <c r="H48" s="15" t="s">
        <v>88</v>
      </c>
      <c r="I48" s="180">
        <v>0</v>
      </c>
      <c r="J48" s="13" t="s">
        <v>88</v>
      </c>
      <c r="K48" s="175">
        <v>0</v>
      </c>
      <c r="L48" s="103">
        <f>IF(K46=0,0,K48*100/K46)</f>
        <v>0</v>
      </c>
      <c r="M48" s="15" t="s">
        <v>88</v>
      </c>
    </row>
    <row r="49" spans="1:13" x14ac:dyDescent="0.2">
      <c r="A49" s="4"/>
      <c r="B49" s="3" t="s">
        <v>75</v>
      </c>
      <c r="C49" s="2" t="s">
        <v>43</v>
      </c>
      <c r="D49" s="180">
        <v>0</v>
      </c>
      <c r="E49" s="13" t="s">
        <v>88</v>
      </c>
      <c r="F49" s="175">
        <v>0</v>
      </c>
      <c r="G49" s="103">
        <f>IF(F46=0,0,F49*100/F46)</f>
        <v>0</v>
      </c>
      <c r="H49" s="15" t="s">
        <v>88</v>
      </c>
      <c r="I49" s="180">
        <v>0</v>
      </c>
      <c r="J49" s="13" t="s">
        <v>88</v>
      </c>
      <c r="K49" s="175">
        <v>0</v>
      </c>
      <c r="L49" s="103">
        <f>IF(K46=0,0,K49*100/K46)</f>
        <v>0</v>
      </c>
      <c r="M49" s="15" t="s">
        <v>88</v>
      </c>
    </row>
    <row r="50" spans="1:13" x14ac:dyDescent="0.2">
      <c r="A50" s="4"/>
      <c r="B50" s="3" t="s">
        <v>76</v>
      </c>
      <c r="C50" s="2" t="s">
        <v>43</v>
      </c>
      <c r="D50" s="180">
        <v>0</v>
      </c>
      <c r="E50" s="13" t="s">
        <v>88</v>
      </c>
      <c r="F50" s="175">
        <v>0</v>
      </c>
      <c r="G50" s="103">
        <f>IF(F46=0,0,F50*100/F46)</f>
        <v>0</v>
      </c>
      <c r="H50" s="15" t="s">
        <v>88</v>
      </c>
      <c r="I50" s="180">
        <v>0</v>
      </c>
      <c r="J50" s="13" t="s">
        <v>88</v>
      </c>
      <c r="K50" s="175">
        <v>0</v>
      </c>
      <c r="L50" s="103">
        <f>IF(K46=0,0,K50*100/K46)</f>
        <v>0</v>
      </c>
      <c r="M50" s="15" t="s">
        <v>88</v>
      </c>
    </row>
    <row r="51" spans="1:13" x14ac:dyDescent="0.2">
      <c r="A51" s="4"/>
      <c r="B51" s="3" t="s">
        <v>77</v>
      </c>
      <c r="C51" s="2" t="s">
        <v>43</v>
      </c>
      <c r="D51" s="180">
        <v>0</v>
      </c>
      <c r="E51" s="13" t="s">
        <v>88</v>
      </c>
      <c r="F51" s="175">
        <v>0</v>
      </c>
      <c r="G51" s="103">
        <f>IF(F46=0,0,F51*100/F46)</f>
        <v>0</v>
      </c>
      <c r="H51" s="15" t="s">
        <v>88</v>
      </c>
      <c r="I51" s="180">
        <v>0</v>
      </c>
      <c r="J51" s="13" t="s">
        <v>88</v>
      </c>
      <c r="K51" s="175">
        <v>0</v>
      </c>
      <c r="L51" s="103">
        <f>IF(K46=0,0,K51*100/K46)</f>
        <v>0</v>
      </c>
      <c r="M51" s="15" t="s">
        <v>88</v>
      </c>
    </row>
    <row r="52" spans="1:13" x14ac:dyDescent="0.2">
      <c r="A52" s="4"/>
      <c r="B52" s="3" t="s">
        <v>71</v>
      </c>
      <c r="C52" s="2" t="s">
        <v>43</v>
      </c>
      <c r="D52" s="180">
        <v>0</v>
      </c>
      <c r="E52" s="13" t="s">
        <v>88</v>
      </c>
      <c r="F52" s="175">
        <v>0</v>
      </c>
      <c r="G52" s="103">
        <f>IF(F46=0,0,F52*100/F46)</f>
        <v>0</v>
      </c>
      <c r="H52" s="15" t="s">
        <v>88</v>
      </c>
      <c r="I52" s="180">
        <v>0</v>
      </c>
      <c r="J52" s="13" t="s">
        <v>88</v>
      </c>
      <c r="K52" s="175">
        <v>0</v>
      </c>
      <c r="L52" s="103">
        <f>IF(K46=0,0,K52*100/K46)</f>
        <v>0</v>
      </c>
      <c r="M52" s="15" t="s">
        <v>88</v>
      </c>
    </row>
    <row r="53" spans="1:13" x14ac:dyDescent="0.2">
      <c r="A53" s="4"/>
      <c r="B53" s="3" t="s">
        <v>72</v>
      </c>
      <c r="C53" s="2" t="s">
        <v>43</v>
      </c>
      <c r="D53" s="180">
        <v>0</v>
      </c>
      <c r="E53" s="13" t="s">
        <v>88</v>
      </c>
      <c r="F53" s="175">
        <v>0</v>
      </c>
      <c r="G53" s="103">
        <f>IF(F46=0,0,F53*100/F46)</f>
        <v>0</v>
      </c>
      <c r="H53" s="15" t="s">
        <v>88</v>
      </c>
      <c r="I53" s="180">
        <v>0</v>
      </c>
      <c r="J53" s="13" t="s">
        <v>88</v>
      </c>
      <c r="K53" s="175">
        <v>0</v>
      </c>
      <c r="L53" s="103">
        <f>IF(K46=0,0,K53*100/K46)</f>
        <v>0</v>
      </c>
      <c r="M53" s="15" t="s">
        <v>88</v>
      </c>
    </row>
    <row r="54" spans="1:13" x14ac:dyDescent="0.2">
      <c r="A54" s="4"/>
      <c r="B54" s="3"/>
      <c r="C54" s="2"/>
      <c r="D54" s="156"/>
      <c r="E54" s="13"/>
      <c r="F54" s="11"/>
      <c r="G54" s="22"/>
      <c r="H54" s="15"/>
      <c r="I54" s="10"/>
      <c r="J54" s="13"/>
      <c r="K54" s="11"/>
      <c r="L54" s="22"/>
      <c r="M54" s="15"/>
    </row>
    <row r="55" spans="1:13" ht="24" x14ac:dyDescent="0.2">
      <c r="A55" s="5">
        <v>11</v>
      </c>
      <c r="B55" s="98" t="s">
        <v>78</v>
      </c>
      <c r="C55" s="2" t="s">
        <v>43</v>
      </c>
      <c r="D55" s="179">
        <f>SUM(D56:D62)</f>
        <v>0</v>
      </c>
      <c r="E55" s="13" t="s">
        <v>88</v>
      </c>
      <c r="F55" s="174">
        <f>SUM(F56:F62)</f>
        <v>0</v>
      </c>
      <c r="G55" s="12">
        <f>IF(F44+F55=0,0,F55*100/(F55+F55))</f>
        <v>0</v>
      </c>
      <c r="H55" s="15" t="s">
        <v>88</v>
      </c>
      <c r="I55" s="179">
        <f>SUM(I56:I62)</f>
        <v>0</v>
      </c>
      <c r="J55" s="13" t="s">
        <v>88</v>
      </c>
      <c r="K55" s="174">
        <f>SUM(K56:K62)</f>
        <v>0</v>
      </c>
      <c r="L55" s="12">
        <f>IF(K44+K55=0,0,K55*100/(K55+K55))</f>
        <v>0</v>
      </c>
      <c r="M55" s="15" t="s">
        <v>88</v>
      </c>
    </row>
    <row r="56" spans="1:13" x14ac:dyDescent="0.2">
      <c r="A56" s="4"/>
      <c r="B56" s="3" t="s">
        <v>79</v>
      </c>
      <c r="C56" s="2" t="s">
        <v>43</v>
      </c>
      <c r="D56" s="180">
        <v>0</v>
      </c>
      <c r="E56" s="13" t="s">
        <v>88</v>
      </c>
      <c r="F56" s="175">
        <v>0</v>
      </c>
      <c r="G56" s="103">
        <f>IF(F46=0,0,F56*100/F46)</f>
        <v>0</v>
      </c>
      <c r="H56" s="15" t="s">
        <v>88</v>
      </c>
      <c r="I56" s="180">
        <v>0</v>
      </c>
      <c r="J56" s="13" t="s">
        <v>88</v>
      </c>
      <c r="K56" s="175">
        <v>0</v>
      </c>
      <c r="L56" s="103">
        <f>IF(K46=0,0,K56*100/K46)</f>
        <v>0</v>
      </c>
      <c r="M56" s="15" t="s">
        <v>88</v>
      </c>
    </row>
    <row r="57" spans="1:13" x14ac:dyDescent="0.2">
      <c r="A57" s="4"/>
      <c r="B57" s="3" t="s">
        <v>80</v>
      </c>
      <c r="C57" s="2" t="s">
        <v>43</v>
      </c>
      <c r="D57" s="180">
        <v>0</v>
      </c>
      <c r="E57" s="13" t="s">
        <v>88</v>
      </c>
      <c r="F57" s="175">
        <v>0</v>
      </c>
      <c r="G57" s="103">
        <f>IF(F46=0,0,F57*100/F46)</f>
        <v>0</v>
      </c>
      <c r="H57" s="15" t="s">
        <v>88</v>
      </c>
      <c r="I57" s="180">
        <v>0</v>
      </c>
      <c r="J57" s="13" t="s">
        <v>88</v>
      </c>
      <c r="K57" s="175">
        <v>0</v>
      </c>
      <c r="L57" s="103">
        <f>IF(K46=0,0,K57*100/K46)</f>
        <v>0</v>
      </c>
      <c r="M57" s="15" t="s">
        <v>88</v>
      </c>
    </row>
    <row r="58" spans="1:13" x14ac:dyDescent="0.2">
      <c r="A58" s="4"/>
      <c r="B58" s="3" t="s">
        <v>81</v>
      </c>
      <c r="C58" s="2" t="s">
        <v>43</v>
      </c>
      <c r="D58" s="180">
        <v>0</v>
      </c>
      <c r="E58" s="13" t="s">
        <v>88</v>
      </c>
      <c r="F58" s="175">
        <v>0</v>
      </c>
      <c r="G58" s="103">
        <f>IF(F46=0,0,F58*100/F46)</f>
        <v>0</v>
      </c>
      <c r="H58" s="15" t="s">
        <v>88</v>
      </c>
      <c r="I58" s="180">
        <v>0</v>
      </c>
      <c r="J58" s="13" t="s">
        <v>88</v>
      </c>
      <c r="K58" s="175">
        <v>0</v>
      </c>
      <c r="L58" s="103">
        <f>IF(K46=0,0,K58*100/K46)</f>
        <v>0</v>
      </c>
      <c r="M58" s="15" t="s">
        <v>88</v>
      </c>
    </row>
    <row r="59" spans="1:13" x14ac:dyDescent="0.2">
      <c r="A59" s="4"/>
      <c r="B59" s="3" t="s">
        <v>82</v>
      </c>
      <c r="C59" s="2" t="s">
        <v>43</v>
      </c>
      <c r="D59" s="180">
        <v>0</v>
      </c>
      <c r="E59" s="13" t="s">
        <v>88</v>
      </c>
      <c r="F59" s="175">
        <v>0</v>
      </c>
      <c r="G59" s="103">
        <f>IF(F46=0,0,F59*100/F46)</f>
        <v>0</v>
      </c>
      <c r="H59" s="15" t="s">
        <v>88</v>
      </c>
      <c r="I59" s="180">
        <v>0</v>
      </c>
      <c r="J59" s="13" t="s">
        <v>88</v>
      </c>
      <c r="K59" s="175">
        <v>0</v>
      </c>
      <c r="L59" s="103">
        <f>IF(K46=0,0,K59*100/K46)</f>
        <v>0</v>
      </c>
      <c r="M59" s="15" t="s">
        <v>88</v>
      </c>
    </row>
    <row r="60" spans="1:13" x14ac:dyDescent="0.2">
      <c r="A60" s="4"/>
      <c r="B60" s="3" t="s">
        <v>83</v>
      </c>
      <c r="C60" s="2" t="s">
        <v>43</v>
      </c>
      <c r="D60" s="180">
        <v>0</v>
      </c>
      <c r="E60" s="13" t="s">
        <v>88</v>
      </c>
      <c r="F60" s="175">
        <v>0</v>
      </c>
      <c r="G60" s="103">
        <f>IF(F46=0,0,F60*100/F46)</f>
        <v>0</v>
      </c>
      <c r="H60" s="15" t="s">
        <v>88</v>
      </c>
      <c r="I60" s="180">
        <v>0</v>
      </c>
      <c r="J60" s="13" t="s">
        <v>88</v>
      </c>
      <c r="K60" s="175">
        <v>0</v>
      </c>
      <c r="L60" s="103">
        <f>IF(K46=0,0,K60*100/K46)</f>
        <v>0</v>
      </c>
      <c r="M60" s="15" t="s">
        <v>88</v>
      </c>
    </row>
    <row r="61" spans="1:13" x14ac:dyDescent="0.2">
      <c r="A61" s="4"/>
      <c r="B61" s="3" t="s">
        <v>84</v>
      </c>
      <c r="C61" s="2" t="s">
        <v>43</v>
      </c>
      <c r="D61" s="180">
        <v>0</v>
      </c>
      <c r="E61" s="13" t="s">
        <v>88</v>
      </c>
      <c r="F61" s="175">
        <v>0</v>
      </c>
      <c r="G61" s="103">
        <f>IF(F46=0,0,F61*100/F46)</f>
        <v>0</v>
      </c>
      <c r="H61" s="15" t="s">
        <v>88</v>
      </c>
      <c r="I61" s="180">
        <v>0</v>
      </c>
      <c r="J61" s="13" t="s">
        <v>88</v>
      </c>
      <c r="K61" s="175">
        <v>0</v>
      </c>
      <c r="L61" s="103">
        <f>IF(K46=0,0,K61*100/K46)</f>
        <v>0</v>
      </c>
      <c r="M61" s="15" t="s">
        <v>88</v>
      </c>
    </row>
    <row r="62" spans="1:13" x14ac:dyDescent="0.2">
      <c r="A62" s="4"/>
      <c r="B62" s="3" t="s">
        <v>85</v>
      </c>
      <c r="C62" s="2" t="s">
        <v>43</v>
      </c>
      <c r="D62" s="180">
        <v>0</v>
      </c>
      <c r="E62" s="13" t="s">
        <v>88</v>
      </c>
      <c r="F62" s="175">
        <v>0</v>
      </c>
      <c r="G62" s="103">
        <f>IF(F46=0,0,F62*100/F46)</f>
        <v>0</v>
      </c>
      <c r="H62" s="15" t="s">
        <v>88</v>
      </c>
      <c r="I62" s="180">
        <v>0</v>
      </c>
      <c r="J62" s="13" t="s">
        <v>88</v>
      </c>
      <c r="K62" s="175">
        <v>0</v>
      </c>
      <c r="L62" s="103">
        <f>IF(K46=0,0,K62*100/K46)</f>
        <v>0</v>
      </c>
      <c r="M62" s="15" t="s">
        <v>88</v>
      </c>
    </row>
    <row r="63" spans="1:13" x14ac:dyDescent="0.2">
      <c r="A63" s="4"/>
      <c r="B63" s="3" t="s">
        <v>86</v>
      </c>
      <c r="C63" s="2" t="s">
        <v>43</v>
      </c>
      <c r="D63" s="180">
        <v>0</v>
      </c>
      <c r="E63" s="13" t="s">
        <v>88</v>
      </c>
      <c r="F63" s="175">
        <v>0</v>
      </c>
      <c r="G63" s="103">
        <f>IF(F46=0,0,F63*100/F46)</f>
        <v>0</v>
      </c>
      <c r="H63" s="15" t="s">
        <v>88</v>
      </c>
      <c r="I63" s="180">
        <v>0</v>
      </c>
      <c r="J63" s="13" t="s">
        <v>88</v>
      </c>
      <c r="K63" s="175">
        <v>0</v>
      </c>
      <c r="L63" s="103">
        <f>IF(K46=0,0,K63*100/K46)</f>
        <v>0</v>
      </c>
      <c r="M63" s="15" t="s">
        <v>88</v>
      </c>
    </row>
    <row r="64" spans="1:13" x14ac:dyDescent="0.2">
      <c r="A64" s="4"/>
      <c r="B64" s="3" t="s">
        <v>87</v>
      </c>
      <c r="C64" s="2" t="s">
        <v>43</v>
      </c>
      <c r="D64" s="180">
        <v>0</v>
      </c>
      <c r="E64" s="13" t="s">
        <v>88</v>
      </c>
      <c r="F64" s="175">
        <v>0</v>
      </c>
      <c r="G64" s="103">
        <f>IF(F46=0,0,F64*100/F46)</f>
        <v>0</v>
      </c>
      <c r="H64" s="15" t="s">
        <v>88</v>
      </c>
      <c r="I64" s="180">
        <v>0</v>
      </c>
      <c r="J64" s="13" t="s">
        <v>88</v>
      </c>
      <c r="K64" s="175">
        <v>0</v>
      </c>
      <c r="L64" s="103">
        <f>IF(K46=0,0,K64*100/K46)</f>
        <v>0</v>
      </c>
      <c r="M64" s="15" t="s">
        <v>88</v>
      </c>
    </row>
    <row r="65" spans="1:13" x14ac:dyDescent="0.2">
      <c r="A65" s="4"/>
      <c r="B65" s="3"/>
      <c r="C65" s="2"/>
      <c r="D65" s="156"/>
      <c r="E65" s="13"/>
      <c r="F65" s="11"/>
      <c r="G65" s="22"/>
      <c r="H65" s="15"/>
      <c r="I65" s="10"/>
      <c r="J65" s="13"/>
      <c r="K65" s="157"/>
      <c r="L65" s="22"/>
      <c r="M65" s="15"/>
    </row>
    <row r="66" spans="1:13" ht="24" x14ac:dyDescent="0.2">
      <c r="A66" s="5">
        <v>12</v>
      </c>
      <c r="B66" s="98" t="s">
        <v>89</v>
      </c>
      <c r="C66" s="2" t="s">
        <v>43</v>
      </c>
      <c r="D66" s="179">
        <f>SUM(D67:D72)</f>
        <v>0</v>
      </c>
      <c r="E66" s="13" t="s">
        <v>88</v>
      </c>
      <c r="F66" s="174">
        <f>SUM(F67:F72)</f>
        <v>0</v>
      </c>
      <c r="G66" s="32">
        <f>IF(F66=0,0,F66*100/F66)</f>
        <v>0</v>
      </c>
      <c r="H66" s="15" t="s">
        <v>88</v>
      </c>
      <c r="I66" s="179">
        <f>SUM(I67:I72)</f>
        <v>0</v>
      </c>
      <c r="J66" s="13" t="s">
        <v>88</v>
      </c>
      <c r="K66" s="174">
        <f>SUM(K67:K72)</f>
        <v>0</v>
      </c>
      <c r="L66" s="32">
        <f>IF(K66=0,0,K66*100/K66)</f>
        <v>0</v>
      </c>
      <c r="M66" s="15" t="s">
        <v>88</v>
      </c>
    </row>
    <row r="67" spans="1:13" x14ac:dyDescent="0.2">
      <c r="A67" s="4"/>
      <c r="B67" s="3" t="s">
        <v>73</v>
      </c>
      <c r="C67" s="2" t="s">
        <v>43</v>
      </c>
      <c r="D67" s="181">
        <v>0</v>
      </c>
      <c r="E67" s="13" t="s">
        <v>88</v>
      </c>
      <c r="F67" s="176">
        <v>0</v>
      </c>
      <c r="G67" s="103">
        <f>IF(F66=0,0,F67*100/F66)</f>
        <v>0</v>
      </c>
      <c r="H67" s="15" t="s">
        <v>88</v>
      </c>
      <c r="I67" s="181">
        <v>0</v>
      </c>
      <c r="J67" s="13" t="s">
        <v>88</v>
      </c>
      <c r="K67" s="176">
        <v>0</v>
      </c>
      <c r="L67" s="103">
        <f>IF(K66=0,0,K67*100/K66)</f>
        <v>0</v>
      </c>
      <c r="M67" s="15" t="s">
        <v>88</v>
      </c>
    </row>
    <row r="68" spans="1:13" x14ac:dyDescent="0.2">
      <c r="A68" s="4"/>
      <c r="B68" s="3" t="s">
        <v>90</v>
      </c>
      <c r="C68" s="2" t="s">
        <v>43</v>
      </c>
      <c r="D68" s="181">
        <v>0</v>
      </c>
      <c r="E68" s="13" t="s">
        <v>88</v>
      </c>
      <c r="F68" s="176">
        <v>0</v>
      </c>
      <c r="G68" s="103">
        <f>IF(F66=0,0,F68*100/F66)</f>
        <v>0</v>
      </c>
      <c r="H68" s="15" t="s">
        <v>88</v>
      </c>
      <c r="I68" s="181">
        <v>0</v>
      </c>
      <c r="J68" s="13" t="s">
        <v>88</v>
      </c>
      <c r="K68" s="176">
        <v>0</v>
      </c>
      <c r="L68" s="103">
        <f>IF(K66=0,0,K68*100/K66)</f>
        <v>0</v>
      </c>
      <c r="M68" s="15" t="s">
        <v>88</v>
      </c>
    </row>
    <row r="69" spans="1:13" x14ac:dyDescent="0.2">
      <c r="A69" s="4"/>
      <c r="B69" s="3" t="s">
        <v>91</v>
      </c>
      <c r="C69" s="2" t="s">
        <v>43</v>
      </c>
      <c r="D69" s="181">
        <v>0</v>
      </c>
      <c r="E69" s="13" t="s">
        <v>88</v>
      </c>
      <c r="F69" s="176">
        <v>0</v>
      </c>
      <c r="G69" s="103">
        <f>IF(F66=0,0,F69*100/F66)</f>
        <v>0</v>
      </c>
      <c r="H69" s="15" t="s">
        <v>88</v>
      </c>
      <c r="I69" s="181">
        <v>0</v>
      </c>
      <c r="J69" s="13" t="s">
        <v>88</v>
      </c>
      <c r="K69" s="176">
        <v>0</v>
      </c>
      <c r="L69" s="103">
        <f>IF(K66=0,0,K69*100/K66)</f>
        <v>0</v>
      </c>
      <c r="M69" s="15" t="s">
        <v>88</v>
      </c>
    </row>
    <row r="70" spans="1:13" x14ac:dyDescent="0.2">
      <c r="A70" s="4"/>
      <c r="B70" s="3" t="s">
        <v>92</v>
      </c>
      <c r="C70" s="2" t="s">
        <v>43</v>
      </c>
      <c r="D70" s="181">
        <v>0</v>
      </c>
      <c r="E70" s="13" t="s">
        <v>88</v>
      </c>
      <c r="F70" s="176">
        <v>0</v>
      </c>
      <c r="G70" s="103">
        <f>IF(F66=0,0,F70*100/F66)</f>
        <v>0</v>
      </c>
      <c r="H70" s="15" t="s">
        <v>88</v>
      </c>
      <c r="I70" s="181">
        <v>0</v>
      </c>
      <c r="J70" s="13" t="s">
        <v>88</v>
      </c>
      <c r="K70" s="176">
        <v>0</v>
      </c>
      <c r="L70" s="103">
        <f>IF(K66=0,0,K70*100/K66)</f>
        <v>0</v>
      </c>
      <c r="M70" s="15" t="s">
        <v>88</v>
      </c>
    </row>
    <row r="71" spans="1:13" x14ac:dyDescent="0.2">
      <c r="A71" s="4"/>
      <c r="B71" s="3" t="s">
        <v>93</v>
      </c>
      <c r="C71" s="2" t="s">
        <v>43</v>
      </c>
      <c r="D71" s="181">
        <v>0</v>
      </c>
      <c r="E71" s="13" t="s">
        <v>88</v>
      </c>
      <c r="F71" s="176">
        <v>0</v>
      </c>
      <c r="G71" s="103">
        <f>IF(F66=0,0,F71*100/F66)</f>
        <v>0</v>
      </c>
      <c r="H71" s="15" t="s">
        <v>88</v>
      </c>
      <c r="I71" s="181">
        <v>0</v>
      </c>
      <c r="J71" s="13" t="s">
        <v>88</v>
      </c>
      <c r="K71" s="176">
        <v>0</v>
      </c>
      <c r="L71" s="103">
        <f>IF(K66=0,0,K71*100/K66)</f>
        <v>0</v>
      </c>
      <c r="M71" s="15" t="s">
        <v>88</v>
      </c>
    </row>
    <row r="72" spans="1:13" x14ac:dyDescent="0.2">
      <c r="A72" s="107"/>
      <c r="B72" s="140" t="s">
        <v>99</v>
      </c>
      <c r="C72" s="141" t="s">
        <v>43</v>
      </c>
      <c r="D72" s="193">
        <v>0</v>
      </c>
      <c r="E72" s="142" t="s">
        <v>88</v>
      </c>
      <c r="F72" s="194">
        <v>0</v>
      </c>
      <c r="G72" s="143">
        <f>IF(F67=0,0,F72*100/F66)</f>
        <v>0</v>
      </c>
      <c r="H72" s="144" t="s">
        <v>88</v>
      </c>
      <c r="I72" s="193">
        <v>0</v>
      </c>
      <c r="J72" s="142" t="s">
        <v>88</v>
      </c>
      <c r="K72" s="194">
        <v>0</v>
      </c>
      <c r="L72" s="143">
        <f>IF(K67=0,0,K72*100/K66)</f>
        <v>0</v>
      </c>
      <c r="M72" s="144" t="s">
        <v>88</v>
      </c>
    </row>
    <row r="73" spans="1:13" ht="24" x14ac:dyDescent="0.2">
      <c r="A73" s="5">
        <v>13</v>
      </c>
      <c r="B73" s="98" t="s">
        <v>94</v>
      </c>
      <c r="C73" s="16" t="s">
        <v>43</v>
      </c>
      <c r="D73" s="181">
        <v>0</v>
      </c>
      <c r="E73" s="18" t="s">
        <v>88</v>
      </c>
      <c r="F73" s="176">
        <v>0</v>
      </c>
      <c r="G73" s="20">
        <f>IF(SUM(F73:F75)=0,0,F73*100/SUM(F73:F75))</f>
        <v>0</v>
      </c>
      <c r="H73" s="21" t="s">
        <v>88</v>
      </c>
      <c r="I73" s="181">
        <v>0</v>
      </c>
      <c r="J73" s="18" t="s">
        <v>88</v>
      </c>
      <c r="K73" s="176">
        <v>0</v>
      </c>
      <c r="L73" s="20">
        <f>IF(SUM(K73:K75)=0,0,K73*100/SUM(K73:K75))</f>
        <v>0</v>
      </c>
      <c r="M73" s="21" t="s">
        <v>88</v>
      </c>
    </row>
    <row r="74" spans="1:13" x14ac:dyDescent="0.2">
      <c r="A74" s="4"/>
      <c r="B74" s="3"/>
      <c r="C74" s="2"/>
      <c r="D74" s="10"/>
      <c r="E74" s="13"/>
      <c r="F74" s="129"/>
      <c r="G74" s="22"/>
      <c r="H74" s="21"/>
      <c r="I74" s="10"/>
      <c r="J74" s="13"/>
      <c r="K74" s="131"/>
      <c r="L74" s="22"/>
      <c r="M74" s="21"/>
    </row>
    <row r="75" spans="1:13" ht="24" x14ac:dyDescent="0.2">
      <c r="A75" s="5">
        <v>14</v>
      </c>
      <c r="B75" s="98" t="s">
        <v>95</v>
      </c>
      <c r="C75" s="16" t="s">
        <v>43</v>
      </c>
      <c r="D75" s="179">
        <f>SUM(D76:D82)</f>
        <v>0</v>
      </c>
      <c r="E75" s="18" t="s">
        <v>88</v>
      </c>
      <c r="F75" s="174">
        <f>SUM(F76:F82)</f>
        <v>0</v>
      </c>
      <c r="G75" s="12">
        <f>IF(SUM(F73:F75)=0,0,F75*100/SUM(F73:F75))</f>
        <v>0</v>
      </c>
      <c r="H75" s="21" t="s">
        <v>88</v>
      </c>
      <c r="I75" s="179">
        <f>SUM(I76:I82)</f>
        <v>0</v>
      </c>
      <c r="J75" s="18" t="s">
        <v>88</v>
      </c>
      <c r="K75" s="174">
        <f>SUM(K76:K82)</f>
        <v>0</v>
      </c>
      <c r="L75" s="12">
        <f>IF(SUM(K73:K75)=0,0,K75*100/SUM(K73:K75))</f>
        <v>0</v>
      </c>
      <c r="M75" s="21" t="s">
        <v>88</v>
      </c>
    </row>
    <row r="76" spans="1:13" x14ac:dyDescent="0.2">
      <c r="A76" s="4"/>
      <c r="B76" s="1" t="s">
        <v>73</v>
      </c>
      <c r="C76" s="2" t="s">
        <v>43</v>
      </c>
      <c r="D76" s="180">
        <v>0</v>
      </c>
      <c r="E76" s="13" t="s">
        <v>88</v>
      </c>
      <c r="F76" s="175">
        <v>0</v>
      </c>
      <c r="G76" s="103">
        <f>IF(F75=0,0,F76*100/F75)</f>
        <v>0</v>
      </c>
      <c r="H76" s="15" t="s">
        <v>88</v>
      </c>
      <c r="I76" s="180">
        <v>0</v>
      </c>
      <c r="J76" s="13" t="s">
        <v>88</v>
      </c>
      <c r="K76" s="175">
        <v>0</v>
      </c>
      <c r="L76" s="103">
        <f>IF(K75=0,0,K76*100/K75)</f>
        <v>0</v>
      </c>
      <c r="M76" s="15" t="s">
        <v>88</v>
      </c>
    </row>
    <row r="77" spans="1:13" x14ac:dyDescent="0.2">
      <c r="A77" s="4"/>
      <c r="B77" s="1" t="s">
        <v>90</v>
      </c>
      <c r="C77" s="2" t="s">
        <v>43</v>
      </c>
      <c r="D77" s="180">
        <v>0</v>
      </c>
      <c r="E77" s="13" t="s">
        <v>88</v>
      </c>
      <c r="F77" s="175">
        <v>0</v>
      </c>
      <c r="G77" s="103">
        <f>IF(F75=0,0,F77*100/F75)</f>
        <v>0</v>
      </c>
      <c r="H77" s="15" t="s">
        <v>88</v>
      </c>
      <c r="I77" s="180">
        <v>0</v>
      </c>
      <c r="J77" s="13" t="s">
        <v>88</v>
      </c>
      <c r="K77" s="175">
        <v>0</v>
      </c>
      <c r="L77" s="103">
        <f>IF(K75=0,0,K77*100/K75)</f>
        <v>0</v>
      </c>
      <c r="M77" s="15" t="s">
        <v>88</v>
      </c>
    </row>
    <row r="78" spans="1:13" x14ac:dyDescent="0.2">
      <c r="A78" s="4"/>
      <c r="B78" s="3" t="s">
        <v>75</v>
      </c>
      <c r="C78" s="2" t="s">
        <v>43</v>
      </c>
      <c r="D78" s="180">
        <v>0</v>
      </c>
      <c r="E78" s="13" t="s">
        <v>88</v>
      </c>
      <c r="F78" s="175">
        <v>0</v>
      </c>
      <c r="G78" s="103">
        <f>IF(F75=0,0,F78*100/F75)</f>
        <v>0</v>
      </c>
      <c r="H78" s="15" t="s">
        <v>88</v>
      </c>
      <c r="I78" s="180">
        <v>0</v>
      </c>
      <c r="J78" s="13" t="s">
        <v>88</v>
      </c>
      <c r="K78" s="175">
        <v>0</v>
      </c>
      <c r="L78" s="22">
        <f>IF(SUM(K78:K80)=0,0,K78*100/SUM(K78:K80))</f>
        <v>0</v>
      </c>
      <c r="M78" s="15" t="s">
        <v>88</v>
      </c>
    </row>
    <row r="79" spans="1:13" x14ac:dyDescent="0.2">
      <c r="A79" s="4"/>
      <c r="B79" s="3" t="s">
        <v>76</v>
      </c>
      <c r="C79" s="2" t="s">
        <v>43</v>
      </c>
      <c r="D79" s="180">
        <v>0</v>
      </c>
      <c r="E79" s="13" t="s">
        <v>88</v>
      </c>
      <c r="F79" s="175">
        <v>0</v>
      </c>
      <c r="G79" s="103">
        <f>IF(F75=0,0,F79*100/F75)</f>
        <v>0</v>
      </c>
      <c r="H79" s="15" t="s">
        <v>88</v>
      </c>
      <c r="I79" s="180">
        <v>0</v>
      </c>
      <c r="J79" s="13" t="s">
        <v>88</v>
      </c>
      <c r="K79" s="175">
        <v>0</v>
      </c>
      <c r="L79" s="103">
        <f>IF(K75=0,0,K79*100/K75)</f>
        <v>0</v>
      </c>
      <c r="M79" s="15" t="s">
        <v>88</v>
      </c>
    </row>
    <row r="80" spans="1:13" x14ac:dyDescent="0.2">
      <c r="A80" s="4"/>
      <c r="B80" s="3" t="s">
        <v>77</v>
      </c>
      <c r="C80" s="2" t="s">
        <v>43</v>
      </c>
      <c r="D80" s="180">
        <v>0</v>
      </c>
      <c r="E80" s="13" t="s">
        <v>88</v>
      </c>
      <c r="F80" s="175">
        <v>0</v>
      </c>
      <c r="G80" s="103">
        <f>IF(F75=0,0,F80*100/F75)</f>
        <v>0</v>
      </c>
      <c r="H80" s="15" t="s">
        <v>88</v>
      </c>
      <c r="I80" s="180">
        <v>0</v>
      </c>
      <c r="J80" s="13" t="s">
        <v>88</v>
      </c>
      <c r="K80" s="175">
        <v>0</v>
      </c>
      <c r="L80" s="103">
        <f>IF(K75=0,0,K80*100/K75)</f>
        <v>0</v>
      </c>
      <c r="M80" s="15" t="s">
        <v>88</v>
      </c>
    </row>
    <row r="81" spans="1:13" x14ac:dyDescent="0.2">
      <c r="A81" s="4"/>
      <c r="B81" s="3" t="s">
        <v>71</v>
      </c>
      <c r="C81" s="2" t="s">
        <v>43</v>
      </c>
      <c r="D81" s="180">
        <v>0</v>
      </c>
      <c r="E81" s="13" t="s">
        <v>88</v>
      </c>
      <c r="F81" s="175">
        <v>0</v>
      </c>
      <c r="G81" s="103">
        <f>IF(F75=0,0,F81*100/F75)</f>
        <v>0</v>
      </c>
      <c r="H81" s="15" t="s">
        <v>88</v>
      </c>
      <c r="I81" s="180">
        <v>0</v>
      </c>
      <c r="J81" s="13" t="s">
        <v>88</v>
      </c>
      <c r="K81" s="175">
        <v>0</v>
      </c>
      <c r="L81" s="103">
        <f>IF(K75=0,0,K81*100/K75)</f>
        <v>0</v>
      </c>
      <c r="M81" s="15" t="s">
        <v>88</v>
      </c>
    </row>
    <row r="82" spans="1:13" x14ac:dyDescent="0.2">
      <c r="A82" s="4"/>
      <c r="B82" s="3" t="s">
        <v>72</v>
      </c>
      <c r="C82" s="2" t="s">
        <v>43</v>
      </c>
      <c r="D82" s="180">
        <v>0</v>
      </c>
      <c r="E82" s="13" t="s">
        <v>88</v>
      </c>
      <c r="F82" s="175">
        <v>0</v>
      </c>
      <c r="G82" s="103">
        <f>IF(F75=0,0,F82*100/F75)</f>
        <v>0</v>
      </c>
      <c r="H82" s="15" t="s">
        <v>88</v>
      </c>
      <c r="I82" s="180">
        <v>0</v>
      </c>
      <c r="J82" s="13" t="s">
        <v>88</v>
      </c>
      <c r="K82" s="175">
        <v>0</v>
      </c>
      <c r="L82" s="103">
        <f>IF(K75=0,0,K82*100/K75)</f>
        <v>0</v>
      </c>
      <c r="M82" s="15" t="s">
        <v>88</v>
      </c>
    </row>
    <row r="83" spans="1:13" x14ac:dyDescent="0.2">
      <c r="A83" s="4"/>
      <c r="B83" s="3"/>
      <c r="C83" s="2"/>
      <c r="D83" s="17"/>
      <c r="E83" s="13"/>
      <c r="F83" s="19"/>
      <c r="G83" s="22"/>
      <c r="H83" s="15"/>
      <c r="I83" s="17"/>
      <c r="J83" s="13"/>
      <c r="K83" s="19"/>
      <c r="L83" s="22"/>
      <c r="M83" s="15"/>
    </row>
    <row r="84" spans="1:13" ht="24" x14ac:dyDescent="0.2">
      <c r="A84" s="5">
        <v>15</v>
      </c>
      <c r="B84" s="98" t="s">
        <v>96</v>
      </c>
      <c r="C84" s="2" t="s">
        <v>43</v>
      </c>
      <c r="D84" s="179">
        <f>SUM(D85:D91)</f>
        <v>0</v>
      </c>
      <c r="E84" s="13" t="s">
        <v>88</v>
      </c>
      <c r="F84" s="174">
        <f>SUM(F85:F91)</f>
        <v>0</v>
      </c>
      <c r="G84" s="14">
        <f>IF(F75=0,0,F84*100/F75)</f>
        <v>0</v>
      </c>
      <c r="H84" s="15" t="s">
        <v>88</v>
      </c>
      <c r="I84" s="179">
        <f>SUM(I85:I91)</f>
        <v>0</v>
      </c>
      <c r="J84" s="13" t="s">
        <v>88</v>
      </c>
      <c r="K84" s="174">
        <f>SUM(K85:K91)</f>
        <v>0</v>
      </c>
      <c r="L84" s="14">
        <f>IF(K75=0,0,K84*100/K75)</f>
        <v>0</v>
      </c>
      <c r="M84" s="15" t="s">
        <v>88</v>
      </c>
    </row>
    <row r="85" spans="1:13" x14ac:dyDescent="0.2">
      <c r="A85" s="4"/>
      <c r="B85" s="3" t="s">
        <v>79</v>
      </c>
      <c r="C85" s="2" t="s">
        <v>43</v>
      </c>
      <c r="D85" s="180">
        <v>0</v>
      </c>
      <c r="E85" s="13" t="s">
        <v>88</v>
      </c>
      <c r="F85" s="175">
        <v>0</v>
      </c>
      <c r="G85" s="103">
        <f>IF(F75=0,0,F85*100/F75)</f>
        <v>0</v>
      </c>
      <c r="H85" s="15" t="s">
        <v>88</v>
      </c>
      <c r="I85" s="180">
        <v>0</v>
      </c>
      <c r="J85" s="13" t="s">
        <v>88</v>
      </c>
      <c r="K85" s="175">
        <v>0</v>
      </c>
      <c r="L85" s="103">
        <f>IF(K75=0,0,K85*100/K75)</f>
        <v>0</v>
      </c>
      <c r="M85" s="15" t="s">
        <v>88</v>
      </c>
    </row>
    <row r="86" spans="1:13" x14ac:dyDescent="0.2">
      <c r="A86" s="4"/>
      <c r="B86" s="3" t="s">
        <v>80</v>
      </c>
      <c r="C86" s="2" t="s">
        <v>43</v>
      </c>
      <c r="D86" s="180">
        <v>0</v>
      </c>
      <c r="E86" s="13" t="s">
        <v>88</v>
      </c>
      <c r="F86" s="175">
        <v>0</v>
      </c>
      <c r="G86" s="103">
        <f>IF(F75=0,0,F86*100/F75)</f>
        <v>0</v>
      </c>
      <c r="H86" s="15" t="s">
        <v>88</v>
      </c>
      <c r="I86" s="180">
        <v>0</v>
      </c>
      <c r="J86" s="13" t="s">
        <v>88</v>
      </c>
      <c r="K86" s="175">
        <v>0</v>
      </c>
      <c r="L86" s="103">
        <f>IF(K75=0,0,K86*100/K75)</f>
        <v>0</v>
      </c>
      <c r="M86" s="15" t="s">
        <v>88</v>
      </c>
    </row>
    <row r="87" spans="1:13" x14ac:dyDescent="0.2">
      <c r="A87" s="4"/>
      <c r="B87" s="3" t="s">
        <v>81</v>
      </c>
      <c r="C87" s="2" t="s">
        <v>43</v>
      </c>
      <c r="D87" s="180">
        <v>0</v>
      </c>
      <c r="E87" s="13" t="s">
        <v>88</v>
      </c>
      <c r="F87" s="175">
        <v>0</v>
      </c>
      <c r="G87" s="103">
        <f>IF(F75=0,0,F87*100/F75)</f>
        <v>0</v>
      </c>
      <c r="H87" s="15" t="s">
        <v>88</v>
      </c>
      <c r="I87" s="180">
        <v>0</v>
      </c>
      <c r="J87" s="13" t="s">
        <v>88</v>
      </c>
      <c r="K87" s="175">
        <v>0</v>
      </c>
      <c r="L87" s="103">
        <f>IF(K75=0,0,K87*100/K75)</f>
        <v>0</v>
      </c>
      <c r="M87" s="15" t="s">
        <v>88</v>
      </c>
    </row>
    <row r="88" spans="1:13" x14ac:dyDescent="0.2">
      <c r="A88" s="4"/>
      <c r="B88" s="3" t="s">
        <v>82</v>
      </c>
      <c r="C88" s="2" t="s">
        <v>43</v>
      </c>
      <c r="D88" s="180">
        <v>0</v>
      </c>
      <c r="E88" s="13" t="s">
        <v>88</v>
      </c>
      <c r="F88" s="175">
        <v>0</v>
      </c>
      <c r="G88" s="103">
        <f>IF(F75=0,0,F88*100/F75)</f>
        <v>0</v>
      </c>
      <c r="H88" s="15" t="s">
        <v>88</v>
      </c>
      <c r="I88" s="180">
        <v>0</v>
      </c>
      <c r="J88" s="13" t="s">
        <v>88</v>
      </c>
      <c r="K88" s="175">
        <v>0</v>
      </c>
      <c r="L88" s="103">
        <f>IF(K75=0,0,K88*100/K75)</f>
        <v>0</v>
      </c>
      <c r="M88" s="15" t="s">
        <v>88</v>
      </c>
    </row>
    <row r="89" spans="1:13" x14ac:dyDescent="0.2">
      <c r="A89" s="4"/>
      <c r="B89" s="3" t="s">
        <v>83</v>
      </c>
      <c r="C89" s="2" t="s">
        <v>43</v>
      </c>
      <c r="D89" s="180">
        <v>0</v>
      </c>
      <c r="E89" s="13" t="s">
        <v>88</v>
      </c>
      <c r="F89" s="175">
        <v>0</v>
      </c>
      <c r="G89" s="103">
        <f>IF(F75=0,0,F89*100/F75)</f>
        <v>0</v>
      </c>
      <c r="H89" s="15" t="s">
        <v>88</v>
      </c>
      <c r="I89" s="180">
        <v>0</v>
      </c>
      <c r="J89" s="13" t="s">
        <v>88</v>
      </c>
      <c r="K89" s="175">
        <v>0</v>
      </c>
      <c r="L89" s="103">
        <f>IF(K75=0,0,K89*100/K75)</f>
        <v>0</v>
      </c>
      <c r="M89" s="15" t="s">
        <v>88</v>
      </c>
    </row>
    <row r="90" spans="1:13" x14ac:dyDescent="0.2">
      <c r="A90" s="4"/>
      <c r="B90" s="3" t="s">
        <v>84</v>
      </c>
      <c r="C90" s="2" t="s">
        <v>43</v>
      </c>
      <c r="D90" s="180">
        <v>0</v>
      </c>
      <c r="E90" s="13" t="s">
        <v>88</v>
      </c>
      <c r="F90" s="175">
        <v>0</v>
      </c>
      <c r="G90" s="103">
        <f>IF(F75=0,0,F90*100/F75)</f>
        <v>0</v>
      </c>
      <c r="H90" s="15" t="s">
        <v>88</v>
      </c>
      <c r="I90" s="180">
        <v>0</v>
      </c>
      <c r="J90" s="13" t="s">
        <v>88</v>
      </c>
      <c r="K90" s="175">
        <v>0</v>
      </c>
      <c r="L90" s="103">
        <f>IF(K75=0,0,K90*100/K75)</f>
        <v>0</v>
      </c>
      <c r="M90" s="15" t="s">
        <v>88</v>
      </c>
    </row>
    <row r="91" spans="1:13" x14ac:dyDescent="0.2">
      <c r="A91" s="4"/>
      <c r="B91" s="3" t="s">
        <v>85</v>
      </c>
      <c r="C91" s="2" t="s">
        <v>43</v>
      </c>
      <c r="D91" s="180">
        <v>0</v>
      </c>
      <c r="E91" s="13" t="s">
        <v>88</v>
      </c>
      <c r="F91" s="175">
        <v>0</v>
      </c>
      <c r="G91" s="103">
        <f>IF(F75=0,0,F91*100/F75)</f>
        <v>0</v>
      </c>
      <c r="H91" s="15" t="s">
        <v>88</v>
      </c>
      <c r="I91" s="180">
        <v>0</v>
      </c>
      <c r="J91" s="13" t="s">
        <v>88</v>
      </c>
      <c r="K91" s="175">
        <v>0</v>
      </c>
      <c r="L91" s="103">
        <f>IF(K75=0,0,K91*100/K75)</f>
        <v>0</v>
      </c>
      <c r="M91" s="15" t="s">
        <v>88</v>
      </c>
    </row>
    <row r="92" spans="1:13" x14ac:dyDescent="0.2">
      <c r="A92" s="4"/>
      <c r="B92" s="3" t="s">
        <v>86</v>
      </c>
      <c r="C92" s="2" t="s">
        <v>43</v>
      </c>
      <c r="D92" s="180">
        <v>0</v>
      </c>
      <c r="E92" s="13" t="s">
        <v>88</v>
      </c>
      <c r="F92" s="175">
        <v>0</v>
      </c>
      <c r="G92" s="103">
        <f>IF(F75=0,0,F92*100/F75)</f>
        <v>0</v>
      </c>
      <c r="H92" s="15" t="s">
        <v>88</v>
      </c>
      <c r="I92" s="180">
        <v>0</v>
      </c>
      <c r="J92" s="13" t="s">
        <v>88</v>
      </c>
      <c r="K92" s="175">
        <v>0</v>
      </c>
      <c r="L92" s="103">
        <f>IF(K75=0,0,K92*100/K75)</f>
        <v>0</v>
      </c>
      <c r="M92" s="15" t="s">
        <v>88</v>
      </c>
    </row>
    <row r="93" spans="1:13" x14ac:dyDescent="0.2">
      <c r="A93" s="4"/>
      <c r="B93" s="3" t="s">
        <v>87</v>
      </c>
      <c r="C93" s="2" t="s">
        <v>43</v>
      </c>
      <c r="D93" s="180">
        <v>0</v>
      </c>
      <c r="E93" s="13" t="s">
        <v>88</v>
      </c>
      <c r="F93" s="175">
        <v>0</v>
      </c>
      <c r="G93" s="103">
        <f>IF(F75=0,0,F93*100/F75)</f>
        <v>0</v>
      </c>
      <c r="H93" s="15" t="s">
        <v>88</v>
      </c>
      <c r="I93" s="180">
        <v>0</v>
      </c>
      <c r="J93" s="13" t="s">
        <v>88</v>
      </c>
      <c r="K93" s="175">
        <v>0</v>
      </c>
      <c r="L93" s="103">
        <f>IF(K75=0,0,K93*100/K75)</f>
        <v>0</v>
      </c>
      <c r="M93" s="15" t="s">
        <v>88</v>
      </c>
    </row>
    <row r="94" spans="1:13" x14ac:dyDescent="0.2">
      <c r="A94" s="4"/>
      <c r="B94" s="3"/>
      <c r="C94" s="2"/>
      <c r="D94" s="17"/>
      <c r="E94" s="13"/>
      <c r="F94" s="19"/>
      <c r="G94" s="103"/>
      <c r="H94" s="15"/>
      <c r="I94" s="17"/>
      <c r="J94" s="13"/>
      <c r="K94" s="19"/>
      <c r="L94" s="22"/>
      <c r="M94" s="15"/>
    </row>
    <row r="95" spans="1:13" ht="24" x14ac:dyDescent="0.2">
      <c r="A95" s="5">
        <v>16</v>
      </c>
      <c r="B95" s="98" t="s">
        <v>97</v>
      </c>
      <c r="C95" s="2" t="s">
        <v>43</v>
      </c>
      <c r="D95" s="179">
        <f>SUM(D96:D101)</f>
        <v>0</v>
      </c>
      <c r="E95" s="13"/>
      <c r="F95" s="174">
        <f>SUM(F96:F101)</f>
        <v>0</v>
      </c>
      <c r="G95" s="14">
        <f>IF(F95=0,0,F95*100/F95)</f>
        <v>0</v>
      </c>
      <c r="H95" s="15" t="s">
        <v>88</v>
      </c>
      <c r="I95" s="179">
        <f>SUM(I96:I101)</f>
        <v>0</v>
      </c>
      <c r="J95" s="13" t="s">
        <v>88</v>
      </c>
      <c r="K95" s="174">
        <f>SUM(K96:K101)</f>
        <v>0</v>
      </c>
      <c r="L95" s="14">
        <f>IF(K95=0,0,K95*100/K95)</f>
        <v>0</v>
      </c>
      <c r="M95" s="15" t="s">
        <v>88</v>
      </c>
    </row>
    <row r="96" spans="1:13" x14ac:dyDescent="0.2">
      <c r="A96" s="4"/>
      <c r="B96" s="3" t="s">
        <v>73</v>
      </c>
      <c r="C96" s="2" t="s">
        <v>43</v>
      </c>
      <c r="D96" s="180">
        <v>0</v>
      </c>
      <c r="E96" s="13" t="s">
        <v>88</v>
      </c>
      <c r="F96" s="175">
        <v>0</v>
      </c>
      <c r="G96" s="103">
        <f>IF(F95=0,0,F96*100/F95)</f>
        <v>0</v>
      </c>
      <c r="H96" s="15" t="s">
        <v>88</v>
      </c>
      <c r="I96" s="180">
        <v>0</v>
      </c>
      <c r="J96" s="13" t="s">
        <v>88</v>
      </c>
      <c r="K96" s="175">
        <v>0</v>
      </c>
      <c r="L96" s="103">
        <f>IF(K95=0,0,K96*100/K95)</f>
        <v>0</v>
      </c>
      <c r="M96" s="15" t="s">
        <v>88</v>
      </c>
    </row>
    <row r="97" spans="1:13" x14ac:dyDescent="0.2">
      <c r="A97" s="4"/>
      <c r="B97" s="3" t="s">
        <v>90</v>
      </c>
      <c r="C97" s="2" t="s">
        <v>43</v>
      </c>
      <c r="D97" s="180">
        <v>0</v>
      </c>
      <c r="E97" s="13" t="s">
        <v>88</v>
      </c>
      <c r="F97" s="175">
        <v>0</v>
      </c>
      <c r="G97" s="103">
        <f>IF(F95=0,0,F97*100/F95)</f>
        <v>0</v>
      </c>
      <c r="H97" s="15" t="s">
        <v>88</v>
      </c>
      <c r="I97" s="180">
        <v>0</v>
      </c>
      <c r="J97" s="13" t="s">
        <v>88</v>
      </c>
      <c r="K97" s="175">
        <v>0</v>
      </c>
      <c r="L97" s="103">
        <f>IF(K95=0,0,K97*100/K95)</f>
        <v>0</v>
      </c>
      <c r="M97" s="15" t="s">
        <v>88</v>
      </c>
    </row>
    <row r="98" spans="1:13" x14ac:dyDescent="0.2">
      <c r="A98" s="4"/>
      <c r="B98" s="3" t="s">
        <v>91</v>
      </c>
      <c r="C98" s="2" t="s">
        <v>43</v>
      </c>
      <c r="D98" s="180">
        <v>0</v>
      </c>
      <c r="E98" s="13" t="s">
        <v>88</v>
      </c>
      <c r="F98" s="175">
        <v>0</v>
      </c>
      <c r="G98" s="103">
        <f>IF(F95=0,0,F98*100/F95)</f>
        <v>0</v>
      </c>
      <c r="H98" s="15" t="s">
        <v>88</v>
      </c>
      <c r="I98" s="180">
        <v>0</v>
      </c>
      <c r="J98" s="13" t="s">
        <v>88</v>
      </c>
      <c r="K98" s="175">
        <v>0</v>
      </c>
      <c r="L98" s="103">
        <f>IF(K95=0,0,K98*100/K95)</f>
        <v>0</v>
      </c>
      <c r="M98" s="15" t="s">
        <v>88</v>
      </c>
    </row>
    <row r="99" spans="1:13" x14ac:dyDescent="0.2">
      <c r="A99" s="4"/>
      <c r="B99" s="3" t="s">
        <v>92</v>
      </c>
      <c r="C99" s="2" t="s">
        <v>43</v>
      </c>
      <c r="D99" s="180">
        <v>0</v>
      </c>
      <c r="E99" s="13" t="s">
        <v>88</v>
      </c>
      <c r="F99" s="175">
        <v>0</v>
      </c>
      <c r="G99" s="103">
        <f>IF(F95=0,0,F99*100/F95)</f>
        <v>0</v>
      </c>
      <c r="H99" s="15" t="s">
        <v>88</v>
      </c>
      <c r="I99" s="180">
        <v>0</v>
      </c>
      <c r="J99" s="13" t="s">
        <v>88</v>
      </c>
      <c r="K99" s="175">
        <v>0</v>
      </c>
      <c r="L99" s="103">
        <f>IF(K95=0,0,K99*100/K95)</f>
        <v>0</v>
      </c>
      <c r="M99" s="15" t="s">
        <v>88</v>
      </c>
    </row>
    <row r="100" spans="1:13" x14ac:dyDescent="0.2">
      <c r="A100" s="4"/>
      <c r="B100" s="3" t="s">
        <v>93</v>
      </c>
      <c r="C100" s="2" t="s">
        <v>43</v>
      </c>
      <c r="D100" s="180">
        <v>0</v>
      </c>
      <c r="E100" s="13" t="s">
        <v>88</v>
      </c>
      <c r="F100" s="175">
        <v>0</v>
      </c>
      <c r="G100" s="103">
        <f>IF(F95=0,0,F100*100/F95)</f>
        <v>0</v>
      </c>
      <c r="H100" s="15" t="s">
        <v>88</v>
      </c>
      <c r="I100" s="180">
        <v>0</v>
      </c>
      <c r="J100" s="13" t="s">
        <v>88</v>
      </c>
      <c r="K100" s="175">
        <v>0</v>
      </c>
      <c r="L100" s="103">
        <f>IF(K95=0,0,K100*100/K95)</f>
        <v>0</v>
      </c>
      <c r="M100" s="15" t="s">
        <v>88</v>
      </c>
    </row>
    <row r="101" spans="1:13" ht="12.75" thickBot="1" x14ac:dyDescent="0.25">
      <c r="A101" s="107"/>
      <c r="B101" s="108" t="s">
        <v>99</v>
      </c>
      <c r="C101" s="109" t="s">
        <v>43</v>
      </c>
      <c r="D101" s="180">
        <v>0</v>
      </c>
      <c r="E101" s="13" t="s">
        <v>88</v>
      </c>
      <c r="F101" s="175">
        <v>0</v>
      </c>
      <c r="G101" s="103">
        <f>IF(F96=0,0,F101*100/F95)</f>
        <v>0</v>
      </c>
      <c r="H101" s="15" t="s">
        <v>88</v>
      </c>
      <c r="I101" s="180">
        <v>0</v>
      </c>
      <c r="J101" s="13" t="s">
        <v>88</v>
      </c>
      <c r="K101" s="175">
        <v>0</v>
      </c>
      <c r="L101" s="103">
        <f>IF(K96=0,0,K101*100/K95)</f>
        <v>0</v>
      </c>
      <c r="M101" s="15" t="s">
        <v>88</v>
      </c>
    </row>
    <row r="102" spans="1:13" ht="24.75" thickBot="1" x14ac:dyDescent="0.25">
      <c r="A102" s="23">
        <v>17</v>
      </c>
      <c r="B102" s="112" t="s">
        <v>98</v>
      </c>
      <c r="C102" s="33"/>
      <c r="D102" s="228"/>
      <c r="E102" s="229"/>
      <c r="F102" s="229"/>
      <c r="G102" s="229"/>
      <c r="H102" s="229"/>
      <c r="I102" s="229"/>
      <c r="J102" s="229"/>
      <c r="K102" s="229"/>
      <c r="L102" s="229"/>
      <c r="M102" s="230"/>
    </row>
  </sheetData>
  <mergeCells count="19">
    <mergeCell ref="B2:B5"/>
    <mergeCell ref="E3:G3"/>
    <mergeCell ref="E4:E5"/>
    <mergeCell ref="G4:G5"/>
    <mergeCell ref="A1:M1"/>
    <mergeCell ref="A2:A5"/>
    <mergeCell ref="C2:C5"/>
    <mergeCell ref="D102:M102"/>
    <mergeCell ref="F4:F5"/>
    <mergeCell ref="I2:M2"/>
    <mergeCell ref="L4:L5"/>
    <mergeCell ref="J3:L3"/>
    <mergeCell ref="K4:K5"/>
    <mergeCell ref="J4:J5"/>
    <mergeCell ref="I4:I5"/>
    <mergeCell ref="M4:M5"/>
    <mergeCell ref="D2:H2"/>
    <mergeCell ref="D4:D5"/>
    <mergeCell ref="H4:H5"/>
  </mergeCells>
  <conditionalFormatting sqref="A1">
    <cfRule type="cellIs" dxfId="0" priority="1" stopIfTrue="1" operator="lessThan">
      <formula>0</formula>
    </cfRule>
  </conditionalFormatting>
  <printOptions horizontalCentered="1"/>
  <pageMargins left="0.59055118110236227" right="0.39370078740157483" top="0.39370078740157483" bottom="0.39370078740157483" header="0" footer="0"/>
  <pageSetup paperSize="9" scale="26" fitToHeight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ТЭП ЭБ</vt:lpstr>
      <vt:lpstr>ТЭП ЗБС</vt:lpstr>
      <vt:lpstr>ТЭП Угл.</vt:lpstr>
      <vt:lpstr>'ТЭП ЗБС'!Заголовки_для_печати</vt:lpstr>
      <vt:lpstr>'ТЭП Угл.'!Заголовки_для_печати</vt:lpstr>
      <vt:lpstr>'ТЭП ЭБ'!Заголовки_для_печати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Матвиенко Светлана Геннадиевна</dc:creator>
  <cp:lastModifiedBy>Шинаев Е.С.</cp:lastModifiedBy>
  <dcterms:created xsi:type="dcterms:W3CDTF">2013-06-11T11:41:14Z</dcterms:created>
  <dcterms:modified xsi:type="dcterms:W3CDTF">2019-07-11T11:01:22Z</dcterms:modified>
</cp:coreProperties>
</file>