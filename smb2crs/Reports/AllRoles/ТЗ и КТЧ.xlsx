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updateLinks="never" codeName="ЭтаКнига" defaultThemeVersion="164011"/>
  <bookViews>
    <workbookView xWindow="0" yWindow="0" windowWidth="11550" windowHeight="8550" tabRatio="752" firstSheet="1" activeTab="2"/>
  </bookViews>
  <sheets>
    <sheet name="Введение. Инструкция" sheetId="8" r:id="rId1"/>
    <sheet name="01_ТО - КТЧ_Сводная Анкета" sheetId="7" r:id="rId2"/>
    <sheet name="02_Техническое Задание" sheetId="1" r:id="rId3"/>
    <sheet name="02.1_Отклонения и Риски" sheetId="2" r:id="rId4"/>
    <sheet name="02.2_Обьемы работ и Сроки" sheetId="4" r:id="rId5"/>
    <sheet name="02.3_Распределение обязанностей" sheetId="15" r:id="rId6"/>
    <sheet name="База данных" sheetId="16" state="hidden" r:id="rId7"/>
    <sheet name="История Изменения " sheetId="9" state="hidden" r:id="rId8"/>
    <sheet name="Лист2" sheetId="14" state="hidden" r:id="rId9"/>
  </sheets>
  <externalReferences>
    <externalReference r:id="rId10"/>
  </externalReferences>
  <definedNames>
    <definedName name="_xlnm._FilterDatabase" localSheetId="5" hidden="1">#REF!</definedName>
    <definedName name="_xlnm._FilterDatabase" hidden="1">#REF!</definedName>
    <definedName name="Метчик">'База данных'!$B$2:$I$2</definedName>
    <definedName name="МетчикМБУ">'База данных'!$B$2:$I$2</definedName>
    <definedName name="мсз">'База данных'!$B$4:$F$4</definedName>
    <definedName name="_xlnm.Print_Area" localSheetId="1">'01_ТО - КТЧ_Сводная Анкета'!$B$2:$H$110</definedName>
    <definedName name="_xlnm.Print_Area" localSheetId="3">'02.1_Отклонения и Риски'!$B$2:$G$9</definedName>
    <definedName name="_xlnm.Print_Area" localSheetId="4">'02.2_Обьемы работ и Сроки'!$C$7:$VJ$66</definedName>
    <definedName name="_xlnm.Print_Area" localSheetId="2">'02_Техническое Задание'!$B$2:$H$240</definedName>
    <definedName name="_xlnm.Print_Area" localSheetId="0">'Введение. Инструкция'!$B$2:$C$72</definedName>
    <definedName name="поблаилцващцзащуз">'База данных'!$B$2:$I$2</definedName>
    <definedName name="резьба">'База данных'!$B$5:$I$5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7" l="1"/>
  <c r="F68" i="7"/>
  <c r="F62" i="7"/>
  <c r="F60" i="7"/>
  <c r="F70" i="7"/>
  <c r="F71" i="7"/>
  <c r="G7" i="8" l="1"/>
  <c r="G8" i="8" s="1"/>
  <c r="G9" i="8" s="1"/>
  <c r="G10" i="8" s="1"/>
  <c r="G11" i="8" s="1"/>
  <c r="H84" i="1" l="1"/>
  <c r="H83" i="1"/>
  <c r="H82" i="1"/>
  <c r="H81" i="1"/>
  <c r="F29" i="1"/>
</calcChain>
</file>

<file path=xl/comments1.xml><?xml version="1.0" encoding="utf-8"?>
<comments xmlns="http://schemas.openxmlformats.org/spreadsheetml/2006/main">
  <authors>
    <author>Автор</author>
  </authors>
  <commentList>
    <comment ref="F29" authorId="0" shapeId="0">
      <text>
        <r>
          <rPr>
            <b/>
            <sz val="9"/>
            <color indexed="81"/>
            <rFont val="Tahoma"/>
            <family val="2"/>
            <charset val="204"/>
          </rPr>
          <t>Необходимо заполнить данные на вкладке "График Бурения"</t>
        </r>
      </text>
    </comment>
  </commentList>
</comments>
</file>

<file path=xl/sharedStrings.xml><?xml version="1.0" encoding="utf-8"?>
<sst xmlns="http://schemas.openxmlformats.org/spreadsheetml/2006/main" count="1656" uniqueCount="860">
  <si>
    <t>Бурению эксплуатационных скважин по суточной ставке или фиксированной ставке (в т.ч. Мобильными установками)</t>
  </si>
  <si>
    <t>&lt;Текст шаблона, приведенный курсивом и в угловых скобках, должен быть замещен соответствующим текстом подготавливаемого документа или удален&gt;</t>
  </si>
  <si>
    <t>Заказчик</t>
  </si>
  <si>
    <t>&lt;Выбирается из списка&gt;</t>
  </si>
  <si>
    <t>Проектный горизонт</t>
  </si>
  <si>
    <t>Альтитуда земли</t>
  </si>
  <si>
    <t>Радиус круга допуска,м)</t>
  </si>
  <si>
    <t>Дополнительная информация</t>
  </si>
  <si>
    <t>Наименование проекта:</t>
  </si>
  <si>
    <t>Расстояние и автодороги</t>
  </si>
  <si>
    <t>Руководитель проекта/ инициатор (ЕОЛ)</t>
  </si>
  <si>
    <t>ЗГД по Бурению</t>
  </si>
  <si>
    <t>&lt;ФИО, должность,элпочта&gt;</t>
  </si>
  <si>
    <t>Срок и порядок выполнения работ. Бюджет:</t>
  </si>
  <si>
    <t>Плановые сроки проекта</t>
  </si>
  <si>
    <t>Дата начала</t>
  </si>
  <si>
    <t>Дата окончания</t>
  </si>
  <si>
    <t>ИТОГО</t>
  </si>
  <si>
    <t>Интервалы</t>
  </si>
  <si>
    <t>Прочие характеристики</t>
  </si>
  <si>
    <t>Да</t>
  </si>
  <si>
    <t>Наименование специальности:</t>
  </si>
  <si>
    <t>Количество на кустовой площадке</t>
  </si>
  <si>
    <t>Всего в бригаде</t>
  </si>
  <si>
    <t>Требования по стажу по должности</t>
  </si>
  <si>
    <t>Сотрудник Подрядчика, ответственный за реализацию проекта "Технический Предел"</t>
  </si>
  <si>
    <t>Сотрудник Подрядчика, ответственный за реализацию проекта "Каркас-1,2,3"</t>
  </si>
  <si>
    <t>Нет</t>
  </si>
  <si>
    <t>Вакуумный дегазатор</t>
  </si>
  <si>
    <t>Труба обурочная</t>
  </si>
  <si>
    <t>ОВ с цангами и спиралями</t>
  </si>
  <si>
    <t>БУ грузоподьемность, тонн</t>
  </si>
  <si>
    <t>Возраст БУ (не более 25лет)</t>
  </si>
  <si>
    <t>Привод БУ (электрический/дизельный), мощность кВт</t>
  </si>
  <si>
    <t>Температурный режим эксплуатации БУ и оборудования</t>
  </si>
  <si>
    <t>Грузоподьемность ВСП/Вертлюг (Метрических тонн)</t>
  </si>
  <si>
    <t>Максимальный и рабочий вращающийся момент при бурении, кН*м</t>
  </si>
  <si>
    <t>Проходное отверстие стола ротора</t>
  </si>
  <si>
    <t>Основной и дублирующий комплект приборов для измерения веса на крюке, с регистрацией показаний.</t>
  </si>
  <si>
    <t>Размагничивающие устройства</t>
  </si>
  <si>
    <t>Наличие поддона (юбки) под роторной площадкой для сбора бурового раствора с оотоком в желобную линию</t>
  </si>
  <si>
    <t>Наличие вспомогательной лебедки (лебедок)</t>
  </si>
  <si>
    <t>Наличие, исправность устройства эвакуации верхового рабочего</t>
  </si>
  <si>
    <t>Наличие приспособления для сращивания талевого каната при его замене (промышленного производства)</t>
  </si>
  <si>
    <t>Комплекс механизмов СПО. Заводские  обтираторы труб для используемого инструмента и хвостовиков</t>
  </si>
  <si>
    <t>Наличие аварийного привода буровой лебедки</t>
  </si>
  <si>
    <t>Возможность контроля момента вращения с записью в модуль памяти на механических ключах при сборке КНБК, предоставление данных по требованию Заказчика</t>
  </si>
  <si>
    <t>Наличие ограничителя веса на крюке</t>
  </si>
  <si>
    <t>Наличие противосифонной юбки заводского исполнения, обеспечивающей надежную герметичность при подъеме колонны бурильных труб с сифоном</t>
  </si>
  <si>
    <t>Наличие пневматического или гидравлического раскрепителя, с моментомером</t>
  </si>
  <si>
    <t>Наличие в бригаде запасного талевого каната с возможностью полной замены. Стальные канаты, используемые для оснастки должны соответствовать требованиям безопасности, согласно действующим законодательным актам и нормативно-технической документации и тех. условий БУ</t>
  </si>
  <si>
    <t>Буровые насосы</t>
  </si>
  <si>
    <t>Количество буровых насосов</t>
  </si>
  <si>
    <t>Максимальное рабочее давление бурового насоса</t>
  </si>
  <si>
    <t>Максимальное рабочее давление манифольда, мПа</t>
  </si>
  <si>
    <t>Максимальное давление опрессовки манифольда, мПА</t>
  </si>
  <si>
    <t>Регулируемый привод насосов</t>
  </si>
  <si>
    <t>Возможность работы одним буровым насосом, с одновременным ремонтом второго бурового насоса</t>
  </si>
  <si>
    <t>Пуск буровых насосов в работу должен производиться с местного поста управления, регулировка их работы и остановка – с пульта бурильщика и местного поста управления</t>
  </si>
  <si>
    <t>Наличие, исправность блокировок, исключающих пуск оборудования при снятых кожухах и ограждениях</t>
  </si>
  <si>
    <t>Наличие отдельного сервиса</t>
  </si>
  <si>
    <t>Обеспечивается отдельно с БПО (менее 30км)</t>
  </si>
  <si>
    <t>Категория риска</t>
  </si>
  <si>
    <t>Указать на листе "Обьемы работ и сроки"</t>
  </si>
  <si>
    <t>УКАЗАТЬ НА ЛИСТЕ "Обьемы работ и сроки"</t>
  </si>
  <si>
    <t>Нет, указать обоснование на вкладке "Отклонения и Риски"</t>
  </si>
  <si>
    <t>2020г</t>
  </si>
  <si>
    <t>2021г</t>
  </si>
  <si>
    <t>2022г</t>
  </si>
  <si>
    <t>2023г</t>
  </si>
  <si>
    <t>2024г</t>
  </si>
  <si>
    <t>2025г</t>
  </si>
  <si>
    <t>2026г</t>
  </si>
  <si>
    <t>Мест.</t>
  </si>
  <si>
    <t>Буровая установка</t>
  </si>
  <si>
    <t>Куст</t>
  </si>
  <si>
    <t>Бригада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</si>
  <si>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</si>
  <si>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</si>
  <si>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</si>
  <si>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</si>
  <si>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</si>
  <si>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</si>
  <si>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</si>
  <si>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</si>
  <si>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</si>
  <si>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</si>
  <si>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</si>
  <si>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</si>
  <si>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Примечание: </t>
  </si>
  <si>
    <t xml:space="preserve">Срок начала мобилизации БУ-1 на месторождение (временную площадку складирования/консервации/хранения БУ), включая котельную установку и БДЕ, бурового оборудования и бригадного хозяйства, парка ГСМ и АвЭС с 01.01.2019  </t>
  </si>
  <si>
    <t>Срок окончания мобилизации БУ-1 на месторождение (временную площадку складирования/консервации/хранения БУ), включая котельную установку и БДЕ, бурового оборудования и бригадного хозяйства, парка ГСМ и АвЭС не позднее 31.03.2019</t>
  </si>
  <si>
    <t xml:space="preserve">Период хранения БУ-1 на временной площадке складирования/консервации/хранения БУ с 01.04.2019 по 31.05.2019 (может корректироваться Заказчиком)  </t>
  </si>
  <si>
    <t>Дата начала переезда БУ-1 с временной площадки складирования/консервации/хранения БУ 01.06.2019 и дата окончания переезда БУ-1 16.07.2019 (могут корректироваться Заказчиком)</t>
  </si>
  <si>
    <t>Фактическая дата начала бурения БУ-1 16.07.2019 (может корректироваться Заказчиком)</t>
  </si>
  <si>
    <t xml:space="preserve">Фактический срок начала мобилизации, периода консервации на временной площадке хранения, начала переезда на куст и монтажа, начала бурения первой скважины БУ-2 может корректироваться Заказчиком </t>
  </si>
  <si>
    <t>№</t>
  </si>
  <si>
    <t>п/п</t>
  </si>
  <si>
    <t>Группа Рисков</t>
  </si>
  <si>
    <t>Финансовые</t>
  </si>
  <si>
    <t>Изменение операционных расходов</t>
  </si>
  <si>
    <t>Обеспечение материально-техническими ресурсами</t>
  </si>
  <si>
    <t>Риски взаимодействия с партнерами в проектах</t>
  </si>
  <si>
    <t>Риски невыполнения подрядчиками договорных обязательств</t>
  </si>
  <si>
    <t>Техногенные аварии и катастрофы</t>
  </si>
  <si>
    <t>Лицензионные Риски</t>
  </si>
  <si>
    <t>Несчастные случаи с работниками и третьими лицами</t>
  </si>
  <si>
    <t>Риски безпосности</t>
  </si>
  <si>
    <t>Риски персонала</t>
  </si>
  <si>
    <t>Валютные Риски</t>
  </si>
  <si>
    <t>Негарантированные обьемы контрактования</t>
  </si>
  <si>
    <t>Обоснование</t>
  </si>
  <si>
    <t>СВОДНАЯ АНКЕТА</t>
  </si>
  <si>
    <t>для оценки претендента  для выполнения работ / оказания услуг</t>
  </si>
  <si>
    <t xml:space="preserve">Номер лота / наименование лота:  </t>
  </si>
  <si>
    <t xml:space="preserve">Объект выполнения работ / оказания услуг: </t>
  </si>
  <si>
    <t xml:space="preserve">Индивидуальный реестровый номер процедуры (ИРНП) </t>
  </si>
  <si>
    <t>№ п/п</t>
  </si>
  <si>
    <t>Наименование параметра/документа</t>
  </si>
  <si>
    <t>Единицы измерения</t>
  </si>
  <si>
    <t>Вид критерия</t>
  </si>
  <si>
    <t>Потребность Заказчика</t>
  </si>
  <si>
    <t>Заполняется Претендентом</t>
  </si>
  <si>
    <t>Подтверждающие документы</t>
  </si>
  <si>
    <t>I</t>
  </si>
  <si>
    <t>II</t>
  </si>
  <si>
    <t>III</t>
  </si>
  <si>
    <t>IV</t>
  </si>
  <si>
    <t>V</t>
  </si>
  <si>
    <t>VI</t>
  </si>
  <si>
    <t>VII</t>
  </si>
  <si>
    <t>1. Сроки выполнения работ, согласие с условиями Договора</t>
  </si>
  <si>
    <t>Дата начала мобилизации</t>
  </si>
  <si>
    <t>дата</t>
  </si>
  <si>
    <t>безусловный</t>
  </si>
  <si>
    <t xml:space="preserve">Форма №2 "Предложение на участие в отборе" </t>
  </si>
  <si>
    <t>Дата начала бурения 1-й скважины</t>
  </si>
  <si>
    <t>Согласие с условиями Договора подряда представленного в Инструкции по Отбору</t>
  </si>
  <si>
    <t>Да / Нет</t>
  </si>
  <si>
    <t>Безусловный</t>
  </si>
  <si>
    <t>Форма №8  "Подтверждение согласия с условиями договора"</t>
  </si>
  <si>
    <t>2. Документально-правовое обеспечение</t>
  </si>
  <si>
    <t>наличие / отсутствие</t>
  </si>
  <si>
    <t>информационный</t>
  </si>
  <si>
    <t>наличие</t>
  </si>
  <si>
    <t>Копия Свидетельства СРО и приложений к нему</t>
  </si>
  <si>
    <t>Выписка из Единого государственного реестра юридических лиц</t>
  </si>
  <si>
    <t>Копия выписки из Единого государственного реестра юридических лиц</t>
  </si>
  <si>
    <t>Выписка из решения общего собрания учредителей о назначении руководителя</t>
  </si>
  <si>
    <t>Копия выписки из решения общего собрания учредителей о назначении руководителя</t>
  </si>
  <si>
    <t>Копия протокола или решения об образовании юридического лица</t>
  </si>
  <si>
    <t>Свидетельство о постановке на налоговый учет</t>
  </si>
  <si>
    <t>Копия свидетельства о постановке на налоговый учет</t>
  </si>
  <si>
    <t>Свидетельство о государственной регистрации</t>
  </si>
  <si>
    <t>Копия свидетельства о государственной регистрации</t>
  </si>
  <si>
    <t>Справка из налоговых органов РФ об отсутствии/наличии задолженности по уплате налогов и сборов, иных обязательных платежей</t>
  </si>
  <si>
    <t>да (в случае наличия указать статью и величину задолженности )/нет</t>
  </si>
  <si>
    <t>нет</t>
  </si>
  <si>
    <t>Копия справки из налоговых органов РФ об отсутствии/наличии задолженности по уплате налогов и сборов, иных обязательных платежей</t>
  </si>
  <si>
    <t>Справка из банка о том, что Участник Отбора имеет/не имеет задолженности по картотеке по внебалансовому счету 90902 «Расчетные документы, не оплаченные в срок»</t>
  </si>
  <si>
    <t>Копия справки из банка о том, что участник Отбора имеет/не имеет задолженности по картотеке по внебалансовому счету 90902 «Расчетные документы, не оплаченные в срок»</t>
  </si>
  <si>
    <t>Аффилированность с компаниями нефтегазового комплекса</t>
  </si>
  <si>
    <t>перечень/нет</t>
  </si>
  <si>
    <t>для информации</t>
  </si>
  <si>
    <t>Справка за подписью участника / уполномоченного представителя участника об аффилированности с компаниями нефтегазового комплекса</t>
  </si>
  <si>
    <t>Участие в судебных и арбитражных процессах по банкротству / ликвидации / не состоятельности</t>
  </si>
  <si>
    <t>да/нет</t>
  </si>
  <si>
    <t>Справка за подписью участника / уполномоченного представителя участника об участии в судебных и арбитражных процессах по банкротству / ликвидации / не состоятельности</t>
  </si>
  <si>
    <t>Информация о цепочке собственников Подрядчика, включая бенефициаров (в том числе конечных)</t>
  </si>
  <si>
    <t xml:space="preserve">Форма 9 "Информации о цепочке собственников"                                                                                                                </t>
  </si>
  <si>
    <t>3. Финансовые показатели</t>
  </si>
  <si>
    <t>Уставный капитал</t>
  </si>
  <si>
    <t>тыс. руб.</t>
  </si>
  <si>
    <t>Величина чистых активов</t>
  </si>
  <si>
    <t>Справка за подписью участника / уполномоченного представителя участника</t>
  </si>
  <si>
    <t>Наличие оборотных средств</t>
  </si>
  <si>
    <t>4. Опыт выполнения работ/оказания услуг, привлекаемые субподрядчики по предмету Отбора, загруженность другими проектами</t>
  </si>
  <si>
    <t xml:space="preserve">Объем выполнения работ собственными силами по предмету отбора </t>
  </si>
  <si>
    <t xml:space="preserve">% от общей стоимости работ по отбору </t>
  </si>
  <si>
    <t xml:space="preserve">Состояние загруженности текущими проектами </t>
  </si>
  <si>
    <t>количество договоров, с указанием предмета договора, перечня видов выполняемых работ, наименования Заказчиков. Стоимость всего по Договору, суммы оставшихся обязательств (тыс.руб.).</t>
  </si>
  <si>
    <t>Фактическое местонахождение БУ</t>
  </si>
  <si>
    <t>местонахождение</t>
  </si>
  <si>
    <t>Расстояние мобилизации БУ</t>
  </si>
  <si>
    <t>км</t>
  </si>
  <si>
    <t>Местонахождение базы обеспечения</t>
  </si>
  <si>
    <t>Документы на право собственности (Копия договора аренды).</t>
  </si>
  <si>
    <t xml:space="preserve">Возраст БУ планируемых к предоставлению </t>
  </si>
  <si>
    <t>Лет</t>
  </si>
  <si>
    <t>Паспорт БУ</t>
  </si>
  <si>
    <t>Тип буровой установки - Эшелонный</t>
  </si>
  <si>
    <t>Форма № 11 Справка о фактическом наличии / отсутствии материально технических ресурсов</t>
  </si>
  <si>
    <t xml:space="preserve">Грузоподъемность </t>
  </si>
  <si>
    <t>тн.</t>
  </si>
  <si>
    <t>Температурный режим эксплуатации БУ и оборудования соответствует диапазону от -45 до +40 град. С. Либо Температурный режим эксплуатации МБУ и оборудования, Согласно требованиям технического задания с возможностью выполнять работы в указанном регионе.</t>
  </si>
  <si>
    <t>да</t>
  </si>
  <si>
    <t>Форма № 11 Справка о фактическом наличии / отсутствии материально технических ресурсов Паспорт БУ</t>
  </si>
  <si>
    <t>Возможность работы одним насосом с одновременным ремонтом второго.</t>
  </si>
  <si>
    <t>Форма № 11 Справка о фактическом наличии / отсутствии материально технических ресурсов, паспорт оборудования</t>
  </si>
  <si>
    <t>шт</t>
  </si>
  <si>
    <t>Рабочее давление бурового насоса</t>
  </si>
  <si>
    <t>Мощность привода бурового насоса</t>
  </si>
  <si>
    <t>кВт</t>
  </si>
  <si>
    <t>Ротор оборудованный моментомером</t>
  </si>
  <si>
    <t>Форма № 11 Справка о фактическом наличии / отсутствии материально технических ресурсов,  паспорт оборудования</t>
  </si>
  <si>
    <t xml:space="preserve">Проходное отверстие стола ротора </t>
  </si>
  <si>
    <t>мм</t>
  </si>
  <si>
    <t>Не менее 700 мм</t>
  </si>
  <si>
    <t>Диапазон вращения 0-200 об/мин</t>
  </si>
  <si>
    <t>Наличие системы предупреждения о низком уровне жидкости в станции управления ПВО</t>
  </si>
  <si>
    <t xml:space="preserve">Возраст спец.техники </t>
  </si>
  <si>
    <t>не более 7 лет.</t>
  </si>
  <si>
    <t>Информационный</t>
  </si>
  <si>
    <t>Информация о затратах на производственную безопасность (охрану труда, промышленную и экологическую безопасность) за последние 3  года, включая текущий: 
- На обеспечение спецодеждой и СИЗ; 
- На Обучение, аттестацию и проверку знаний в области ОТ, ПБ и ООС; 
- На выполнение мероприятий по результатам аттестации рабочих мест (СОУТ); 
- На выполнение мероприятий по профилактике травматизма и охране здоровья.</t>
  </si>
  <si>
    <t>млн. Рублей</t>
  </si>
  <si>
    <t>Справка за подписью руководителя предприятия с указанием плановых и фактических затрат отдельно за каждые последние три года, включая текущий.</t>
  </si>
  <si>
    <t>должность подписанта</t>
  </si>
  <si>
    <t>подпись</t>
  </si>
  <si>
    <t>ФИО</t>
  </si>
  <si>
    <t>М.П.</t>
  </si>
  <si>
    <r>
      <rPr>
        <sz val="12"/>
        <rFont val="Arial Narrow"/>
        <family val="2"/>
        <charset val="204"/>
      </rPr>
      <t>Дебиторская задолженность за</t>
    </r>
    <r>
      <rPr>
        <i/>
        <sz val="12"/>
        <rFont val="Arial Narrow"/>
        <family val="2"/>
        <charset val="204"/>
      </rPr>
      <t xml:space="preserve"> 2015 год </t>
    </r>
    <r>
      <rPr>
        <sz val="12"/>
        <rFont val="Arial Narrow"/>
        <family val="2"/>
        <charset val="204"/>
      </rPr>
      <t xml:space="preserve">- Бухгалтерский баланс, код показателя 1230 </t>
    </r>
  </si>
  <si>
    <r>
      <t xml:space="preserve">Копия бухгалтерского баланса: годовой - </t>
    </r>
    <r>
      <rPr>
        <i/>
        <sz val="12"/>
        <rFont val="Arial Narrow"/>
        <family val="2"/>
        <charset val="204"/>
      </rPr>
      <t xml:space="preserve">за 2016 год </t>
    </r>
    <r>
      <rPr>
        <sz val="12"/>
        <rFont val="Arial Narrow"/>
        <family val="2"/>
        <charset val="204"/>
      </rPr>
      <t xml:space="preserve"> с отметкой налоговых органов о приеме</t>
    </r>
  </si>
  <si>
    <r>
      <rPr>
        <sz val="12"/>
        <rFont val="Arial Narrow"/>
        <family val="2"/>
        <charset val="204"/>
      </rPr>
      <t>Дебиторская задолженность за</t>
    </r>
    <r>
      <rPr>
        <i/>
        <sz val="12"/>
        <rFont val="Arial Narrow"/>
        <family val="2"/>
        <charset val="204"/>
      </rPr>
      <t xml:space="preserve"> 2016 год </t>
    </r>
    <r>
      <rPr>
        <sz val="12"/>
        <rFont val="Arial Narrow"/>
        <family val="2"/>
        <charset val="204"/>
      </rPr>
      <t xml:space="preserve">- Бухгалтерский баланс, код показателя 1230 </t>
    </r>
  </si>
  <si>
    <r>
      <t xml:space="preserve">Копия бухгалтерского баланса: годовой - </t>
    </r>
    <r>
      <rPr>
        <i/>
        <sz val="12"/>
        <rFont val="Arial Narrow"/>
        <family val="2"/>
        <charset val="204"/>
      </rPr>
      <t xml:space="preserve">за 2017 год </t>
    </r>
    <r>
      <rPr>
        <sz val="12"/>
        <rFont val="Arial Narrow"/>
        <family val="2"/>
        <charset val="204"/>
      </rPr>
      <t xml:space="preserve"> с отметкой налоговых органов о приеме</t>
    </r>
  </si>
  <si>
    <r>
      <rPr>
        <sz val="12"/>
        <rFont val="Arial Narrow"/>
        <family val="2"/>
        <charset val="204"/>
      </rPr>
      <t>Дебиторская задолженность за</t>
    </r>
    <r>
      <rPr>
        <i/>
        <sz val="12"/>
        <rFont val="Arial Narrow"/>
        <family val="2"/>
        <charset val="204"/>
      </rPr>
      <t xml:space="preserve"> 2017 год </t>
    </r>
    <r>
      <rPr>
        <sz val="12"/>
        <rFont val="Arial Narrow"/>
        <family val="2"/>
        <charset val="204"/>
      </rPr>
      <t xml:space="preserve">- Бухгалтерский баланс, код показателя 1230 </t>
    </r>
  </si>
  <si>
    <r>
      <t xml:space="preserve">Копия бухгалтерского баланса: годовой - </t>
    </r>
    <r>
      <rPr>
        <i/>
        <sz val="12"/>
        <rFont val="Arial Narrow"/>
        <family val="2"/>
        <charset val="204"/>
      </rPr>
      <t xml:space="preserve">за 2018 год </t>
    </r>
    <r>
      <rPr>
        <sz val="12"/>
        <rFont val="Arial Narrow"/>
        <family val="2"/>
        <charset val="204"/>
      </rPr>
      <t xml:space="preserve"> с отметкой налоговых органов о приеме</t>
    </r>
  </si>
  <si>
    <r>
      <t xml:space="preserve">Дебиторская задолженность </t>
    </r>
    <r>
      <rPr>
        <i/>
        <sz val="12"/>
        <rFont val="Arial Narrow"/>
        <family val="2"/>
        <charset val="204"/>
      </rPr>
      <t xml:space="preserve">(за последний отчетный период) </t>
    </r>
    <r>
      <rPr>
        <sz val="12"/>
        <rFont val="Arial Narrow"/>
        <family val="2"/>
        <charset val="204"/>
      </rPr>
      <t xml:space="preserve">-  Бухгалтерский баланс, код показателя 1230 </t>
    </r>
  </si>
  <si>
    <r>
      <t xml:space="preserve">Копия бухгалтерского баланса: за </t>
    </r>
    <r>
      <rPr>
        <i/>
        <sz val="12"/>
        <rFont val="Arial Narrow"/>
        <family val="2"/>
        <charset val="204"/>
      </rPr>
      <t>последний отчетный период</t>
    </r>
    <r>
      <rPr>
        <sz val="12"/>
        <rFont val="Arial Narrow"/>
        <family val="2"/>
        <charset val="204"/>
      </rPr>
      <t>, подписанная участником / уполномоченного представителем участника</t>
    </r>
  </si>
  <si>
    <r>
      <rPr>
        <sz val="12"/>
        <rFont val="Arial Narrow"/>
        <family val="2"/>
        <charset val="204"/>
      </rPr>
      <t>Кредиторская задолженность за</t>
    </r>
    <r>
      <rPr>
        <i/>
        <sz val="12"/>
        <rFont val="Arial Narrow"/>
        <family val="2"/>
        <charset val="204"/>
      </rPr>
      <t xml:space="preserve"> 2016 год </t>
    </r>
    <r>
      <rPr>
        <sz val="12"/>
        <rFont val="Arial Narrow"/>
        <family val="2"/>
        <charset val="204"/>
      </rPr>
      <t>- Бухгалтерский баланс, код показателя 1520</t>
    </r>
  </si>
  <si>
    <r>
      <rPr>
        <sz val="12"/>
        <rFont val="Arial Narrow"/>
        <family val="2"/>
        <charset val="204"/>
      </rPr>
      <t>Кредиторская задолженность за</t>
    </r>
    <r>
      <rPr>
        <i/>
        <sz val="12"/>
        <rFont val="Arial Narrow"/>
        <family val="2"/>
        <charset val="204"/>
      </rPr>
      <t xml:space="preserve"> 2017 год </t>
    </r>
    <r>
      <rPr>
        <sz val="12"/>
        <rFont val="Arial Narrow"/>
        <family val="2"/>
        <charset val="204"/>
      </rPr>
      <t>- Бухгалтерский баланс, код показателя 1520</t>
    </r>
  </si>
  <si>
    <r>
      <rPr>
        <sz val="12"/>
        <rFont val="Arial Narrow"/>
        <family val="2"/>
        <charset val="204"/>
      </rPr>
      <t>Кредиторская задолженность за</t>
    </r>
    <r>
      <rPr>
        <i/>
        <sz val="12"/>
        <rFont val="Arial Narrow"/>
        <family val="2"/>
        <charset val="204"/>
      </rPr>
      <t xml:space="preserve"> 2018 год </t>
    </r>
    <r>
      <rPr>
        <sz val="12"/>
        <rFont val="Arial Narrow"/>
        <family val="2"/>
        <charset val="204"/>
      </rPr>
      <t>- Бухгалтерский баланс, код показателя 1520</t>
    </r>
  </si>
  <si>
    <r>
      <t xml:space="preserve">Кредиторская задолженность </t>
    </r>
    <r>
      <rPr>
        <i/>
        <sz val="12"/>
        <rFont val="Arial Narrow"/>
        <family val="2"/>
        <charset val="204"/>
      </rPr>
      <t xml:space="preserve">(за последний отчетный период) - </t>
    </r>
    <r>
      <rPr>
        <sz val="12"/>
        <rFont val="Arial Narrow"/>
        <family val="2"/>
        <charset val="204"/>
      </rPr>
      <t>Бухгалтерский баланс, код показателя 1520</t>
    </r>
  </si>
  <si>
    <r>
      <t xml:space="preserve">Выручка (нетто) по продажам товаров, продукции, работ, услуг за </t>
    </r>
    <r>
      <rPr>
        <i/>
        <sz val="12"/>
        <rFont val="Arial Narrow"/>
        <family val="2"/>
        <charset val="204"/>
      </rPr>
      <t xml:space="preserve">2016 год </t>
    </r>
    <r>
      <rPr>
        <sz val="12"/>
        <rFont val="Arial Narrow"/>
        <family val="2"/>
        <charset val="204"/>
      </rPr>
      <t xml:space="preserve">Отчет о финансовых результатах, код показателя 2110 </t>
    </r>
  </si>
  <si>
    <r>
      <t xml:space="preserve">Копия отчета о финансовых результатах: годовой - </t>
    </r>
    <r>
      <rPr>
        <i/>
        <sz val="12"/>
        <rFont val="Arial Narrow"/>
        <family val="2"/>
        <charset val="204"/>
      </rPr>
      <t>за 2016 год</t>
    </r>
    <r>
      <rPr>
        <sz val="12"/>
        <rFont val="Arial Narrow"/>
        <family val="2"/>
        <charset val="204"/>
      </rPr>
      <t xml:space="preserve">  с отметкой налоговых органов о приеме</t>
    </r>
  </si>
  <si>
    <r>
      <t xml:space="preserve">Выручка (нетто) по продажам товаров, продукции, работ, услуг за </t>
    </r>
    <r>
      <rPr>
        <i/>
        <sz val="12"/>
        <rFont val="Arial Narrow"/>
        <family val="2"/>
        <charset val="204"/>
      </rPr>
      <t xml:space="preserve">2017 год </t>
    </r>
    <r>
      <rPr>
        <sz val="12"/>
        <rFont val="Arial Narrow"/>
        <family val="2"/>
        <charset val="204"/>
      </rPr>
      <t xml:space="preserve">Отчет о финансовых результатах, код показателя 2110 </t>
    </r>
  </si>
  <si>
    <r>
      <t xml:space="preserve">Копия отчета о финансовых результатах: годовой - </t>
    </r>
    <r>
      <rPr>
        <i/>
        <sz val="12"/>
        <rFont val="Arial Narrow"/>
        <family val="2"/>
        <charset val="204"/>
      </rPr>
      <t>за 2017 год</t>
    </r>
    <r>
      <rPr>
        <sz val="12"/>
        <rFont val="Arial Narrow"/>
        <family val="2"/>
        <charset val="204"/>
      </rPr>
      <t xml:space="preserve">  с отметкой налоговых органов о приеме</t>
    </r>
  </si>
  <si>
    <r>
      <t xml:space="preserve">Выручка (нетто) по продажам товаров, продукции, работ, услуг за </t>
    </r>
    <r>
      <rPr>
        <i/>
        <sz val="12"/>
        <rFont val="Arial Narrow"/>
        <family val="2"/>
        <charset val="204"/>
      </rPr>
      <t xml:space="preserve">2018 год </t>
    </r>
    <r>
      <rPr>
        <sz val="12"/>
        <rFont val="Arial Narrow"/>
        <family val="2"/>
        <charset val="204"/>
      </rPr>
      <t xml:space="preserve">Отчет о финансовых результатах, код показателя 2110 </t>
    </r>
  </si>
  <si>
    <r>
      <t xml:space="preserve">Копия отчета о финансовых результатах: годовой - </t>
    </r>
    <r>
      <rPr>
        <i/>
        <sz val="12"/>
        <rFont val="Arial Narrow"/>
        <family val="2"/>
        <charset val="204"/>
      </rPr>
      <t>за 2018 год</t>
    </r>
    <r>
      <rPr>
        <sz val="12"/>
        <rFont val="Arial Narrow"/>
        <family val="2"/>
        <charset val="204"/>
      </rPr>
      <t xml:space="preserve">  с отметкой налоговых органов о приеме</t>
    </r>
  </si>
  <si>
    <r>
      <t xml:space="preserve">Выручка (нетто) по продажам товаров, продукции, работ, услуг </t>
    </r>
    <r>
      <rPr>
        <i/>
        <sz val="12"/>
        <rFont val="Arial Narrow"/>
        <family val="2"/>
        <charset val="204"/>
      </rPr>
      <t>(за последний отчетный период)</t>
    </r>
    <r>
      <rPr>
        <sz val="12"/>
        <rFont val="Arial Narrow"/>
        <family val="2"/>
        <charset val="204"/>
      </rPr>
      <t xml:space="preserve"> - Отчет о финансовых результатах, код показателя 2110 </t>
    </r>
  </si>
  <si>
    <r>
      <t>Копия отчета о финансовых результатах: за</t>
    </r>
    <r>
      <rPr>
        <i/>
        <sz val="12"/>
        <rFont val="Arial Narrow"/>
        <family val="2"/>
        <charset val="204"/>
      </rPr>
      <t xml:space="preserve"> последний отчетный период</t>
    </r>
    <r>
      <rPr>
        <sz val="12"/>
        <rFont val="Arial Narrow"/>
        <family val="2"/>
        <charset val="204"/>
      </rPr>
      <t>, подписанная участником / уполномоченным представителем участника</t>
    </r>
  </si>
  <si>
    <r>
      <t xml:space="preserve">Чистая прибыль (убыток) за </t>
    </r>
    <r>
      <rPr>
        <i/>
        <sz val="12"/>
        <rFont val="Arial Narrow"/>
        <family val="2"/>
        <charset val="204"/>
      </rPr>
      <t>2016</t>
    </r>
    <r>
      <rPr>
        <sz val="12"/>
        <rFont val="Arial Narrow"/>
        <family val="2"/>
        <charset val="204"/>
      </rPr>
      <t xml:space="preserve"> </t>
    </r>
    <r>
      <rPr>
        <i/>
        <sz val="12"/>
        <rFont val="Arial Narrow"/>
        <family val="2"/>
        <charset val="204"/>
      </rPr>
      <t xml:space="preserve">год </t>
    </r>
    <r>
      <rPr>
        <sz val="12"/>
        <rFont val="Arial Narrow"/>
        <family val="2"/>
        <charset val="204"/>
      </rPr>
      <t>Отчет о финансовых результатах,  код показателя 2400</t>
    </r>
  </si>
  <si>
    <r>
      <t xml:space="preserve">Копия отчета о финансовых результатах: годовой - </t>
    </r>
    <r>
      <rPr>
        <i/>
        <sz val="12"/>
        <rFont val="Arial Narrow"/>
        <family val="2"/>
        <charset val="204"/>
      </rPr>
      <t>за 2016  год</t>
    </r>
    <r>
      <rPr>
        <sz val="12"/>
        <rFont val="Arial Narrow"/>
        <family val="2"/>
        <charset val="204"/>
      </rPr>
      <t xml:space="preserve">  с отметкой налоговых органов о приеме</t>
    </r>
  </si>
  <si>
    <r>
      <t xml:space="preserve">Чистая прибыль (убыток) за </t>
    </r>
    <r>
      <rPr>
        <i/>
        <sz val="12"/>
        <rFont val="Arial Narrow"/>
        <family val="2"/>
        <charset val="204"/>
      </rPr>
      <t xml:space="preserve">2017 год </t>
    </r>
    <r>
      <rPr>
        <sz val="12"/>
        <rFont val="Arial Narrow"/>
        <family val="2"/>
        <charset val="204"/>
      </rPr>
      <t>Отчет о финансовых результатах,  код показателя 2400</t>
    </r>
  </si>
  <si>
    <r>
      <t xml:space="preserve">Чистая прибыль (убыток) за </t>
    </r>
    <r>
      <rPr>
        <i/>
        <sz val="12"/>
        <rFont val="Arial Narrow"/>
        <family val="2"/>
        <charset val="204"/>
      </rPr>
      <t xml:space="preserve">2018 год </t>
    </r>
    <r>
      <rPr>
        <sz val="12"/>
        <rFont val="Arial Narrow"/>
        <family val="2"/>
        <charset val="204"/>
      </rPr>
      <t>Отчет о финансовых результатах,  код показателя 2400</t>
    </r>
  </si>
  <si>
    <r>
      <t xml:space="preserve">Чистая прибыль (убыток) за </t>
    </r>
    <r>
      <rPr>
        <i/>
        <sz val="12"/>
        <rFont val="Arial Narrow"/>
        <family val="2"/>
        <charset val="204"/>
      </rPr>
      <t>(последний отчетный период)</t>
    </r>
    <r>
      <rPr>
        <sz val="12"/>
        <rFont val="Arial Narrow"/>
        <family val="2"/>
        <charset val="204"/>
      </rPr>
      <t xml:space="preserve"> - Отчет о финансовых результатах,  код показателя 2400</t>
    </r>
  </si>
  <si>
    <r>
      <t xml:space="preserve">Претендент </t>
    </r>
    <r>
      <rPr>
        <i/>
        <sz val="12"/>
        <color theme="0" tint="-0.499984740745262"/>
        <rFont val="Arial Narrow"/>
        <family val="2"/>
        <charset val="204"/>
      </rPr>
      <t>&lt;указать полное наименование претендента&gt;</t>
    </r>
  </si>
  <si>
    <r>
      <t xml:space="preserve">Наименование процедуры выбора: </t>
    </r>
    <r>
      <rPr>
        <sz val="16"/>
        <color theme="0"/>
        <rFont val="Arial Narrow"/>
        <family val="2"/>
        <charset val="204"/>
      </rPr>
      <t>Закрытый конкурентный отбор подрядной организации, способной выполнить работы по услуге 
10204 "Бурение эксплуатационных скважин по суточной ставке или фиксированной ставке (в т.ч. Мобильными установками)</t>
    </r>
  </si>
  <si>
    <r>
      <rPr>
        <b/>
        <sz val="12"/>
        <rFont val="Arial Narrow"/>
        <family val="2"/>
        <charset val="204"/>
      </rPr>
      <t>Контроль Отклонений и Рисков. Критерии эскалации рисков</t>
    </r>
    <r>
      <rPr>
        <sz val="12"/>
        <rFont val="Arial Narrow"/>
        <family val="2"/>
        <charset val="204"/>
      </rPr>
      <t xml:space="preserve">
Риск должен быть эскалирован, если он соответствует хотя бы одному из установленных критериев эскалации: 
1. Превышение лимитов ответственности и полномочий – превышение критериев, которые определяют границы ответственности и полномочий менеджмента, в том числе инвестиционных комиссий. Риск эскалируется, если принятие решения превышает лимит ответственности или полномочий работника. Примеры лимитов ответственности/полномочий:
• Превышены лимиты ответственности при принятии решений о реализации инвестиционных проектов (КТ-250), например, если они необходимы для снижения/устранения риска ;
• Ограниченность служебных полномочий (по должностной инструкции), например, для принятия решений в отношении мероприятий по управлению кросс-функциональным риском;
• Прочие ограничения полномочий в соответствии с действующими локальными нормативными актами Компании или ДО.
2. Превышение величины уровня риска, установленной для данного работника/уровня менеджмента (в качестве величины уровня риска может выступать оценка отклонения КПЭ в случае наступления риска).
3. Превышение значений качественных критериев, характеризующих влияние риска на здоровье людей, репутацию Компании, окружающую среду или наличие актов мошенничества, коррупции.                                                                                             </t>
    </r>
    <r>
      <rPr>
        <b/>
        <sz val="12"/>
        <rFont val="Arial Narrow"/>
        <family val="2"/>
        <charset val="204"/>
      </rPr>
      <t xml:space="preserve">Нормативные ссылки*
В настоящем документе содержатся ссылки на следующие локальные нормативные акты Группы компаний ГПН:
ПК-11.03.01-01 Политика в области управления рисками. ОСК.11-07
М-11.07-01 Методические указания по процессу управления рисками
М-11.03.04-01 Методические указания по анализу рисков проектов
</t>
    </r>
    <r>
      <rPr>
        <sz val="12"/>
        <rFont val="Arial Narrow"/>
        <family val="2"/>
        <charset val="204"/>
      </rPr>
      <t xml:space="preserve">
</t>
    </r>
  </si>
  <si>
    <t xml:space="preserve">Дата </t>
  </si>
  <si>
    <t>Версия</t>
  </si>
  <si>
    <t xml:space="preserve">Описание изменений/разработан взамен </t>
  </si>
  <si>
    <t>1.0</t>
  </si>
  <si>
    <t xml:space="preserve">Начальная версия. Для обсуждения и согласования. </t>
  </si>
  <si>
    <t xml:space="preserve">Авторы </t>
  </si>
  <si>
    <t>Расчетные/Требуемые характеристики</t>
  </si>
  <si>
    <t>Термины и сокращения:
АвИЭС – автономный источник электроснабжения 
БДЕ – блок дополнительных емкостей
БнБ – «бурение на бумаге»
БП – бизнес план
БУ – буровая установка
ВЗД – винтовой забойный двигатель
ВЛБ – вышко лебедочный блок 
ВМР – вышко-монтажные работы
ВС –  вибросита
ВСП – верхний силовой привод
ГНВП – газо-нефте-водопроявление
ГС – скважины с горизонтальным окончанием без пилотного ствола
ГС+П –  скважины с горизонтальным окончанием с пилотным стволом
ГТМ – геолого-технические мероприятия
ГТН – геолого-технический наряд
ДЭС – дизельная электростанция
ЗИП – запасной инструментальный пакет
ИТР – инженерно-технический работник
МБУ – мобильная буровая установка
НКТ – насосно-компрессорная труба
ННС –  наклонно-направленные скважины
НПВ – непроизводительное время
ООС – охрана окружающей среды
ОТ – охрана труда
ОУС – оборудование устья скважины
ПВО – противовыбросовое оборудование
СБТ – стальная бурильная труба
СПО – спускоподъемные операции
ТБ – требования безопасности
ТБТ – толстостенная бурильная труба
ТП – «технический предел»
ТФД – типовая форма договора
УБТ – утяжеленная бурильная труба
УБТС – утяжеленная бурильная труба спиральная
IWCF – international well control forum</t>
  </si>
  <si>
    <t>Согласие претендента принять условия типового договора и подписать его без протокола разногласий.</t>
  </si>
  <si>
    <t>Наличие у Подрядчика Свидетельства СРО о допуске к выполнению Работ</t>
  </si>
  <si>
    <t>Наличие у Подрядчика топлива для БУ (смазочные масла, солидол и т.д.)</t>
  </si>
  <si>
    <t>Наличие у Подрядчика иных необходимых допусков и разрешений для выполнения Работ</t>
  </si>
  <si>
    <t>Иметь лицензии на обращение с отходами 1-4 класса опасности или привлекать специализированные организации,  имеющих такие лицензии, для выполнения работ по утилизации буровых отходов (бурового шлама, отработанного бурового раствора и буровых сточных вод), образующихся в процессе оказания услуг, путем переработки и транспортировки на указанные Заказчиком полигоны/территории</t>
  </si>
  <si>
    <t>Подрядчик самостоятельно несёт все затраты по содержанию собственной ремонтной базы, оборудования, доставке персонала, обеспечению проживания, питания собственного персонала</t>
  </si>
  <si>
    <t>Подрядчик обеспечивает завоз на автономные Объекты необходимое количество оборудования, запасных частей к ним и материалов, с учетом периодов отсутствия автомобильных дорог к Объекту.</t>
  </si>
  <si>
    <t>Подрядчик гарантирует выполнение минимальных требований в области ОТ, ПБ и ООС (HSE) – согласно условиям Договора</t>
  </si>
  <si>
    <t>Буровая установка должна быть окрашена в брендовые цвета предприятия подрядчика и иметь эстетичный вид</t>
  </si>
  <si>
    <t>Система обогрева буровой установки, блока ёмкостей, ПВО, блока дросселирования и глушения</t>
  </si>
  <si>
    <t>Наличие у Подрядчика на Объекте звуковой сигнализации (типа ревун) при ГНВП</t>
  </si>
  <si>
    <t>Наличие у Подрядчика на Объекте в пневмосистеме воздухоочистителя с влагопоглотителем</t>
  </si>
  <si>
    <t>Подрядчик самостоятельно обеспечивает электроэнергией Объект строительства скважины и жилой поселок, в том числе своих субподрядчиков и подрядчиков Заказчика. Подрядчик осуществляет самостоятельно за счет собственных средств.</t>
  </si>
  <si>
    <t>Подрядчик после первичного монтажа БУ перед началом бурения первой скважины на кустовой площадке производит обкатку бурового оборудования по согласованной с Заказчиком программе с последующим оформлением соответствующего акта.</t>
  </si>
  <si>
    <t>Элементы буровой установки (насосы, емкостной блок, система очистки и т.д.) должны быть выполнены в маслостойком исполнении для работы с РУО</t>
  </si>
  <si>
    <t>Крановая техника (грузоподъемностью не менее 25тн)</t>
  </si>
  <si>
    <t>Бульдозер</t>
  </si>
  <si>
    <t>ЦА-320 (Проведение опрессовок), возможностью создания давления не менее 320 атм.</t>
  </si>
  <si>
    <t>ППУ</t>
  </si>
  <si>
    <t>Полуприцеп (площадка)</t>
  </si>
  <si>
    <t>Вахтовка</t>
  </si>
  <si>
    <t>Водовозка (с возможностью набора и скачивания воды без помощи посторонней техники)</t>
  </si>
  <si>
    <t>Топливозаправщик</t>
  </si>
  <si>
    <t>Предоставление жилого и офисного помещения для всего  персонала Подрядчика на кустовой площадке (Подключение к электричеству и перемещение по кустовой площадке производит Исполнитель)</t>
  </si>
  <si>
    <t>Отдельный вагон-дом, соответствующий требованиям санитарных норм для представителя Заказчика (за счет Подрядчика)</t>
  </si>
  <si>
    <t>Отдельные (дополнительные) жилые и офисные помещения для Сервисных компаний (за счет Подрядчика)</t>
  </si>
  <si>
    <t>Обустройство септика для вахтового поселка (в том числе вагоны подрядчиков Заказчика, участвующих в процессе строительства скважин), вывоз и утилизация содержимого септика</t>
  </si>
  <si>
    <t>Обеспечение вагон-городка санитарно-техническими сооружениями для нужд персонала Заказчика, Подрядчика и Сервисных компаний (отапливаемый туалет, душ/баня/сауна/сушилка)</t>
  </si>
  <si>
    <t>Жилые и производственные помещения Подрядчика</t>
  </si>
  <si>
    <t>Подключение к электричеству и перемещение по кустовой площадке всех жилых и производственных помещений подрядных организаций производит Исполнитель</t>
  </si>
  <si>
    <t>01 Анализ условий бурения</t>
  </si>
  <si>
    <t>Исполнитель</t>
  </si>
  <si>
    <t>Выполняет, если</t>
  </si>
  <si>
    <t>01. Сформирован пакет документов по 3.02. в результате выполнения процесса  03.02.02.01 Управление закупками производственных работ и услуг Блока разведки и добычи;</t>
  </si>
  <si>
    <t>И</t>
  </si>
  <si>
    <t>02. Разработаны документы на строительство скважин в результате выполнения процесса  01.04.05.01 Разработка конструкции скважин (дизайн);</t>
  </si>
  <si>
    <t>Использует</t>
  </si>
  <si>
    <t>01. Утвержденный уточненный план потребности ЛИБО Утвержденный план прочей потребности ЛИБО Информация о незаконтрактованной потребности, МСК - комплект документов (состав комплекта документов указан в Приложении 2);</t>
  </si>
  <si>
    <t>02. Геологические цели - бумажный документ;</t>
  </si>
  <si>
    <t>03. Проект на строительство скважин, сведения о районе бурения и площадке строительства буровой - комплект документов (состав комплекта документов указан в Приложении 2).</t>
  </si>
  <si>
    <t>Требования</t>
  </si>
  <si>
    <t>Результаты</t>
  </si>
  <si>
    <t>Завершено, если</t>
  </si>
  <si>
    <t>01. ТЗ предзаполнено по результатам анализа условий бурения, переход к выполнению операции 02 Определение требований.</t>
  </si>
  <si>
    <t>Длительность</t>
  </si>
  <si>
    <t>Не более 10 р.д.</t>
  </si>
  <si>
    <t>ИЛИ</t>
  </si>
  <si>
    <t>Не более 5 р.д.</t>
  </si>
  <si>
    <t>03 Проверка ТЗ</t>
  </si>
  <si>
    <t>02. При наличии несоответствий и ошибок –  переход к выполнению операции 02;</t>
  </si>
  <si>
    <t>02. ТЗ (Согласован) - бумажный документ.</t>
  </si>
  <si>
    <t>01. ТЗ согласовано, переход к выполнению операции 04 Подписание и направление ТЗ на утверждение;</t>
  </si>
  <si>
    <t>02. ТЗ отправлено на доработку, переход к выполнению операции 02 Определение требований.</t>
  </si>
  <si>
    <t>Не более 7 р.д.</t>
  </si>
  <si>
    <t>04 Подписание и направление ТЗ на утверждение</t>
  </si>
  <si>
    <t>ЗГД по бурению ДО - выполняет;</t>
  </si>
  <si>
    <t>Сотрудник УИ ДО - способствует при выполнении.</t>
  </si>
  <si>
    <t>01. ТЗ согласовано в результате выполнения операции 03 Проверка ТЗ.</t>
  </si>
  <si>
    <t>01. ТЗ (Согласован) - бумажный документ.</t>
  </si>
  <si>
    <t>01. Подписывается специалистами, разработавшими документ;</t>
  </si>
  <si>
    <t>01. ТЗ (Подписан) - бумажный документ.</t>
  </si>
  <si>
    <t>1 р.д.</t>
  </si>
  <si>
    <t>05  Утверждение ТЗ</t>
  </si>
  <si>
    <t>Руководитель ЭГ - выполняет.</t>
  </si>
  <si>
    <t>01. Утверждение документа осуществляется подписанием на титульном листе.</t>
  </si>
  <si>
    <t>01. ТЗ (Утверждён) - бумажный документ.</t>
  </si>
  <si>
    <t>01. Утверждено ТЗ, переход к выполнению процесса  03.02.02.01 Управление закупками производственных работ и услуг Блока разведки и добычи.</t>
  </si>
  <si>
    <t>Сотрудник УГиР ДО - учавствует при выполнении (Обеспечение требуемой информацией).</t>
  </si>
  <si>
    <t>03. Наступила потребность в планировании работ по бурению и определнии исполнителя работ;</t>
  </si>
  <si>
    <t>Анализ условий бурения</t>
  </si>
  <si>
    <t>Определение требований</t>
  </si>
  <si>
    <t>Проверка ТЗ</t>
  </si>
  <si>
    <t>Подписание и Направление ТЗ на утверждение</t>
  </si>
  <si>
    <t>Утверждение ТЗ</t>
  </si>
  <si>
    <t>Начало процесса</t>
  </si>
  <si>
    <t>Процесс выполнения и согласования ТЗ</t>
  </si>
  <si>
    <r>
      <rPr>
        <sz val="20"/>
        <color theme="0"/>
        <rFont val="Arial Narrow"/>
        <family val="2"/>
        <charset val="204"/>
      </rPr>
      <t>График Бурения/</t>
    </r>
    <r>
      <rPr>
        <sz val="12"/>
        <color theme="0"/>
        <rFont val="Arial Narrow"/>
        <family val="2"/>
        <charset val="204"/>
      </rPr>
      <t>03.02.02.01 Управление закупками производственных работ и услуг Блока разведки и добычи</t>
    </r>
  </si>
  <si>
    <r>
      <t>Контроль Отклонений и Рисков/</t>
    </r>
    <r>
      <rPr>
        <sz val="16"/>
        <color indexed="9"/>
        <rFont val="Arial Narrow"/>
        <family val="2"/>
        <charset val="204"/>
      </rPr>
      <t>ПК-11.03.01-01 Политика в области управления рисками. ОСК.11-07</t>
    </r>
  </si>
  <si>
    <t>Техническое                                         задание на выполнение работ по:</t>
  </si>
  <si>
    <t>01. Сводная анкета КТЧ (Утверждена) - бумажный документ.</t>
  </si>
  <si>
    <t>3 р.д.</t>
  </si>
  <si>
    <t>04. Определены геологические цели в результате выполнения процесса  01.05.04.03.03 Обоснование геологических целей для бурения и других ГТМ.</t>
  </si>
  <si>
    <t>Комплект документов</t>
  </si>
  <si>
    <t>Состав комплекта документов</t>
  </si>
  <si>
    <t>Утвержденный уточненный план потребности ЛИБО Утвержденный план прочей потребности ЛИБО Информация о незаконтрактованной потребности, МСК</t>
  </si>
  <si>
    <t>Утверждённый план прочей потребности;</t>
  </si>
  <si>
    <t>Утверждённый план потребности;</t>
  </si>
  <si>
    <t>Информация о незаконтрактованной потребности;</t>
  </si>
  <si>
    <t>Проект на строительство скважин, сведения о районе бурения и площадке строительства буровой</t>
  </si>
  <si>
    <t>Проект на строительство скважин;</t>
  </si>
  <si>
    <t>Сведения о районе бурения и площадке строительства буровой</t>
  </si>
  <si>
    <t>Полная информация для разработки программы по цементированию</t>
  </si>
  <si>
    <t>Проект на строительство скважины;</t>
  </si>
  <si>
    <t>Проектный профиль скважины;</t>
  </si>
  <si>
    <t>Геологический прогноз разреза;</t>
  </si>
  <si>
    <t>Программа промывки;</t>
  </si>
  <si>
    <t>Пакет документов для сдачи-приёмки работ по договору подряда</t>
  </si>
  <si>
    <t>Стратегия контрактования.</t>
  </si>
  <si>
    <t>Программа по бурению скважин</t>
  </si>
  <si>
    <t>Согласно типовой формы договора подряда по услуге Бурение.</t>
  </si>
  <si>
    <t>Да/Нет</t>
  </si>
  <si>
    <t xml:space="preserve">Количество емкостей блока циркуляции бурового раствора </t>
  </si>
  <si>
    <t>Объем емкости блока приготовления раствора</t>
  </si>
  <si>
    <t>Объем дополнительных емкостей</t>
  </si>
  <si>
    <t>Насосно-емкостной блок БУ и БДЕ должны быть оснащены принудительной системой вентиляции</t>
  </si>
  <si>
    <t>Наличие не менее двух механических перемешивателей в каждой емкости, как в рабочих так и БДЕ</t>
  </si>
  <si>
    <t>Все емкости должны быть оборудованы шкалой уровнемером</t>
  </si>
  <si>
    <t>Возможность изолировать каждую емкость от циркуляционной системы и возможность циркуляции через одну емкость</t>
  </si>
  <si>
    <t>Схема обвязки циркуляционной системы позволяет  производить обработку бурового раствора в любой из ёмкостей (кроме ЦСГО)</t>
  </si>
  <si>
    <t>ПВО, в том числе его испытание и обслуживание (манифольд высокого давления, шаровые краны, переходные катушки для установки ПВО на колонную головку)</t>
  </si>
  <si>
    <t>Наличие договора по профилактике и ликвидации ГНВП с противофонтанной службой.</t>
  </si>
  <si>
    <t>Наличие системы аварийного освещения БУ и ПВО напряжением 12В, соответствующей правилам безопасности</t>
  </si>
  <si>
    <t>Проведение инспекции бурильных труб и переводников в соответствии со стандартом DS-1</t>
  </si>
  <si>
    <t>Наличие договора со специализированными компаниями по предоставлению оборудования и услуг по ликвидации аварий</t>
  </si>
  <si>
    <t>Элеваторы для всех элементов КНБК</t>
  </si>
  <si>
    <t>Штропа</t>
  </si>
  <si>
    <t>Комплект переводников для бурильной колонны заводского изготовления</t>
  </si>
  <si>
    <t>Комплект шаблонов для измерения диаметров всех применяемых на объекте производства работ калибрующих и породороразрушающих элементов</t>
  </si>
  <si>
    <t>Легко разбуриваемые шаблоны для всех типов обсадных колонн</t>
  </si>
  <si>
    <t>Типоразмер</t>
  </si>
  <si>
    <t>Группа прочности</t>
  </si>
  <si>
    <t>Тип резьбы</t>
  </si>
  <si>
    <t>Высадка</t>
  </si>
  <si>
    <t>КИП и А - полный комплекс (Показатели веса на крюке, давления в манифольде буровых насосов, величина крутящего момента на роторе, расход бурового раствора на входе и выходе из скважины, уровень раствора в приемных и доливных емкостях находятся в поле зрения бурильщика и регистрируются электронными средствами, обеспечивающими возможность хранения информации не менее 3 месяцев и ее передачу в Ростехнадзор)</t>
  </si>
  <si>
    <t>Вывод информации в кабину бурильщика (пульт бурильщика) параметров и режимов бурения (цифровой/аналоговый)</t>
  </si>
  <si>
    <t>Газоанализатор со световым и звуковым оповещением</t>
  </si>
  <si>
    <t>Наличие видеокамер с выводом информации в кабину бурильщика, мастера, супервайзера и офис Заказчика (Блок приготовления раствора, роторный стол, площадка верхового, мостки, ЦСГО, но не ограничиваясь этим)</t>
  </si>
  <si>
    <t>Наличие программного обеспечения с возможностью синхронизации с ПО сервисных компаний и выводом информации в кабину бурильщика</t>
  </si>
  <si>
    <t>Наличие программного обеспечения предупреждения замены узлов и элементов БК</t>
  </si>
  <si>
    <t xml:space="preserve">Дефектная ведомость на БУ и оборудования с показателями состояния, износа (аммортизации) в процентах </t>
  </si>
  <si>
    <t>менее 50 Атм</t>
  </si>
  <si>
    <t>Атм</t>
  </si>
  <si>
    <t>Объем емкостей блока циркуляции бурового раствора (без учета ЦСГО,БПР,БДЕ),м3</t>
  </si>
  <si>
    <t>Линии ВЛ</t>
  </si>
  <si>
    <t>Авиатранспортировка</t>
  </si>
  <si>
    <t>Наличие порядчиков по спецтехнике</t>
  </si>
  <si>
    <t>Наличие порядчиков по автотехнике</t>
  </si>
  <si>
    <r>
      <rPr>
        <b/>
        <sz val="10"/>
        <color rgb="FFFF0000"/>
        <rFont val="Arial Narrow"/>
        <family val="2"/>
        <charset val="204"/>
      </rPr>
      <t>06 Разработка и Утверждение КТЧ (Сводная Акета для оценки претендента)</t>
    </r>
    <r>
      <rPr>
        <b/>
        <sz val="10"/>
        <color rgb="FF000000"/>
        <rFont val="Arial Narrow"/>
        <family val="2"/>
        <charset val="204"/>
      </rPr>
      <t xml:space="preserve"> </t>
    </r>
  </si>
  <si>
    <t>Разработка и утверждение КТЧ</t>
  </si>
  <si>
    <t>ОЦО и Руководитель ЭГ (согласование)</t>
  </si>
  <si>
    <r>
      <t xml:space="preserve">01. Утверждено КТЧ, переход к выполнению процесса  </t>
    </r>
    <r>
      <rPr>
        <sz val="10"/>
        <color rgb="FFFF0000"/>
        <rFont val="Arial Narrow"/>
        <family val="2"/>
        <charset val="204"/>
      </rPr>
      <t>03.02.02.01 Управление закупками производственных работ и услуг Блока разведки и добычи.</t>
    </r>
  </si>
  <si>
    <t xml:space="preserve">Штропа для спуска ОК и цементирования </t>
  </si>
  <si>
    <t>Устройство долива при спуске ОК</t>
  </si>
  <si>
    <t>Следствие</t>
  </si>
  <si>
    <t>Аварийный инструмент для проведения всех видов аварийных работ, в том числе, при проведении аварийных работ присутствие аварийного мастера</t>
  </si>
  <si>
    <t>5.1.1 Буровая установка</t>
  </si>
  <si>
    <t>5.1.2. Буровые насосы</t>
  </si>
  <si>
    <t>5.1.3. Ротор</t>
  </si>
  <si>
    <t xml:space="preserve"> 5.1 Обеспеченность техническими ресурсами для выполнения работ по предмету процедуры выбора </t>
  </si>
  <si>
    <t>5. Наличие производственных баз, технических ресурсов.</t>
  </si>
  <si>
    <t>5.1.  Обеспеченность производственными базами для выполнения работ по предмету Отбора:</t>
  </si>
  <si>
    <t xml:space="preserve">5.3. Обеспеченность вспомогательными техническими ресурсами для выполнения работ по предмету Отбора </t>
  </si>
  <si>
    <t>5.4. Обеспеченность персонала инструментом и переносными средствами измерений и контроля для выполнения работ по предмету Отбора</t>
  </si>
  <si>
    <t>5.5. Обеспеченность мобильными помещениями для выполнения работ по предмету Отбора</t>
  </si>
  <si>
    <t>6. Наличие квалифицированного персонала</t>
  </si>
  <si>
    <t>6.1. Обеспеченность в рабочем персонале для выполнения работ по предмету Отбора (с учетом вахтового метода работы)</t>
  </si>
  <si>
    <t>6.2. Обеспеченность АУП, ИТР и МОП для выполнения работ по предмету Отбора</t>
  </si>
  <si>
    <t>7. Обеспечение промышленной, экологической, пожарной безопасности и охраны труда</t>
  </si>
  <si>
    <t>8. Наличие программного обеспечения</t>
  </si>
  <si>
    <t>9. Прочее</t>
  </si>
  <si>
    <t>Глубина по стволу,м</t>
  </si>
  <si>
    <t>Технологические риски</t>
  </si>
  <si>
    <t>Риски планирования и организации работ при управлении инвестиционными проектами</t>
  </si>
  <si>
    <t xml:space="preserve">Уровень </t>
  </si>
  <si>
    <t>технологической сложности</t>
  </si>
  <si>
    <t>Характеристики</t>
  </si>
  <si>
    <t>I уровень</t>
  </si>
  <si>
    <t>II уровень</t>
  </si>
  <si>
    <t>III уровень</t>
  </si>
  <si>
    <t>-         Вертикальные и наклонно-направленные скважины с глубиной по стволу до 4000 м.</t>
  </si>
  <si>
    <t>-         Боковые наклонно-направленные стволы протяженностью до 1000 м.</t>
  </si>
  <si>
    <t>-         Индекс сложности направленного бурения DDI менее 6.</t>
  </si>
  <si>
    <t>-         Скважины с горизонтальными участками протяженностью до 1500м.</t>
  </si>
  <si>
    <t>-         Наличие интервалов АВПД и АНПД с коэффициентом аномальности до 1,5.</t>
  </si>
  <si>
    <t>-         Боковые наклонно-направленные стволы протяженностью более 1000 м.</t>
  </si>
  <si>
    <t>-         Содержание сероводорода до 3%.</t>
  </si>
  <si>
    <t>-         Индекс сложности направленного бурения DDI от 6 до 6,4</t>
  </si>
  <si>
    <t>-         Вертикальные и наклонно-направленные скважины с несовместимыми зонами бурения, которые невозможно перекрыть обсадными колоннами</t>
  </si>
  <si>
    <t>-         Скважины с горизонтальными участками протяженностью более 1500 м.</t>
  </si>
  <si>
    <t>-         Все поисково-разведочные скважины</t>
  </si>
  <si>
    <t>-         Применение специализированных технологических процессов (бурение на депрессии, многоствольное бурение, бурение на обсадной колонне и д.р.).</t>
  </si>
  <si>
    <t>-         Наличие интервалов АВПД и АНПД с коэффициентом аномальности более 1,5.</t>
  </si>
  <si>
    <t>-         Содержание сероводорода более 3%.</t>
  </si>
  <si>
    <t>-         Индекс сложности направленного бурения DDI от 6,4 до 6,8</t>
  </si>
  <si>
    <t>-         Индекс сложности направленного бурения DDI более 6,8</t>
  </si>
  <si>
    <t>Условия возникновения</t>
  </si>
  <si>
    <t>&lt;Конструкции скважин, Выбирается из списка&gt;</t>
  </si>
  <si>
    <t>точность планирования работ</t>
  </si>
  <si>
    <t>Изменение в Разделе/Пункте ТЗ</t>
  </si>
  <si>
    <r>
      <t xml:space="preserve">Примечание </t>
    </r>
    <r>
      <rPr>
        <sz val="12"/>
        <color theme="0"/>
        <rFont val="Arial Narrow"/>
        <family val="2"/>
        <charset val="204"/>
      </rPr>
      <t>(Детальное Обоснование и Оценка влияния на стоимость)</t>
    </r>
  </si>
  <si>
    <t>Верхний привод</t>
  </si>
  <si>
    <t>Возможность выполнения работ от электросетей Заказчика (или от сетей гарантирующего поставщика электроэнегии)</t>
  </si>
  <si>
    <t>Напряжение электросетей Заказчика на объекте</t>
  </si>
  <si>
    <t>Подрядчик самостоятельно обеспечивает электроэнергией Объект строительства скважины и жилой поселок, в том числе своих субподрядчиков и подрядчиков Заказчика. Подключение Подрядчик осуществляет самостоятельно, за счет собственных средств.</t>
  </si>
  <si>
    <t>Жилой городок</t>
  </si>
  <si>
    <t>Аварийный привод Буровой лебедки</t>
  </si>
  <si>
    <t>Освещение буровой</t>
  </si>
  <si>
    <t>Пульт ПВО</t>
  </si>
  <si>
    <t>Шламовый насос системы долива</t>
  </si>
  <si>
    <t>ПВ Вентиляция в Емкостном блоке</t>
  </si>
  <si>
    <t>Котельная</t>
  </si>
  <si>
    <t>Перемешиватель</t>
  </si>
  <si>
    <t>Компрессор</t>
  </si>
  <si>
    <t>Наличие базы для реализации ГСМ от подрядчика</t>
  </si>
  <si>
    <r>
      <rPr>
        <b/>
        <sz val="10"/>
        <color theme="1"/>
        <rFont val="Arial"/>
        <family val="2"/>
        <charset val="204"/>
      </rPr>
      <t>Чувашов М.Н</t>
    </r>
    <r>
      <rPr>
        <sz val="10"/>
        <color theme="1"/>
        <rFont val="Arial"/>
        <family val="2"/>
        <charset val="204"/>
      </rPr>
      <t xml:space="preserve">. Руководитель Проекта по Бурению.                        Управление Качеством в Бурении, ВСР и КС.                                                      </t>
    </r>
    <r>
      <rPr>
        <b/>
        <sz val="10"/>
        <color theme="1"/>
        <rFont val="Arial"/>
        <family val="2"/>
        <charset val="204"/>
      </rPr>
      <t>Салеев И.Ф.</t>
    </r>
    <r>
      <rPr>
        <sz val="10"/>
        <color theme="1"/>
        <rFont val="Arial"/>
        <family val="2"/>
        <charset val="204"/>
      </rPr>
      <t xml:space="preserve"> Руководитель Направления по сопровждению закупок, Департамент Добычи нефти и Газа.                                </t>
    </r>
    <r>
      <rPr>
        <b/>
        <sz val="10"/>
        <color theme="1"/>
        <rFont val="Arial"/>
        <family val="2"/>
        <charset val="204"/>
      </rPr>
      <t>Соколов А.А.</t>
    </r>
    <r>
      <rPr>
        <sz val="10"/>
        <color theme="1"/>
        <rFont val="Arial"/>
        <family val="2"/>
        <charset val="204"/>
      </rPr>
      <t xml:space="preserve"> Начальник Отдела Инжиниринга и Экспертиз в Бурении, НТЦ;                                                                                           </t>
    </r>
    <r>
      <rPr>
        <b/>
        <sz val="10"/>
        <color theme="1"/>
        <rFont val="Arial"/>
        <family val="2"/>
        <charset val="204"/>
      </rPr>
      <t>Кравчук Б.Н.</t>
    </r>
    <r>
      <rPr>
        <sz val="10"/>
        <color theme="1"/>
        <rFont val="Arial"/>
        <family val="2"/>
        <charset val="204"/>
      </rPr>
      <t xml:space="preserve"> Руководитель направления по проекту активизация.                                                                    </t>
    </r>
    <r>
      <rPr>
        <b/>
        <sz val="10"/>
        <color theme="1"/>
        <rFont val="Arial"/>
        <family val="2"/>
        <charset val="204"/>
      </rPr>
      <t/>
    </r>
  </si>
  <si>
    <t>Наличие у Подрядчика действующей экспертизы промышленной безопасности на буровую установку, с условием действия до окончания договора</t>
  </si>
  <si>
    <t>Теплогенератор (горячий воздух)</t>
  </si>
  <si>
    <t>Бойлер (Парогенератор)</t>
  </si>
  <si>
    <t>Электрооборудование соответствует требованиям ПУЭ, ПТЭЭП, ПОТ при ЭЭ, НМД ПАО ГПН (ТОП-12).</t>
  </si>
  <si>
    <t>Обязанности сторон</t>
  </si>
  <si>
    <t>Примечание</t>
  </si>
  <si>
    <t>Распределение обязанностей между Заказчиком и Подрядчиком</t>
  </si>
  <si>
    <t>Проектно-сметная документация</t>
  </si>
  <si>
    <t>График глубина-день</t>
  </si>
  <si>
    <t>Составление геолого-технического наряда</t>
  </si>
  <si>
    <t>Мероприятия по безаварийному бурению</t>
  </si>
  <si>
    <t>Составление суточных рапортов</t>
  </si>
  <si>
    <t>Формирование дела скважины</t>
  </si>
  <si>
    <t>Спутниковая связь, интернет Подрядчика</t>
  </si>
  <si>
    <t>Разрешительная документация на проезд и перевозку негабаритных грузов Подрядчика (при мобилизации, демобилизации, переезде а также в случае необходимости во время бурения)</t>
  </si>
  <si>
    <t>Услуги геологических служб Подрядчика</t>
  </si>
  <si>
    <t>Услуги геологических служб Заказчика</t>
  </si>
  <si>
    <t>Строительство кустовой площадки</t>
  </si>
  <si>
    <t>Строительство подъездных дорог</t>
  </si>
  <si>
    <t>Строительство гидроизоляции и временного шламонакопителя</t>
  </si>
  <si>
    <t>Обеспечение дорожными плитами (кроме площадок, строительство которых находится в зоне ответственности Заказчика)</t>
  </si>
  <si>
    <t>Предоставление песка и других материалов для поддержания рабочего состояния кустовой площадки и подъездных дорог</t>
  </si>
  <si>
    <t>Восстановительный ремонт кустового основания и покрытия, а также подъездных дорог, поврежденных не по вине ПОДРЯДЧИКА</t>
  </si>
  <si>
    <t>Восстановительный ремонт кустового основания и покрытия, а также подъездных дорог, поврежденных  по вине ПОДРЯДЧИКА</t>
  </si>
  <si>
    <t>Ликвидация и рекультивация временного шламонакопителя</t>
  </si>
  <si>
    <t>Получение лицензии на водопользования для технических и технологических нужд</t>
  </si>
  <si>
    <t>Строительство, эксплуатация, ремонт и ликвидация водозаборной/артезианской скважины на кустовой площадке  для забора воды на технические нужды</t>
  </si>
  <si>
    <t>Обеспечение технической водой для выполнения технологических операций (бурение, ГРП, освоение, ТКРС и т.д.)</t>
  </si>
  <si>
    <t>Установка защитных экранов на соседних скважинах</t>
  </si>
  <si>
    <t>Обеспечение электроэнергией ЛЭП (строительство и обслуживание)</t>
  </si>
  <si>
    <t>Транспортировка оборудования и материалов Заказчика (давальческие МТР)</t>
  </si>
  <si>
    <t>Транспортировка, погрузка и разгрузка оборудования и материалов сервисных компаний (подрядчиков Заказчика), участвующих в процессе строительства скважины, в пределах кустовой площадки (в том числе с/на вертолётные площадки), а также в условии автономии месторождения (куста)</t>
  </si>
  <si>
    <t>Транспортировка оборудования и материалов Заказчика (давальческие МТР) между кустовыми площадками</t>
  </si>
  <si>
    <t>Персонал Подрядчика и обеспечение проживания.</t>
  </si>
  <si>
    <t>Перевозка персонала Подрядчика до кустовой площадки и его вывоз с кустовой площадки, а также перевозка между кустовыми площадками</t>
  </si>
  <si>
    <t>Перевозка персонала Заказчика, а также всех подрядчиков Заказчика, участвующих в строительстве скважин, до кустовой площадки и обратно</t>
  </si>
  <si>
    <t>Обеспечение питанием персонала Подрядчика</t>
  </si>
  <si>
    <t>Поставка питьевой воды для персонала Подрядчика, Заказчика и подрядчиков Заказчика, участвующих в процессе строительства скважин</t>
  </si>
  <si>
    <t>Обеспечение водой на бытовые и хозяйственные нужды для персонала Подрядчика, Заказчика и подрядчиков Заказчика, участвующих в процессе строительства скважин</t>
  </si>
  <si>
    <t>Дополнительные емкости под буровой раствор (закрытые и обогреваемые)</t>
  </si>
  <si>
    <t>Передвижная электростанция</t>
  </si>
  <si>
    <t>Телефонная связь</t>
  </si>
  <si>
    <t>Связь с Заказчиком посредством электронной почты с выделением отдельного канала связи для Супервайзера</t>
  </si>
  <si>
    <t>Бойлер с нефтью (нефть – Заказчика) для аварийных работ</t>
  </si>
  <si>
    <t>Обсадные трубы всех типоразмеров, в том числе фильтры</t>
  </si>
  <si>
    <t>Допускные и подгоночные патрубки из обсадной колонны</t>
  </si>
  <si>
    <t>Перевозка обсадных, допускных труб  и цемента до куста (или склада) на месторождении и разгрузка</t>
  </si>
  <si>
    <t>Технологические НКТ (60,3 мм и 73 мм), а так же подгоночные патрубки к ним, включая перевозку до куста и разгрузку</t>
  </si>
  <si>
    <t>Перемещение на кустовой площадке, с куста на куст остатков материалов Заказчик, со склада, находящегося на месторождении, до куста и разгрузка материалов Заказчика</t>
  </si>
  <si>
    <t>Сохранность обсадных труб на кустовой площадке и работа с ними, включая документооборот</t>
  </si>
  <si>
    <t>Подготовка  обсадных труб (опрессовка и шаблонировка)</t>
  </si>
  <si>
    <t>Оснастка обсадных колонн</t>
  </si>
  <si>
    <t>Цементировочные головки</t>
  </si>
  <si>
    <t>Штропа необходимой длины под цементировочную головку</t>
  </si>
  <si>
    <t>Цемент всех марок, в том числе добавки для цементных растворов</t>
  </si>
  <si>
    <t>АФК</t>
  </si>
  <si>
    <t>ОУС</t>
  </si>
  <si>
    <t>Подвесное устройство хвостовика</t>
  </si>
  <si>
    <t>Пакера (ПХН и т.д.), стыковочное устройство (стингер)</t>
  </si>
  <si>
    <t>Дизельное топливо</t>
  </si>
  <si>
    <t>Нефть для печного топлива</t>
  </si>
  <si>
    <t>Нефть для технологических нужд</t>
  </si>
  <si>
    <t>Герметизирующие смазки для обсадных колонн</t>
  </si>
  <si>
    <t>Услуги по ННБ (забойные двигателя, телесистемы, ГМ, резистивиметр, переводники для собственного оборудования, калибраторы, яссы)</t>
  </si>
  <si>
    <t>Услуги по цементированию (для всех колонн и установка цементных мостов)</t>
  </si>
  <si>
    <t>Услуги по буровым долотам (долота всех типоразмеров)</t>
  </si>
  <si>
    <t>Перевозка хим реагентов для приготовления буровых растворов в пределах кустовой площадки (ПРР, стропальщики)</t>
  </si>
  <si>
    <t>Станция ГТИ</t>
  </si>
  <si>
    <t>Испытание пластов</t>
  </si>
  <si>
    <t>АвИЭС</t>
  </si>
  <si>
    <t>Услуги ГИС</t>
  </si>
  <si>
    <t>Подрядчик</t>
  </si>
  <si>
    <t>Кустовая площадка</t>
  </si>
  <si>
    <t>Транспортировка оборудования и погрузочно-разгрузочные работы</t>
  </si>
  <si>
    <t>Услуги, в рамках производства работ по строительству скважин</t>
  </si>
  <si>
    <t>Стационарная буровая установка</t>
  </si>
  <si>
    <t>Электрокаллорифер</t>
  </si>
  <si>
    <t>Наименование этапа</t>
  </si>
  <si>
    <t>Расстояние</t>
  </si>
  <si>
    <t>Тип Буровой Установки</t>
  </si>
  <si>
    <t xml:space="preserve">Передвижка </t>
  </si>
  <si>
    <t>ВМР</t>
  </si>
  <si>
    <t>Пусконалодочные работы</t>
  </si>
  <si>
    <t>Срок выполнения, Зима</t>
  </si>
  <si>
    <t>Срок выполнения, Лето</t>
  </si>
  <si>
    <t>&lt;Указываются характеристики по интервалам&gt;</t>
  </si>
  <si>
    <t>Количество подсвечников</t>
  </si>
  <si>
    <t>Коэффициент кавернозности</t>
  </si>
  <si>
    <t>Температура</t>
  </si>
  <si>
    <t>Стратиграфия, Горная порода, признаки и свойства</t>
  </si>
  <si>
    <t>Обьемы и порядок выполнения работ</t>
  </si>
  <si>
    <t>Проектная информация:</t>
  </si>
  <si>
    <t>2019, скв</t>
  </si>
  <si>
    <t>2020, скв</t>
  </si>
  <si>
    <t>2021, скв</t>
  </si>
  <si>
    <t>2022, скв</t>
  </si>
  <si>
    <t>Длина,м</t>
  </si>
  <si>
    <t>Тип ПВО</t>
  </si>
  <si>
    <t>Аварийный мастер</t>
  </si>
  <si>
    <t>Разработка комплектовочной ведомости,  логистику доставки МТР и  бурового хозяйства на объект/объекты (с указанием начального и конечного пунктов</t>
  </si>
  <si>
    <t>Дополнительные сведения</t>
  </si>
  <si>
    <t xml:space="preserve">Обеспечение  ответственного хранения на объекте МТР и оборудования Заказчика и прочих сервисных организаций Заказчика. </t>
  </si>
  <si>
    <r>
      <t xml:space="preserve">02. Требования к анализу условий бурения, применения технологий приведены в </t>
    </r>
    <r>
      <rPr>
        <sz val="10"/>
        <color theme="1"/>
        <rFont val="Arial Narrow"/>
        <family val="2"/>
        <charset val="204"/>
      </rPr>
      <t>М-01.04.05.07-01.</t>
    </r>
  </si>
  <si>
    <t>01. Техническое задание оформляется по утврежденной форме</t>
  </si>
  <si>
    <r>
      <t xml:space="preserve">01. ТЗ (Предзаполнено) - </t>
    </r>
    <r>
      <rPr>
        <sz val="10"/>
        <color theme="1"/>
        <rFont val="Arial Narrow"/>
        <family val="2"/>
        <charset val="204"/>
      </rPr>
      <t>электронный</t>
    </r>
    <r>
      <rPr>
        <sz val="10"/>
        <color rgb="FFFF0000"/>
        <rFont val="Arial Narrow"/>
        <family val="2"/>
        <charset val="204"/>
      </rPr>
      <t xml:space="preserve"> </t>
    </r>
    <r>
      <rPr>
        <sz val="10"/>
        <color rgb="FF000000"/>
        <rFont val="Arial Narrow"/>
        <family val="2"/>
        <charset val="204"/>
      </rPr>
      <t>документ.</t>
    </r>
  </si>
  <si>
    <r>
      <t>01. ТЗ (Проект) -</t>
    </r>
    <r>
      <rPr>
        <sz val="10"/>
        <color rgb="FFFF0000"/>
        <rFont val="Arial Narrow"/>
        <family val="2"/>
        <charset val="204"/>
      </rPr>
      <t xml:space="preserve"> </t>
    </r>
    <r>
      <rPr>
        <sz val="10"/>
        <color theme="1"/>
        <rFont val="Arial Narrow"/>
        <family val="2"/>
        <charset val="204"/>
      </rPr>
      <t xml:space="preserve">бумажный и электронный </t>
    </r>
    <r>
      <rPr>
        <sz val="10"/>
        <color rgb="FF000000"/>
        <rFont val="Arial Narrow"/>
        <family val="2"/>
        <charset val="204"/>
      </rPr>
      <t>документы.</t>
    </r>
  </si>
  <si>
    <t>Эксперт по Бурению (Отдел Экспертиз и Инжиниринга в Бурении)</t>
  </si>
  <si>
    <r>
      <t>01. ТЗ (Проект) -</t>
    </r>
    <r>
      <rPr>
        <sz val="10"/>
        <color rgb="FFFF0000"/>
        <rFont val="Arial Narrow"/>
        <family val="2"/>
        <charset val="204"/>
      </rPr>
      <t xml:space="preserve"> </t>
    </r>
    <r>
      <rPr>
        <sz val="10"/>
        <color theme="1"/>
        <rFont val="Arial Narrow"/>
        <family val="2"/>
        <charset val="204"/>
      </rPr>
      <t xml:space="preserve">электронный </t>
    </r>
    <r>
      <rPr>
        <sz val="10"/>
        <color rgb="FF000000"/>
        <rFont val="Arial Narrow"/>
        <family val="2"/>
        <charset val="204"/>
      </rPr>
      <t>документ.</t>
    </r>
  </si>
  <si>
    <r>
      <t xml:space="preserve">01. Проверка проекта ТЗ выполняется с позиции оценки обоснования </t>
    </r>
    <r>
      <rPr>
        <sz val="10"/>
        <color theme="1"/>
        <rFont val="Arial Narrow"/>
        <family val="2"/>
        <charset val="204"/>
      </rPr>
      <t>процесса бурения, применяемых технологий, графика бурения, инжинерных расчетов;</t>
    </r>
  </si>
  <si>
    <r>
      <t>01. ТЗ (С замечаниями) -</t>
    </r>
    <r>
      <rPr>
        <sz val="10"/>
        <color theme="1"/>
        <rFont val="Arial Narrow"/>
        <family val="2"/>
        <charset val="204"/>
      </rPr>
      <t xml:space="preserve"> электронный</t>
    </r>
    <r>
      <rPr>
        <sz val="10"/>
        <color rgb="FF000000"/>
        <rFont val="Arial Narrow"/>
        <family val="2"/>
        <charset val="204"/>
      </rPr>
      <t xml:space="preserve"> документ;</t>
    </r>
  </si>
  <si>
    <t>Заполняется вкладка 02.3 Дефектная ведомость. Все основное оборудование, входящее в состав БУ, ПВО, Коммуникации (серийные номера, состояние, инспекция, ремонт).</t>
  </si>
  <si>
    <t>Подключение к электроснабжению осуществляется по проекту</t>
  </si>
  <si>
    <t>Аварийный генератор (Мощностью, кВА), должен обеспечить электроснабжение:</t>
  </si>
  <si>
    <t>Градиенты давлений поровое</t>
  </si>
  <si>
    <t>Градиенты давлений гидроразрыва</t>
  </si>
  <si>
    <r>
      <t xml:space="preserve">Предлагается: </t>
    </r>
    <r>
      <rPr>
        <sz val="12"/>
        <rFont val="Arial Narrow"/>
        <family val="2"/>
        <charset val="204"/>
      </rPr>
      <t>Соблюдение нормативных сроков производства выполняемых работ, указанных в Техническом Задании, сут</t>
    </r>
  </si>
  <si>
    <t>Свидетельство СРО и приложения к нему о допуске к определенным видам работ предусмотренных по предмету Отбора.</t>
  </si>
  <si>
    <t>Наличие квалифицированного персонала соглано ТЗ., обучение по курсу IWCF</t>
  </si>
  <si>
    <t xml:space="preserve">Форма № 12 справка о наличии кадровых ресурсов с  гарантийным </t>
  </si>
  <si>
    <t>лет</t>
  </si>
  <si>
    <t>Справка за  подписью участника / уполномоченного представителя участника</t>
  </si>
  <si>
    <t>Сотрудник УС ДО - выполняет;</t>
  </si>
  <si>
    <t>Тип привода - Электрический/Дизельный (ДГУ)</t>
  </si>
  <si>
    <t>&lt;Выбрать из списка&gt;</t>
  </si>
  <si>
    <t>02. Подписанный проект ТЗ Сотрудник УИ ДО направляет Руководителю ЭГ для утверждения  посредством электронной почты с официального адреса УИ ДО.</t>
  </si>
  <si>
    <t>03. При полном соответствии проекта ТЗ требованиям – документ согласовывается Экспертом по Бурению и направляется в УИ ДО.</t>
  </si>
  <si>
    <t>Диаметр долота, мм</t>
  </si>
  <si>
    <t>Диаметр колонн, мм</t>
  </si>
  <si>
    <t>Способ заканчивания скважины</t>
  </si>
  <si>
    <t>Сроки строительства, сут</t>
  </si>
  <si>
    <t>Максимальный Момент при бурении, кНм</t>
  </si>
  <si>
    <t>Давление, Атм</t>
  </si>
  <si>
    <t>Макс Вес на Крюке для Обсадной колонны</t>
  </si>
  <si>
    <t>Макс Вес на Крюке для бурильной колонны</t>
  </si>
  <si>
    <t>Авиационные перевозки (вертолетом) персонала  ( заключение агентского договора на перевозку  с Заказчиком )</t>
  </si>
  <si>
    <t xml:space="preserve">При бурении на РУО Материалы для монтажа и обвязки оборудования вертикального осушителя шлама, центрифуги  </t>
  </si>
  <si>
    <t>Обеспечивание установки и обвязки ( хомуты, шланги, шибера, утеплительный материал) на БУ блока ФСУ.</t>
  </si>
  <si>
    <t>Во избежание простоя испытания/обустройства вновь пробуренной скважины, для освобождения устья  и приустьевой площадки, Подрядчик производит передвижку буровой установки на  следующую скважину/позицию при помощи монтажа укороченных направляющих балок (полтумбы) длиной 4 - 4,5м. Иметь в наличии 2 полтумбы на каждую буровую установку</t>
  </si>
  <si>
    <t>Для монтажа водозаборной линии: НКТ Ø-73мм не менее 1000 м.; греющий кабель и изоляционный материал достаточный для обогрева водяной линии; насосное оборудование для подачи воды (1 ед. + 1 ед. в резерв)</t>
  </si>
  <si>
    <t>Глубина по вертикали, м</t>
  </si>
  <si>
    <t>ch5</t>
  </si>
  <si>
    <t>Плотность  бурового раствора, г/см3</t>
  </si>
  <si>
    <t>ch6</t>
  </si>
  <si>
    <t>ch4</t>
  </si>
  <si>
    <t>Производ-ть, л/сек</t>
  </si>
  <si>
    <t>Подогрев подсвечников</t>
  </si>
  <si>
    <t>Мощность привода БУ</t>
  </si>
  <si>
    <t>Комплект необходимых переводников для аварийного оборудования</t>
  </si>
  <si>
    <t>Колокол  сквозной 114мм для диаметров 120,127мм</t>
  </si>
  <si>
    <t>Колокол сквозной 178мм для диаметров 172,178,165мм</t>
  </si>
  <si>
    <t>Метчик ловильный гладкий</t>
  </si>
  <si>
    <t>Труболовка  наружная</t>
  </si>
  <si>
    <t>Устройство для протаскивания геофизического кабелы (Лубрикатор)</t>
  </si>
  <si>
    <t>Состав и наименование персонала может быть изменено по предложению претендента, но не ниже численно-квалификационного состава Технического задания</t>
  </si>
  <si>
    <t>Грузоподъемные механизмы для перемещения грузов и проведения ремонта оборудования, во всех блоках и на мостках</t>
  </si>
  <si>
    <t xml:space="preserve">Готовность к выполнению работ означает, что:
• Подрядчик заключил Договор с Заказчиком;
• Подрядчик гарантирует, что все указанные в настоящем Техническом задании и Договоре требования к производству работ выполнены, в том числе, но не ограничиваясь;
• Подрядчик выполнил мероприятия по мобилизации бурового оборудования, бригадного хозяйства и персонала буровой бригады Объект;
• Буровая установка смонтирована на кустовой площадке и введена в эксплуатацию в  соответствии с требованиями действующего законодательства РФ;
• Подрядчик обеспечил завоз необходимых расходных материалов (в т.ч. ГСМ) на Объект, исходя из потребности не менее чем для 2-х скважины, а для объектов производства работ с полной или сезонной автономией - на весь период автономии для обеспечения  бесперебойного производства работ;
• Вахтовый поселок смонтирован на кустовой площадке, подключен к коммуникациям и системам жизнеобеспечения в соответствии с требованиями действующего законодательства РФ;
• Весь необходимый персонал Подрядчика находится на объекте работ;
• Совместно с представителем Заказчика проведен аудит буровой установки на предмет соответствия заявленным требованиям настоящего Технического задания.
</t>
  </si>
  <si>
    <t>&lt;Укажите дополнительные обьемы работ&gt;</t>
  </si>
  <si>
    <t>Вкладыши роликовые направляющие (для работы ведущей бурильной трубой)</t>
  </si>
  <si>
    <t>Гидравлические ключи с моментомером, для всех элементов и всех диаметров КНБК</t>
  </si>
  <si>
    <t>Комплект бурильной трубы  для технологических нужд (нормализация головы хвостовика и цементировочных пробок)</t>
  </si>
  <si>
    <t xml:space="preserve">Наличие автоматизированного расстановщика свечей </t>
  </si>
  <si>
    <t>Подрядчик до начала этапа мобилизации предоставляет дефектную ведомость на БУ (всего основного оборудования с указанием наработки, проведенных и планируемых ремонтов</t>
  </si>
  <si>
    <t>&lt;Дополнительный автотранспорт&gt;</t>
  </si>
  <si>
    <t>Отдельные офисные и жилые помещения для Заказчика (Подключение к электричеству и перемещение по кустовой площадке производит Исполнитель)</t>
  </si>
  <si>
    <t>Наличие комплекта  бурильного инструмента с левой резьбой с учетом доставки на скважину до 1 суток (или наличие договора аренды)</t>
  </si>
  <si>
    <r>
      <t>Наличие кабины бурильщика с киберкреслом и джойстиками управления (тормоз лебедки, ВСП, АКБ, ротор и т.д.)</t>
    </r>
    <r>
      <rPr>
        <sz val="8"/>
        <color indexed="9"/>
        <rFont val="Arial Narrow"/>
        <family val="2"/>
        <charset val="204"/>
      </rPr>
      <t xml:space="preserve"> </t>
    </r>
  </si>
  <si>
    <t>Подрядчик в связи с выполнением им работ по строительству скважин самостоятельно  взаимодействует с Ростехнадзором (ведение и предоставление всей документации, формирование дела скважины-2 экземпляра, вызов представителей, акта сдачи скважины по форие КС-11), а также иными органами государственной власти</t>
  </si>
  <si>
    <t>Количество</t>
  </si>
  <si>
    <t>Мощность, кВт/Тонн пара в час</t>
  </si>
  <si>
    <t>Требуется, Да/нет</t>
  </si>
  <si>
    <t>Требуется Да/Нет</t>
  </si>
  <si>
    <t>Указать тип, при необходимости</t>
  </si>
  <si>
    <t>Количество автотранспорта</t>
  </si>
  <si>
    <t>Количество часов работы в смену</t>
  </si>
  <si>
    <t>Нефтевоз</t>
  </si>
  <si>
    <t>Фактическим сроком окончания ВМР считается дата начала эксплуатационного бурения, зафиксированная сторонами "Балансом времени при строительстве скважины". За нарушение указанных в данном приложении сроков начала и окончания ВМР, предусмотрена ответственность в соответствии с п.8.5 типового договора.</t>
  </si>
  <si>
    <t xml:space="preserve">План на проведение аварийных работ. </t>
  </si>
  <si>
    <t>План на спуск и цементирование ОК</t>
  </si>
  <si>
    <t xml:space="preserve">Оформление пропусков для проезда к месту проведения работ. </t>
  </si>
  <si>
    <t>Техническое обслуживание кустовой площадки во время выполнения работ, с привлечением собственной техники</t>
  </si>
  <si>
    <t>Техническое обслуживание подъездных дорог во время выполнения работ, с привлечением собственной техники</t>
  </si>
  <si>
    <t>В процессе работ необходимо производить техническое обслуживание куста, досыпка грунта при сдаче позиций</t>
  </si>
  <si>
    <t xml:space="preserve">Транспортировка, погрузка, разгрузка, хранение, перемещение собственного оборудования и материалов на площадке производства работ (в т.ч. ПРР с/на вертолётных площадках в условиях автономии). </t>
  </si>
  <si>
    <r>
      <t>Дополнительный персонал Подрядчика по требованию Заказчика.</t>
    </r>
    <r>
      <rPr>
        <sz val="11"/>
        <color theme="5" tint="-0.499984740745262"/>
        <rFont val="Arial Narrow"/>
        <family val="2"/>
        <charset val="204"/>
      </rPr>
      <t xml:space="preserve"> </t>
    </r>
    <r>
      <rPr>
        <sz val="11"/>
        <color theme="1"/>
        <rFont val="Arial Narrow"/>
        <family val="2"/>
        <charset val="204"/>
      </rPr>
      <t>(за исключением аварийного мастера)</t>
    </r>
  </si>
  <si>
    <r>
      <t>Обеспечение питанием персонала Заказчика и подрядчиков Заказчика, участвующих в процессе строительства скважин.</t>
    </r>
    <r>
      <rPr>
        <sz val="11"/>
        <color theme="5" tint="-0.499984740745262"/>
        <rFont val="Arial Narrow"/>
        <family val="2"/>
        <charset val="204"/>
      </rPr>
      <t xml:space="preserve"> </t>
    </r>
  </si>
  <si>
    <t xml:space="preserve">Транспортирование/обезвреживание/утилизация/размещение отходов производства и потребления, собственником которых является Подрядчик (в том числе отходов Заказчика и подрядчиков Заказчика, участвующих в процессе строительства скважин), в соответствии с требованиями законодательства. </t>
  </si>
  <si>
    <t>Транспортирование/обезвреживание/утилизация/размещение отходов производства и потребления, собственником которых является Подрядчик (в том числе отходов Субподрядчиков, участвующих в процессе строительства скважин), в соответствии с требованиями законодательства</t>
  </si>
  <si>
    <t xml:space="preserve">Организация места накопления отходов производства и потребления Подрядчика (в том числе отходов Заказчика и подрядчиков Заказчика, участвующих в процессе строительства скважин), согласно требованиям действующего законодательства РФ. </t>
  </si>
  <si>
    <t>Обеспечение производства при строительстве скважин</t>
  </si>
  <si>
    <t>Сварочные работы (не менее 1 поста укомплектованный сварочным выпрямителем)</t>
  </si>
  <si>
    <t xml:space="preserve">Бойлеры для собственных отходов, жидкости после мытья емкостей и сточных вод. </t>
  </si>
  <si>
    <t xml:space="preserve">Отпуск нефти для котельной по отдельно заключенному договору с Заказчиком (возмещение через суточную ставку или по факту, но не более норматива). </t>
  </si>
  <si>
    <t>Обеспечение материалами</t>
  </si>
  <si>
    <t>Подготовка ствола скважины к спуску обсадной колонны</t>
  </si>
  <si>
    <t xml:space="preserve">Услуги по приготовлению и сопровождению буровых растворов. </t>
  </si>
  <si>
    <t>Инженерное сопровождение спуска обсадных колонн и хвостовиков из давальческих материалов</t>
  </si>
  <si>
    <t>Монтаж резервуаров под парк ГСМ</t>
  </si>
  <si>
    <t>1.ОБЩАЯ ИНФОРМАЦИЯ</t>
  </si>
  <si>
    <t>1.1 Заказчик</t>
  </si>
  <si>
    <t>1.2 Месторождение</t>
  </si>
  <si>
    <t>1.3 Автономность</t>
  </si>
  <si>
    <t>1.4 Транспортное сообщение</t>
  </si>
  <si>
    <t>1.5 Климат</t>
  </si>
  <si>
    <t xml:space="preserve">1.6 Инфраструктура </t>
  </si>
  <si>
    <t>1.7 Категория сложности скважин</t>
  </si>
  <si>
    <t>1.8 Описание (базисного) продуктивного пласта</t>
  </si>
  <si>
    <t>1.9 Организационный объем</t>
  </si>
  <si>
    <t>2. Ответственные составители, утверждающие</t>
  </si>
  <si>
    <t>3. ДЕТАЛЬНАЯ ИНФОРМАЦИЯ</t>
  </si>
  <si>
    <t>3.2 Геолого-техническая информация/01.05.04.03.03Обоснование геологических целей для бурения и других ГТМ</t>
  </si>
  <si>
    <t>3.3 Возможные осложнения по разрезу</t>
  </si>
  <si>
    <t>3.3.1 Поглощения бурового раствора</t>
  </si>
  <si>
    <t>3.3.2.Осыпи и обвалы</t>
  </si>
  <si>
    <t>3.3.3 Нефтегазоводопроявления</t>
  </si>
  <si>
    <t>3.3.5 Прихватоопасные зоны</t>
  </si>
  <si>
    <t>4. Требования к БУ и оборудованию</t>
  </si>
  <si>
    <t>4.1 Требования к системе очистки</t>
  </si>
  <si>
    <r>
      <t xml:space="preserve">4.2  Аварийная корзина.  </t>
    </r>
    <r>
      <rPr>
        <sz val="11"/>
        <color indexed="9"/>
        <rFont val="Arial Narrow"/>
        <family val="2"/>
        <charset val="204"/>
      </rPr>
      <t>Один комплект аварийной корзины может предоставляться на группу буровых одного подрядчика (до 4 БУ) , при условии доставки по требованию в пределах 2-3часов до обьекта (скважины)</t>
    </r>
  </si>
  <si>
    <t>4.3 ВЛБ</t>
  </si>
  <si>
    <t>4.4 Требования к буровым насосам</t>
  </si>
  <si>
    <t>4.5 Требования к емкостному блоку</t>
  </si>
  <si>
    <t>4.6 Требования к ПВО</t>
  </si>
  <si>
    <t>4.7 Требования к бурильному инструменту</t>
  </si>
  <si>
    <t>4.8 Требования к КИП и ПО.</t>
  </si>
  <si>
    <t>5. Общие требования к выполнению работ:</t>
  </si>
  <si>
    <t>5.1 Требования к автотранспорту</t>
  </si>
  <si>
    <t>5.2 Требования к вахтовому поселку</t>
  </si>
  <si>
    <t xml:space="preserve">5.3 Электроснабжение </t>
  </si>
  <si>
    <t>5.4 Теплоснабжение</t>
  </si>
  <si>
    <t>Наличие фильтров на всасывающей/выкидной линиях буровых насосов</t>
  </si>
  <si>
    <t>&lt;Дополнительное оборудование/требование&gt;</t>
  </si>
  <si>
    <t>Прочие харктеристики</t>
  </si>
  <si>
    <t>&lt;Дополнительные оборудование/требование&gt;</t>
  </si>
  <si>
    <t xml:space="preserve">Оборудование буровой установки автоматической системой пожаротушения  (АСП), должна включать устройство обнаружения пожара и пуска (предназначенное для реагирования на контролируемый параметр и формирование сигнала на пуск огнетушащего вещества) и устройство пожаротушения </t>
  </si>
  <si>
    <t>Соответствие техническим требованиям к системе постоянного «долива» скважины и системе контроля и фиксации информации при СПО ПАО "ГПН" (приложение настоящего ТЗ)</t>
  </si>
  <si>
    <t>Конденсатный бак, для введения конденсата в водопаровой цикл котельной для  снижения количества используемой воды.</t>
  </si>
  <si>
    <t>&lt;Согласно типа БУ, либо указать требуемый&gt;</t>
  </si>
  <si>
    <t>Глубина кровли продуктивного пласта по вертикали</t>
  </si>
  <si>
    <t>Х</t>
  </si>
  <si>
    <t>3.1. Организационный обьем Нормативные сроки производства выполняемых работ, сут</t>
  </si>
  <si>
    <t xml:space="preserve">1.10 Смежные проекты </t>
  </si>
  <si>
    <t>Приготовление и обработка бурового раствора процессе бурения скважин под руководством подрядчика по буровым растворам</t>
  </si>
  <si>
    <t xml:space="preserve">Обеспечение поэтапной приемки (площадка под бригадное хозяйство, площадка под монтаж буровой установки, полная сдача) буровой площадки утвержденную Заказчиком </t>
  </si>
  <si>
    <t xml:space="preserve">Обеспечение 
соответствующего персонала на объекте с доверенностью для приемки и входного контроля МТР
</t>
  </si>
  <si>
    <r>
      <t xml:space="preserve">3.4 Конструкции скважин и расчетные характеристики скважин. </t>
    </r>
    <r>
      <rPr>
        <sz val="11"/>
        <color indexed="9"/>
        <rFont val="Arial Narrow"/>
        <family val="2"/>
        <charset val="204"/>
      </rPr>
      <t>Общая</t>
    </r>
    <r>
      <rPr>
        <b/>
        <sz val="11"/>
        <color indexed="9"/>
        <rFont val="Arial Narrow"/>
        <family val="2"/>
        <charset val="204"/>
      </rPr>
      <t xml:space="preserve"> </t>
    </r>
    <r>
      <rPr>
        <sz val="11"/>
        <color indexed="9"/>
        <rFont val="Arial Narrow"/>
        <family val="2"/>
        <charset val="204"/>
      </rPr>
      <t>информация по типам скважин, срокам указана в графике "Обьемы и сроки работ"</t>
    </r>
  </si>
  <si>
    <t>Примечания (Режим работы, Обученность)</t>
  </si>
  <si>
    <t>3.5 Требования к персоналу подрядчика в соответствии с ТЗ для Бурения.</t>
  </si>
  <si>
    <t>Оператор котельной установки</t>
  </si>
  <si>
    <t>3.6 Требования к персоналу подрядчика в соответствии с ТЗ на период ВМР/ПНР.</t>
  </si>
  <si>
    <t>&lt;Указывается тн&gt;</t>
  </si>
  <si>
    <t>Ведущая бурильная (в случае выхода из строя Верхнего привода)</t>
  </si>
  <si>
    <t>Ротор (наличие моментомера на роторе ВСП с возможностью установки ограничения момента), регулирумый привод ротора</t>
  </si>
  <si>
    <t>Для выполнения работ Подрядчик привлекает обученный квалифицированный персонал в соответствии с действующими нормативами по обеспечению буровой установки</t>
  </si>
  <si>
    <t xml:space="preserve">Подрядчик гарантирует выполнение требований в рамках реализации проекта «Технический предел» </t>
  </si>
  <si>
    <t>Комплект Штроп, с учетом работы 2мя цементировочными головами</t>
  </si>
  <si>
    <t>Дополнительное оборудование (трубы)</t>
  </si>
  <si>
    <t>Обеспечить запасной грязевый шланг в подвешенном состоянии в защитной оплетке</t>
  </si>
  <si>
    <r>
      <t>Мощность</t>
    </r>
    <r>
      <rPr>
        <sz val="10"/>
        <color theme="5" tint="-0.249977111117893"/>
        <rFont val="Arial Narrow"/>
        <family val="2"/>
        <charset val="204"/>
      </rPr>
      <t xml:space="preserve"> </t>
    </r>
    <r>
      <rPr>
        <sz val="10"/>
        <color indexed="9"/>
        <rFont val="Arial Narrow"/>
        <family val="2"/>
        <charset val="204"/>
      </rPr>
      <t xml:space="preserve"> бурового насоса кВТ</t>
    </r>
  </si>
  <si>
    <t>Количество дополнительных емкостей, оборудованных насосами, обогревом и нагнетательной линией</t>
  </si>
  <si>
    <t>Обеспечение утилизации отходов  твердых коммунальных (ТКО), промасленной ветоши, замазученного песка в специализированных установках (вывоз и утилизация золы)</t>
  </si>
  <si>
    <t>Емкости ГСМ оборудованы предохранительными устройствами, приборами контроля расхода, схема монтажа и обвязки, освещения соответствует правилам пожарной безопасности РФ</t>
  </si>
  <si>
    <t>Котельная установка</t>
  </si>
  <si>
    <t>Наличие противополетной воронки для спуска лифта НКТ</t>
  </si>
  <si>
    <t>Подгоночные патрубки для ОК 178,168,114мм (1,2,3м)</t>
  </si>
  <si>
    <t>Устьевой пакер для опрессовки ПВО для Обсадных колонн</t>
  </si>
  <si>
    <t>Электрическая система контроля работы буровых насосов, типа Bentec</t>
  </si>
  <si>
    <t>Обвязка нефтянной емкости и наличие не менее 20м3 нефти, для установки нефтянных ванн при помощи буровых насосов.</t>
  </si>
  <si>
    <t>Тип буровых насосов Триплекс обеспечивающие режим подачи промывочной жидкости от 2 до 74 л/сек</t>
  </si>
  <si>
    <t>Наличие установки утилизации ТБО, соответствующую экологическим требованиям федеральных норм, проектам ПЛО, ПНР.</t>
  </si>
  <si>
    <t>Колокол резьбовой КР</t>
  </si>
  <si>
    <t xml:space="preserve">Колокол ловильный резьбовой </t>
  </si>
  <si>
    <t xml:space="preserve">Фрез торцовый </t>
  </si>
  <si>
    <t>Режим подачи промывочной жидкости</t>
  </si>
  <si>
    <t>&lt;Автодороги (Ближайщий населенный пункт, База, растояние до ближайшего населенного пункта (Базы), расстояние от базы до месторождения). Описание и время действия зимних автодорог. Описание аиалиний, аэропортов и наличия, видом авитранспорта.  Укажите не менее 50, но не более 500слов&gt;</t>
  </si>
  <si>
    <t>1-й помощник бурильщика</t>
  </si>
  <si>
    <t>2-й помощник бурильщика</t>
  </si>
  <si>
    <t>3-й помощник бурильщика</t>
  </si>
  <si>
    <t>4-й помощник бурильщика</t>
  </si>
  <si>
    <t>5-й помощник бурильщика</t>
  </si>
  <si>
    <t>Бурильщик</t>
  </si>
  <si>
    <t>Буровой мастер</t>
  </si>
  <si>
    <t>Геолог</t>
  </si>
  <si>
    <t>Звено вышкомонтажников</t>
  </si>
  <si>
    <t>Инженер КИП и А</t>
  </si>
  <si>
    <t xml:space="preserve">Инженер по буровым растворам </t>
  </si>
  <si>
    <t>Инженер по долотному сервису</t>
  </si>
  <si>
    <t xml:space="preserve">Инженер по ННБ </t>
  </si>
  <si>
    <t>Инженер по ННБ старший</t>
  </si>
  <si>
    <t xml:space="preserve">Инженер по ОТ, ТБ и ООС </t>
  </si>
  <si>
    <t xml:space="preserve">Инженер по телеметрии </t>
  </si>
  <si>
    <t>Инженер по телеметрии старший</t>
  </si>
  <si>
    <t xml:space="preserve">Инженер по цементированию </t>
  </si>
  <si>
    <t>Инженер станции ГТИ</t>
  </si>
  <si>
    <t xml:space="preserve">Кухонный рабочий </t>
  </si>
  <si>
    <t>Машинист БУ</t>
  </si>
  <si>
    <t>Медик</t>
  </si>
  <si>
    <t>Механик ПВО</t>
  </si>
  <si>
    <t>Механик по БО</t>
  </si>
  <si>
    <t>Механик по верхнему приводу</t>
  </si>
  <si>
    <t>Повар</t>
  </si>
  <si>
    <t>Помощник бурового мастера/технолог</t>
  </si>
  <si>
    <t>Разнорабочий</t>
  </si>
  <si>
    <t>Региональный представитель</t>
  </si>
  <si>
    <t>Слесарь</t>
  </si>
  <si>
    <t>Слесарь котельной установки</t>
  </si>
  <si>
    <t>Специалист по IT, электронике и связи</t>
  </si>
  <si>
    <t>Стропальщик</t>
  </si>
  <si>
    <t>Уборщица/прачка</t>
  </si>
  <si>
    <t>Электро-газосварщик</t>
  </si>
  <si>
    <t xml:space="preserve">Электро-газосварщик (с НАКС)
</t>
  </si>
  <si>
    <t>Электромонтер</t>
  </si>
  <si>
    <t>Энергетик</t>
  </si>
  <si>
    <t xml:space="preserve">Метчик МБУ </t>
  </si>
  <si>
    <t>127х164</t>
  </si>
  <si>
    <t>100х142</t>
  </si>
  <si>
    <t>74х120</t>
  </si>
  <si>
    <t>58х94</t>
  </si>
  <si>
    <t>32х73</t>
  </si>
  <si>
    <t>46х60</t>
  </si>
  <si>
    <t>62х76</t>
  </si>
  <si>
    <t>76х90</t>
  </si>
  <si>
    <t>Метчик МБУ (Л)</t>
  </si>
  <si>
    <t>Метчик МСЗ</t>
  </si>
  <si>
    <t xml:space="preserve">Метчик ловильный резьбовой </t>
  </si>
  <si>
    <t>245х237</t>
  </si>
  <si>
    <t xml:space="preserve">210х185 </t>
  </si>
  <si>
    <t>205х199</t>
  </si>
  <si>
    <t>195х168</t>
  </si>
  <si>
    <t>178х168</t>
  </si>
  <si>
    <t>174х143</t>
  </si>
  <si>
    <t>150х128</t>
  </si>
  <si>
    <t>135х113</t>
  </si>
  <si>
    <t>125х103</t>
  </si>
  <si>
    <t>110х91</t>
  </si>
  <si>
    <t>100х78</t>
  </si>
  <si>
    <t>85х64</t>
  </si>
  <si>
    <t>Колокол резьбовой КР (Л)</t>
  </si>
  <si>
    <t>Колокол гладкий КГ</t>
  </si>
  <si>
    <t xml:space="preserve">Колокол гладкий проходной  для захватываемых диаметров </t>
  </si>
  <si>
    <t xml:space="preserve">Фрезер торцовый ипрегнированый ФТИ </t>
  </si>
  <si>
    <t>Фрез колонный конусный ФКК</t>
  </si>
  <si>
    <t>Фрез ловитель магнитный ФЛМ</t>
  </si>
  <si>
    <t>Шламометаллоуловитель ШМУ</t>
  </si>
  <si>
    <t>Овершот освобождающийся ОВТ</t>
  </si>
  <si>
    <t>Внутренняя освобождающаяся труболовка ТВМ</t>
  </si>
  <si>
    <t xml:space="preserve">Внутренняя освобождающаяся труболовка ТВМ (Л) </t>
  </si>
  <si>
    <t>Пакер для испытания обсадных колонн ПГС</t>
  </si>
  <si>
    <t>Печать свинцовая торцевая ПСТ</t>
  </si>
  <si>
    <t>да / нет</t>
  </si>
  <si>
    <t>162х178</t>
  </si>
  <si>
    <t>118х127</t>
  </si>
  <si>
    <t>89х102</t>
  </si>
  <si>
    <t xml:space="preserve">Инженер по вырезке «окна» </t>
  </si>
  <si>
    <t>Комплект бурильной трубы СБТ (ТБПК)-139,7мм</t>
  </si>
  <si>
    <t>Комплект бурильной трубы СБТ (ТБПК)-127 мм</t>
  </si>
  <si>
    <t>Комплект бурильной трубы СБТ (ТБПК)-114.3 мм</t>
  </si>
  <si>
    <t>Комплект бурильной трубы СБТ (ТБПК)-101.6 мм</t>
  </si>
  <si>
    <t>Комплект бурильной трубы СБТ (ТБПК)-88.9 мм</t>
  </si>
  <si>
    <t>Комплект бурильной трубы СБТ (ТБПК)-73 мм</t>
  </si>
  <si>
    <t>Комплект бурильной трубы СБТ (ТБПК)-60.3 мм</t>
  </si>
  <si>
    <t>Комплект бурильной трубы  ЛБТ-147 мм</t>
  </si>
  <si>
    <t>Комплект толстостенной бурильной трубы  ТБТ-127 мм</t>
  </si>
  <si>
    <t>Комплект толстостенной бурильной трубы  ТБТ-89 мм</t>
  </si>
  <si>
    <t>Комплекты утяжеленных бурильных труб УБТ(С)-203 мм</t>
  </si>
  <si>
    <t>Комплекты утяжеленных бурильных труб УБТ(С)-178 мм</t>
  </si>
  <si>
    <t>Комплекты утяжеленных бурильных труб УБТ(С)-120 мм</t>
  </si>
  <si>
    <t>Комплекты утяжеленных бурильных труб УБТ(С)-105 мм</t>
  </si>
  <si>
    <t xml:space="preserve">НКТ 73мм </t>
  </si>
  <si>
    <t>Емкость подсвечника(ов)</t>
  </si>
  <si>
    <t xml:space="preserve">Техническая   колонна, тн </t>
  </si>
  <si>
    <t>Экспл. колонна, тн</t>
  </si>
  <si>
    <t>ГС, тн</t>
  </si>
  <si>
    <t xml:space="preserve">Наименования бурильного инструмента, м  </t>
  </si>
  <si>
    <t xml:space="preserve">Наименования бурильного инструмента , м </t>
  </si>
  <si>
    <t>&lt;Указывается м&gt;</t>
  </si>
  <si>
    <t>&lt;Указывается значение&gt;</t>
  </si>
  <si>
    <t>&lt;Указываются условия&gt;</t>
  </si>
  <si>
    <t>IV уровень</t>
  </si>
  <si>
    <t>&lt;Указывается способ&gt;</t>
  </si>
  <si>
    <t>&lt;Указывается проект &gt;</t>
  </si>
  <si>
    <t>&lt;Указывается дополнительная информация&gt;</t>
  </si>
  <si>
    <t>&lt;Указывается примечания&gt;</t>
  </si>
  <si>
    <t>&lt;Указывается Тип ПВО&gt;</t>
  </si>
  <si>
    <t>&lt;Указывается прочие харктеристики&gt;</t>
  </si>
  <si>
    <t>отсутсвует</t>
  </si>
  <si>
    <t>Температура воздуха: - среднегодовая, ºС  -6,5  наибольшая летняя, ºС  +32  наименьшая зимняя, ºС  -55</t>
  </si>
  <si>
    <t>Ягупов А.Ю.</t>
  </si>
  <si>
    <t>Шарнин В.В.</t>
  </si>
  <si>
    <t>БС8/1</t>
  </si>
  <si>
    <t>Четвертичные отложения</t>
  </si>
  <si>
    <t>0-80</t>
  </si>
  <si>
    <t>Туронский ярус</t>
  </si>
  <si>
    <t>8-130</t>
  </si>
  <si>
    <t xml:space="preserve">Пески кварцевые р/з, супеси, суглинки, глины
Переслаивание песков, глин, алевролитов
Неравномерное переслаивание песка и глин. Пески серые с/серые с включениями растительных остатков, глины к/серые песчанистые
Пески серые м/з и с/з кварцевые, глины серые, з/серые алевритистые с прослоями песка и бурых углей
глины з/серые с линзами и включениями алевритового материала
Глины известковистые, опоковидные, опоки с прослоями кварцево-глауконитового песчаника
глины серые и т/серые алевритистые с прослоями алевролитов и песчаника
Глины серые известковистые с прослоями алевролитов
Глины серые, зеленоватые опоковидные, опоки серые
Глины з/серые, т/серые почти черные
Пески с/серые, т/серые, глины серые, з/серые чередующиеся со с/серыми песчаниками м/з и с/з
Аргиллиты т/серые с прослоями светлых алевролитов, песчаников, серых глин
Песчаники б/серые м/з, аргиллиты зеленые, з/серые, алевролиты з/серые и серые м/з
Переслаивание аргиллитов серых и т/серых с прослоями известковистых алевролитов, песчаники – серые мелко и среднезернистые.
</t>
  </si>
  <si>
    <t>геологическое осложнение, не соблюдение программных параметров</t>
  </si>
  <si>
    <t>Подрябчик по спецтехнике</t>
  </si>
  <si>
    <t>Отсутствие подрядчика приведет к увеличению операционных расходов</t>
  </si>
  <si>
    <t>Западно-Ноябрьское</t>
  </si>
  <si>
    <t>Вышкомонтажник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</si>
</sst>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-* #,##0.00_р_._-;\-* #,##0.00_р_._-;_-* &quot;-&quot;??_р_._-;_-@_-"/>
  </numFmts>
  <fonts count="9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1"/>
      <name val="Arial Narrow"/>
      <family val="2"/>
      <charset val="204"/>
    </font>
    <font>
      <sz val="8"/>
      <name val="Arial Narrow"/>
      <family val="2"/>
      <charset val="204"/>
    </font>
    <font>
      <sz val="16"/>
      <color indexed="9"/>
      <name val="Arial Narrow"/>
      <family val="2"/>
      <charset val="204"/>
    </font>
    <font>
      <b/>
      <sz val="14"/>
      <color indexed="9"/>
      <name val="Arial Narrow"/>
      <family val="2"/>
      <charset val="204"/>
    </font>
    <font>
      <b/>
      <sz val="10"/>
      <color indexed="9"/>
      <name val="Arial Narrow"/>
      <family val="2"/>
      <charset val="204"/>
    </font>
    <font>
      <sz val="10"/>
      <color theme="0" tint="-0.499984740745262"/>
      <name val="Arial Narrow"/>
      <family val="2"/>
      <charset val="204"/>
    </font>
    <font>
      <u/>
      <sz val="13"/>
      <color indexed="12"/>
      <name val="Arial Cyr"/>
      <charset val="204"/>
    </font>
    <font>
      <b/>
      <sz val="8"/>
      <name val="Arial Narrow"/>
      <family val="2"/>
      <charset val="204"/>
    </font>
    <font>
      <b/>
      <sz val="10"/>
      <color theme="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indexed="12"/>
      <name val="Arial Narrow"/>
      <family val="2"/>
      <charset val="204"/>
    </font>
    <font>
      <sz val="10"/>
      <color theme="0" tint="-0.34998626667073579"/>
      <name val="Arial Narrow"/>
      <family val="2"/>
      <charset val="204"/>
    </font>
    <font>
      <b/>
      <sz val="11"/>
      <color indexed="9"/>
      <name val="Arial Narrow"/>
      <family val="2"/>
      <charset val="204"/>
    </font>
    <font>
      <sz val="10"/>
      <color indexed="9"/>
      <name val="Arial Narrow"/>
      <family val="2"/>
      <charset val="204"/>
    </font>
    <font>
      <b/>
      <sz val="12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9"/>
      <name val="Arial Narrow"/>
      <family val="2"/>
      <charset val="204"/>
    </font>
    <font>
      <b/>
      <sz val="16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sz val="10"/>
      <color theme="5" tint="-0.249977111117893"/>
      <name val="Arial Narrow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</font>
    <font>
      <sz val="10"/>
      <name val="Arial Cyr"/>
      <family val="2"/>
      <charset val="204"/>
    </font>
    <font>
      <sz val="11"/>
      <name val="Arial Cyr"/>
      <family val="2"/>
      <charset val="204"/>
    </font>
    <font>
      <sz val="11"/>
      <color rgb="FF0833BC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Arial Cyr"/>
      <charset val="204"/>
    </font>
    <font>
      <sz val="12"/>
      <name val="Arial"/>
      <family val="2"/>
    </font>
    <font>
      <sz val="11"/>
      <color theme="0"/>
      <name val="Arial"/>
      <family val="2"/>
      <charset val="204"/>
    </font>
    <font>
      <sz val="10"/>
      <color theme="0"/>
      <name val="Arial"/>
      <family val="2"/>
      <charset val="204"/>
    </font>
    <font>
      <b/>
      <sz val="14"/>
      <color theme="0"/>
      <name val="Arial Narrow"/>
      <family val="2"/>
      <charset val="204"/>
    </font>
    <font>
      <b/>
      <sz val="12"/>
      <color theme="0"/>
      <name val="Arial Narrow"/>
      <family val="2"/>
      <charset val="204"/>
    </font>
    <font>
      <b/>
      <sz val="14"/>
      <name val="Arial Narrow"/>
      <family val="2"/>
      <charset val="204"/>
    </font>
    <font>
      <i/>
      <sz val="12"/>
      <name val="Arial Narrow"/>
      <family val="2"/>
      <charset val="204"/>
    </font>
    <font>
      <sz val="12"/>
      <color rgb="FFFF0000"/>
      <name val="Arial Narrow"/>
      <family val="2"/>
      <charset val="204"/>
    </font>
    <font>
      <i/>
      <sz val="12"/>
      <color theme="1"/>
      <name val="Arial Narrow"/>
      <family val="2"/>
      <charset val="204"/>
    </font>
    <font>
      <sz val="11"/>
      <name val="Arial Narrow"/>
      <family val="2"/>
      <charset val="204"/>
    </font>
    <font>
      <i/>
      <sz val="12"/>
      <color theme="0" tint="-0.49998474074526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rgb="FFFF0000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0"/>
      <color theme="0"/>
      <name val="Arial Narrow"/>
      <family val="2"/>
      <charset val="204"/>
    </font>
    <font>
      <b/>
      <sz val="20"/>
      <color theme="0"/>
      <name val="Arial Narrow"/>
      <family val="2"/>
      <charset val="204"/>
    </font>
    <font>
      <sz val="8"/>
      <color theme="0"/>
      <name val="Arial Narrow"/>
      <family val="2"/>
      <charset val="204"/>
    </font>
    <font>
      <b/>
      <sz val="11"/>
      <color indexed="8"/>
      <name val="Arial Narrow"/>
      <family val="2"/>
      <charset val="204"/>
    </font>
    <font>
      <b/>
      <sz val="11"/>
      <color rgb="FFFF0000"/>
      <name val="Arial Narrow"/>
      <family val="2"/>
      <charset val="204"/>
    </font>
    <font>
      <b/>
      <sz val="16"/>
      <color theme="0"/>
      <name val="Arial Narrow"/>
      <family val="2"/>
      <charset val="204"/>
    </font>
    <font>
      <sz val="18"/>
      <color indexed="9"/>
      <name val="Arial Narrow"/>
      <family val="2"/>
      <charset val="204"/>
    </font>
    <font>
      <sz val="20"/>
      <color theme="0"/>
      <name val="Arial Narrow"/>
      <family val="2"/>
      <charset val="204"/>
    </font>
    <font>
      <sz val="16"/>
      <color theme="0"/>
      <name val="Arial Narrow"/>
      <family val="2"/>
      <charset val="204"/>
    </font>
    <font>
      <b/>
      <sz val="10"/>
      <color theme="1"/>
      <name val="Arial"/>
      <family val="2"/>
      <charset val="204"/>
    </font>
    <font>
      <b/>
      <sz val="9"/>
      <color theme="1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18"/>
      <color theme="0"/>
      <name val="Arial Narrow"/>
      <family val="2"/>
      <charset val="204"/>
    </font>
    <font>
      <sz val="10"/>
      <color rgb="FF000000"/>
      <name val="Arial Narrow"/>
      <family val="2"/>
      <charset val="204"/>
    </font>
    <font>
      <sz val="20"/>
      <color indexed="9"/>
      <name val="Arial Narrow"/>
      <family val="2"/>
      <charset val="204"/>
    </font>
    <font>
      <sz val="12"/>
      <color theme="0"/>
      <name val="Arial Narrow"/>
      <family val="2"/>
      <charset val="204"/>
    </font>
    <font>
      <sz val="26"/>
      <color indexed="9"/>
      <name val="Arial Narrow"/>
      <family val="2"/>
      <charset val="204"/>
    </font>
    <font>
      <sz val="22"/>
      <color theme="0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sz val="11"/>
      <color theme="2" tint="-0.249977111117893"/>
      <name val="Calibri"/>
      <family val="2"/>
      <scheme val="minor"/>
    </font>
    <font>
      <b/>
      <sz val="11"/>
      <color rgb="FF000000"/>
      <name val="Arial Narrow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9"/>
      <name val="Arial Narrow"/>
      <family val="2"/>
      <charset val="204"/>
    </font>
    <font>
      <sz val="8"/>
      <color rgb="FF000000"/>
      <name val="Segoe UI"/>
      <family val="2"/>
      <charset val="204"/>
    </font>
    <font>
      <i/>
      <sz val="10"/>
      <color theme="0" tint="-0.499984740745262"/>
      <name val="Arial Narrow"/>
      <family val="2"/>
      <charset val="204"/>
    </font>
    <font>
      <sz val="11"/>
      <color rgb="FF000000"/>
      <name val="Arial Narrow"/>
      <family val="2"/>
      <charset val="204"/>
    </font>
    <font>
      <i/>
      <sz val="10"/>
      <name val="Arial Narrow"/>
      <family val="2"/>
      <charset val="204"/>
    </font>
    <font>
      <i/>
      <sz val="9"/>
      <name val="Arial Narrow"/>
      <family val="2"/>
      <charset val="204"/>
    </font>
    <font>
      <i/>
      <sz val="11"/>
      <color rgb="FFFF0000"/>
      <name val="Arial Narrow"/>
      <family val="2"/>
      <charset val="204"/>
    </font>
    <font>
      <sz val="14"/>
      <color indexed="9"/>
      <name val="Arial Narrow"/>
      <family val="2"/>
      <charset val="204"/>
    </font>
    <font>
      <sz val="11"/>
      <color rgb="FFA2A2A2"/>
      <name val="Arial"/>
      <family val="2"/>
    </font>
    <font>
      <sz val="11"/>
      <color rgb="FFA2A2A2"/>
      <name val="Arial"/>
      <family val="2"/>
      <charset val="204"/>
    </font>
    <font>
      <sz val="11"/>
      <color rgb="FFA2A2A2"/>
      <name val="Arial Cyr"/>
      <family val="2"/>
      <charset val="204"/>
    </font>
    <font>
      <sz val="10"/>
      <color rgb="FFA2A2A2"/>
      <name val="Arial"/>
      <family val="2"/>
      <charset val="204"/>
    </font>
    <font>
      <sz val="11"/>
      <color indexed="9"/>
      <name val="Arial Narrow"/>
      <family val="2"/>
      <charset val="204"/>
    </font>
    <font>
      <i/>
      <sz val="12"/>
      <color indexed="9"/>
      <name val="Arial Narrow"/>
      <family val="2"/>
      <charset val="204"/>
    </font>
    <font>
      <sz val="16"/>
      <color theme="1"/>
      <name val="Calibri"/>
      <family val="2"/>
      <scheme val="minor"/>
    </font>
    <font>
      <i/>
      <sz val="11"/>
      <color theme="1"/>
      <name val="Arial Narrow"/>
      <family val="2"/>
      <charset val="204"/>
    </font>
    <font>
      <sz val="11"/>
      <color theme="5" tint="-0.499984740745262"/>
      <name val="Arial Narrow"/>
      <family val="2"/>
      <charset val="204"/>
    </font>
    <font>
      <b/>
      <sz val="12"/>
      <color indexed="9"/>
      <name val="Arial Narrow"/>
      <family val="2"/>
      <charset val="204"/>
    </font>
    <font>
      <sz val="10"/>
      <color theme="2" tint="-0.249977111117893"/>
      <name val="Arial Narrow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1" tint="0.34998626667073579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thin">
        <color theme="0" tint="-0.249977111117893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14993743705557422"/>
      </left>
      <right/>
      <top style="thin">
        <color theme="1" tint="0.249977111117893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1" tint="0.249977111117893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theme="0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medium">
        <color theme="0"/>
      </left>
      <right/>
      <top style="thin">
        <color theme="0" tint="-0.14996795556505021"/>
      </top>
      <bottom/>
      <diagonal/>
    </border>
    <border>
      <left/>
      <right/>
      <top/>
      <bottom style="medium">
        <color theme="0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indexed="64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auto="1"/>
      </left>
      <right/>
      <top style="medium">
        <color theme="0"/>
      </top>
      <bottom/>
      <diagonal/>
    </border>
  </borders>
  <cellStyleXfs count="14">
    <xf numFmtId="0" fontId="0" fillId="0" borderId="0"/>
    <xf numFmtId="0" fontId="4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8" fillId="0" borderId="0"/>
    <xf numFmtId="0" fontId="2" fillId="0" borderId="0"/>
    <xf numFmtId="0" fontId="4" fillId="0" borderId="0"/>
    <xf numFmtId="0" fontId="31" fillId="0" borderId="0"/>
    <xf numFmtId="0" fontId="31" fillId="0" borderId="0"/>
    <xf numFmtId="0" fontId="4" fillId="0" borderId="0"/>
    <xf numFmtId="0" fontId="1" fillId="0" borderId="0"/>
    <xf numFmtId="165" fontId="4" fillId="0" borderId="0" applyFont="0" applyFill="0" applyBorder="0" applyAlignment="0" applyProtection="0"/>
    <xf numFmtId="0" fontId="31" fillId="0" borderId="0"/>
    <xf numFmtId="0" fontId="1" fillId="0" borderId="0"/>
  </cellStyleXfs>
  <cellXfs count="610">
    <xf numFmtId="0" fontId="0" fillId="0" borderId="0" xfId="0"/>
    <xf numFmtId="0" fontId="5" fillId="3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11" fillId="6" borderId="13" xfId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6" borderId="13" xfId="1" applyFont="1" applyFill="1" applyBorder="1" applyAlignment="1">
      <alignment horizontal="center" vertical="center" wrapText="1"/>
    </xf>
    <xf numFmtId="14" fontId="17" fillId="0" borderId="13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 wrapText="1"/>
    </xf>
    <xf numFmtId="0" fontId="28" fillId="0" borderId="0" xfId="6" applyFont="1" applyFill="1"/>
    <xf numFmtId="0" fontId="30" fillId="0" borderId="0" xfId="6" applyFont="1" applyFill="1"/>
    <xf numFmtId="0" fontId="29" fillId="0" borderId="0" xfId="6" applyFont="1" applyFill="1" applyBorder="1" applyAlignment="1">
      <alignment horizontal="center" vertical="center"/>
    </xf>
    <xf numFmtId="0" fontId="32" fillId="0" borderId="0" xfId="6" applyFont="1" applyFill="1" applyAlignment="1">
      <alignment horizontal="center" vertical="center"/>
    </xf>
    <xf numFmtId="0" fontId="33" fillId="0" borderId="0" xfId="6" applyFont="1" applyFill="1" applyAlignment="1">
      <alignment vertical="center" wrapText="1"/>
    </xf>
    <xf numFmtId="0" fontId="29" fillId="0" borderId="0" xfId="6" applyFont="1" applyFill="1"/>
    <xf numFmtId="0" fontId="34" fillId="0" borderId="0" xfId="6" applyFont="1" applyFill="1"/>
    <xf numFmtId="0" fontId="35" fillId="0" borderId="0" xfId="6" applyFont="1" applyFill="1"/>
    <xf numFmtId="0" fontId="30" fillId="0" borderId="0" xfId="6" applyFont="1" applyFill="1" applyAlignment="1">
      <alignment vertical="center" wrapText="1"/>
    </xf>
    <xf numFmtId="0" fontId="30" fillId="0" borderId="0" xfId="6" applyFont="1" applyFill="1" applyAlignment="1">
      <alignment horizontal="center" vertical="center" wrapText="1"/>
    </xf>
    <xf numFmtId="0" fontId="30" fillId="0" borderId="0" xfId="6" applyFont="1" applyFill="1" applyAlignment="1">
      <alignment horizontal="left" vertical="center"/>
    </xf>
    <xf numFmtId="0" fontId="36" fillId="0" borderId="0" xfId="6" applyFont="1" applyFill="1"/>
    <xf numFmtId="0" fontId="30" fillId="0" borderId="0" xfId="6" applyFont="1" applyFill="1" applyAlignment="1">
      <alignment horizontal="center" vertical="center"/>
    </xf>
    <xf numFmtId="0" fontId="37" fillId="0" borderId="0" xfId="6" applyFont="1" applyFill="1" applyAlignment="1">
      <alignment vertical="center" wrapText="1"/>
    </xf>
    <xf numFmtId="0" fontId="37" fillId="0" borderId="0" xfId="6" applyFont="1" applyFill="1" applyAlignment="1">
      <alignment horizontal="center" vertical="center" wrapText="1"/>
    </xf>
    <xf numFmtId="0" fontId="17" fillId="0" borderId="4" xfId="7" applyFont="1" applyFill="1" applyBorder="1" applyAlignment="1" applyProtection="1">
      <alignment horizontal="center" vertical="center" wrapText="1"/>
      <protection locked="0"/>
    </xf>
    <xf numFmtId="0" fontId="17" fillId="0" borderId="4" xfId="6" applyFont="1" applyFill="1" applyBorder="1" applyAlignment="1" applyProtection="1">
      <alignment horizontal="left" vertical="center" wrapText="1"/>
      <protection locked="0"/>
    </xf>
    <xf numFmtId="0" fontId="17" fillId="0" borderId="4" xfId="6" applyFont="1" applyFill="1" applyBorder="1" applyAlignment="1" applyProtection="1">
      <alignment horizontal="center" vertical="center" wrapText="1"/>
    </xf>
    <xf numFmtId="0" fontId="17" fillId="0" borderId="4" xfId="7" applyFont="1" applyFill="1" applyBorder="1" applyAlignment="1">
      <alignment horizontal="center" vertical="center" wrapText="1"/>
    </xf>
    <xf numFmtId="0" fontId="17" fillId="0" borderId="4" xfId="6" applyFont="1" applyFill="1" applyBorder="1" applyAlignment="1" applyProtection="1">
      <alignment horizontal="justify" vertical="center" wrapText="1"/>
      <protection locked="0"/>
    </xf>
    <xf numFmtId="0" fontId="17" fillId="0" borderId="4" xfId="6" applyFont="1" applyFill="1" applyBorder="1" applyAlignment="1">
      <alignment horizontal="center" vertical="center"/>
    </xf>
    <xf numFmtId="0" fontId="17" fillId="0" borderId="4" xfId="6" applyFont="1" applyFill="1" applyBorder="1" applyAlignment="1" applyProtection="1">
      <alignment horizontal="left" vertical="center" wrapText="1"/>
    </xf>
    <xf numFmtId="0" fontId="17" fillId="0" borderId="4" xfId="6" applyFont="1" applyFill="1" applyBorder="1" applyAlignment="1">
      <alignment horizontal="left" vertical="center" wrapText="1"/>
    </xf>
    <xf numFmtId="0" fontId="43" fillId="0" borderId="4" xfId="7" applyFont="1" applyFill="1" applyBorder="1" applyAlignment="1">
      <alignment horizontal="center" vertical="center" wrapText="1"/>
    </xf>
    <xf numFmtId="0" fontId="17" fillId="3" borderId="4" xfId="6" applyFont="1" applyFill="1" applyBorder="1" applyAlignment="1">
      <alignment horizontal="left" vertical="center" wrapText="1"/>
    </xf>
    <xf numFmtId="0" fontId="17" fillId="3" borderId="4" xfId="8" applyFont="1" applyFill="1" applyBorder="1" applyAlignment="1">
      <alignment horizontal="left" vertical="center" wrapText="1"/>
    </xf>
    <xf numFmtId="0" fontId="17" fillId="0" borderId="4" xfId="8" applyFont="1" applyFill="1" applyBorder="1" applyAlignment="1">
      <alignment horizontal="center" vertical="center" wrapText="1"/>
    </xf>
    <xf numFmtId="0" fontId="17" fillId="0" borderId="4" xfId="6" applyFont="1" applyFill="1" applyBorder="1" applyAlignment="1" applyProtection="1">
      <alignment horizontal="justify" vertical="center" wrapText="1"/>
    </xf>
    <xf numFmtId="0" fontId="17" fillId="0" borderId="4" xfId="8" applyFont="1" applyFill="1" applyBorder="1" applyAlignment="1">
      <alignment horizontal="left" vertical="center" wrapText="1"/>
    </xf>
    <xf numFmtId="0" fontId="43" fillId="0" borderId="4" xfId="8" applyFont="1" applyFill="1" applyBorder="1" applyAlignment="1">
      <alignment horizontal="left" vertical="center" wrapText="1"/>
    </xf>
    <xf numFmtId="0" fontId="17" fillId="0" borderId="4" xfId="7" applyFont="1" applyFill="1" applyBorder="1" applyAlignment="1">
      <alignment vertical="center" wrapText="1"/>
    </xf>
    <xf numFmtId="0" fontId="17" fillId="0" borderId="4" xfId="6" applyFont="1" applyFill="1" applyBorder="1" applyAlignment="1" applyProtection="1">
      <alignment vertical="center" wrapText="1"/>
    </xf>
    <xf numFmtId="0" fontId="17" fillId="0" borderId="4" xfId="10" applyFont="1" applyFill="1" applyBorder="1" applyAlignment="1" applyProtection="1">
      <alignment horizontal="center" vertical="center" wrapText="1"/>
    </xf>
    <xf numFmtId="0" fontId="17" fillId="3" borderId="4" xfId="6" applyFont="1" applyFill="1" applyBorder="1" applyAlignment="1">
      <alignment horizontal="center" vertical="center" wrapText="1"/>
    </xf>
    <xf numFmtId="0" fontId="17" fillId="3" borderId="4" xfId="6" applyFont="1" applyFill="1" applyBorder="1" applyAlignment="1" applyProtection="1">
      <alignment horizontal="center" vertical="center" wrapText="1"/>
    </xf>
    <xf numFmtId="0" fontId="17" fillId="0" borderId="4" xfId="9" applyFont="1" applyFill="1" applyBorder="1" applyAlignment="1">
      <alignment horizontal="center" vertical="center" wrapText="1"/>
    </xf>
    <xf numFmtId="0" fontId="17" fillId="0" borderId="4" xfId="13" applyFont="1" applyFill="1" applyBorder="1" applyAlignment="1">
      <alignment horizontal="center" vertical="center" wrapText="1"/>
    </xf>
    <xf numFmtId="0" fontId="46" fillId="3" borderId="0" xfId="6" applyFont="1" applyFill="1" applyBorder="1" applyAlignment="1">
      <alignment horizontal="center" vertical="center" wrapText="1"/>
    </xf>
    <xf numFmtId="0" fontId="5" fillId="0" borderId="0" xfId="4" applyFont="1" applyFill="1" applyAlignment="1">
      <alignment vertical="center"/>
    </xf>
    <xf numFmtId="0" fontId="49" fillId="0" borderId="0" xfId="4" applyFont="1" applyAlignment="1">
      <alignment horizontal="center" vertical="center"/>
    </xf>
    <xf numFmtId="0" fontId="49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49" fillId="0" borderId="0" xfId="4" applyFont="1" applyAlignment="1">
      <alignment horizontal="center" vertical="center" wrapText="1"/>
    </xf>
    <xf numFmtId="49" fontId="14" fillId="0" borderId="0" xfId="4" applyNumberFormat="1" applyFont="1" applyFill="1" applyAlignment="1">
      <alignment vertical="center"/>
    </xf>
    <xf numFmtId="0" fontId="41" fillId="13" borderId="0" xfId="4" applyFont="1" applyFill="1" applyAlignment="1">
      <alignment vertical="center"/>
    </xf>
    <xf numFmtId="0" fontId="52" fillId="13" borderId="0" xfId="4" applyFont="1" applyFill="1" applyAlignment="1">
      <alignment vertical="center"/>
    </xf>
    <xf numFmtId="0" fontId="54" fillId="13" borderId="0" xfId="4" applyFont="1" applyFill="1" applyAlignment="1">
      <alignment vertical="center"/>
    </xf>
    <xf numFmtId="0" fontId="49" fillId="0" borderId="27" xfId="4" applyFont="1" applyFill="1" applyBorder="1" applyAlignment="1">
      <alignment horizontal="center" vertical="center"/>
    </xf>
    <xf numFmtId="0" fontId="49" fillId="0" borderId="27" xfId="4" applyFont="1" applyBorder="1" applyAlignment="1">
      <alignment horizontal="center" vertical="center"/>
    </xf>
    <xf numFmtId="0" fontId="49" fillId="0" borderId="9" xfId="4" applyFont="1" applyBorder="1" applyAlignment="1">
      <alignment horizontal="center" vertical="center"/>
    </xf>
    <xf numFmtId="0" fontId="49" fillId="0" borderId="10" xfId="4" applyFont="1" applyBorder="1" applyAlignment="1">
      <alignment horizontal="center" vertical="center"/>
    </xf>
    <xf numFmtId="0" fontId="49" fillId="0" borderId="33" xfId="4" applyFont="1" applyBorder="1" applyAlignment="1">
      <alignment horizontal="center" vertical="center"/>
    </xf>
    <xf numFmtId="0" fontId="49" fillId="0" borderId="34" xfId="4" applyFont="1" applyBorder="1" applyAlignment="1">
      <alignment horizontal="center" vertical="center"/>
    </xf>
    <xf numFmtId="0" fontId="49" fillId="0" borderId="11" xfId="4" applyFont="1" applyBorder="1" applyAlignment="1">
      <alignment horizontal="center" vertical="center"/>
    </xf>
    <xf numFmtId="0" fontId="50" fillId="3" borderId="0" xfId="4" applyFont="1" applyFill="1" applyAlignment="1">
      <alignment vertical="center"/>
    </xf>
    <xf numFmtId="0" fontId="5" fillId="3" borderId="0" xfId="4" applyFont="1" applyFill="1" applyAlignment="1">
      <alignment vertical="center"/>
    </xf>
    <xf numFmtId="14" fontId="5" fillId="3" borderId="0" xfId="4" applyNumberFormat="1" applyFont="1" applyFill="1" applyAlignment="1">
      <alignment vertical="center"/>
    </xf>
    <xf numFmtId="0" fontId="5" fillId="3" borderId="0" xfId="4" applyFont="1" applyFill="1" applyAlignment="1">
      <alignment horizontal="center" vertical="center"/>
    </xf>
    <xf numFmtId="0" fontId="5" fillId="3" borderId="0" xfId="4" applyFont="1" applyFill="1" applyAlignment="1">
      <alignment vertical="center" wrapText="1"/>
    </xf>
    <xf numFmtId="0" fontId="25" fillId="3" borderId="0" xfId="4" applyFont="1" applyFill="1" applyAlignment="1">
      <alignment horizontal="center" vertical="center"/>
    </xf>
    <xf numFmtId="0" fontId="15" fillId="11" borderId="0" xfId="4" applyFont="1" applyFill="1" applyAlignment="1">
      <alignment horizontal="center" vertical="center" wrapText="1"/>
    </xf>
    <xf numFmtId="0" fontId="15" fillId="11" borderId="0" xfId="4" applyFont="1" applyFill="1" applyAlignment="1">
      <alignment horizontal="center" vertical="center"/>
    </xf>
    <xf numFmtId="0" fontId="15" fillId="11" borderId="0" xfId="4" applyFont="1" applyFill="1" applyAlignment="1">
      <alignment vertical="center"/>
    </xf>
    <xf numFmtId="0" fontId="52" fillId="11" borderId="0" xfId="4" applyFont="1" applyFill="1" applyAlignment="1">
      <alignment vertical="center"/>
    </xf>
    <xf numFmtId="0" fontId="30" fillId="7" borderId="0" xfId="6" applyFont="1" applyFill="1"/>
    <xf numFmtId="0" fontId="38" fillId="9" borderId="0" xfId="6" applyFont="1" applyFill="1" applyAlignment="1">
      <alignment horizontal="center" vertical="center"/>
    </xf>
    <xf numFmtId="0" fontId="38" fillId="9" borderId="0" xfId="6" applyFont="1" applyFill="1" applyAlignment="1">
      <alignment vertical="center" wrapText="1"/>
    </xf>
    <xf numFmtId="0" fontId="38" fillId="9" borderId="0" xfId="6" applyFont="1" applyFill="1" applyAlignment="1">
      <alignment horizontal="center" vertical="center" wrapText="1"/>
    </xf>
    <xf numFmtId="0" fontId="39" fillId="9" borderId="0" xfId="6" applyFont="1" applyFill="1"/>
    <xf numFmtId="0" fontId="46" fillId="3" borderId="0" xfId="6" applyFont="1" applyFill="1" applyBorder="1" applyAlignment="1" applyProtection="1">
      <alignment vertical="center" wrapText="1"/>
    </xf>
    <xf numFmtId="0" fontId="46" fillId="3" borderId="0" xfId="6" applyFont="1" applyFill="1" applyBorder="1" applyAlignment="1" applyProtection="1">
      <alignment horizontal="center" vertical="center" wrapText="1"/>
    </xf>
    <xf numFmtId="0" fontId="46" fillId="3" borderId="0" xfId="7" applyFont="1" applyFill="1" applyBorder="1" applyAlignment="1">
      <alignment horizontal="center" vertical="center" wrapText="1"/>
    </xf>
    <xf numFmtId="165" fontId="46" fillId="3" borderId="0" xfId="11" applyFont="1" applyFill="1" applyBorder="1" applyAlignment="1" applyProtection="1">
      <alignment horizontal="center" vertical="center" wrapText="1"/>
    </xf>
    <xf numFmtId="0" fontId="46" fillId="3" borderId="0" xfId="7" applyFont="1" applyFill="1" applyBorder="1" applyAlignment="1">
      <alignment horizontal="left" vertical="center" wrapText="1"/>
    </xf>
    <xf numFmtId="0" fontId="46" fillId="3" borderId="0" xfId="6" applyFont="1" applyFill="1"/>
    <xf numFmtId="0" fontId="46" fillId="3" borderId="0" xfId="6" applyFont="1" applyFill="1" applyAlignment="1">
      <alignment vertical="center" wrapText="1"/>
    </xf>
    <xf numFmtId="0" fontId="46" fillId="3" borderId="0" xfId="6" applyFont="1" applyFill="1" applyAlignment="1">
      <alignment horizontal="center" vertical="center" wrapText="1"/>
    </xf>
    <xf numFmtId="0" fontId="46" fillId="3" borderId="0" xfId="6" applyFont="1" applyFill="1" applyAlignment="1">
      <alignment horizontal="left" vertical="center"/>
    </xf>
    <xf numFmtId="0" fontId="46" fillId="3" borderId="0" xfId="6" applyFont="1" applyFill="1" applyAlignment="1">
      <alignment horizontal="center" vertical="center"/>
    </xf>
    <xf numFmtId="11" fontId="22" fillId="3" borderId="0" xfId="6" applyNumberFormat="1" applyFont="1" applyFill="1" applyBorder="1" applyAlignment="1">
      <alignment horizontal="center" vertical="center"/>
    </xf>
    <xf numFmtId="0" fontId="43" fillId="3" borderId="0" xfId="6" applyFont="1" applyFill="1"/>
    <xf numFmtId="0" fontId="17" fillId="3" borderId="0" xfId="6" applyFont="1" applyFill="1" applyAlignment="1">
      <alignment vertical="center" wrapText="1"/>
    </xf>
    <xf numFmtId="0" fontId="17" fillId="3" borderId="0" xfId="6" applyFont="1" applyFill="1" applyAlignment="1">
      <alignment horizontal="center" vertical="center" wrapText="1"/>
    </xf>
    <xf numFmtId="0" fontId="29" fillId="0" borderId="0" xfId="6" applyFont="1" applyFill="1" applyBorder="1" applyAlignment="1">
      <alignment horizontal="left" vertical="center"/>
    </xf>
    <xf numFmtId="0" fontId="0" fillId="14" borderId="0" xfId="0" applyFill="1"/>
    <xf numFmtId="0" fontId="35" fillId="0" borderId="26" xfId="0" applyFont="1" applyBorder="1" applyAlignment="1">
      <alignment horizontal="left" vertical="center" wrapText="1"/>
    </xf>
    <xf numFmtId="0" fontId="37" fillId="0" borderId="0" xfId="6" applyFont="1" applyFill="1"/>
    <xf numFmtId="0" fontId="62" fillId="0" borderId="0" xfId="0" applyFont="1" applyAlignment="1">
      <alignment vertical="center"/>
    </xf>
    <xf numFmtId="0" fontId="62" fillId="0" borderId="0" xfId="0" applyFont="1"/>
    <xf numFmtId="0" fontId="21" fillId="6" borderId="40" xfId="1" applyFont="1" applyFill="1" applyBorder="1" applyAlignment="1">
      <alignment horizontal="left" vertical="center" wrapText="1"/>
    </xf>
    <xf numFmtId="0" fontId="66" fillId="16" borderId="47" xfId="0" applyFont="1" applyFill="1" applyBorder="1" applyAlignment="1">
      <alignment vertical="center" wrapText="1"/>
    </xf>
    <xf numFmtId="0" fontId="66" fillId="16" borderId="46" xfId="0" applyFont="1" applyFill="1" applyBorder="1" applyAlignment="1">
      <alignment vertical="center" wrapText="1"/>
    </xf>
    <xf numFmtId="0" fontId="66" fillId="0" borderId="47" xfId="0" applyFont="1" applyBorder="1" applyAlignment="1">
      <alignment vertical="center" wrapText="1"/>
    </xf>
    <xf numFmtId="0" fontId="66" fillId="0" borderId="46" xfId="0" applyFont="1" applyBorder="1" applyAlignment="1">
      <alignment vertical="center" wrapText="1"/>
    </xf>
    <xf numFmtId="0" fontId="66" fillId="0" borderId="46" xfId="0" applyFont="1" applyBorder="1" applyAlignment="1">
      <alignment horizontal="justify" vertical="center" wrapText="1"/>
    </xf>
    <xf numFmtId="0" fontId="66" fillId="0" borderId="44" xfId="0" applyFont="1" applyBorder="1" applyAlignment="1">
      <alignment vertical="center" wrapText="1"/>
    </xf>
    <xf numFmtId="0" fontId="66" fillId="16" borderId="44" xfId="0" applyFont="1" applyFill="1" applyBorder="1" applyAlignment="1">
      <alignment vertical="center" wrapText="1"/>
    </xf>
    <xf numFmtId="0" fontId="0" fillId="12" borderId="0" xfId="0" applyFill="1"/>
    <xf numFmtId="0" fontId="7" fillId="0" borderId="4" xfId="7" applyFont="1" applyFill="1" applyBorder="1" applyAlignment="1">
      <alignment horizontal="left" vertical="center" wrapText="1"/>
    </xf>
    <xf numFmtId="2" fontId="68" fillId="11" borderId="39" xfId="0" applyNumberFormat="1" applyFont="1" applyFill="1" applyBorder="1" applyAlignment="1">
      <alignment horizontal="center" vertical="center"/>
    </xf>
    <xf numFmtId="2" fontId="68" fillId="11" borderId="39" xfId="0" applyNumberFormat="1" applyFont="1" applyFill="1" applyBorder="1" applyAlignment="1">
      <alignment horizontal="left" vertical="center"/>
    </xf>
    <xf numFmtId="14" fontId="35" fillId="0" borderId="37" xfId="0" applyNumberFormat="1" applyFont="1" applyBorder="1" applyAlignment="1">
      <alignment horizontal="left" vertical="center" wrapText="1"/>
    </xf>
    <xf numFmtId="0" fontId="68" fillId="11" borderId="27" xfId="4" applyFont="1" applyFill="1" applyBorder="1" applyAlignment="1">
      <alignment horizontal="center" vertical="center"/>
    </xf>
    <xf numFmtId="0" fontId="66" fillId="0" borderId="44" xfId="0" applyFont="1" applyBorder="1" applyAlignment="1">
      <alignment vertical="center" wrapText="1"/>
    </xf>
    <xf numFmtId="0" fontId="72" fillId="0" borderId="0" xfId="0" applyFont="1"/>
    <xf numFmtId="0" fontId="74" fillId="9" borderId="52" xfId="0" applyFont="1" applyFill="1" applyBorder="1" applyAlignment="1">
      <alignment vertical="center" wrapText="1"/>
    </xf>
    <xf numFmtId="0" fontId="74" fillId="9" borderId="43" xfId="0" applyFont="1" applyFill="1" applyBorder="1" applyAlignment="1">
      <alignment vertical="center" wrapText="1"/>
    </xf>
    <xf numFmtId="0" fontId="30" fillId="0" borderId="4" xfId="6" applyFont="1" applyFill="1" applyBorder="1"/>
    <xf numFmtId="0" fontId="30" fillId="0" borderId="0" xfId="6" applyFont="1" applyFill="1" applyBorder="1"/>
    <xf numFmtId="0" fontId="60" fillId="12" borderId="4" xfId="7" applyFont="1" applyFill="1" applyBorder="1" applyAlignment="1">
      <alignment horizontal="left" vertical="center" wrapText="1"/>
    </xf>
    <xf numFmtId="0" fontId="5" fillId="0" borderId="0" xfId="0" applyFont="1" applyAlignment="1"/>
    <xf numFmtId="0" fontId="34" fillId="0" borderId="0" xfId="0" applyFont="1" applyAlignment="1">
      <alignment vertical="center"/>
    </xf>
    <xf numFmtId="0" fontId="19" fillId="0" borderId="0" xfId="0" applyFont="1"/>
    <xf numFmtId="0" fontId="17" fillId="0" borderId="16" xfId="7" applyFont="1" applyFill="1" applyBorder="1" applyAlignment="1">
      <alignment horizontal="left" vertical="center" wrapText="1"/>
    </xf>
    <xf numFmtId="0" fontId="30" fillId="0" borderId="17" xfId="6" applyFont="1" applyFill="1" applyBorder="1"/>
    <xf numFmtId="0" fontId="28" fillId="0" borderId="0" xfId="6" applyFont="1" applyFill="1" applyBorder="1"/>
    <xf numFmtId="0" fontId="17" fillId="3" borderId="16" xfId="7" applyFont="1" applyFill="1" applyBorder="1" applyAlignment="1">
      <alignment horizontal="left" vertical="center" wrapText="1"/>
    </xf>
    <xf numFmtId="0" fontId="35" fillId="0" borderId="0" xfId="6" applyFont="1" applyFill="1" applyBorder="1"/>
    <xf numFmtId="0" fontId="8" fillId="0" borderId="0" xfId="0" applyFont="1" applyAlignment="1">
      <alignment horizontal="left" vertical="center" wrapText="1"/>
    </xf>
    <xf numFmtId="0" fontId="49" fillId="0" borderId="0" xfId="0" applyFont="1"/>
    <xf numFmtId="0" fontId="14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16" fillId="16" borderId="46" xfId="0" applyFont="1" applyFill="1" applyBorder="1" applyAlignment="1">
      <alignment vertical="center" wrapText="1"/>
    </xf>
    <xf numFmtId="0" fontId="44" fillId="0" borderId="4" xfId="6" applyFont="1" applyFill="1" applyBorder="1" applyAlignment="1" applyProtection="1">
      <alignment horizontal="justify" vertical="center" wrapText="1"/>
      <protection locked="0"/>
    </xf>
    <xf numFmtId="0" fontId="21" fillId="6" borderId="0" xfId="1" applyFont="1" applyFill="1" applyBorder="1" applyAlignment="1">
      <alignment horizontal="left" vertical="center" wrapText="1"/>
    </xf>
    <xf numFmtId="0" fontId="5" fillId="3" borderId="0" xfId="0" applyFont="1" applyFill="1"/>
    <xf numFmtId="0" fontId="17" fillId="0" borderId="4" xfId="9" applyFont="1" applyFill="1" applyBorder="1" applyAlignment="1" applyProtection="1">
      <alignment vertical="center" wrapText="1"/>
    </xf>
    <xf numFmtId="0" fontId="17" fillId="0" borderId="4" xfId="6" applyFont="1" applyFill="1" applyBorder="1" applyAlignment="1">
      <alignment horizontal="center" vertical="center" wrapText="1"/>
    </xf>
    <xf numFmtId="0" fontId="17" fillId="0" borderId="4" xfId="6" applyNumberFormat="1" applyFont="1" applyFill="1" applyBorder="1" applyAlignment="1" applyProtection="1">
      <alignment horizontal="center" vertical="center" wrapText="1"/>
    </xf>
    <xf numFmtId="0" fontId="17" fillId="0" borderId="4" xfId="12" applyFont="1" applyFill="1" applyBorder="1" applyAlignment="1">
      <alignment horizontal="left" vertical="center" wrapText="1"/>
    </xf>
    <xf numFmtId="0" fontId="60" fillId="12" borderId="16" xfId="7" applyFont="1" applyFill="1" applyBorder="1" applyAlignment="1">
      <alignment horizontal="left" vertical="center" wrapText="1"/>
    </xf>
    <xf numFmtId="0" fontId="7" fillId="0" borderId="16" xfId="7" applyFont="1" applyFill="1" applyBorder="1" applyAlignment="1">
      <alignment horizontal="left" vertical="center" wrapText="1"/>
    </xf>
    <xf numFmtId="0" fontId="17" fillId="0" borderId="16" xfId="6" applyFont="1" applyFill="1" applyBorder="1" applyAlignment="1">
      <alignment horizontal="left" vertical="center" wrapText="1"/>
    </xf>
    <xf numFmtId="0" fontId="17" fillId="0" borderId="16" xfId="6" applyFont="1" applyFill="1" applyBorder="1" applyAlignment="1">
      <alignment horizontal="justify" vertical="center" wrapText="1"/>
    </xf>
    <xf numFmtId="0" fontId="17" fillId="3" borderId="16" xfId="6" applyFont="1" applyFill="1" applyBorder="1" applyAlignment="1">
      <alignment horizontal="justify" vertical="center"/>
    </xf>
    <xf numFmtId="0" fontId="17" fillId="3" borderId="16" xfId="6" applyFont="1" applyFill="1" applyBorder="1" applyAlignment="1">
      <alignment horizontal="justify" vertical="center" wrapText="1"/>
    </xf>
    <xf numFmtId="0" fontId="7" fillId="0" borderId="17" xfId="7" applyFont="1" applyFill="1" applyBorder="1" applyAlignment="1">
      <alignment horizontal="left" vertical="center" wrapText="1"/>
    </xf>
    <xf numFmtId="0" fontId="17" fillId="3" borderId="57" xfId="6" applyFont="1" applyFill="1" applyBorder="1" applyAlignment="1">
      <alignment horizontal="center" vertical="center" wrapText="1"/>
    </xf>
    <xf numFmtId="0" fontId="17" fillId="3" borderId="57" xfId="6" applyFont="1" applyFill="1" applyBorder="1" applyAlignment="1" applyProtection="1">
      <alignment vertical="center" wrapText="1"/>
    </xf>
    <xf numFmtId="0" fontId="17" fillId="3" borderId="57" xfId="6" applyFont="1" applyFill="1" applyBorder="1" applyAlignment="1" applyProtection="1">
      <alignment horizontal="center" vertical="center" wrapText="1"/>
    </xf>
    <xf numFmtId="0" fontId="17" fillId="3" borderId="57" xfId="7" applyFont="1" applyFill="1" applyBorder="1" applyAlignment="1">
      <alignment horizontal="center" vertical="center" wrapText="1"/>
    </xf>
    <xf numFmtId="0" fontId="17" fillId="3" borderId="57" xfId="7" applyFont="1" applyFill="1" applyBorder="1" applyAlignment="1">
      <alignment horizontal="left" vertical="center" wrapText="1"/>
    </xf>
    <xf numFmtId="0" fontId="17" fillId="0" borderId="57" xfId="13" applyFont="1" applyFill="1" applyBorder="1" applyAlignment="1">
      <alignment horizontal="center" vertical="center" wrapText="1"/>
    </xf>
    <xf numFmtId="0" fontId="17" fillId="0" borderId="57" xfId="6" applyFont="1" applyFill="1" applyBorder="1" applyAlignment="1" applyProtection="1">
      <alignment vertical="center" wrapText="1"/>
    </xf>
    <xf numFmtId="0" fontId="17" fillId="0" borderId="57" xfId="6" applyFont="1" applyFill="1" applyBorder="1" applyAlignment="1" applyProtection="1">
      <alignment horizontal="center" vertical="center" wrapText="1"/>
    </xf>
    <xf numFmtId="0" fontId="17" fillId="0" borderId="57" xfId="7" applyFont="1" applyFill="1" applyBorder="1" applyAlignment="1">
      <alignment horizontal="center" vertical="center" wrapText="1"/>
    </xf>
    <xf numFmtId="0" fontId="17" fillId="0" borderId="57" xfId="7" applyFont="1" applyFill="1" applyBorder="1" applyAlignment="1">
      <alignment horizontal="left" vertical="center" wrapText="1"/>
    </xf>
    <xf numFmtId="0" fontId="5" fillId="0" borderId="58" xfId="0" applyFont="1" applyBorder="1" applyAlignment="1" applyProtection="1">
      <alignment horizontal="left" vertical="top" wrapText="1"/>
      <protection locked="0"/>
    </xf>
    <xf numFmtId="0" fontId="79" fillId="0" borderId="58" xfId="0" applyFont="1" applyBorder="1" applyAlignment="1" applyProtection="1">
      <alignment vertical="center" wrapText="1"/>
      <protection locked="0"/>
    </xf>
    <xf numFmtId="0" fontId="5" fillId="0" borderId="58" xfId="0" applyFont="1" applyBorder="1" applyAlignment="1" applyProtection="1">
      <alignment horizontal="center" vertical="center" wrapText="1"/>
      <protection locked="0"/>
    </xf>
    <xf numFmtId="0" fontId="21" fillId="6" borderId="58" xfId="1" applyFont="1" applyFill="1" applyBorder="1" applyAlignment="1">
      <alignment horizontal="left" vertical="center" wrapText="1"/>
    </xf>
    <xf numFmtId="0" fontId="8" fillId="3" borderId="58" xfId="0" applyFont="1" applyFill="1" applyBorder="1" applyAlignment="1">
      <alignment horizontal="right" wrapText="1"/>
    </xf>
    <xf numFmtId="0" fontId="5" fillId="3" borderId="58" xfId="0" applyFont="1" applyFill="1" applyBorder="1" applyAlignment="1">
      <alignment wrapText="1"/>
    </xf>
    <xf numFmtId="0" fontId="15" fillId="6" borderId="58" xfId="2" applyFont="1" applyFill="1" applyBorder="1" applyAlignment="1" applyProtection="1">
      <alignment horizontal="center" vertical="center" wrapText="1"/>
      <protection locked="0"/>
    </xf>
    <xf numFmtId="0" fontId="21" fillId="10" borderId="58" xfId="1" applyFont="1" applyFill="1" applyBorder="1" applyAlignment="1">
      <alignment horizontal="left" vertical="center" wrapText="1"/>
    </xf>
    <xf numFmtId="0" fontId="21" fillId="6" borderId="59" xfId="1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wrapText="1"/>
    </xf>
    <xf numFmtId="0" fontId="21" fillId="6" borderId="61" xfId="1" applyFont="1" applyFill="1" applyBorder="1" applyAlignment="1">
      <alignment horizontal="left" vertical="center" wrapText="1"/>
    </xf>
    <xf numFmtId="0" fontId="5" fillId="3" borderId="61" xfId="0" applyFont="1" applyFill="1" applyBorder="1" applyAlignment="1">
      <alignment wrapText="1"/>
    </xf>
    <xf numFmtId="0" fontId="50" fillId="6" borderId="61" xfId="1" applyFont="1" applyFill="1" applyBorder="1" applyAlignment="1">
      <alignment horizontal="left" vertical="center" wrapText="1"/>
    </xf>
    <xf numFmtId="0" fontId="11" fillId="10" borderId="61" xfId="1" applyFont="1" applyFill="1" applyBorder="1" applyAlignment="1">
      <alignment horizontal="left" vertical="center" wrapText="1"/>
    </xf>
    <xf numFmtId="0" fontId="11" fillId="6" borderId="61" xfId="1" applyFont="1" applyFill="1" applyBorder="1" applyAlignment="1">
      <alignment horizontal="left" vertical="center" wrapText="1"/>
    </xf>
    <xf numFmtId="0" fontId="83" fillId="0" borderId="0" xfId="6" applyFont="1" applyFill="1"/>
    <xf numFmtId="0" fontId="83" fillId="9" borderId="0" xfId="6" applyFont="1" applyFill="1"/>
    <xf numFmtId="0" fontId="84" fillId="9" borderId="0" xfId="6" applyFont="1" applyFill="1" applyBorder="1" applyAlignment="1">
      <alignment horizontal="center" vertical="center"/>
    </xf>
    <xf numFmtId="0" fontId="85" fillId="9" borderId="0" xfId="6" applyFont="1" applyFill="1" applyAlignment="1">
      <alignment horizontal="center" vertical="center"/>
    </xf>
    <xf numFmtId="0" fontId="86" fillId="9" borderId="0" xfId="6" applyFont="1" applyFill="1"/>
    <xf numFmtId="0" fontId="84" fillId="9" borderId="0" xfId="6" applyFont="1" applyFill="1"/>
    <xf numFmtId="14" fontId="56" fillId="7" borderId="22" xfId="0" applyNumberFormat="1" applyFont="1" applyFill="1" applyBorder="1" applyAlignment="1" applyProtection="1">
      <alignment horizontal="left" vertical="center" wrapText="1"/>
    </xf>
    <xf numFmtId="14" fontId="6" fillId="7" borderId="22" xfId="0" applyNumberFormat="1" applyFont="1" applyFill="1" applyBorder="1" applyAlignment="1" applyProtection="1">
      <alignment horizontal="left" vertical="center" wrapText="1"/>
    </xf>
    <xf numFmtId="14" fontId="51" fillId="7" borderId="22" xfId="0" applyNumberFormat="1" applyFont="1" applyFill="1" applyBorder="1" applyAlignment="1" applyProtection="1">
      <alignment horizontal="left" vertical="center" wrapText="1"/>
    </xf>
    <xf numFmtId="0" fontId="24" fillId="0" borderId="0" xfId="0" applyFont="1" applyProtection="1"/>
    <xf numFmtId="0" fontId="41" fillId="11" borderId="13" xfId="0" applyFont="1" applyFill="1" applyBorder="1" applyAlignment="1" applyProtection="1">
      <alignment horizontal="left" vertical="center" wrapText="1"/>
    </xf>
    <xf numFmtId="0" fontId="41" fillId="11" borderId="13" xfId="0" applyFont="1" applyFill="1" applyBorder="1" applyAlignment="1" applyProtection="1">
      <alignment horizontal="center" vertical="center" wrapText="1"/>
    </xf>
    <xf numFmtId="0" fontId="26" fillId="6" borderId="21" xfId="0" applyFont="1" applyFill="1" applyBorder="1" applyAlignment="1" applyProtection="1">
      <alignment horizontal="left" vertical="center" wrapText="1"/>
    </xf>
    <xf numFmtId="0" fontId="52" fillId="6" borderId="61" xfId="2" applyFont="1" applyFill="1" applyBorder="1" applyAlignment="1" applyProtection="1">
      <alignment horizontal="center" vertical="center" wrapText="1"/>
      <protection locked="0"/>
    </xf>
    <xf numFmtId="0" fontId="52" fillId="6" borderId="64" xfId="2" applyFont="1" applyFill="1" applyBorder="1" applyAlignment="1" applyProtection="1">
      <alignment horizontal="center" vertical="center" wrapText="1"/>
      <protection locked="0"/>
    </xf>
    <xf numFmtId="0" fontId="52" fillId="6" borderId="63" xfId="2" applyFont="1" applyFill="1" applyBorder="1" applyAlignment="1" applyProtection="1">
      <alignment horizontal="center" vertical="center" wrapText="1"/>
      <protection locked="0"/>
    </xf>
    <xf numFmtId="0" fontId="21" fillId="10" borderId="58" xfId="1" applyFont="1" applyFill="1" applyBorder="1" applyAlignment="1">
      <alignment horizontal="center" vertical="top" wrapText="1"/>
    </xf>
    <xf numFmtId="0" fontId="52" fillId="6" borderId="60" xfId="0" applyFont="1" applyFill="1" applyBorder="1" applyAlignment="1">
      <alignment vertical="center" wrapText="1"/>
    </xf>
    <xf numFmtId="0" fontId="52" fillId="6" borderId="58" xfId="0" applyFont="1" applyFill="1" applyBorder="1" applyAlignment="1">
      <alignment vertical="center" wrapText="1"/>
    </xf>
    <xf numFmtId="0" fontId="52" fillId="6" borderId="69" xfId="2" applyFont="1" applyFill="1" applyBorder="1" applyAlignment="1" applyProtection="1">
      <alignment vertical="center" wrapText="1"/>
      <protection locked="0"/>
    </xf>
    <xf numFmtId="0" fontId="52" fillId="6" borderId="61" xfId="2" applyFont="1" applyFill="1" applyBorder="1" applyAlignment="1" applyProtection="1">
      <alignment horizontal="center" vertical="center" wrapText="1"/>
      <protection locked="0"/>
    </xf>
    <xf numFmtId="0" fontId="20" fillId="8" borderId="0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0" fillId="8" borderId="20" xfId="1" applyFont="1" applyFill="1" applyBorder="1" applyAlignment="1">
      <alignment vertical="center" wrapText="1"/>
    </xf>
    <xf numFmtId="0" fontId="20" fillId="8" borderId="0" xfId="1" applyFont="1" applyFill="1" applyBorder="1" applyAlignment="1">
      <alignment vertical="center" wrapText="1"/>
    </xf>
    <xf numFmtId="0" fontId="21" fillId="6" borderId="71" xfId="1" applyFont="1" applyFill="1" applyBorder="1" applyAlignment="1">
      <alignment horizontal="left" vertical="center" wrapText="1"/>
    </xf>
    <xf numFmtId="0" fontId="21" fillId="6" borderId="58" xfId="1" applyFont="1" applyFill="1" applyBorder="1" applyAlignment="1">
      <alignment horizontal="left" vertical="center" wrapText="1"/>
    </xf>
    <xf numFmtId="0" fontId="73" fillId="0" borderId="28" xfId="0" applyFont="1" applyBorder="1" applyAlignment="1">
      <alignment horizontal="center" vertical="center" wrapText="1"/>
    </xf>
    <xf numFmtId="0" fontId="77" fillId="0" borderId="0" xfId="0" applyFont="1" applyBorder="1" applyAlignment="1" applyProtection="1">
      <alignment vertical="center" wrapText="1"/>
      <protection locked="0"/>
    </xf>
    <xf numFmtId="0" fontId="21" fillId="8" borderId="0" xfId="1" applyFont="1" applyFill="1" applyBorder="1" applyAlignment="1">
      <alignment vertical="center" wrapText="1"/>
    </xf>
    <xf numFmtId="0" fontId="11" fillId="8" borderId="0" xfId="1" applyFont="1" applyFill="1" applyBorder="1" applyAlignment="1">
      <alignment vertical="center" wrapText="1"/>
    </xf>
    <xf numFmtId="0" fontId="20" fillId="8" borderId="23" xfId="1" applyFont="1" applyFill="1" applyBorder="1" applyAlignment="1">
      <alignment vertical="center" wrapText="1"/>
    </xf>
    <xf numFmtId="0" fontId="77" fillId="0" borderId="15" xfId="0" applyFont="1" applyBorder="1" applyAlignment="1" applyProtection="1">
      <alignment vertical="center" wrapText="1"/>
      <protection locked="0"/>
    </xf>
    <xf numFmtId="0" fontId="20" fillId="10" borderId="58" xfId="1" applyFont="1" applyFill="1" applyBorder="1" applyAlignment="1">
      <alignment horizontal="left" vertical="center" wrapText="1"/>
    </xf>
    <xf numFmtId="0" fontId="20" fillId="6" borderId="58" xfId="1" applyFont="1" applyFill="1" applyBorder="1" applyAlignment="1">
      <alignment horizontal="left" vertical="center" wrapText="1"/>
    </xf>
    <xf numFmtId="0" fontId="21" fillId="6" borderId="73" xfId="1" applyFont="1" applyFill="1" applyBorder="1" applyAlignment="1">
      <alignment horizontal="left" vertical="center" wrapText="1"/>
    </xf>
    <xf numFmtId="0" fontId="51" fillId="0" borderId="76" xfId="0" applyFont="1" applyFill="1" applyBorder="1" applyAlignment="1">
      <alignment vertical="center" wrapText="1"/>
    </xf>
    <xf numFmtId="0" fontId="78" fillId="0" borderId="77" xfId="0" applyFont="1" applyBorder="1" applyAlignment="1">
      <alignment horizontal="center" vertical="center" wrapText="1"/>
    </xf>
    <xf numFmtId="0" fontId="51" fillId="7" borderId="27" xfId="0" applyFont="1" applyFill="1" applyBorder="1" applyAlignment="1">
      <alignment horizontal="justify" vertical="center" wrapText="1"/>
    </xf>
    <xf numFmtId="0" fontId="78" fillId="0" borderId="32" xfId="0" applyFont="1" applyBorder="1" applyAlignment="1">
      <alignment horizontal="center" vertical="center" wrapText="1"/>
    </xf>
    <xf numFmtId="0" fontId="78" fillId="0" borderId="32" xfId="0" applyFont="1" applyBorder="1" applyAlignment="1">
      <alignment horizontal="left" vertical="top" wrapText="1"/>
    </xf>
    <xf numFmtId="0" fontId="51" fillId="7" borderId="76" xfId="0" applyFont="1" applyFill="1" applyBorder="1" applyAlignment="1">
      <alignment horizontal="justify" vertical="center" wrapText="1"/>
    </xf>
    <xf numFmtId="0" fontId="90" fillId="0" borderId="76" xfId="0" applyFont="1" applyBorder="1" applyAlignment="1">
      <alignment horizontal="left" vertical="top" wrapText="1"/>
    </xf>
    <xf numFmtId="0" fontId="51" fillId="0" borderId="76" xfId="0" applyFont="1" applyBorder="1" applyAlignment="1">
      <alignment horizontal="left" vertical="top" wrapText="1"/>
    </xf>
    <xf numFmtId="0" fontId="51" fillId="0" borderId="76" xfId="0" applyFont="1" applyFill="1" applyBorder="1" applyAlignment="1">
      <alignment horizontal="justify" vertical="center" wrapText="1"/>
    </xf>
    <xf numFmtId="0" fontId="51" fillId="7" borderId="76" xfId="0" applyFont="1" applyFill="1" applyBorder="1" applyAlignment="1">
      <alignment vertical="center" wrapText="1"/>
    </xf>
    <xf numFmtId="0" fontId="78" fillId="0" borderId="76" xfId="0" applyFont="1" applyBorder="1" applyAlignment="1">
      <alignment horizontal="left" vertical="top" wrapText="1"/>
    </xf>
    <xf numFmtId="0" fontId="78" fillId="0" borderId="27" xfId="0" applyFont="1" applyBorder="1" applyAlignment="1">
      <alignment horizontal="center" vertical="center" wrapText="1"/>
    </xf>
    <xf numFmtId="0" fontId="51" fillId="7" borderId="32" xfId="0" applyFont="1" applyFill="1" applyBorder="1" applyAlignment="1">
      <alignment vertical="center" wrapText="1"/>
    </xf>
    <xf numFmtId="0" fontId="81" fillId="0" borderId="32" xfId="0" applyFont="1" applyBorder="1" applyAlignment="1">
      <alignment horizontal="left" vertical="top" wrapText="1"/>
    </xf>
    <xf numFmtId="0" fontId="81" fillId="0" borderId="76" xfId="0" applyFont="1" applyBorder="1" applyAlignment="1">
      <alignment horizontal="left" vertical="top" wrapText="1"/>
    </xf>
    <xf numFmtId="0" fontId="51" fillId="0" borderId="76" xfId="0" applyFont="1" applyBorder="1" applyAlignment="1">
      <alignment vertical="center" wrapText="1"/>
    </xf>
    <xf numFmtId="0" fontId="51" fillId="7" borderId="78" xfId="0" applyFont="1" applyFill="1" applyBorder="1" applyAlignment="1">
      <alignment vertical="center" wrapText="1"/>
    </xf>
    <xf numFmtId="0" fontId="78" fillId="0" borderId="79" xfId="0" applyFont="1" applyBorder="1" applyAlignment="1">
      <alignment horizontal="center" vertical="center" wrapText="1"/>
    </xf>
    <xf numFmtId="0" fontId="51" fillId="7" borderId="27" xfId="0" applyFont="1" applyFill="1" applyBorder="1" applyAlignment="1">
      <alignment vertical="center" wrapText="1"/>
    </xf>
    <xf numFmtId="0" fontId="87" fillId="6" borderId="61" xfId="1" applyFont="1" applyFill="1" applyBorder="1" applyAlignment="1">
      <alignment horizontal="left" vertical="center" wrapText="1"/>
    </xf>
    <xf numFmtId="0" fontId="21" fillId="6" borderId="13" xfId="1" applyFont="1" applyFill="1" applyBorder="1" applyAlignment="1">
      <alignment horizontal="left" vertical="center" wrapText="1"/>
    </xf>
    <xf numFmtId="0" fontId="21" fillId="6" borderId="75" xfId="1" applyFont="1" applyFill="1" applyBorder="1" applyAlignment="1">
      <alignment horizontal="left" vertical="center" wrapText="1"/>
    </xf>
    <xf numFmtId="0" fontId="21" fillId="6" borderId="83" xfId="1" applyFont="1" applyFill="1" applyBorder="1" applyAlignment="1">
      <alignment horizontal="left" vertical="center" wrapText="1"/>
    </xf>
    <xf numFmtId="0" fontId="21" fillId="6" borderId="23" xfId="1" applyFont="1" applyFill="1" applyBorder="1" applyAlignment="1">
      <alignment horizontal="left" vertical="center" wrapText="1"/>
    </xf>
    <xf numFmtId="0" fontId="77" fillId="0" borderId="61" xfId="0" applyFont="1" applyBorder="1" applyAlignment="1" applyProtection="1">
      <alignment vertical="center" wrapText="1"/>
      <protection locked="0"/>
    </xf>
    <xf numFmtId="0" fontId="77" fillId="0" borderId="58" xfId="0" applyFont="1" applyBorder="1" applyAlignment="1" applyProtection="1">
      <alignment vertical="center" wrapText="1"/>
      <protection locked="0"/>
    </xf>
    <xf numFmtId="0" fontId="21" fillId="6" borderId="22" xfId="1" applyFont="1" applyFill="1" applyBorder="1" applyAlignment="1">
      <alignment horizontal="left" vertical="center" wrapText="1"/>
    </xf>
    <xf numFmtId="0" fontId="77" fillId="0" borderId="22" xfId="0" applyFont="1" applyBorder="1" applyAlignment="1" applyProtection="1">
      <alignment vertical="center" wrapText="1"/>
      <protection locked="0"/>
    </xf>
    <xf numFmtId="0" fontId="12" fillId="0" borderId="58" xfId="0" applyFont="1" applyBorder="1" applyAlignment="1" applyProtection="1">
      <alignment vertical="center" wrapText="1"/>
      <protection locked="0"/>
    </xf>
    <xf numFmtId="0" fontId="21" fillId="6" borderId="58" xfId="1" applyFont="1" applyFill="1" applyBorder="1" applyAlignment="1">
      <alignment vertical="center" wrapText="1"/>
    </xf>
    <xf numFmtId="0" fontId="12" fillId="0" borderId="59" xfId="0" applyFont="1" applyBorder="1" applyAlignment="1" applyProtection="1">
      <alignment vertical="center" wrapText="1"/>
      <protection locked="0"/>
    </xf>
    <xf numFmtId="0" fontId="5" fillId="3" borderId="65" xfId="0" applyFont="1" applyFill="1" applyBorder="1" applyAlignment="1">
      <alignment wrapText="1"/>
    </xf>
    <xf numFmtId="0" fontId="77" fillId="0" borderId="63" xfId="0" applyFont="1" applyBorder="1" applyAlignment="1" applyProtection="1">
      <alignment vertical="center" wrapText="1"/>
      <protection locked="0"/>
    </xf>
    <xf numFmtId="0" fontId="52" fillId="6" borderId="89" xfId="0" applyFont="1" applyFill="1" applyBorder="1" applyAlignment="1" applyProtection="1">
      <alignment horizontal="left" vertical="center" wrapText="1"/>
      <protection locked="0"/>
    </xf>
    <xf numFmtId="0" fontId="21" fillId="6" borderId="73" xfId="1" applyFont="1" applyFill="1" applyBorder="1" applyAlignment="1">
      <alignment vertical="center" wrapText="1"/>
    </xf>
    <xf numFmtId="0" fontId="87" fillId="6" borderId="73" xfId="1" applyFont="1" applyFill="1" applyBorder="1" applyAlignment="1">
      <alignment horizontal="left" vertical="center" wrapText="1"/>
    </xf>
    <xf numFmtId="0" fontId="77" fillId="0" borderId="59" xfId="0" applyFont="1" applyBorder="1" applyAlignment="1" applyProtection="1">
      <alignment vertical="center" wrapText="1"/>
      <protection locked="0"/>
    </xf>
    <xf numFmtId="0" fontId="5" fillId="3" borderId="22" xfId="0" applyFont="1" applyFill="1" applyBorder="1" applyAlignment="1">
      <alignment wrapText="1"/>
    </xf>
    <xf numFmtId="0" fontId="21" fillId="6" borderId="94" xfId="1" applyFont="1" applyFill="1" applyBorder="1" applyAlignment="1">
      <alignment horizontal="left" vertical="center" wrapText="1"/>
    </xf>
    <xf numFmtId="0" fontId="5" fillId="3" borderId="95" xfId="0" applyFont="1" applyFill="1" applyBorder="1" applyAlignment="1">
      <alignment wrapText="1"/>
    </xf>
    <xf numFmtId="0" fontId="21" fillId="6" borderId="96" xfId="1" applyFont="1" applyFill="1" applyBorder="1" applyAlignment="1">
      <alignment horizontal="left" vertical="center" wrapText="1"/>
    </xf>
    <xf numFmtId="0" fontId="5" fillId="3" borderId="100" xfId="0" applyFont="1" applyFill="1" applyBorder="1" applyAlignment="1">
      <alignment wrapText="1"/>
    </xf>
    <xf numFmtId="0" fontId="21" fillId="6" borderId="73" xfId="1" applyFont="1" applyFill="1" applyBorder="1" applyAlignment="1">
      <alignment horizontal="left" vertical="center" wrapText="1"/>
    </xf>
    <xf numFmtId="0" fontId="12" fillId="0" borderId="61" xfId="0" applyFont="1" applyBorder="1" applyAlignment="1" applyProtection="1">
      <alignment horizontal="center" vertical="center" wrapText="1"/>
      <protection locked="0"/>
    </xf>
    <xf numFmtId="0" fontId="20" fillId="8" borderId="61" xfId="1" applyFont="1" applyFill="1" applyBorder="1" applyAlignment="1">
      <alignment horizontal="left" vertical="center" wrapText="1"/>
    </xf>
    <xf numFmtId="0" fontId="77" fillId="0" borderId="61" xfId="0" applyFont="1" applyBorder="1" applyAlignment="1" applyProtection="1">
      <alignment horizontal="left" vertical="center" wrapText="1"/>
      <protection locked="0"/>
    </xf>
    <xf numFmtId="0" fontId="20" fillId="8" borderId="0" xfId="1" applyFont="1" applyFill="1" applyBorder="1" applyAlignment="1">
      <alignment horizontal="left" vertical="center" wrapText="1"/>
    </xf>
    <xf numFmtId="0" fontId="5" fillId="0" borderId="58" xfId="0" applyFont="1" applyBorder="1" applyAlignment="1" applyProtection="1">
      <alignment horizontal="center" vertical="center" wrapText="1"/>
      <protection locked="0"/>
    </xf>
    <xf numFmtId="0" fontId="92" fillId="12" borderId="0" xfId="1" applyFont="1" applyFill="1" applyBorder="1" applyAlignment="1">
      <alignment horizontal="left" vertical="center" wrapText="1"/>
    </xf>
    <xf numFmtId="0" fontId="21" fillId="10" borderId="58" xfId="1" applyFont="1" applyFill="1" applyBorder="1" applyAlignment="1">
      <alignment horizontal="center" vertical="top" wrapText="1"/>
    </xf>
    <xf numFmtId="0" fontId="21" fillId="8" borderId="0" xfId="1" applyFont="1" applyFill="1" applyBorder="1" applyAlignment="1">
      <alignment horizontal="center" vertical="center" wrapText="1"/>
    </xf>
    <xf numFmtId="0" fontId="20" fillId="8" borderId="23" xfId="1" applyFont="1" applyFill="1" applyBorder="1" applyAlignment="1">
      <alignment horizontal="left" vertical="center" wrapText="1"/>
    </xf>
    <xf numFmtId="0" fontId="13" fillId="8" borderId="0" xfId="2" applyFill="1" applyBorder="1" applyAlignment="1" applyProtection="1">
      <alignment horizontal="left" vertical="center" wrapText="1"/>
    </xf>
    <xf numFmtId="0" fontId="5" fillId="0" borderId="58" xfId="0" applyFont="1" applyBorder="1" applyAlignment="1" applyProtection="1">
      <alignment horizontal="left" vertical="center" wrapText="1"/>
      <protection locked="0"/>
    </xf>
    <xf numFmtId="0" fontId="19" fillId="3" borderId="63" xfId="0" applyFont="1" applyFill="1" applyBorder="1" applyAlignment="1" applyProtection="1">
      <alignment horizontal="left" vertical="top" wrapText="1"/>
      <protection locked="0"/>
    </xf>
    <xf numFmtId="0" fontId="16" fillId="0" borderId="57" xfId="0" applyFont="1" applyBorder="1" applyAlignment="1" applyProtection="1">
      <alignment horizontal="left" vertical="top" wrapText="1"/>
      <protection locked="0"/>
    </xf>
    <xf numFmtId="0" fontId="52" fillId="6" borderId="60" xfId="0" applyFont="1" applyFill="1" applyBorder="1" applyAlignment="1">
      <alignment horizontal="left" vertical="center" wrapText="1"/>
    </xf>
    <xf numFmtId="0" fontId="77" fillId="3" borderId="63" xfId="0" applyFont="1" applyFill="1" applyBorder="1" applyAlignment="1" applyProtection="1">
      <alignment vertical="center" wrapText="1"/>
      <protection locked="0"/>
    </xf>
    <xf numFmtId="0" fontId="5" fillId="3" borderId="102" xfId="0" applyFont="1" applyFill="1" applyBorder="1" applyAlignment="1">
      <alignment wrapText="1"/>
    </xf>
    <xf numFmtId="0" fontId="79" fillId="0" borderId="15" xfId="0" applyFont="1" applyBorder="1" applyAlignment="1" applyProtection="1">
      <alignment vertical="center" wrapText="1"/>
      <protection locked="0"/>
    </xf>
    <xf numFmtId="0" fontId="79" fillId="0" borderId="0" xfId="0" applyFont="1" applyBorder="1" applyAlignment="1" applyProtection="1">
      <alignment vertical="center" wrapText="1"/>
      <protection locked="0"/>
    </xf>
    <xf numFmtId="0" fontId="79" fillId="0" borderId="63" xfId="0" applyFont="1" applyBorder="1" applyAlignment="1" applyProtection="1">
      <alignment vertical="center" wrapText="1"/>
      <protection locked="0"/>
    </xf>
    <xf numFmtId="0" fontId="52" fillId="6" borderId="61" xfId="2" applyFont="1" applyFill="1" applyBorder="1" applyAlignment="1" applyProtection="1">
      <alignment horizontal="center" vertical="center" wrapText="1"/>
      <protection locked="0"/>
    </xf>
    <xf numFmtId="0" fontId="5" fillId="0" borderId="58" xfId="0" applyFont="1" applyBorder="1" applyAlignment="1" applyProtection="1">
      <alignment horizontal="center" vertical="center" wrapText="1"/>
      <protection locked="0"/>
    </xf>
    <xf numFmtId="0" fontId="77" fillId="0" borderId="63" xfId="0" applyFont="1" applyFill="1" applyBorder="1" applyAlignment="1" applyProtection="1">
      <alignment vertical="center" wrapText="1"/>
      <protection locked="0"/>
    </xf>
    <xf numFmtId="0" fontId="14" fillId="3" borderId="0" xfId="4" applyFont="1" applyFill="1" applyBorder="1" applyAlignment="1">
      <alignment vertical="center"/>
    </xf>
    <xf numFmtId="0" fontId="14" fillId="3" borderId="6" xfId="4" applyFont="1" applyFill="1" applyBorder="1" applyAlignment="1">
      <alignment vertical="center"/>
    </xf>
    <xf numFmtId="0" fontId="14" fillId="3" borderId="5" xfId="4" applyFont="1" applyFill="1" applyBorder="1" applyAlignment="1">
      <alignment vertical="center"/>
    </xf>
    <xf numFmtId="0" fontId="14" fillId="3" borderId="24" xfId="4" applyFont="1" applyFill="1" applyBorder="1" applyAlignment="1">
      <alignment vertical="center"/>
    </xf>
    <xf numFmtId="0" fontId="14" fillId="3" borderId="23" xfId="4" applyFont="1" applyFill="1" applyBorder="1" applyAlignment="1">
      <alignment vertical="center"/>
    </xf>
    <xf numFmtId="0" fontId="49" fillId="3" borderId="0" xfId="4" applyFont="1" applyFill="1" applyBorder="1" applyAlignment="1">
      <alignment vertical="center"/>
    </xf>
    <xf numFmtId="0" fontId="49" fillId="3" borderId="24" xfId="4" applyFont="1" applyFill="1" applyBorder="1" applyAlignment="1">
      <alignment vertical="center"/>
    </xf>
    <xf numFmtId="0" fontId="49" fillId="3" borderId="23" xfId="4" applyFont="1" applyFill="1" applyBorder="1" applyAlignment="1">
      <alignment vertical="center"/>
    </xf>
    <xf numFmtId="0" fontId="49" fillId="3" borderId="5" xfId="4" applyFont="1" applyFill="1" applyBorder="1" applyAlignment="1">
      <alignment vertical="center"/>
    </xf>
    <xf numFmtId="0" fontId="49" fillId="3" borderId="6" xfId="4" applyFont="1" applyFill="1" applyBorder="1" applyAlignment="1">
      <alignment vertical="center"/>
    </xf>
    <xf numFmtId="0" fontId="51" fillId="3" borderId="76" xfId="0" applyFont="1" applyFill="1" applyBorder="1" applyAlignment="1">
      <alignment horizontal="left" vertical="top" wrapText="1"/>
    </xf>
    <xf numFmtId="0" fontId="90" fillId="3" borderId="76" xfId="0" applyFont="1" applyFill="1" applyBorder="1" applyAlignment="1">
      <alignment horizontal="left" vertical="top" wrapText="1"/>
    </xf>
    <xf numFmtId="0" fontId="91" fillId="3" borderId="76" xfId="0" applyFont="1" applyFill="1" applyBorder="1" applyAlignment="1">
      <alignment horizontal="left" vertical="top" wrapText="1"/>
    </xf>
    <xf numFmtId="0" fontId="78" fillId="3" borderId="76" xfId="0" applyFont="1" applyFill="1" applyBorder="1" applyAlignment="1">
      <alignment horizontal="left" vertical="top" wrapText="1"/>
    </xf>
    <xf numFmtId="0" fontId="5" fillId="0" borderId="58" xfId="0" applyFont="1" applyFill="1" applyBorder="1" applyAlignment="1" applyProtection="1">
      <alignment horizontal="left" vertical="center" wrapText="1"/>
      <protection locked="0"/>
    </xf>
    <xf numFmtId="0" fontId="79" fillId="0" borderId="58" xfId="0" applyFont="1" applyFill="1" applyBorder="1" applyAlignment="1" applyProtection="1">
      <alignment vertical="center" wrapText="1"/>
      <protection locked="0"/>
    </xf>
    <xf numFmtId="0" fontId="5" fillId="0" borderId="72" xfId="0" applyFont="1" applyFill="1" applyBorder="1" applyAlignment="1" applyProtection="1">
      <alignment horizontal="left" vertical="center" wrapText="1"/>
      <protection locked="0"/>
    </xf>
    <xf numFmtId="0" fontId="77" fillId="0" borderId="0" xfId="0" applyFont="1" applyFill="1" applyBorder="1" applyAlignment="1" applyProtection="1">
      <alignment horizontal="center" vertical="center" wrapText="1"/>
      <protection locked="0"/>
    </xf>
    <xf numFmtId="0" fontId="13" fillId="0" borderId="0" xfId="2" applyFill="1" applyBorder="1" applyAlignment="1" applyProtection="1">
      <alignment horizontal="left" vertical="center" wrapText="1"/>
    </xf>
    <xf numFmtId="164" fontId="7" fillId="0" borderId="22" xfId="0" applyNumberFormat="1" applyFont="1" applyFill="1" applyBorder="1" applyAlignment="1" applyProtection="1">
      <alignment horizontal="center" vertical="center" wrapText="1"/>
    </xf>
    <xf numFmtId="164" fontId="46" fillId="0" borderId="22" xfId="0" applyNumberFormat="1" applyFont="1" applyFill="1" applyBorder="1" applyAlignment="1" applyProtection="1">
      <alignment horizontal="center" vertical="center" wrapText="1"/>
    </xf>
    <xf numFmtId="0" fontId="78" fillId="0" borderId="32" xfId="0" applyFont="1" applyFill="1" applyBorder="1" applyAlignment="1">
      <alignment horizontal="center" vertical="center" wrapText="1"/>
    </xf>
    <xf numFmtId="0" fontId="90" fillId="0" borderId="76" xfId="0" applyFont="1" applyFill="1" applyBorder="1" applyAlignment="1">
      <alignment horizontal="left" vertical="top" wrapText="1"/>
    </xf>
    <xf numFmtId="0" fontId="21" fillId="6" borderId="73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1" fillId="6" borderId="57" xfId="1" applyFont="1" applyFill="1" applyBorder="1" applyAlignment="1">
      <alignment horizontal="left" vertical="center" wrapText="1"/>
    </xf>
    <xf numFmtId="0" fontId="5" fillId="3" borderId="57" xfId="0" applyFont="1" applyFill="1" applyBorder="1" applyAlignment="1">
      <alignment wrapText="1"/>
    </xf>
    <xf numFmtId="0" fontId="52" fillId="6" borderId="117" xfId="2" applyFont="1" applyFill="1" applyBorder="1" applyAlignment="1" applyProtection="1">
      <alignment horizontal="center" vertical="center" wrapText="1"/>
      <protection locked="0"/>
    </xf>
    <xf numFmtId="0" fontId="52" fillId="6" borderId="117" xfId="2" applyFont="1" applyFill="1" applyBorder="1" applyAlignment="1" applyProtection="1">
      <alignment horizontal="center" vertical="center"/>
      <protection locked="0"/>
    </xf>
    <xf numFmtId="0" fontId="93" fillId="0" borderId="57" xfId="0" applyFont="1" applyFill="1" applyBorder="1" applyAlignment="1" applyProtection="1">
      <alignment horizontal="left" vertical="center"/>
      <protection locked="0"/>
    </xf>
    <xf numFmtId="0" fontId="52" fillId="6" borderId="119" xfId="2" applyFont="1" applyFill="1" applyBorder="1" applyAlignment="1" applyProtection="1">
      <alignment horizontal="center" vertical="center" wrapText="1"/>
      <protection locked="0"/>
    </xf>
    <xf numFmtId="0" fontId="77" fillId="0" borderId="58" xfId="0" applyFont="1" applyBorder="1" applyAlignment="1" applyProtection="1">
      <alignment horizontal="left" vertical="center" wrapText="1"/>
      <protection locked="0"/>
    </xf>
    <xf numFmtId="0" fontId="77" fillId="0" borderId="58" xfId="0" applyFont="1" applyFill="1" applyBorder="1" applyAlignment="1" applyProtection="1">
      <alignment horizontal="left" vertical="center" wrapText="1"/>
      <protection locked="0"/>
    </xf>
    <xf numFmtId="0" fontId="5" fillId="0" borderId="57" xfId="0" applyFont="1" applyFill="1" applyBorder="1" applyAlignment="1" applyProtection="1">
      <alignment horizontal="center" vertical="center" wrapText="1"/>
      <protection locked="0"/>
    </xf>
    <xf numFmtId="0" fontId="5" fillId="0" borderId="57" xfId="0" applyFont="1" applyFill="1" applyBorder="1" applyAlignment="1" applyProtection="1">
      <alignment vertical="center" wrapText="1"/>
      <protection locked="0"/>
    </xf>
    <xf numFmtId="0" fontId="52" fillId="6" borderId="59" xfId="2" applyFont="1" applyFill="1" applyBorder="1" applyAlignment="1" applyProtection="1">
      <alignment vertical="center" wrapText="1"/>
      <protection locked="0"/>
    </xf>
    <xf numFmtId="0" fontId="77" fillId="0" borderId="63" xfId="0" applyFont="1" applyBorder="1" applyAlignment="1" applyProtection="1">
      <alignment horizontal="left" vertical="center" wrapText="1"/>
      <protection locked="0"/>
    </xf>
    <xf numFmtId="0" fontId="77" fillId="3" borderId="63" xfId="0" applyFont="1" applyFill="1" applyBorder="1" applyAlignment="1" applyProtection="1">
      <alignment horizontal="left" vertical="center" wrapText="1"/>
      <protection locked="0"/>
    </xf>
    <xf numFmtId="0" fontId="77" fillId="0" borderId="22" xfId="0" applyFont="1" applyBorder="1" applyAlignment="1" applyProtection="1">
      <alignment horizontal="left" vertical="center" wrapText="1"/>
      <protection locked="0"/>
    </xf>
    <xf numFmtId="0" fontId="79" fillId="0" borderId="63" xfId="0" applyFont="1" applyBorder="1" applyAlignment="1" applyProtection="1">
      <alignment horizontal="left" vertical="center" wrapText="1"/>
      <protection locked="0"/>
    </xf>
    <xf numFmtId="0" fontId="79" fillId="3" borderId="63" xfId="0" applyFont="1" applyFill="1" applyBorder="1" applyAlignment="1" applyProtection="1">
      <alignment horizontal="left" vertical="center" wrapText="1"/>
      <protection locked="0"/>
    </xf>
    <xf numFmtId="0" fontId="79" fillId="0" borderId="63" xfId="0" applyFont="1" applyFill="1" applyBorder="1" applyAlignment="1" applyProtection="1">
      <alignment horizontal="left" vertical="center" wrapText="1"/>
      <protection locked="0"/>
    </xf>
    <xf numFmtId="0" fontId="77" fillId="3" borderId="61" xfId="0" applyFont="1" applyFill="1" applyBorder="1" applyAlignment="1" applyProtection="1">
      <alignment horizontal="left" vertical="center" wrapText="1"/>
      <protection locked="0"/>
    </xf>
    <xf numFmtId="0" fontId="77" fillId="0" borderId="63" xfId="0" applyFont="1" applyFill="1" applyBorder="1" applyAlignment="1" applyProtection="1">
      <alignment horizontal="left" vertical="center" wrapText="1"/>
      <protection locked="0"/>
    </xf>
    <xf numFmtId="0" fontId="80" fillId="0" borderId="57" xfId="0" applyFont="1" applyBorder="1" applyAlignment="1" applyProtection="1">
      <alignment horizontal="center" vertical="center" wrapText="1"/>
      <protection locked="0"/>
    </xf>
    <xf numFmtId="0" fontId="63" fillId="15" borderId="42" xfId="0" applyFont="1" applyFill="1" applyBorder="1" applyAlignment="1">
      <alignment vertical="center" wrapText="1"/>
    </xf>
    <xf numFmtId="0" fontId="63" fillId="15" borderId="43" xfId="0" applyFont="1" applyFill="1" applyBorder="1" applyAlignment="1">
      <alignment vertical="center" wrapText="1"/>
    </xf>
    <xf numFmtId="0" fontId="66" fillId="0" borderId="49" xfId="0" applyFont="1" applyBorder="1" applyAlignment="1">
      <alignment vertical="center" wrapText="1"/>
    </xf>
    <xf numFmtId="0" fontId="66" fillId="0" borderId="45" xfId="0" applyFont="1" applyBorder="1" applyAlignment="1">
      <alignment vertical="center" wrapText="1"/>
    </xf>
    <xf numFmtId="0" fontId="66" fillId="0" borderId="44" xfId="0" applyFont="1" applyBorder="1" applyAlignment="1">
      <alignment vertical="center" wrapText="1"/>
    </xf>
    <xf numFmtId="0" fontId="73" fillId="15" borderId="48" xfId="0" applyFont="1" applyFill="1" applyBorder="1" applyAlignment="1">
      <alignment vertical="center" wrapText="1"/>
    </xf>
    <xf numFmtId="0" fontId="73" fillId="15" borderId="46" xfId="0" applyFont="1" applyFill="1" applyBorder="1" applyAlignment="1">
      <alignment vertical="center" wrapText="1"/>
    </xf>
    <xf numFmtId="0" fontId="66" fillId="16" borderId="49" xfId="0" applyFont="1" applyFill="1" applyBorder="1" applyAlignment="1">
      <alignment vertical="center" wrapText="1"/>
    </xf>
    <xf numFmtId="0" fontId="66" fillId="16" borderId="44" xfId="0" applyFont="1" applyFill="1" applyBorder="1" applyAlignment="1">
      <alignment vertical="center" wrapText="1"/>
    </xf>
    <xf numFmtId="49" fontId="65" fillId="11" borderId="28" xfId="6" applyNumberFormat="1" applyFont="1" applyFill="1" applyBorder="1" applyAlignment="1">
      <alignment horizontal="center" vertical="center" wrapText="1"/>
    </xf>
    <xf numFmtId="49" fontId="53" fillId="11" borderId="32" xfId="6" applyNumberFormat="1" applyFont="1" applyFill="1" applyBorder="1" applyAlignment="1">
      <alignment horizontal="center" vertical="center" wrapText="1"/>
    </xf>
    <xf numFmtId="0" fontId="63" fillId="15" borderId="50" xfId="0" applyFont="1" applyFill="1" applyBorder="1" applyAlignment="1">
      <alignment horizontal="center" vertical="center" wrapText="1"/>
    </xf>
    <xf numFmtId="0" fontId="63" fillId="15" borderId="51" xfId="0" applyFont="1" applyFill="1" applyBorder="1" applyAlignment="1">
      <alignment horizontal="center" vertical="center" wrapText="1"/>
    </xf>
    <xf numFmtId="0" fontId="63" fillId="15" borderId="48" xfId="0" applyFont="1" applyFill="1" applyBorder="1" applyAlignment="1">
      <alignment horizontal="center" vertical="center" wrapText="1"/>
    </xf>
    <xf numFmtId="0" fontId="63" fillId="15" borderId="46" xfId="0" applyFont="1" applyFill="1" applyBorder="1" applyAlignment="1">
      <alignment horizontal="center" vertical="center" wrapText="1"/>
    </xf>
    <xf numFmtId="0" fontId="66" fillId="0" borderId="49" xfId="0" applyFont="1" applyBorder="1" applyAlignment="1">
      <alignment horizontal="center" vertical="center" wrapText="1"/>
    </xf>
    <xf numFmtId="0" fontId="66" fillId="0" borderId="45" xfId="0" applyFont="1" applyBorder="1" applyAlignment="1">
      <alignment horizontal="center" vertical="center" wrapText="1"/>
    </xf>
    <xf numFmtId="0" fontId="66" fillId="0" borderId="44" xfId="0" applyFont="1" applyBorder="1" applyAlignment="1">
      <alignment horizontal="center" vertical="center" wrapText="1"/>
    </xf>
    <xf numFmtId="0" fontId="42" fillId="7" borderId="53" xfId="6" applyFont="1" applyFill="1" applyBorder="1" applyAlignment="1">
      <alignment horizontal="center" vertical="center" wrapText="1"/>
    </xf>
    <xf numFmtId="0" fontId="42" fillId="7" borderId="18" xfId="6" applyFont="1" applyFill="1" applyBorder="1" applyAlignment="1">
      <alignment horizontal="center" vertical="center" wrapText="1"/>
    </xf>
    <xf numFmtId="0" fontId="42" fillId="7" borderId="1" xfId="6" applyFont="1" applyFill="1" applyBorder="1" applyAlignment="1">
      <alignment horizontal="center" vertical="center" wrapText="1"/>
    </xf>
    <xf numFmtId="0" fontId="42" fillId="7" borderId="2" xfId="6" applyFont="1" applyFill="1" applyBorder="1" applyAlignment="1">
      <alignment horizontal="center" vertical="center" wrapText="1"/>
    </xf>
    <xf numFmtId="0" fontId="42" fillId="7" borderId="5" xfId="6" applyFont="1" applyFill="1" applyBorder="1" applyAlignment="1">
      <alignment horizontal="center" vertical="center" wrapText="1"/>
    </xf>
    <xf numFmtId="0" fontId="42" fillId="7" borderId="0" xfId="6" applyFont="1" applyFill="1" applyBorder="1" applyAlignment="1">
      <alignment horizontal="center" vertical="center" wrapText="1"/>
    </xf>
    <xf numFmtId="11" fontId="40" fillId="11" borderId="0" xfId="6" applyNumberFormat="1" applyFont="1" applyFill="1" applyBorder="1" applyAlignment="1">
      <alignment horizontal="left" vertical="center"/>
    </xf>
    <xf numFmtId="11" fontId="40" fillId="11" borderId="18" xfId="6" applyNumberFormat="1" applyFont="1" applyFill="1" applyBorder="1" applyAlignment="1">
      <alignment horizontal="left" vertical="center"/>
    </xf>
    <xf numFmtId="0" fontId="69" fillId="11" borderId="0" xfId="1" applyFont="1" applyFill="1" applyBorder="1" applyAlignment="1">
      <alignment horizontal="center" vertical="center" wrapText="1"/>
    </xf>
    <xf numFmtId="49" fontId="70" fillId="11" borderId="0" xfId="6" applyNumberFormat="1" applyFont="1" applyFill="1" applyBorder="1" applyAlignment="1">
      <alignment horizontal="center" vertical="center" wrapText="1"/>
    </xf>
    <xf numFmtId="49" fontId="57" fillId="11" borderId="0" xfId="6" applyNumberFormat="1" applyFont="1" applyFill="1" applyBorder="1" applyAlignment="1">
      <alignment horizontal="center" vertical="center" wrapText="1"/>
    </xf>
    <xf numFmtId="0" fontId="45" fillId="3" borderId="2" xfId="6" applyFont="1" applyFill="1" applyBorder="1" applyAlignment="1">
      <alignment horizontal="center" vertical="center"/>
    </xf>
    <xf numFmtId="0" fontId="30" fillId="0" borderId="0" xfId="6" applyFont="1" applyFill="1" applyBorder="1" applyAlignment="1">
      <alignment horizontal="center" wrapText="1"/>
    </xf>
    <xf numFmtId="0" fontId="17" fillId="0" borderId="1" xfId="7" applyFont="1" applyFill="1" applyBorder="1" applyAlignment="1">
      <alignment horizontal="center" vertical="center" wrapText="1"/>
    </xf>
    <xf numFmtId="0" fontId="17" fillId="0" borderId="5" xfId="7" applyFont="1" applyFill="1" applyBorder="1" applyAlignment="1">
      <alignment horizontal="center" vertical="center" wrapText="1"/>
    </xf>
    <xf numFmtId="0" fontId="17" fillId="0" borderId="53" xfId="7" applyFont="1" applyFill="1" applyBorder="1" applyAlignment="1">
      <alignment horizontal="center" vertical="center" wrapText="1"/>
    </xf>
    <xf numFmtId="11" fontId="22" fillId="3" borderId="0" xfId="6" applyNumberFormat="1" applyFont="1" applyFill="1" applyBorder="1" applyAlignment="1">
      <alignment horizontal="center" vertical="center"/>
    </xf>
    <xf numFmtId="0" fontId="48" fillId="3" borderId="18" xfId="6" applyFont="1" applyFill="1" applyBorder="1" applyAlignment="1">
      <alignment horizontal="center" wrapText="1"/>
    </xf>
    <xf numFmtId="49" fontId="26" fillId="11" borderId="0" xfId="6" applyNumberFormat="1" applyFont="1" applyFill="1" applyBorder="1" applyAlignment="1">
      <alignment horizontal="center" vertical="center" wrapText="1"/>
    </xf>
    <xf numFmtId="11" fontId="40" fillId="11" borderId="0" xfId="6" applyNumberFormat="1" applyFont="1" applyFill="1" applyBorder="1" applyAlignment="1">
      <alignment horizontal="left" vertical="center" wrapText="1"/>
    </xf>
    <xf numFmtId="49" fontId="40" fillId="11" borderId="0" xfId="6" applyNumberFormat="1" applyFont="1" applyFill="1" applyBorder="1" applyAlignment="1">
      <alignment horizontal="left" vertical="center" wrapText="1"/>
    </xf>
    <xf numFmtId="0" fontId="20" fillId="10" borderId="59" xfId="1" applyFont="1" applyFill="1" applyBorder="1" applyAlignment="1">
      <alignment horizontal="center" vertical="center" wrapText="1"/>
    </xf>
    <xf numFmtId="0" fontId="20" fillId="10" borderId="68" xfId="1" applyFont="1" applyFill="1" applyBorder="1" applyAlignment="1">
      <alignment horizontal="center" vertical="center" wrapText="1"/>
    </xf>
    <xf numFmtId="0" fontId="21" fillId="6" borderId="73" xfId="1" applyFont="1" applyFill="1" applyBorder="1" applyAlignment="1">
      <alignment horizontal="left" vertical="center" wrapText="1"/>
    </xf>
    <xf numFmtId="0" fontId="21" fillId="6" borderId="92" xfId="1" applyFont="1" applyFill="1" applyBorder="1" applyAlignment="1">
      <alignment horizontal="left" vertical="center" wrapText="1"/>
    </xf>
    <xf numFmtId="0" fontId="21" fillId="6" borderId="65" xfId="1" applyFont="1" applyFill="1" applyBorder="1" applyAlignment="1">
      <alignment horizontal="left" vertical="center" wrapText="1"/>
    </xf>
    <xf numFmtId="0" fontId="21" fillId="6" borderId="88" xfId="1" applyFont="1" applyFill="1" applyBorder="1" applyAlignment="1">
      <alignment horizontal="left" vertical="center" wrapText="1"/>
    </xf>
    <xf numFmtId="0" fontId="21" fillId="6" borderId="74" xfId="1" applyFont="1" applyFill="1" applyBorder="1" applyAlignment="1">
      <alignment horizontal="left" vertical="center" wrapText="1"/>
    </xf>
    <xf numFmtId="0" fontId="21" fillId="6" borderId="86" xfId="1" applyFont="1" applyFill="1" applyBorder="1" applyAlignment="1">
      <alignment horizontal="left" vertical="center" wrapText="1"/>
    </xf>
    <xf numFmtId="0" fontId="21" fillId="6" borderId="67" xfId="1" applyFont="1" applyFill="1" applyBorder="1" applyAlignment="1">
      <alignment horizontal="left" vertical="center" wrapText="1"/>
    </xf>
    <xf numFmtId="0" fontId="21" fillId="6" borderId="86" xfId="1" applyFont="1" applyFill="1" applyBorder="1" applyAlignment="1">
      <alignment horizontal="center" vertical="center" wrapText="1"/>
    </xf>
    <xf numFmtId="0" fontId="21" fillId="6" borderId="67" xfId="1" applyFont="1" applyFill="1" applyBorder="1" applyAlignment="1">
      <alignment horizontal="center" vertical="center" wrapText="1"/>
    </xf>
    <xf numFmtId="0" fontId="20" fillId="8" borderId="105" xfId="1" applyFont="1" applyFill="1" applyBorder="1" applyAlignment="1">
      <alignment horizontal="left" vertical="center" wrapText="1"/>
    </xf>
    <xf numFmtId="0" fontId="20" fillId="8" borderId="0" xfId="1" applyFont="1" applyFill="1" applyBorder="1" applyAlignment="1">
      <alignment horizontal="left" vertical="center" wrapText="1"/>
    </xf>
    <xf numFmtId="0" fontId="20" fillId="8" borderId="106" xfId="1" applyFont="1" applyFill="1" applyBorder="1" applyAlignment="1">
      <alignment horizontal="left" vertical="center" wrapText="1"/>
    </xf>
    <xf numFmtId="0" fontId="20" fillId="8" borderId="116" xfId="1" applyFont="1" applyFill="1" applyBorder="1" applyAlignment="1">
      <alignment horizontal="left" vertical="center" wrapText="1"/>
    </xf>
    <xf numFmtId="0" fontId="20" fillId="8" borderId="112" xfId="1" applyFont="1" applyFill="1" applyBorder="1" applyAlignment="1">
      <alignment horizontal="left" vertical="center" wrapText="1"/>
    </xf>
    <xf numFmtId="0" fontId="20" fillId="8" borderId="113" xfId="1" applyFont="1" applyFill="1" applyBorder="1" applyAlignment="1">
      <alignment horizontal="left" vertical="center" wrapText="1"/>
    </xf>
    <xf numFmtId="0" fontId="21" fillId="6" borderId="0" xfId="1" applyFont="1" applyFill="1" applyBorder="1" applyAlignment="1">
      <alignment horizontal="center" vertical="center"/>
    </xf>
    <xf numFmtId="0" fontId="21" fillId="6" borderId="115" xfId="1" applyFont="1" applyFill="1" applyBorder="1" applyAlignment="1">
      <alignment horizontal="center" vertical="center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12" xfId="0" applyFont="1" applyFill="1" applyBorder="1" applyAlignment="1" applyProtection="1">
      <alignment horizontal="center" vertical="center"/>
      <protection locked="0"/>
    </xf>
    <xf numFmtId="0" fontId="5" fillId="0" borderId="118" xfId="0" applyFont="1" applyFill="1" applyBorder="1" applyAlignment="1" applyProtection="1">
      <alignment horizontal="center" vertical="center"/>
      <protection locked="0"/>
    </xf>
    <xf numFmtId="0" fontId="5" fillId="0" borderId="57" xfId="0" applyFont="1" applyFill="1" applyBorder="1" applyAlignment="1" applyProtection="1">
      <alignment horizontal="center" vertical="center"/>
      <protection locked="0"/>
    </xf>
    <xf numFmtId="0" fontId="77" fillId="0" borderId="86" xfId="0" applyFont="1" applyBorder="1" applyAlignment="1" applyProtection="1">
      <alignment horizontal="left" vertical="center" wrapText="1"/>
      <protection locked="0"/>
    </xf>
    <xf numFmtId="0" fontId="77" fillId="0" borderId="87" xfId="0" applyFont="1" applyBorder="1" applyAlignment="1" applyProtection="1">
      <alignment horizontal="left" vertical="center" wrapText="1"/>
      <protection locked="0"/>
    </xf>
    <xf numFmtId="0" fontId="77" fillId="0" borderId="67" xfId="0" applyFont="1" applyBorder="1" applyAlignment="1" applyProtection="1">
      <alignment horizontal="left" vertical="center" wrapText="1"/>
      <protection locked="0"/>
    </xf>
    <xf numFmtId="0" fontId="79" fillId="0" borderId="86" xfId="0" applyFont="1" applyFill="1" applyBorder="1" applyAlignment="1" applyProtection="1">
      <alignment horizontal="left" vertical="center" wrapText="1"/>
      <protection locked="0"/>
    </xf>
    <xf numFmtId="0" fontId="79" fillId="0" borderId="87" xfId="0" applyFont="1" applyFill="1" applyBorder="1" applyAlignment="1" applyProtection="1">
      <alignment horizontal="left" vertical="center" wrapText="1"/>
      <protection locked="0"/>
    </xf>
    <xf numFmtId="0" fontId="79" fillId="0" borderId="67" xfId="0" applyFont="1" applyFill="1" applyBorder="1" applyAlignment="1" applyProtection="1">
      <alignment horizontal="left" vertical="center" wrapText="1"/>
      <protection locked="0"/>
    </xf>
    <xf numFmtId="0" fontId="79" fillId="0" borderId="57" xfId="0" applyFont="1" applyFill="1" applyBorder="1" applyAlignment="1" applyProtection="1">
      <alignment horizontal="left" vertical="center" wrapText="1"/>
      <protection locked="0"/>
    </xf>
    <xf numFmtId="0" fontId="21" fillId="6" borderId="84" xfId="1" applyFont="1" applyFill="1" applyBorder="1" applyAlignment="1">
      <alignment horizontal="left" vertical="center" wrapText="1"/>
    </xf>
    <xf numFmtId="0" fontId="21" fillId="6" borderId="71" xfId="1" applyFont="1" applyFill="1" applyBorder="1" applyAlignment="1">
      <alignment horizontal="left" vertical="center" wrapText="1"/>
    </xf>
    <xf numFmtId="0" fontId="21" fillId="6" borderId="23" xfId="1" applyFont="1" applyFill="1" applyBorder="1" applyAlignment="1">
      <alignment horizontal="left" vertical="center" wrapText="1"/>
    </xf>
    <xf numFmtId="0" fontId="21" fillId="6" borderId="0" xfId="1" applyFont="1" applyFill="1" applyBorder="1" applyAlignment="1">
      <alignment horizontal="left" vertical="center" wrapText="1"/>
    </xf>
    <xf numFmtId="0" fontId="20" fillId="8" borderId="88" xfId="1" applyFont="1" applyFill="1" applyBorder="1" applyAlignment="1">
      <alignment horizontal="left" vertical="center" wrapText="1"/>
    </xf>
    <xf numFmtId="0" fontId="20" fillId="8" borderId="70" xfId="1" applyFont="1" applyFill="1" applyBorder="1" applyAlignment="1">
      <alignment horizontal="left" vertical="center" wrapText="1"/>
    </xf>
    <xf numFmtId="0" fontId="20" fillId="8" borderId="74" xfId="1" applyFont="1" applyFill="1" applyBorder="1" applyAlignment="1">
      <alignment horizontal="left" vertical="center" wrapText="1"/>
    </xf>
    <xf numFmtId="0" fontId="20" fillId="8" borderId="107" xfId="1" applyFont="1" applyFill="1" applyBorder="1" applyAlignment="1">
      <alignment horizontal="left" vertical="center" wrapText="1"/>
    </xf>
    <xf numFmtId="0" fontId="20" fillId="8" borderId="104" xfId="1" applyFont="1" applyFill="1" applyBorder="1" applyAlignment="1">
      <alignment horizontal="left" vertical="center" wrapText="1"/>
    </xf>
    <xf numFmtId="0" fontId="20" fillId="8" borderId="108" xfId="1" applyFont="1" applyFill="1" applyBorder="1" applyAlignment="1">
      <alignment horizontal="left" vertical="center" wrapText="1"/>
    </xf>
    <xf numFmtId="0" fontId="20" fillId="8" borderId="86" xfId="1" applyFont="1" applyFill="1" applyBorder="1" applyAlignment="1">
      <alignment vertical="center" wrapText="1"/>
    </xf>
    <xf numFmtId="0" fontId="20" fillId="8" borderId="87" xfId="1" applyFont="1" applyFill="1" applyBorder="1" applyAlignment="1">
      <alignment vertical="center" wrapText="1"/>
    </xf>
    <xf numFmtId="0" fontId="20" fillId="8" borderId="67" xfId="1" applyFont="1" applyFill="1" applyBorder="1" applyAlignment="1">
      <alignment vertical="center" wrapText="1"/>
    </xf>
    <xf numFmtId="0" fontId="21" fillId="6" borderId="40" xfId="1" applyFont="1" applyFill="1" applyBorder="1" applyAlignment="1">
      <alignment horizontal="left" vertical="center" wrapText="1"/>
    </xf>
    <xf numFmtId="0" fontId="21" fillId="6" borderId="75" xfId="1" applyFont="1" applyFill="1" applyBorder="1" applyAlignment="1">
      <alignment horizontal="left" vertical="center" wrapText="1"/>
    </xf>
    <xf numFmtId="0" fontId="20" fillId="8" borderId="73" xfId="1" applyFont="1" applyFill="1" applyBorder="1" applyAlignment="1">
      <alignment horizontal="left" vertical="center" wrapText="1"/>
    </xf>
    <xf numFmtId="0" fontId="20" fillId="8" borderId="92" xfId="1" applyFont="1" applyFill="1" applyBorder="1" applyAlignment="1">
      <alignment horizontal="left" vertical="center" wrapText="1"/>
    </xf>
    <xf numFmtId="0" fontId="20" fillId="8" borderId="65" xfId="1" applyFont="1" applyFill="1" applyBorder="1" applyAlignment="1">
      <alignment horizontal="left" vertical="center" wrapText="1"/>
    </xf>
    <xf numFmtId="0" fontId="21" fillId="6" borderId="86" xfId="1" applyFont="1" applyFill="1" applyBorder="1" applyAlignment="1">
      <alignment vertical="center" wrapText="1"/>
    </xf>
    <xf numFmtId="0" fontId="21" fillId="6" borderId="67" xfId="1" applyFont="1" applyFill="1" applyBorder="1" applyAlignment="1">
      <alignment vertical="center" wrapText="1"/>
    </xf>
    <xf numFmtId="0" fontId="58" fillId="11" borderId="1" xfId="1" applyFont="1" applyFill="1" applyBorder="1" applyAlignment="1">
      <alignment horizontal="left" vertical="center" wrapText="1"/>
    </xf>
    <xf numFmtId="0" fontId="58" fillId="11" borderId="2" xfId="1" applyFont="1" applyFill="1" applyBorder="1" applyAlignment="1">
      <alignment horizontal="left" vertical="center" wrapText="1"/>
    </xf>
    <xf numFmtId="0" fontId="58" fillId="11" borderId="5" xfId="1" applyFont="1" applyFill="1" applyBorder="1" applyAlignment="1">
      <alignment horizontal="left" vertical="center" wrapText="1"/>
    </xf>
    <xf numFmtId="0" fontId="58" fillId="11" borderId="0" xfId="1" applyFont="1" applyFill="1" applyBorder="1" applyAlignment="1">
      <alignment horizontal="left" vertical="center" wrapText="1"/>
    </xf>
    <xf numFmtId="0" fontId="20" fillId="6" borderId="61" xfId="1" applyFont="1" applyFill="1" applyBorder="1" applyAlignment="1">
      <alignment horizontal="left" vertical="center" wrapText="1"/>
    </xf>
    <xf numFmtId="0" fontId="52" fillId="6" borderId="61" xfId="0" applyFont="1" applyFill="1" applyBorder="1" applyAlignment="1">
      <alignment horizontal="center" vertical="center" wrapText="1"/>
    </xf>
    <xf numFmtId="0" fontId="5" fillId="0" borderId="61" xfId="0" applyFont="1" applyFill="1" applyBorder="1" applyAlignment="1" applyProtection="1">
      <alignment horizontal="center" vertical="center" wrapText="1"/>
      <protection locked="0"/>
    </xf>
    <xf numFmtId="0" fontId="20" fillId="6" borderId="58" xfId="1" applyFont="1" applyFill="1" applyBorder="1" applyAlignment="1">
      <alignment horizontal="left" vertical="center" wrapText="1"/>
    </xf>
    <xf numFmtId="0" fontId="87" fillId="6" borderId="58" xfId="1" applyFont="1" applyFill="1" applyBorder="1" applyAlignment="1">
      <alignment horizontal="left" vertical="center" wrapText="1"/>
    </xf>
    <xf numFmtId="0" fontId="20" fillId="6" borderId="60" xfId="1" applyFont="1" applyFill="1" applyBorder="1" applyAlignment="1">
      <alignment horizontal="left" vertical="center" wrapText="1"/>
    </xf>
    <xf numFmtId="0" fontId="20" fillId="6" borderId="72" xfId="1" applyFont="1" applyFill="1" applyBorder="1" applyAlignment="1">
      <alignment horizontal="left" vertical="center" wrapText="1"/>
    </xf>
    <xf numFmtId="0" fontId="5" fillId="0" borderId="61" xfId="0" applyFont="1" applyBorder="1" applyAlignment="1" applyProtection="1">
      <alignment horizontal="center" vertical="top" wrapText="1"/>
      <protection locked="0"/>
    </xf>
    <xf numFmtId="0" fontId="5" fillId="0" borderId="61" xfId="0" applyFont="1" applyBorder="1" applyAlignment="1" applyProtection="1">
      <alignment horizontal="center" vertical="center" wrapText="1"/>
      <protection locked="0"/>
    </xf>
    <xf numFmtId="0" fontId="82" fillId="11" borderId="0" xfId="1" applyFont="1" applyFill="1" applyBorder="1" applyAlignment="1">
      <alignment horizontal="left" vertical="center" wrapText="1"/>
    </xf>
    <xf numFmtId="0" fontId="82" fillId="11" borderId="6" xfId="1" applyFont="1" applyFill="1" applyBorder="1" applyAlignment="1">
      <alignment horizontal="left" vertical="center" wrapText="1"/>
    </xf>
    <xf numFmtId="0" fontId="88" fillId="5" borderId="23" xfId="1" applyFont="1" applyFill="1" applyBorder="1" applyAlignment="1">
      <alignment horizontal="center" vertical="center" wrapText="1"/>
    </xf>
    <xf numFmtId="0" fontId="88" fillId="5" borderId="0" xfId="1" applyFont="1" applyFill="1" applyBorder="1" applyAlignment="1">
      <alignment horizontal="center" vertical="center" wrapText="1"/>
    </xf>
    <xf numFmtId="0" fontId="88" fillId="5" borderId="6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10" fillId="2" borderId="0" xfId="1" applyFont="1" applyFill="1" applyBorder="1" applyAlignment="1">
      <alignment horizontal="left" vertical="center" wrapText="1"/>
    </xf>
    <xf numFmtId="0" fontId="10" fillId="2" borderId="6" xfId="1" applyFont="1" applyFill="1" applyBorder="1" applyAlignment="1">
      <alignment horizontal="left" vertical="center" wrapText="1"/>
    </xf>
    <xf numFmtId="0" fontId="5" fillId="0" borderId="58" xfId="0" applyFont="1" applyFill="1" applyBorder="1" applyAlignment="1" applyProtection="1">
      <alignment horizontal="center" vertical="center" wrapText="1"/>
      <protection locked="0"/>
    </xf>
    <xf numFmtId="0" fontId="5" fillId="0" borderId="58" xfId="0" applyFont="1" applyBorder="1" applyAlignment="1" applyProtection="1">
      <alignment horizontal="center" vertical="center" wrapText="1"/>
      <protection locked="0"/>
    </xf>
    <xf numFmtId="0" fontId="20" fillId="10" borderId="101" xfId="1" applyFont="1" applyFill="1" applyBorder="1" applyAlignment="1">
      <alignment horizontal="left" vertical="center" wrapText="1"/>
    </xf>
    <xf numFmtId="0" fontId="20" fillId="10" borderId="63" xfId="1" applyFont="1" applyFill="1" applyBorder="1" applyAlignment="1">
      <alignment horizontal="left" vertical="center" wrapText="1"/>
    </xf>
    <xf numFmtId="0" fontId="5" fillId="0" borderId="86" xfId="0" applyFont="1" applyFill="1" applyBorder="1" applyAlignment="1" applyProtection="1">
      <alignment horizontal="center" vertical="center" wrapText="1"/>
      <protection locked="0"/>
    </xf>
    <xf numFmtId="0" fontId="5" fillId="0" borderId="87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 vertical="center" wrapText="1"/>
    </xf>
    <xf numFmtId="0" fontId="20" fillId="10" borderId="58" xfId="1" applyFont="1" applyFill="1" applyBorder="1" applyAlignment="1">
      <alignment horizontal="left" vertical="center" wrapText="1"/>
    </xf>
    <xf numFmtId="0" fontId="20" fillId="10" borderId="86" xfId="1" applyFont="1" applyFill="1" applyBorder="1" applyAlignment="1">
      <alignment horizontal="left" vertical="center" wrapText="1"/>
    </xf>
    <xf numFmtId="0" fontId="13" fillId="4" borderId="58" xfId="2" applyFill="1" applyBorder="1" applyAlignment="1" applyProtection="1">
      <alignment horizontal="center" vertical="center" wrapText="1"/>
      <protection locked="0"/>
    </xf>
    <xf numFmtId="0" fontId="15" fillId="6" borderId="58" xfId="2" applyFont="1" applyFill="1" applyBorder="1" applyAlignment="1" applyProtection="1">
      <alignment horizontal="center" vertical="center" wrapText="1"/>
      <protection locked="0"/>
    </xf>
    <xf numFmtId="0" fontId="5" fillId="0" borderId="57" xfId="0" applyFont="1" applyFill="1" applyBorder="1" applyAlignment="1" applyProtection="1">
      <alignment horizontal="center" vertical="center" wrapText="1"/>
      <protection locked="0"/>
    </xf>
    <xf numFmtId="0" fontId="15" fillId="6" borderId="58" xfId="0" applyFont="1" applyFill="1" applyBorder="1" applyAlignment="1">
      <alignment horizontal="center" vertical="center" wrapText="1"/>
    </xf>
    <xf numFmtId="0" fontId="52" fillId="6" borderId="61" xfId="2" applyFont="1" applyFill="1" applyBorder="1" applyAlignment="1" applyProtection="1">
      <alignment horizontal="center" vertical="center" wrapText="1"/>
      <protection locked="0"/>
    </xf>
    <xf numFmtId="0" fontId="52" fillId="6" borderId="62" xfId="2" applyFont="1" applyFill="1" applyBorder="1" applyAlignment="1" applyProtection="1">
      <alignment horizontal="center" vertical="center" wrapText="1"/>
      <protection locked="0"/>
    </xf>
    <xf numFmtId="0" fontId="5" fillId="0" borderId="121" xfId="0" applyFont="1" applyFill="1" applyBorder="1" applyAlignment="1" applyProtection="1">
      <alignment horizontal="center" vertical="center" wrapText="1"/>
      <protection locked="0"/>
    </xf>
    <xf numFmtId="0" fontId="5" fillId="0" borderId="122" xfId="0" applyFont="1" applyFill="1" applyBorder="1" applyAlignment="1" applyProtection="1">
      <alignment horizontal="center" vertical="center" wrapText="1"/>
      <protection locked="0"/>
    </xf>
    <xf numFmtId="0" fontId="79" fillId="0" borderId="59" xfId="0" applyFont="1" applyBorder="1" applyAlignment="1" applyProtection="1">
      <alignment horizontal="center" vertical="center" wrapText="1"/>
      <protection locked="0"/>
    </xf>
    <xf numFmtId="0" fontId="79" fillId="0" borderId="68" xfId="0" applyFont="1" applyBorder="1" applyAlignment="1" applyProtection="1">
      <alignment horizontal="center" vertical="center" wrapText="1"/>
      <protection locked="0"/>
    </xf>
    <xf numFmtId="0" fontId="52" fillId="6" borderId="58" xfId="0" applyFont="1" applyFill="1" applyBorder="1" applyAlignment="1">
      <alignment horizontal="center" vertical="center"/>
    </xf>
    <xf numFmtId="0" fontId="79" fillId="0" borderId="58" xfId="0" applyFont="1" applyFill="1" applyBorder="1" applyAlignment="1" applyProtection="1">
      <alignment horizontal="center" vertical="center" wrapText="1"/>
      <protection locked="0"/>
    </xf>
    <xf numFmtId="0" fontId="52" fillId="6" borderId="60" xfId="0" applyFont="1" applyFill="1" applyBorder="1" applyAlignment="1">
      <alignment horizontal="center" vertical="center" wrapText="1"/>
    </xf>
    <xf numFmtId="0" fontId="21" fillId="10" borderId="86" xfId="1" applyFont="1" applyFill="1" applyBorder="1" applyAlignment="1">
      <alignment horizontal="left" vertical="top" wrapText="1"/>
    </xf>
    <xf numFmtId="0" fontId="21" fillId="10" borderId="67" xfId="1" applyFont="1" applyFill="1" applyBorder="1" applyAlignment="1">
      <alignment horizontal="left" vertical="top" wrapText="1"/>
    </xf>
    <xf numFmtId="0" fontId="64" fillId="0" borderId="0" xfId="0" applyFont="1" applyAlignment="1">
      <alignment horizontal="left" vertical="center" wrapText="1"/>
    </xf>
    <xf numFmtId="0" fontId="79" fillId="0" borderId="86" xfId="0" applyFont="1" applyBorder="1" applyAlignment="1" applyProtection="1">
      <alignment horizontal="left" vertical="center" wrapText="1"/>
      <protection locked="0"/>
    </xf>
    <xf numFmtId="0" fontId="79" fillId="0" borderId="87" xfId="0" applyFont="1" applyBorder="1" applyAlignment="1" applyProtection="1">
      <alignment horizontal="left" vertical="center" wrapText="1"/>
      <protection locked="0"/>
    </xf>
    <xf numFmtId="0" fontId="79" fillId="0" borderId="67" xfId="0" applyFont="1" applyBorder="1" applyAlignment="1" applyProtection="1">
      <alignment horizontal="left" vertical="center" wrapText="1"/>
      <protection locked="0"/>
    </xf>
    <xf numFmtId="0" fontId="12" fillId="0" borderId="61" xfId="0" applyFont="1" applyFill="1" applyBorder="1" applyAlignment="1" applyProtection="1">
      <alignment horizontal="center" vertical="center" wrapText="1"/>
      <protection locked="0"/>
    </xf>
    <xf numFmtId="0" fontId="10" fillId="2" borderId="61" xfId="1" applyFont="1" applyFill="1" applyBorder="1" applyAlignment="1">
      <alignment horizontal="left" vertical="center" wrapText="1"/>
    </xf>
    <xf numFmtId="14" fontId="18" fillId="0" borderId="56" xfId="2" applyNumberFormat="1" applyFont="1" applyFill="1" applyBorder="1" applyAlignment="1" applyProtection="1">
      <alignment horizontal="center" vertical="center" wrapText="1"/>
    </xf>
    <xf numFmtId="14" fontId="18" fillId="0" borderId="0" xfId="2" applyNumberFormat="1" applyFont="1" applyFill="1" applyBorder="1" applyAlignment="1" applyProtection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52" fillId="6" borderId="59" xfId="2" applyFont="1" applyFill="1" applyBorder="1" applyAlignment="1" applyProtection="1">
      <alignment horizontal="center" vertical="center" wrapText="1"/>
      <protection locked="0"/>
    </xf>
    <xf numFmtId="0" fontId="11" fillId="10" borderId="61" xfId="1" applyFont="1" applyFill="1" applyBorder="1" applyAlignment="1">
      <alignment horizontal="center" vertical="center" wrapText="1"/>
    </xf>
    <xf numFmtId="0" fontId="20" fillId="17" borderId="80" xfId="1" applyFont="1" applyFill="1" applyBorder="1" applyAlignment="1">
      <alignment horizontal="left" vertical="center" wrapText="1"/>
    </xf>
    <xf numFmtId="0" fontId="20" fillId="17" borderId="81" xfId="1" applyFont="1" applyFill="1" applyBorder="1" applyAlignment="1">
      <alignment horizontal="left" vertical="center" wrapText="1"/>
    </xf>
    <xf numFmtId="0" fontId="20" fillId="17" borderId="82" xfId="1" applyFont="1" applyFill="1" applyBorder="1" applyAlignment="1">
      <alignment horizontal="left" vertical="center" wrapText="1"/>
    </xf>
    <xf numFmtId="0" fontId="13" fillId="4" borderId="61" xfId="2" applyFill="1" applyBorder="1" applyAlignment="1" applyProtection="1">
      <alignment horizontal="center" vertical="center" wrapText="1"/>
      <protection locked="0"/>
    </xf>
    <xf numFmtId="0" fontId="20" fillId="10" borderId="60" xfId="1" applyFont="1" applyFill="1" applyBorder="1" applyAlignment="1">
      <alignment horizontal="left" vertical="center" wrapText="1"/>
    </xf>
    <xf numFmtId="0" fontId="20" fillId="10" borderId="61" xfId="1" applyFont="1" applyFill="1" applyBorder="1" applyAlignment="1">
      <alignment horizontal="left" vertical="center" wrapText="1"/>
    </xf>
    <xf numFmtId="0" fontId="20" fillId="17" borderId="61" xfId="1" applyFont="1" applyFill="1" applyBorder="1" applyAlignment="1">
      <alignment horizontal="left" vertical="center" wrapText="1"/>
    </xf>
    <xf numFmtId="0" fontId="11" fillId="6" borderId="0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52" fillId="6" borderId="65" xfId="2" applyFont="1" applyFill="1" applyBorder="1" applyAlignment="1" applyProtection="1">
      <alignment horizontal="center" vertical="center" wrapText="1"/>
      <protection locked="0"/>
    </xf>
    <xf numFmtId="0" fontId="52" fillId="6" borderId="66" xfId="2" applyFont="1" applyFill="1" applyBorder="1" applyAlignment="1" applyProtection="1">
      <alignment horizontal="center" vertical="center" wrapText="1"/>
      <protection locked="0"/>
    </xf>
    <xf numFmtId="0" fontId="21" fillId="6" borderId="14" xfId="1" applyFont="1" applyFill="1" applyBorder="1" applyAlignment="1">
      <alignment horizontal="left" vertical="center" wrapText="1"/>
    </xf>
    <xf numFmtId="0" fontId="21" fillId="6" borderId="93" xfId="1" applyFont="1" applyFill="1" applyBorder="1" applyAlignment="1">
      <alignment horizontal="left" vertical="center" wrapText="1"/>
    </xf>
    <xf numFmtId="0" fontId="77" fillId="0" borderId="73" xfId="0" applyFont="1" applyBorder="1" applyAlignment="1" applyProtection="1">
      <alignment horizontal="center" vertical="center" wrapText="1"/>
      <protection locked="0"/>
    </xf>
    <xf numFmtId="0" fontId="77" fillId="0" borderId="65" xfId="0" applyFont="1" applyBorder="1" applyAlignment="1" applyProtection="1">
      <alignment horizontal="center" vertical="center" wrapText="1"/>
      <protection locked="0"/>
    </xf>
    <xf numFmtId="0" fontId="10" fillId="2" borderId="103" xfId="1" applyFont="1" applyFill="1" applyBorder="1" applyAlignment="1">
      <alignment horizontal="left" vertical="center" wrapText="1"/>
    </xf>
    <xf numFmtId="0" fontId="10" fillId="2" borderId="104" xfId="1" applyFont="1" applyFill="1" applyBorder="1" applyAlignment="1">
      <alignment horizontal="left" vertical="center" wrapText="1"/>
    </xf>
    <xf numFmtId="0" fontId="79" fillId="0" borderId="97" xfId="0" applyFont="1" applyFill="1" applyBorder="1" applyAlignment="1" applyProtection="1">
      <alignment horizontal="left" vertical="center" wrapText="1"/>
      <protection locked="0"/>
    </xf>
    <xf numFmtId="0" fontId="79" fillId="0" borderId="98" xfId="0" applyFont="1" applyFill="1" applyBorder="1" applyAlignment="1" applyProtection="1">
      <alignment horizontal="left" vertical="center" wrapText="1"/>
      <protection locked="0"/>
    </xf>
    <xf numFmtId="0" fontId="79" fillId="0" borderId="99" xfId="0" applyFont="1" applyFill="1" applyBorder="1" applyAlignment="1" applyProtection="1">
      <alignment horizontal="left" vertical="center" wrapText="1"/>
      <protection locked="0"/>
    </xf>
    <xf numFmtId="0" fontId="20" fillId="8" borderId="109" xfId="1" applyFont="1" applyFill="1" applyBorder="1" applyAlignment="1">
      <alignment horizontal="left" vertical="center" wrapText="1"/>
    </xf>
    <xf numFmtId="0" fontId="20" fillId="8" borderId="110" xfId="1" applyFont="1" applyFill="1" applyBorder="1" applyAlignment="1">
      <alignment horizontal="left" vertical="center" wrapText="1"/>
    </xf>
    <xf numFmtId="0" fontId="20" fillId="8" borderId="111" xfId="1" applyFont="1" applyFill="1" applyBorder="1" applyAlignment="1">
      <alignment horizontal="left" vertical="center" wrapText="1"/>
    </xf>
    <xf numFmtId="0" fontId="52" fillId="6" borderId="86" xfId="1" applyFont="1" applyFill="1" applyBorder="1" applyAlignment="1">
      <alignment horizontal="left" vertical="center" wrapText="1"/>
    </xf>
    <xf numFmtId="0" fontId="52" fillId="6" borderId="87" xfId="1" applyFont="1" applyFill="1" applyBorder="1" applyAlignment="1">
      <alignment horizontal="left" vertical="center" wrapText="1"/>
    </xf>
    <xf numFmtId="0" fontId="52" fillId="6" borderId="67" xfId="1" applyFont="1" applyFill="1" applyBorder="1" applyAlignment="1">
      <alignment horizontal="left" vertical="center" wrapText="1"/>
    </xf>
    <xf numFmtId="0" fontId="10" fillId="2" borderId="114" xfId="1" applyFont="1" applyFill="1" applyBorder="1" applyAlignment="1">
      <alignment horizontal="left" vertical="center" wrapText="1"/>
    </xf>
    <xf numFmtId="0" fontId="10" fillId="2" borderId="106" xfId="1" applyFont="1" applyFill="1" applyBorder="1" applyAlignment="1">
      <alignment horizontal="left" vertical="center" wrapText="1"/>
    </xf>
    <xf numFmtId="0" fontId="52" fillId="6" borderId="120" xfId="2" applyFont="1" applyFill="1" applyBorder="1" applyAlignment="1" applyProtection="1">
      <alignment horizontal="center" vertical="center"/>
      <protection locked="0"/>
    </xf>
    <xf numFmtId="0" fontId="52" fillId="6" borderId="17" xfId="2" applyFont="1" applyFill="1" applyBorder="1" applyAlignment="1" applyProtection="1">
      <alignment horizontal="center" vertical="center"/>
      <protection locked="0"/>
    </xf>
    <xf numFmtId="0" fontId="93" fillId="0" borderId="16" xfId="0" applyFont="1" applyFill="1" applyBorder="1" applyAlignment="1" applyProtection="1">
      <alignment horizontal="center" vertical="center"/>
      <protection locked="0"/>
    </xf>
    <xf numFmtId="0" fontId="93" fillId="0" borderId="17" xfId="0" applyFont="1" applyFill="1" applyBorder="1" applyAlignment="1" applyProtection="1">
      <alignment horizontal="center" vertical="center"/>
      <protection locked="0"/>
    </xf>
    <xf numFmtId="0" fontId="52" fillId="6" borderId="120" xfId="2" applyFont="1" applyFill="1" applyBorder="1" applyAlignment="1" applyProtection="1">
      <alignment horizontal="center" vertical="center" wrapText="1"/>
      <protection locked="0"/>
    </xf>
    <xf numFmtId="0" fontId="52" fillId="6" borderId="17" xfId="2" applyFont="1" applyFill="1" applyBorder="1" applyAlignment="1" applyProtection="1">
      <alignment horizontal="center" vertical="center" wrapText="1"/>
      <protection locked="0"/>
    </xf>
    <xf numFmtId="0" fontId="77" fillId="0" borderId="0" xfId="0" applyFont="1" applyFill="1" applyBorder="1" applyAlignment="1" applyProtection="1">
      <alignment horizontal="center" vertical="center" wrapText="1"/>
      <protection locked="0"/>
    </xf>
    <xf numFmtId="0" fontId="77" fillId="0" borderId="56" xfId="0" applyFont="1" applyFill="1" applyBorder="1" applyAlignment="1" applyProtection="1">
      <alignment horizontal="center" vertical="center" wrapText="1"/>
      <protection locked="0"/>
    </xf>
    <xf numFmtId="0" fontId="77" fillId="0" borderId="58" xfId="0" applyFont="1" applyBorder="1" applyAlignment="1" applyProtection="1">
      <alignment horizontal="left" vertical="center" wrapText="1"/>
      <protection locked="0"/>
    </xf>
    <xf numFmtId="0" fontId="5" fillId="0" borderId="57" xfId="0" applyFont="1" applyBorder="1" applyAlignment="1" applyProtection="1">
      <alignment vertical="top" wrapText="1"/>
      <protection locked="0"/>
    </xf>
    <xf numFmtId="0" fontId="79" fillId="0" borderId="57" xfId="0" applyFont="1" applyBorder="1" applyAlignment="1" applyProtection="1">
      <alignment vertical="top" wrapText="1"/>
      <protection locked="0"/>
    </xf>
    <xf numFmtId="0" fontId="21" fillId="6" borderId="85" xfId="1" applyFont="1" applyFill="1" applyBorder="1" applyAlignment="1">
      <alignment horizontal="left" vertical="center" wrapText="1"/>
    </xf>
    <xf numFmtId="0" fontId="21" fillId="6" borderId="83" xfId="1" applyFont="1" applyFill="1" applyBorder="1" applyAlignment="1">
      <alignment horizontal="left" vertical="center" wrapText="1"/>
    </xf>
    <xf numFmtId="0" fontId="21" fillId="6" borderId="90" xfId="1" applyFont="1" applyFill="1" applyBorder="1" applyAlignment="1">
      <alignment horizontal="left" vertical="center" wrapText="1"/>
    </xf>
    <xf numFmtId="0" fontId="21" fillId="6" borderId="91" xfId="1" applyFont="1" applyFill="1" applyBorder="1" applyAlignment="1">
      <alignment horizontal="left" vertical="center" wrapText="1"/>
    </xf>
    <xf numFmtId="0" fontId="79" fillId="0" borderId="123" xfId="0" applyFont="1" applyBorder="1" applyAlignment="1" applyProtection="1">
      <alignment horizontal="center" vertical="center" wrapText="1"/>
      <protection locked="0"/>
    </xf>
    <xf numFmtId="0" fontId="79" fillId="0" borderId="41" xfId="0" applyFont="1" applyBorder="1" applyAlignment="1" applyProtection="1">
      <alignment horizontal="center" vertical="center" wrapText="1"/>
      <protection locked="0"/>
    </xf>
    <xf numFmtId="0" fontId="21" fillId="6" borderId="19" xfId="1" applyFont="1" applyFill="1" applyBorder="1" applyAlignment="1">
      <alignment horizontal="left" vertical="center" wrapText="1"/>
    </xf>
    <xf numFmtId="0" fontId="67" fillId="11" borderId="0" xfId="1" applyFont="1" applyFill="1" applyBorder="1" applyAlignment="1" applyProtection="1">
      <alignment horizontal="left" vertical="center" wrapText="1"/>
    </xf>
    <xf numFmtId="0" fontId="17" fillId="0" borderId="0" xfId="0" applyFont="1" applyAlignment="1" applyProtection="1">
      <alignment horizontal="left" wrapText="1"/>
    </xf>
    <xf numFmtId="0" fontId="17" fillId="0" borderId="0" xfId="0" applyFont="1" applyAlignment="1" applyProtection="1">
      <alignment horizontal="left"/>
    </xf>
    <xf numFmtId="0" fontId="49" fillId="0" borderId="0" xfId="4" applyFont="1" applyAlignment="1">
      <alignment horizontal="center" vertical="center"/>
    </xf>
    <xf numFmtId="0" fontId="59" fillId="11" borderId="9" xfId="4" applyFont="1" applyFill="1" applyBorder="1" applyAlignment="1">
      <alignment horizontal="center" vertical="center"/>
    </xf>
    <xf numFmtId="0" fontId="59" fillId="11" borderId="10" xfId="4" applyFont="1" applyFill="1" applyBorder="1" applyAlignment="1">
      <alignment horizontal="center" vertical="center"/>
    </xf>
    <xf numFmtId="0" fontId="59" fillId="11" borderId="11" xfId="4" applyFont="1" applyFill="1" applyBorder="1" applyAlignment="1">
      <alignment horizontal="center" vertical="center"/>
    </xf>
    <xf numFmtId="0" fontId="59" fillId="11" borderId="23" xfId="4" applyFont="1" applyFill="1" applyBorder="1" applyAlignment="1">
      <alignment horizontal="center" vertical="center"/>
    </xf>
    <xf numFmtId="0" fontId="59" fillId="11" borderId="0" xfId="4" applyFont="1" applyFill="1" applyBorder="1" applyAlignment="1">
      <alignment horizontal="center" vertical="center"/>
    </xf>
    <xf numFmtId="0" fontId="59" fillId="11" borderId="24" xfId="4" applyFont="1" applyFill="1" applyBorder="1" applyAlignment="1">
      <alignment horizontal="center" vertical="center"/>
    </xf>
    <xf numFmtId="0" fontId="59" fillId="11" borderId="25" xfId="4" applyFont="1" applyFill="1" applyBorder="1" applyAlignment="1">
      <alignment horizontal="center" vertical="center"/>
    </xf>
    <xf numFmtId="0" fontId="59" fillId="11" borderId="7" xfId="4" applyFont="1" applyFill="1" applyBorder="1" applyAlignment="1">
      <alignment horizontal="center" vertical="center"/>
    </xf>
    <xf numFmtId="0" fontId="59" fillId="11" borderId="26" xfId="4" applyFont="1" applyFill="1" applyBorder="1" applyAlignment="1">
      <alignment horizontal="center" vertical="center"/>
    </xf>
    <xf numFmtId="0" fontId="68" fillId="11" borderId="31" xfId="4" applyFont="1" applyFill="1" applyBorder="1" applyAlignment="1">
      <alignment horizontal="center" vertical="center"/>
    </xf>
    <xf numFmtId="0" fontId="68" fillId="11" borderId="29" xfId="4" applyFont="1" applyFill="1" applyBorder="1" applyAlignment="1">
      <alignment horizontal="center" vertical="center"/>
    </xf>
    <xf numFmtId="0" fontId="68" fillId="11" borderId="30" xfId="4" applyFont="1" applyFill="1" applyBorder="1" applyAlignment="1">
      <alignment horizontal="center" vertical="center"/>
    </xf>
    <xf numFmtId="0" fontId="68" fillId="11" borderId="32" xfId="4" applyFont="1" applyFill="1" applyBorder="1" applyAlignment="1">
      <alignment horizontal="center" vertical="center"/>
    </xf>
    <xf numFmtId="0" fontId="68" fillId="11" borderId="28" xfId="4" applyFont="1" applyFill="1" applyBorder="1" applyAlignment="1">
      <alignment horizontal="center" vertical="center"/>
    </xf>
    <xf numFmtId="0" fontId="53" fillId="11" borderId="9" xfId="4" applyFont="1" applyFill="1" applyBorder="1" applyAlignment="1">
      <alignment horizontal="center" vertical="center"/>
    </xf>
    <xf numFmtId="0" fontId="53" fillId="11" borderId="10" xfId="4" applyFont="1" applyFill="1" applyBorder="1" applyAlignment="1">
      <alignment horizontal="center" vertical="center"/>
    </xf>
    <xf numFmtId="0" fontId="53" fillId="11" borderId="11" xfId="4" applyFont="1" applyFill="1" applyBorder="1" applyAlignment="1">
      <alignment horizontal="center" vertical="center"/>
    </xf>
    <xf numFmtId="0" fontId="53" fillId="11" borderId="23" xfId="4" applyFont="1" applyFill="1" applyBorder="1" applyAlignment="1">
      <alignment horizontal="center" vertical="center"/>
    </xf>
    <xf numFmtId="0" fontId="53" fillId="11" borderId="0" xfId="4" applyFont="1" applyFill="1" applyBorder="1" applyAlignment="1">
      <alignment horizontal="center" vertical="center"/>
    </xf>
    <xf numFmtId="0" fontId="53" fillId="11" borderId="24" xfId="4" applyFont="1" applyFill="1" applyBorder="1" applyAlignment="1">
      <alignment horizontal="center" vertical="center"/>
    </xf>
    <xf numFmtId="0" fontId="53" fillId="11" borderId="25" xfId="4" applyFont="1" applyFill="1" applyBorder="1" applyAlignment="1">
      <alignment horizontal="center" vertical="center"/>
    </xf>
    <xf numFmtId="0" fontId="53" fillId="11" borderId="7" xfId="4" applyFont="1" applyFill="1" applyBorder="1" applyAlignment="1">
      <alignment horizontal="center" vertical="center"/>
    </xf>
    <xf numFmtId="0" fontId="53" fillId="11" borderId="26" xfId="4" applyFont="1" applyFill="1" applyBorder="1" applyAlignment="1">
      <alignment horizontal="center" vertical="center"/>
    </xf>
    <xf numFmtId="0" fontId="22" fillId="0" borderId="35" xfId="4" applyFont="1" applyFill="1" applyBorder="1" applyAlignment="1">
      <alignment horizontal="center" vertical="center" wrapText="1"/>
    </xf>
    <xf numFmtId="0" fontId="22" fillId="0" borderId="37" xfId="4" applyFont="1" applyFill="1" applyBorder="1" applyAlignment="1">
      <alignment horizontal="center" vertical="center" wrapText="1"/>
    </xf>
    <xf numFmtId="0" fontId="7" fillId="0" borderId="36" xfId="4" applyFont="1" applyFill="1" applyBorder="1" applyAlignment="1">
      <alignment horizontal="center" vertical="center" wrapText="1"/>
    </xf>
    <xf numFmtId="0" fontId="7" fillId="0" borderId="35" xfId="4" applyFont="1" applyFill="1" applyBorder="1" applyAlignment="1">
      <alignment horizontal="center" vertical="center" wrapText="1"/>
    </xf>
    <xf numFmtId="0" fontId="7" fillId="0" borderId="37" xfId="4" applyFont="1" applyFill="1" applyBorder="1" applyAlignment="1">
      <alignment horizontal="center" vertical="center" wrapText="1"/>
    </xf>
    <xf numFmtId="0" fontId="55" fillId="3" borderId="35" xfId="4" applyFont="1" applyFill="1" applyBorder="1" applyAlignment="1">
      <alignment horizontal="center" vertical="center"/>
    </xf>
    <xf numFmtId="0" fontId="55" fillId="3" borderId="37" xfId="4" applyFont="1" applyFill="1" applyBorder="1" applyAlignment="1">
      <alignment horizontal="center" vertical="center"/>
    </xf>
    <xf numFmtId="0" fontId="8" fillId="3" borderId="9" xfId="4" applyFont="1" applyFill="1" applyBorder="1" applyAlignment="1">
      <alignment horizontal="center" vertical="center"/>
    </xf>
    <xf numFmtId="0" fontId="8" fillId="3" borderId="10" xfId="4" applyFont="1" applyFill="1" applyBorder="1" applyAlignment="1">
      <alignment horizontal="center" vertical="center"/>
    </xf>
    <xf numFmtId="0" fontId="8" fillId="3" borderId="33" xfId="4" applyFont="1" applyFill="1" applyBorder="1" applyAlignment="1">
      <alignment horizontal="center" vertical="center"/>
    </xf>
    <xf numFmtId="0" fontId="8" fillId="3" borderId="34" xfId="4" applyFont="1" applyFill="1" applyBorder="1" applyAlignment="1">
      <alignment horizontal="center" vertical="center"/>
    </xf>
    <xf numFmtId="0" fontId="8" fillId="3" borderId="11" xfId="4" applyFont="1" applyFill="1" applyBorder="1" applyAlignment="1">
      <alignment horizontal="center" vertical="center"/>
    </xf>
    <xf numFmtId="49" fontId="7" fillId="3" borderId="38" xfId="4" applyNumberFormat="1" applyFont="1" applyFill="1" applyBorder="1" applyAlignment="1">
      <alignment horizontal="center" vertical="center"/>
    </xf>
    <xf numFmtId="49" fontId="7" fillId="3" borderId="7" xfId="4" applyNumberFormat="1" applyFont="1" applyFill="1" applyBorder="1" applyAlignment="1">
      <alignment horizontal="center" vertical="center"/>
    </xf>
    <xf numFmtId="49" fontId="7" fillId="3" borderId="8" xfId="4" applyNumberFormat="1" applyFont="1" applyFill="1" applyBorder="1" applyAlignment="1">
      <alignment horizontal="center" vertical="center"/>
    </xf>
    <xf numFmtId="49" fontId="7" fillId="3" borderId="38" xfId="4" applyNumberFormat="1" applyFont="1" applyFill="1" applyBorder="1" applyAlignment="1">
      <alignment horizontal="center" vertical="center" wrapText="1"/>
    </xf>
    <xf numFmtId="49" fontId="7" fillId="3" borderId="7" xfId="4" applyNumberFormat="1" applyFont="1" applyFill="1" applyBorder="1" applyAlignment="1">
      <alignment horizontal="center" vertical="center" wrapText="1"/>
    </xf>
    <xf numFmtId="49" fontId="14" fillId="3" borderId="25" xfId="4" applyNumberFormat="1" applyFont="1" applyFill="1" applyBorder="1" applyAlignment="1">
      <alignment horizontal="center" vertical="center"/>
    </xf>
    <xf numFmtId="49" fontId="14" fillId="3" borderId="7" xfId="4" applyNumberFormat="1" applyFont="1" applyFill="1" applyBorder="1" applyAlignment="1">
      <alignment horizontal="center" vertical="center"/>
    </xf>
    <xf numFmtId="49" fontId="14" fillId="3" borderId="8" xfId="4" applyNumberFormat="1" applyFont="1" applyFill="1" applyBorder="1" applyAlignment="1">
      <alignment horizontal="center" vertical="center"/>
    </xf>
    <xf numFmtId="49" fontId="7" fillId="3" borderId="25" xfId="4" applyNumberFormat="1" applyFont="1" applyFill="1" applyBorder="1" applyAlignment="1">
      <alignment horizontal="center" vertical="center" wrapText="1"/>
    </xf>
    <xf numFmtId="49" fontId="7" fillId="3" borderId="8" xfId="4" applyNumberFormat="1" applyFont="1" applyFill="1" applyBorder="1" applyAlignment="1">
      <alignment horizontal="center" vertical="center" wrapText="1"/>
    </xf>
    <xf numFmtId="49" fontId="56" fillId="3" borderId="38" xfId="4" applyNumberFormat="1" applyFont="1" applyFill="1" applyBorder="1" applyAlignment="1">
      <alignment horizontal="center" vertical="center"/>
    </xf>
    <xf numFmtId="49" fontId="56" fillId="3" borderId="7" xfId="4" applyNumberFormat="1" applyFont="1" applyFill="1" applyBorder="1" applyAlignment="1">
      <alignment horizontal="center" vertical="center"/>
    </xf>
    <xf numFmtId="49" fontId="56" fillId="3" borderId="8" xfId="4" applyNumberFormat="1" applyFont="1" applyFill="1" applyBorder="1" applyAlignment="1">
      <alignment horizontal="center" vertical="center"/>
    </xf>
    <xf numFmtId="49" fontId="14" fillId="3" borderId="38" xfId="4" applyNumberFormat="1" applyFont="1" applyFill="1" applyBorder="1" applyAlignment="1">
      <alignment horizontal="center" vertical="center"/>
    </xf>
    <xf numFmtId="49" fontId="14" fillId="3" borderId="7" xfId="4" applyNumberFormat="1" applyFont="1" applyFill="1" applyBorder="1" applyAlignment="1">
      <alignment horizontal="right" vertical="center" wrapText="1"/>
    </xf>
    <xf numFmtId="49" fontId="14" fillId="3" borderId="38" xfId="4" applyNumberFormat="1" applyFont="1" applyFill="1" applyBorder="1" applyAlignment="1">
      <alignment horizontal="center" vertical="center" wrapText="1"/>
    </xf>
    <xf numFmtId="49" fontId="14" fillId="3" borderId="7" xfId="4" applyNumberFormat="1" applyFont="1" applyFill="1" applyBorder="1" applyAlignment="1">
      <alignment horizontal="center" vertical="center" wrapText="1"/>
    </xf>
    <xf numFmtId="49" fontId="14" fillId="3" borderId="8" xfId="4" applyNumberFormat="1" applyFont="1" applyFill="1" applyBorder="1" applyAlignment="1">
      <alignment horizontal="center" vertical="center" wrapText="1"/>
    </xf>
    <xf numFmtId="49" fontId="14" fillId="3" borderId="38" xfId="4" applyNumberFormat="1" applyFont="1" applyFill="1" applyBorder="1" applyAlignment="1">
      <alignment horizontal="left"/>
    </xf>
    <xf numFmtId="49" fontId="14" fillId="3" borderId="7" xfId="4" applyNumberFormat="1" applyFont="1" applyFill="1" applyBorder="1" applyAlignment="1">
      <alignment horizontal="left"/>
    </xf>
    <xf numFmtId="49" fontId="14" fillId="3" borderId="8" xfId="4" applyNumberFormat="1" applyFont="1" applyFill="1" applyBorder="1" applyAlignment="1">
      <alignment horizontal="left"/>
    </xf>
    <xf numFmtId="49" fontId="14" fillId="3" borderId="26" xfId="4" applyNumberFormat="1" applyFont="1" applyFill="1" applyBorder="1" applyAlignment="1">
      <alignment horizontal="center" vertical="center"/>
    </xf>
    <xf numFmtId="49" fontId="49" fillId="3" borderId="38" xfId="4" applyNumberFormat="1" applyFont="1" applyFill="1" applyBorder="1" applyAlignment="1">
      <alignment horizontal="center" vertical="center" wrapText="1"/>
    </xf>
    <xf numFmtId="49" fontId="49" fillId="3" borderId="7" xfId="4" applyNumberFormat="1" applyFont="1" applyFill="1" applyBorder="1" applyAlignment="1">
      <alignment horizontal="center" vertical="center" wrapText="1"/>
    </xf>
    <xf numFmtId="49" fontId="49" fillId="3" borderId="25" xfId="4" applyNumberFormat="1" applyFont="1" applyFill="1" applyBorder="1" applyAlignment="1">
      <alignment horizontal="center" vertical="center" wrapText="1"/>
    </xf>
    <xf numFmtId="49" fontId="49" fillId="3" borderId="8" xfId="4" applyNumberFormat="1" applyFont="1" applyFill="1" applyBorder="1" applyAlignment="1">
      <alignment horizontal="center" vertical="center" wrapText="1"/>
    </xf>
    <xf numFmtId="49" fontId="49" fillId="3" borderId="38" xfId="4" applyNumberFormat="1" applyFont="1" applyFill="1" applyBorder="1" applyAlignment="1">
      <alignment horizontal="center" vertical="center"/>
    </xf>
    <xf numFmtId="49" fontId="49" fillId="3" borderId="7" xfId="4" applyNumberFormat="1" applyFont="1" applyFill="1" applyBorder="1" applyAlignment="1">
      <alignment horizontal="center" vertical="center"/>
    </xf>
    <xf numFmtId="49" fontId="49" fillId="3" borderId="8" xfId="4" applyNumberFormat="1" applyFont="1" applyFill="1" applyBorder="1" applyAlignment="1">
      <alignment horizontal="center" vertical="center"/>
    </xf>
    <xf numFmtId="49" fontId="49" fillId="3" borderId="7" xfId="4" applyNumberFormat="1" applyFont="1" applyFill="1" applyBorder="1" applyAlignment="1">
      <alignment horizontal="right" vertical="center" wrapText="1"/>
    </xf>
    <xf numFmtId="49" fontId="49" fillId="3" borderId="26" xfId="4" applyNumberFormat="1" applyFont="1" applyFill="1" applyBorder="1" applyAlignment="1">
      <alignment horizontal="center" vertical="center"/>
    </xf>
    <xf numFmtId="49" fontId="49" fillId="3" borderId="38" xfId="4" applyNumberFormat="1" applyFont="1" applyFill="1" applyBorder="1" applyAlignment="1">
      <alignment horizontal="left"/>
    </xf>
    <xf numFmtId="49" fontId="49" fillId="3" borderId="7" xfId="4" applyNumberFormat="1" applyFont="1" applyFill="1" applyBorder="1" applyAlignment="1">
      <alignment horizontal="left"/>
    </xf>
    <xf numFmtId="49" fontId="49" fillId="3" borderId="8" xfId="4" applyNumberFormat="1" applyFont="1" applyFill="1" applyBorder="1" applyAlignment="1">
      <alignment horizontal="left"/>
    </xf>
    <xf numFmtId="49" fontId="14" fillId="3" borderId="25" xfId="4" applyNumberFormat="1" applyFont="1" applyFill="1" applyBorder="1" applyAlignment="1">
      <alignment horizontal="center" vertical="center" wrapText="1"/>
    </xf>
    <xf numFmtId="0" fontId="49" fillId="3" borderId="5" xfId="4" applyFont="1" applyFill="1" applyBorder="1" applyAlignment="1">
      <alignment horizontal="center" vertical="center"/>
    </xf>
    <xf numFmtId="0" fontId="49" fillId="3" borderId="0" xfId="4" applyFont="1" applyFill="1" applyBorder="1" applyAlignment="1">
      <alignment horizontal="center" vertical="center"/>
    </xf>
    <xf numFmtId="0" fontId="49" fillId="3" borderId="6" xfId="4" applyFont="1" applyFill="1" applyBorder="1" applyAlignment="1">
      <alignment horizontal="center" vertical="center"/>
    </xf>
    <xf numFmtId="49" fontId="14" fillId="3" borderId="38" xfId="4" applyNumberFormat="1" applyFont="1" applyFill="1" applyBorder="1" applyAlignment="1">
      <alignment horizontal="right" vertical="center" wrapText="1"/>
    </xf>
    <xf numFmtId="49" fontId="14" fillId="3" borderId="8" xfId="4" applyNumberFormat="1" applyFont="1" applyFill="1" applyBorder="1" applyAlignment="1">
      <alignment horizontal="right" vertical="center" wrapText="1"/>
    </xf>
    <xf numFmtId="14" fontId="14" fillId="3" borderId="38" xfId="4" applyNumberFormat="1" applyFont="1" applyFill="1" applyBorder="1" applyAlignment="1">
      <alignment horizontal="center" vertical="center"/>
    </xf>
    <xf numFmtId="14" fontId="14" fillId="3" borderId="7" xfId="4" applyNumberFormat="1" applyFont="1" applyFill="1" applyBorder="1" applyAlignment="1">
      <alignment horizontal="center" vertical="center"/>
    </xf>
    <xf numFmtId="14" fontId="14" fillId="3" borderId="8" xfId="4" applyNumberFormat="1" applyFont="1" applyFill="1" applyBorder="1" applyAlignment="1">
      <alignment horizontal="center" vertical="center"/>
    </xf>
    <xf numFmtId="14" fontId="14" fillId="3" borderId="7" xfId="4" applyNumberFormat="1" applyFont="1" applyFill="1" applyBorder="1" applyAlignment="1">
      <alignment horizontal="right" vertical="center" wrapText="1"/>
    </xf>
    <xf numFmtId="14" fontId="14" fillId="3" borderId="38" xfId="4" applyNumberFormat="1" applyFont="1" applyFill="1" applyBorder="1" applyAlignment="1">
      <alignment horizontal="center" vertical="center" wrapText="1"/>
    </xf>
    <xf numFmtId="14" fontId="14" fillId="3" borderId="7" xfId="4" applyNumberFormat="1" applyFont="1" applyFill="1" applyBorder="1" applyAlignment="1">
      <alignment horizontal="center" vertical="center" wrapText="1"/>
    </xf>
    <xf numFmtId="0" fontId="24" fillId="0" borderId="0" xfId="4" applyFont="1" applyAlignment="1">
      <alignment horizontal="left" vertical="center" wrapText="1"/>
    </xf>
    <xf numFmtId="0" fontId="60" fillId="11" borderId="0" xfId="4" applyFont="1" applyFill="1" applyAlignment="1">
      <alignment horizontal="right" wrapText="1"/>
    </xf>
    <xf numFmtId="0" fontId="60" fillId="11" borderId="7" xfId="4" applyFont="1" applyFill="1" applyBorder="1" applyAlignment="1">
      <alignment horizontal="right" wrapText="1"/>
    </xf>
    <xf numFmtId="0" fontId="49" fillId="3" borderId="0" xfId="4" applyFont="1" applyFill="1" applyAlignment="1">
      <alignment horizontal="left" vertical="center" wrapText="1"/>
    </xf>
    <xf numFmtId="0" fontId="5" fillId="3" borderId="0" xfId="4" applyFont="1" applyFill="1" applyAlignment="1">
      <alignment horizontal="left" vertical="center" wrapText="1"/>
    </xf>
    <xf numFmtId="0" fontId="73" fillId="0" borderId="28" xfId="0" applyFont="1" applyBorder="1" applyAlignment="1">
      <alignment horizontal="center" vertical="center" wrapText="1"/>
    </xf>
    <xf numFmtId="0" fontId="73" fillId="0" borderId="29" xfId="0" applyFont="1" applyBorder="1" applyAlignment="1">
      <alignment horizontal="center" vertical="center" wrapText="1"/>
    </xf>
    <xf numFmtId="0" fontId="89" fillId="0" borderId="7" xfId="0" applyFont="1" applyBorder="1" applyAlignment="1">
      <alignment horizontal="center"/>
    </xf>
    <xf numFmtId="2" fontId="68" fillId="11" borderId="36" xfId="0" applyNumberFormat="1" applyFont="1" applyFill="1" applyBorder="1" applyAlignment="1">
      <alignment horizontal="center" vertical="center"/>
    </xf>
    <xf numFmtId="2" fontId="68" fillId="11" borderId="37" xfId="0" applyNumberFormat="1" applyFont="1" applyFill="1" applyBorder="1" applyAlignment="1">
      <alignment horizontal="center" vertical="center"/>
    </xf>
    <xf numFmtId="2" fontId="68" fillId="11" borderId="54" xfId="0" applyNumberFormat="1" applyFont="1" applyFill="1" applyBorder="1" applyAlignment="1">
      <alignment horizontal="center" vertical="center"/>
    </xf>
    <xf numFmtId="2" fontId="68" fillId="11" borderId="55" xfId="0" applyNumberFormat="1" applyFont="1" applyFill="1" applyBorder="1" applyAlignment="1">
      <alignment horizontal="center" vertical="center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</cellXfs>
  <cellStyles count="14">
    <cellStyle name="Style 1" xfId="8"/>
    <cellStyle name="Гиперссылка" xfId="2" builtinId="8"/>
    <cellStyle name="Обычный" xfId="0" builtinId="0"/>
    <cellStyle name="Обычный 12 2" xfId="3"/>
    <cellStyle name="Обычный 2" xfId="4"/>
    <cellStyle name="Обычный 2 2" xfId="9"/>
    <cellStyle name="Обычный 3" xfId="5"/>
    <cellStyle name="Обычный 4" xfId="6"/>
    <cellStyle name="Обычный 4 2" xfId="13"/>
    <cellStyle name="Обычный 8 2" xfId="10"/>
    <cellStyle name="Обычный_БУ требованния" xfId="12"/>
    <cellStyle name="Обычный_Лист1" xfId="7"/>
    <cellStyle name="Обычный_Шаблон паспорта проекта_1" xfId="1"/>
    <cellStyle name="Финансовый 2" xfId="11"/>
  </cellStyles>
  <dxfs count="70"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</dxfs>
  <tableStyles count="0" defaultTableStyle="TableStyleMedium2" defaultPivotStyle="PivotStyleLight16"/>
  <colors>
    <mruColors>
      <color rgb="FFA2A2A2"/>
      <color rgb="FFA3A3A3"/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2400" b="0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2400" b="0">
                <a:latin typeface="Arial Narrow" panose="020B0606020202030204" pitchFamily="34" charset="0"/>
              </a:rPr>
              <a:t>Процесс выполнения и согласования ТЗ</a:t>
            </a:r>
          </a:p>
        </c:rich>
      </c:tx>
      <c:layout>
        <c:manualLayout>
          <c:xMode val="edge"/>
          <c:yMode val="edge"/>
          <c:x val="2.3351307326456957E-2"/>
          <c:y val="1.921229586935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2400" b="0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1443240"/>
        <c:axId val="551441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hade val="7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hade val="7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shade val="7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'Введение. Инструкция'!$E$5:$E$11</c15:sqref>
                        </c15:formulaRef>
                      </c:ext>
                    </c:extLst>
                    <c:strCache>
                      <c:ptCount val="7"/>
                      <c:pt idx="0">
                        <c:v>Начало процесса</c:v>
                      </c:pt>
                      <c:pt idx="1">
                        <c:v>Анализ условий бурения</c:v>
                      </c:pt>
                      <c:pt idx="2">
                        <c:v>Определение требований</c:v>
                      </c:pt>
                      <c:pt idx="3">
                        <c:v>Проверка ТЗ</c:v>
                      </c:pt>
                      <c:pt idx="4">
                        <c:v>Подписание и Направление ТЗ на утверждение</c:v>
                      </c:pt>
                      <c:pt idx="5">
                        <c:v>Утверждение ТЗ</c:v>
                      </c:pt>
                      <c:pt idx="6">
                        <c:v>Разработка и утверждение КТЧ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'Введение. Инструкция'!$F$5:$F$10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807-45CD-9F7E-3106FFDCF0F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'Введение. Инструкция'!$B$2:$C$2</c:f>
              <c:strCache>
                <c:ptCount val="1"/>
                <c:pt idx="0">
                  <c:v>Процесс выполнения и согласования ТЗ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'Введение. Инструкция'!$E$5:$E$11</c:f>
              <c:strCache>
                <c:ptCount val="7"/>
                <c:pt idx="0">
                  <c:v>Начало процесса</c:v>
                </c:pt>
                <c:pt idx="1">
                  <c:v>Анализ условий бурения</c:v>
                </c:pt>
                <c:pt idx="2">
                  <c:v>Определение требований</c:v>
                </c:pt>
                <c:pt idx="3">
                  <c:v>Проверка ТЗ</c:v>
                </c:pt>
                <c:pt idx="4">
                  <c:v>Подписание и Направление ТЗ на утверждение</c:v>
                </c:pt>
                <c:pt idx="5">
                  <c:v>Утверждение ТЗ</c:v>
                </c:pt>
                <c:pt idx="6">
                  <c:v>Разработка и утверждение КТЧ</c:v>
                </c:pt>
              </c:strCache>
            </c:strRef>
          </c:cat>
          <c:val>
            <c:numRef>
              <c:f>'Введение. Инструкция'!$G$5:$G$11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27</c:v>
                </c:pt>
                <c:pt idx="5">
                  <c:v>28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7-45CD-9F7E-3106FFDCF0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443240"/>
        <c:axId val="551441672"/>
      </c:lineChart>
      <c:catAx>
        <c:axId val="55144324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551441672"/>
        <c:crosses val="autoZero"/>
        <c:auto val="1"/>
        <c:lblAlgn val="ctr"/>
        <c:lblOffset val="100"/>
        <c:noMultiLvlLbl val="0"/>
      </c:catAx>
      <c:valAx>
        <c:axId val="551441672"/>
        <c:scaling>
          <c:orientation val="maxMin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55144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fmlaLink="$H$74"/>
</file>

<file path=xl/ctrlProps/ctrlProp2.xml><?xml version="1.0" encoding="utf-8"?>
<formControlPr xmlns="http://schemas.microsoft.com/office/spreadsheetml/2009/9/main" objectType="CheckBox" fmlaLink="$H$74"/>
</file>

<file path=xl/ctrlProps/ctrlProp3.xml><?xml version="1.0" encoding="utf-8"?>
<formControlPr xmlns="http://schemas.microsoft.com/office/spreadsheetml/2009/9/main" objectType="CheckBox" fmlaLink="$H$74"/>
</file>

<file path=xl/ctrlProps/ctrlProp4.xml><?xml version="1.0" encoding="utf-8"?>
<formControlPr xmlns="http://schemas.microsoft.com/office/spreadsheetml/2009/9/main" objectType="CheckBox" fmlaLink="$H$74"/>
</file>

<file path=xl/ctrlProps/ctrlProp5.xml><?xml version="1.0" encoding="utf-8"?>
<formControlPr xmlns="http://schemas.microsoft.com/office/spreadsheetml/2009/9/main" objectType="CheckBox" fmlaLink="$H$74"/>
</file>

<file path=xl/ctrlProps/ctrlProp6.xml><?xml version="1.0" encoding="utf-8"?>
<formControlPr xmlns="http://schemas.microsoft.com/office/spreadsheetml/2009/9/main" objectType="CheckBox" fmlaLink="$H$74"/>
</file>

<file path=xl/ctrlProps/ctrlProp7.xml><?xml version="1.0" encoding="utf-8"?>
<formControlPr xmlns="http://schemas.microsoft.com/office/spreadsheetml/2009/9/main" objectType="CheckBox" fmlaLink="$H$74"/>
</file>

<file path=xl/ctrlProps/ctrlProp8.xml><?xml version="1.0" encoding="utf-8"?>
<formControlPr xmlns="http://schemas.microsoft.com/office/spreadsheetml/2009/9/main" objectType="CheckBox" fmlaLink="$H$74"/>
</file>

<file path=xl/ctrlProps/ctrlProp9.xml><?xml version="1.0" encoding="utf-8"?>
<formControlPr xmlns="http://schemas.microsoft.com/office/spreadsheetml/2009/9/main" objectType="CheckBox" fmlaLink="$H$74"/>
</file>

<file path=xl/ctrlProps/ctrlProp10.xml><?xml version="1.0" encoding="utf-8"?>
<formControlPr xmlns="http://schemas.microsoft.com/office/spreadsheetml/2009/9/main" objectType="CheckBox" fmlaLink="$H$74"/>
</file>

<file path=xl/ctrlProps/ctrlProp11.xml><?xml version="1.0" encoding="utf-8"?>
<formControlPr xmlns="http://schemas.microsoft.com/office/spreadsheetml/2009/9/main" objectType="CheckBox" fmlaLink="$H$74"/>
</file>

<file path=xl/ctrlProps/ctrlProp12.xml><?xml version="1.0" encoding="utf-8"?>
<formControlPr xmlns="http://schemas.microsoft.com/office/spreadsheetml/2009/9/main" objectType="CheckBox" fmlaLink="$H$74"/>
</file>

<file path=xl/ctrlProps/ctrlProp13.xml><?xml version="1.0" encoding="utf-8"?>
<formControlPr xmlns="http://schemas.microsoft.com/office/spreadsheetml/2009/9/main" objectType="CheckBox" fmlaLink="$H$74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3360</xdr:colOff>
      <xdr:row>0</xdr:row>
      <xdr:rowOff>187698</xdr:rowOff>
    </xdr:from>
    <xdr:to>
      <xdr:col>3</xdr:col>
      <xdr:colOff>22412</xdr:colOff>
      <xdr:row>2</xdr:row>
      <xdr:rowOff>35298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4580282</xdr:colOff>
      <xdr:row>0</xdr:row>
      <xdr:rowOff>177800</xdr:rowOff>
    </xdr:from>
    <xdr:to>
      <xdr:col>3</xdr:col>
      <xdr:colOff>19050</xdr:colOff>
      <xdr:row>2</xdr:row>
      <xdr:rowOff>25400</xdr:rowOff>
    </xdr:to>
    <xdr:sp macro="" textlink="">
      <xdr:nvSpPr>
        <xdr:cNvPr id="4" name="Прямоугольник 3"/>
        <xdr:cNvSpPr/>
      </xdr:nvSpPr>
      <xdr:spPr>
        <a:xfrm>
          <a:off x="6220239" y="177800"/>
          <a:ext cx="1070941" cy="3301448"/>
        </a:xfrm>
        <a:prstGeom prst="rect">
          <a:avLst/>
        </a:prstGeom>
        <a:solidFill>
          <a:schemeClr val="accent3">
            <a:alpha val="33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2</xdr:col>
      <xdr:colOff>115957</xdr:colOff>
      <xdr:row>33</xdr:row>
      <xdr:rowOff>57976</xdr:rowOff>
    </xdr:from>
    <xdr:to>
      <xdr:col>2</xdr:col>
      <xdr:colOff>4083327</xdr:colOff>
      <xdr:row>34</xdr:row>
      <xdr:rowOff>1333500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5914" y="13633172"/>
          <a:ext cx="3967370" cy="1590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1212656</xdr:colOff>
      <xdr:row>1</xdr:row>
      <xdr:rowOff>27214</xdr:rowOff>
    </xdr:from>
    <xdr:to>
      <xdr:col>7</xdr:col>
      <xdr:colOff>3460916</xdr:colOff>
      <xdr:row>4</xdr:row>
      <xdr:rowOff>394607</xdr:rowOff>
    </xdr:to>
    <xdr:pic>
      <xdr:nvPicPr>
        <xdr:cNvPr id="2" name="Рисунок 2" descr="http://portal.gazprom-neft.local/Kb/Brands/CorporateBrand/DocLib1/Логотип/4_GPN_logo_rus_white-on-dark-blu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763" y="204107"/>
          <a:ext cx="2248260" cy="126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27213</xdr:colOff>
      <xdr:row>1</xdr:row>
      <xdr:rowOff>5226</xdr:rowOff>
    </xdr:from>
    <xdr:to>
      <xdr:col>7</xdr:col>
      <xdr:colOff>950258</xdr:colOff>
      <xdr:row>2</xdr:row>
      <xdr:rowOff>226786</xdr:rowOff>
    </xdr:to>
    <xdr:pic>
      <xdr:nvPicPr>
        <xdr:cNvPr id="2" name="Рисунок 2" descr="http://portal.gazprom-neft.local/Kb/Brands/CorporateBrand/DocLib1/Логотип/4_GPN_logo_rus_white-on-dark-blu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4713" y="105012"/>
          <a:ext cx="943429" cy="51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197</xdr:row>
          <xdr:rowOff>57150</xdr:rowOff>
        </xdr:from>
        <xdr:to>
          <xdr:col>8</xdr:col>
          <xdr:colOff>0</xdr:colOff>
          <xdr:row>197</xdr:row>
          <xdr:rowOff>314325</xdr:rowOff>
        </xdr:to>
        <xdr:sp macro="" textlink="">
          <xdr:nvSpPr>
            <xdr:cNvPr id="1261" name="Check Box 237" descr="Требуется проверить &#10;на Техоценке (КТЧ)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198</xdr:row>
          <xdr:rowOff>38100</xdr:rowOff>
        </xdr:from>
        <xdr:to>
          <xdr:col>8</xdr:col>
          <xdr:colOff>0</xdr:colOff>
          <xdr:row>198</xdr:row>
          <xdr:rowOff>295275</xdr:rowOff>
        </xdr:to>
        <xdr:sp macro="" textlink="">
          <xdr:nvSpPr>
            <xdr:cNvPr id="1262" name="Check Box 238" descr="Требуется проверить &#10;на Техоценке (КТЧ)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199</xdr:row>
          <xdr:rowOff>19050</xdr:rowOff>
        </xdr:from>
        <xdr:to>
          <xdr:col>8</xdr:col>
          <xdr:colOff>0</xdr:colOff>
          <xdr:row>199</xdr:row>
          <xdr:rowOff>276225</xdr:rowOff>
        </xdr:to>
        <xdr:sp macro="" textlink="">
          <xdr:nvSpPr>
            <xdr:cNvPr id="1263" name="Check Box 239" descr="Требуется проверить &#10;на Техоценке (КТЧ)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200</xdr:row>
          <xdr:rowOff>0</xdr:rowOff>
        </xdr:from>
        <xdr:to>
          <xdr:col>8</xdr:col>
          <xdr:colOff>0</xdr:colOff>
          <xdr:row>200</xdr:row>
          <xdr:rowOff>257175</xdr:rowOff>
        </xdr:to>
        <xdr:sp macro="" textlink="">
          <xdr:nvSpPr>
            <xdr:cNvPr id="1264" name="Check Box 240" descr="Требуется проверить &#10;на Техоценке (КТЧ)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201</xdr:row>
          <xdr:rowOff>38100</xdr:rowOff>
        </xdr:from>
        <xdr:to>
          <xdr:col>8</xdr:col>
          <xdr:colOff>0</xdr:colOff>
          <xdr:row>201</xdr:row>
          <xdr:rowOff>295275</xdr:rowOff>
        </xdr:to>
        <xdr:sp macro="" textlink="">
          <xdr:nvSpPr>
            <xdr:cNvPr id="1265" name="Check Box 241" descr="Требуется проверить &#10;на Техоценке (КТЧ)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202</xdr:row>
          <xdr:rowOff>19050</xdr:rowOff>
        </xdr:from>
        <xdr:to>
          <xdr:col>8</xdr:col>
          <xdr:colOff>0</xdr:colOff>
          <xdr:row>202</xdr:row>
          <xdr:rowOff>276225</xdr:rowOff>
        </xdr:to>
        <xdr:sp macro="" textlink="">
          <xdr:nvSpPr>
            <xdr:cNvPr id="1266" name="Check Box 242" descr="Требуется проверить &#10;на Техоценке (КТЧ)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203</xdr:row>
          <xdr:rowOff>28575</xdr:rowOff>
        </xdr:from>
        <xdr:to>
          <xdr:col>8</xdr:col>
          <xdr:colOff>0</xdr:colOff>
          <xdr:row>203</xdr:row>
          <xdr:rowOff>285750</xdr:rowOff>
        </xdr:to>
        <xdr:sp macro="" textlink="">
          <xdr:nvSpPr>
            <xdr:cNvPr id="1267" name="Check Box 243" descr="Требуется проверить &#10;на Техоценке (КТЧ)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204</xdr:row>
          <xdr:rowOff>9525</xdr:rowOff>
        </xdr:from>
        <xdr:to>
          <xdr:col>8</xdr:col>
          <xdr:colOff>0</xdr:colOff>
          <xdr:row>204</xdr:row>
          <xdr:rowOff>257175</xdr:rowOff>
        </xdr:to>
        <xdr:sp macro="" textlink="">
          <xdr:nvSpPr>
            <xdr:cNvPr id="1268" name="Check Box 244" descr="Требуется проверить &#10;на Техоценке (КТЧ)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205</xdr:row>
          <xdr:rowOff>28575</xdr:rowOff>
        </xdr:from>
        <xdr:to>
          <xdr:col>8</xdr:col>
          <xdr:colOff>0</xdr:colOff>
          <xdr:row>205</xdr:row>
          <xdr:rowOff>285750</xdr:rowOff>
        </xdr:to>
        <xdr:sp macro="" textlink="">
          <xdr:nvSpPr>
            <xdr:cNvPr id="1269" name="Check Box 245" descr="Требуется проверить &#10;на Техоценке (КТЧ)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206</xdr:row>
          <xdr:rowOff>9525</xdr:rowOff>
        </xdr:from>
        <xdr:to>
          <xdr:col>8</xdr:col>
          <xdr:colOff>0</xdr:colOff>
          <xdr:row>206</xdr:row>
          <xdr:rowOff>257175</xdr:rowOff>
        </xdr:to>
        <xdr:sp macro="" textlink="">
          <xdr:nvSpPr>
            <xdr:cNvPr id="1270" name="Check Box 246" descr="Требуется проверить &#10;на Техоценке (КТЧ)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Техоценка (КТЧ)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235</xdr:row>
          <xdr:rowOff>95250</xdr:rowOff>
        </xdr:from>
        <xdr:to>
          <xdr:col>8</xdr:col>
          <xdr:colOff>0</xdr:colOff>
          <xdr:row>236</xdr:row>
          <xdr:rowOff>285750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237</xdr:row>
          <xdr:rowOff>9525</xdr:rowOff>
        </xdr:from>
        <xdr:to>
          <xdr:col>8</xdr:col>
          <xdr:colOff>0</xdr:colOff>
          <xdr:row>237</xdr:row>
          <xdr:rowOff>304800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238</xdr:row>
          <xdr:rowOff>85725</xdr:rowOff>
        </xdr:from>
        <xdr:to>
          <xdr:col>7</xdr:col>
          <xdr:colOff>942975</xdr:colOff>
          <xdr:row>239</xdr:row>
          <xdr:rowOff>47625</xdr:rowOff>
        </xdr:to>
        <xdr:sp macro="" textlink="">
          <xdr:nvSpPr>
            <xdr:cNvPr id="1297" name="Check Box 273" descr="Требуется проверить &#10;на Техоценке (КТЧ)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 cap="rnd">
              <a:solidFill>
                <a:srgbClr val="000000" mc:Ignorable="a14" a14:legacySpreadsheetColorIndex="64"/>
              </a:solidFill>
              <a:prstDash val="sysDot"/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 editAs="oneCell">
    <xdr:from>
      <xdr:col>6</xdr:col>
      <xdr:colOff>876300</xdr:colOff>
      <xdr:row>68</xdr:row>
      <xdr:rowOff>198120</xdr:rowOff>
    </xdr:from>
    <xdr:to>
      <xdr:col>7</xdr:col>
      <xdr:colOff>631308</xdr:colOff>
      <xdr:row>69</xdr:row>
      <xdr:rowOff>84717</xdr:rowOff>
    </xdr:to>
    <xdr:sp macro="" textlink="">
      <xdr:nvSpPr>
        <xdr:cNvPr id="130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>
    <xdr:from>
      <xdr:col>7</xdr:col>
      <xdr:colOff>441960</xdr:colOff>
      <xdr:row>73</xdr:row>
      <xdr:rowOff>45720</xdr:rowOff>
    </xdr:from>
    <xdr:to>
      <xdr:col>7</xdr:col>
      <xdr:colOff>995082</xdr:colOff>
      <xdr:row>74</xdr:row>
      <xdr:rowOff>0</xdr:rowOff>
    </xdr:to>
    <xdr:sp macro="" textlink="">
      <xdr:nvSpPr>
        <xdr:cNvPr id="1306" name="CheckBox3" hidden="1">
          <a:extLst>
            <a:ext uri="{63B3BB69-23CF-44E3-9099-C40C66FF867C}">
              <a14:compatExt xmlns:a14="http://schemas.microsoft.com/office/drawing/2010/main" spid="_x0000_s130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76</xdr:row>
      <xdr:rowOff>60960</xdr:rowOff>
    </xdr:from>
    <xdr:to>
      <xdr:col>7</xdr:col>
      <xdr:colOff>960120</xdr:colOff>
      <xdr:row>76</xdr:row>
      <xdr:rowOff>266700</xdr:rowOff>
    </xdr:to>
    <xdr:sp macro="" textlink="">
      <xdr:nvSpPr>
        <xdr:cNvPr id="1310" name="CheckBox7" hidden="1">
          <a:extLst>
            <a:ext uri="{63B3BB69-23CF-44E3-9099-C40C66FF867C}">
              <a14:compatExt xmlns:a14="http://schemas.microsoft.com/office/drawing/2010/main" spid="_x0000_s131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77</xdr:row>
      <xdr:rowOff>0</xdr:rowOff>
    </xdr:from>
    <xdr:to>
      <xdr:col>7</xdr:col>
      <xdr:colOff>950258</xdr:colOff>
      <xdr:row>77</xdr:row>
      <xdr:rowOff>220980</xdr:rowOff>
    </xdr:to>
    <xdr:sp macro="" textlink="">
      <xdr:nvSpPr>
        <xdr:cNvPr id="1319" name="CheckBox14" hidden="1">
          <a:extLst>
            <a:ext uri="{63B3BB69-23CF-44E3-9099-C40C66FF867C}">
              <a14:compatExt xmlns:a14="http://schemas.microsoft.com/office/drawing/2010/main" spid="_x0000_s131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77</xdr:row>
      <xdr:rowOff>0</xdr:rowOff>
    </xdr:from>
    <xdr:to>
      <xdr:col>7</xdr:col>
      <xdr:colOff>950258</xdr:colOff>
      <xdr:row>77</xdr:row>
      <xdr:rowOff>205740</xdr:rowOff>
    </xdr:to>
    <xdr:sp macro="" textlink="">
      <xdr:nvSpPr>
        <xdr:cNvPr id="1320" name="CheckBox15" hidden="1">
          <a:extLst>
            <a:ext uri="{63B3BB69-23CF-44E3-9099-C40C66FF867C}">
              <a14:compatExt xmlns:a14="http://schemas.microsoft.com/office/drawing/2010/main" spid="_x0000_s132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80</xdr:row>
      <xdr:rowOff>60960</xdr:rowOff>
    </xdr:from>
    <xdr:to>
      <xdr:col>7</xdr:col>
      <xdr:colOff>986118</xdr:colOff>
      <xdr:row>81</xdr:row>
      <xdr:rowOff>0</xdr:rowOff>
    </xdr:to>
    <xdr:sp macro="" textlink="">
      <xdr:nvSpPr>
        <xdr:cNvPr id="1321" name="CheckBox16" hidden="1">
          <a:extLst>
            <a:ext uri="{63B3BB69-23CF-44E3-9099-C40C66FF867C}">
              <a14:compatExt xmlns:a14="http://schemas.microsoft.com/office/drawing/2010/main" spid="_x0000_s132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81</xdr:row>
      <xdr:rowOff>60960</xdr:rowOff>
    </xdr:from>
    <xdr:to>
      <xdr:col>7</xdr:col>
      <xdr:colOff>986118</xdr:colOff>
      <xdr:row>81</xdr:row>
      <xdr:rowOff>304800</xdr:rowOff>
    </xdr:to>
    <xdr:sp macro="" textlink="">
      <xdr:nvSpPr>
        <xdr:cNvPr id="1322" name="CheckBox17" hidden="1">
          <a:extLst>
            <a:ext uri="{63B3BB69-23CF-44E3-9099-C40C66FF867C}">
              <a14:compatExt xmlns:a14="http://schemas.microsoft.com/office/drawing/2010/main" spid="_x0000_s132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82</xdr:row>
      <xdr:rowOff>45720</xdr:rowOff>
    </xdr:from>
    <xdr:to>
      <xdr:col>7</xdr:col>
      <xdr:colOff>986118</xdr:colOff>
      <xdr:row>82</xdr:row>
      <xdr:rowOff>322730</xdr:rowOff>
    </xdr:to>
    <xdr:sp macro="" textlink="">
      <xdr:nvSpPr>
        <xdr:cNvPr id="1323" name="CheckBox18" hidden="1">
          <a:extLst>
            <a:ext uri="{63B3BB69-23CF-44E3-9099-C40C66FF867C}">
              <a14:compatExt xmlns:a14="http://schemas.microsoft.com/office/drawing/2010/main" spid="_x0000_s132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83</xdr:row>
      <xdr:rowOff>60960</xdr:rowOff>
    </xdr:from>
    <xdr:to>
      <xdr:col>7</xdr:col>
      <xdr:colOff>995082</xdr:colOff>
      <xdr:row>84</xdr:row>
      <xdr:rowOff>0</xdr:rowOff>
    </xdr:to>
    <xdr:sp macro="" textlink="">
      <xdr:nvSpPr>
        <xdr:cNvPr id="1324" name="CheckBox19" hidden="1">
          <a:extLst>
            <a:ext uri="{63B3BB69-23CF-44E3-9099-C40C66FF867C}">
              <a14:compatExt xmlns:a14="http://schemas.microsoft.com/office/drawing/2010/main" spid="_x0000_s132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84</xdr:row>
      <xdr:rowOff>38100</xdr:rowOff>
    </xdr:from>
    <xdr:to>
      <xdr:col>7</xdr:col>
      <xdr:colOff>960120</xdr:colOff>
      <xdr:row>84</xdr:row>
      <xdr:rowOff>297180</xdr:rowOff>
    </xdr:to>
    <xdr:sp macro="" textlink="">
      <xdr:nvSpPr>
        <xdr:cNvPr id="1326" name="CheckBox20" hidden="1">
          <a:extLst>
            <a:ext uri="{63B3BB69-23CF-44E3-9099-C40C66FF867C}">
              <a14:compatExt xmlns:a14="http://schemas.microsoft.com/office/drawing/2010/main" spid="_x0000_s132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152400</xdr:colOff>
      <xdr:row>88</xdr:row>
      <xdr:rowOff>60960</xdr:rowOff>
    </xdr:from>
    <xdr:to>
      <xdr:col>7</xdr:col>
      <xdr:colOff>975360</xdr:colOff>
      <xdr:row>88</xdr:row>
      <xdr:rowOff>312420</xdr:rowOff>
    </xdr:to>
    <xdr:sp macro="" textlink="">
      <xdr:nvSpPr>
        <xdr:cNvPr id="1328" name="CheckBox22" hidden="1">
          <a:extLst>
            <a:ext uri="{63B3BB69-23CF-44E3-9099-C40C66FF867C}">
              <a14:compatExt xmlns:a14="http://schemas.microsoft.com/office/drawing/2010/main" spid="_x0000_s132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89</xdr:row>
      <xdr:rowOff>38100</xdr:rowOff>
    </xdr:from>
    <xdr:to>
      <xdr:col>7</xdr:col>
      <xdr:colOff>960120</xdr:colOff>
      <xdr:row>89</xdr:row>
      <xdr:rowOff>297180</xdr:rowOff>
    </xdr:to>
    <xdr:sp macro="" textlink="">
      <xdr:nvSpPr>
        <xdr:cNvPr id="1329" name="CheckBox23" hidden="1">
          <a:extLst>
            <a:ext uri="{63B3BB69-23CF-44E3-9099-C40C66FF867C}">
              <a14:compatExt xmlns:a14="http://schemas.microsoft.com/office/drawing/2010/main" spid="_x0000_s132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90</xdr:row>
      <xdr:rowOff>38100</xdr:rowOff>
    </xdr:from>
    <xdr:to>
      <xdr:col>7</xdr:col>
      <xdr:colOff>960120</xdr:colOff>
      <xdr:row>90</xdr:row>
      <xdr:rowOff>297180</xdr:rowOff>
    </xdr:to>
    <xdr:sp macro="" textlink="">
      <xdr:nvSpPr>
        <xdr:cNvPr id="1330" name="CheckBox24" hidden="1">
          <a:extLst>
            <a:ext uri="{63B3BB69-23CF-44E3-9099-C40C66FF867C}">
              <a14:compatExt xmlns:a14="http://schemas.microsoft.com/office/drawing/2010/main" spid="_x0000_s133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91</xdr:row>
      <xdr:rowOff>60960</xdr:rowOff>
    </xdr:from>
    <xdr:to>
      <xdr:col>7</xdr:col>
      <xdr:colOff>960120</xdr:colOff>
      <xdr:row>91</xdr:row>
      <xdr:rowOff>312420</xdr:rowOff>
    </xdr:to>
    <xdr:sp macro="" textlink="">
      <xdr:nvSpPr>
        <xdr:cNvPr id="1331" name="CheckBox25" hidden="1">
          <a:extLst>
            <a:ext uri="{63B3BB69-23CF-44E3-9099-C40C66FF867C}">
              <a14:compatExt xmlns:a14="http://schemas.microsoft.com/office/drawing/2010/main" spid="_x0000_s133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92</xdr:row>
      <xdr:rowOff>121920</xdr:rowOff>
    </xdr:from>
    <xdr:to>
      <xdr:col>7</xdr:col>
      <xdr:colOff>960120</xdr:colOff>
      <xdr:row>92</xdr:row>
      <xdr:rowOff>381000</xdr:rowOff>
    </xdr:to>
    <xdr:sp macro="" textlink="">
      <xdr:nvSpPr>
        <xdr:cNvPr id="1332" name="CheckBox26" hidden="1">
          <a:extLst>
            <a:ext uri="{63B3BB69-23CF-44E3-9099-C40C66FF867C}">
              <a14:compatExt xmlns:a14="http://schemas.microsoft.com/office/drawing/2010/main" spid="_x0000_s133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93</xdr:row>
      <xdr:rowOff>30480</xdr:rowOff>
    </xdr:from>
    <xdr:to>
      <xdr:col>7</xdr:col>
      <xdr:colOff>960120</xdr:colOff>
      <xdr:row>93</xdr:row>
      <xdr:rowOff>289560</xdr:rowOff>
    </xdr:to>
    <xdr:sp macro="" textlink="">
      <xdr:nvSpPr>
        <xdr:cNvPr id="1333" name="CheckBox27" hidden="1">
          <a:extLst>
            <a:ext uri="{63B3BB69-23CF-44E3-9099-C40C66FF867C}">
              <a14:compatExt xmlns:a14="http://schemas.microsoft.com/office/drawing/2010/main" spid="_x0000_s133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94</xdr:row>
      <xdr:rowOff>45720</xdr:rowOff>
    </xdr:from>
    <xdr:to>
      <xdr:col>7</xdr:col>
      <xdr:colOff>960120</xdr:colOff>
      <xdr:row>94</xdr:row>
      <xdr:rowOff>304800</xdr:rowOff>
    </xdr:to>
    <xdr:sp macro="" textlink="">
      <xdr:nvSpPr>
        <xdr:cNvPr id="1334" name="CheckBox28" hidden="1">
          <a:extLst>
            <a:ext uri="{63B3BB69-23CF-44E3-9099-C40C66FF867C}">
              <a14:compatExt xmlns:a14="http://schemas.microsoft.com/office/drawing/2010/main" spid="_x0000_s133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95</xdr:row>
      <xdr:rowOff>121920</xdr:rowOff>
    </xdr:from>
    <xdr:to>
      <xdr:col>7</xdr:col>
      <xdr:colOff>960120</xdr:colOff>
      <xdr:row>95</xdr:row>
      <xdr:rowOff>381000</xdr:rowOff>
    </xdr:to>
    <xdr:sp macro="" textlink="">
      <xdr:nvSpPr>
        <xdr:cNvPr id="1335" name="CheckBox29" hidden="1">
          <a:extLst>
            <a:ext uri="{63B3BB69-23CF-44E3-9099-C40C66FF867C}">
              <a14:compatExt xmlns:a14="http://schemas.microsoft.com/office/drawing/2010/main" spid="_x0000_s133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96</xdr:row>
      <xdr:rowOff>144780</xdr:rowOff>
    </xdr:from>
    <xdr:to>
      <xdr:col>7</xdr:col>
      <xdr:colOff>960120</xdr:colOff>
      <xdr:row>96</xdr:row>
      <xdr:rowOff>403860</xdr:rowOff>
    </xdr:to>
    <xdr:sp macro="" textlink="">
      <xdr:nvSpPr>
        <xdr:cNvPr id="1336" name="CheckBox30" hidden="1">
          <a:extLst>
            <a:ext uri="{63B3BB69-23CF-44E3-9099-C40C66FF867C}">
              <a14:compatExt xmlns:a14="http://schemas.microsoft.com/office/drawing/2010/main" spid="_x0000_s133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97</xdr:row>
      <xdr:rowOff>60960</xdr:rowOff>
    </xdr:from>
    <xdr:to>
      <xdr:col>7</xdr:col>
      <xdr:colOff>960120</xdr:colOff>
      <xdr:row>97</xdr:row>
      <xdr:rowOff>312420</xdr:rowOff>
    </xdr:to>
    <xdr:sp macro="" textlink="">
      <xdr:nvSpPr>
        <xdr:cNvPr id="1337" name="CheckBox31" hidden="1">
          <a:extLst>
            <a:ext uri="{63B3BB69-23CF-44E3-9099-C40C66FF867C}">
              <a14:compatExt xmlns:a14="http://schemas.microsoft.com/office/drawing/2010/main" spid="_x0000_s133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98</xdr:row>
      <xdr:rowOff>175260</xdr:rowOff>
    </xdr:from>
    <xdr:to>
      <xdr:col>7</xdr:col>
      <xdr:colOff>960120</xdr:colOff>
      <xdr:row>98</xdr:row>
      <xdr:rowOff>426720</xdr:rowOff>
    </xdr:to>
    <xdr:sp macro="" textlink="">
      <xdr:nvSpPr>
        <xdr:cNvPr id="1338" name="CheckBox32" hidden="1">
          <a:extLst>
            <a:ext uri="{63B3BB69-23CF-44E3-9099-C40C66FF867C}">
              <a14:compatExt xmlns:a14="http://schemas.microsoft.com/office/drawing/2010/main" spid="_x0000_s133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99</xdr:row>
      <xdr:rowOff>60960</xdr:rowOff>
    </xdr:from>
    <xdr:to>
      <xdr:col>7</xdr:col>
      <xdr:colOff>960120</xdr:colOff>
      <xdr:row>99</xdr:row>
      <xdr:rowOff>312420</xdr:rowOff>
    </xdr:to>
    <xdr:sp macro="" textlink="">
      <xdr:nvSpPr>
        <xdr:cNvPr id="1339" name="CheckBox33" hidden="1">
          <a:extLst>
            <a:ext uri="{63B3BB69-23CF-44E3-9099-C40C66FF867C}">
              <a14:compatExt xmlns:a14="http://schemas.microsoft.com/office/drawing/2010/main" spid="_x0000_s133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100</xdr:row>
      <xdr:rowOff>45720</xdr:rowOff>
    </xdr:from>
    <xdr:to>
      <xdr:col>7</xdr:col>
      <xdr:colOff>960120</xdr:colOff>
      <xdr:row>100</xdr:row>
      <xdr:rowOff>304800</xdr:rowOff>
    </xdr:to>
    <xdr:sp macro="" textlink="">
      <xdr:nvSpPr>
        <xdr:cNvPr id="1340" name="CheckBox34" hidden="1">
          <a:extLst>
            <a:ext uri="{63B3BB69-23CF-44E3-9099-C40C66FF867C}">
              <a14:compatExt xmlns:a14="http://schemas.microsoft.com/office/drawing/2010/main" spid="_x0000_s134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101</xdr:row>
      <xdr:rowOff>137160</xdr:rowOff>
    </xdr:from>
    <xdr:to>
      <xdr:col>7</xdr:col>
      <xdr:colOff>960120</xdr:colOff>
      <xdr:row>101</xdr:row>
      <xdr:rowOff>388620</xdr:rowOff>
    </xdr:to>
    <xdr:sp macro="" textlink="">
      <xdr:nvSpPr>
        <xdr:cNvPr id="1341" name="CheckBox35" hidden="1">
          <a:extLst>
            <a:ext uri="{63B3BB69-23CF-44E3-9099-C40C66FF867C}">
              <a14:compatExt xmlns:a14="http://schemas.microsoft.com/office/drawing/2010/main" spid="_x0000_s13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102</xdr:row>
      <xdr:rowOff>144780</xdr:rowOff>
    </xdr:from>
    <xdr:to>
      <xdr:col>7</xdr:col>
      <xdr:colOff>960120</xdr:colOff>
      <xdr:row>102</xdr:row>
      <xdr:rowOff>403860</xdr:rowOff>
    </xdr:to>
    <xdr:sp macro="" textlink="">
      <xdr:nvSpPr>
        <xdr:cNvPr id="1342" name="CheckBox36" hidden="1">
          <a:extLst>
            <a:ext uri="{63B3BB69-23CF-44E3-9099-C40C66FF867C}">
              <a14:compatExt xmlns:a14="http://schemas.microsoft.com/office/drawing/2010/main" spid="_x0000_s13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103</xdr:row>
      <xdr:rowOff>60960</xdr:rowOff>
    </xdr:from>
    <xdr:to>
      <xdr:col>7</xdr:col>
      <xdr:colOff>960120</xdr:colOff>
      <xdr:row>103</xdr:row>
      <xdr:rowOff>312420</xdr:rowOff>
    </xdr:to>
    <xdr:sp macro="" textlink="">
      <xdr:nvSpPr>
        <xdr:cNvPr id="1343" name="CheckBox37" hidden="1">
          <a:extLst>
            <a:ext uri="{63B3BB69-23CF-44E3-9099-C40C66FF867C}">
              <a14:compatExt xmlns:a14="http://schemas.microsoft.com/office/drawing/2010/main" spid="_x0000_s13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104</xdr:row>
      <xdr:rowOff>228600</xdr:rowOff>
    </xdr:from>
    <xdr:to>
      <xdr:col>7</xdr:col>
      <xdr:colOff>960120</xdr:colOff>
      <xdr:row>104</xdr:row>
      <xdr:rowOff>487680</xdr:rowOff>
    </xdr:to>
    <xdr:sp macro="" textlink="">
      <xdr:nvSpPr>
        <xdr:cNvPr id="1345" name="CheckBox38" hidden="1">
          <a:extLst>
            <a:ext uri="{63B3BB69-23CF-44E3-9099-C40C66FF867C}">
              <a14:compatExt xmlns:a14="http://schemas.microsoft.com/office/drawing/2010/main" spid="_x0000_s13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105</xdr:row>
      <xdr:rowOff>60960</xdr:rowOff>
    </xdr:from>
    <xdr:to>
      <xdr:col>7</xdr:col>
      <xdr:colOff>960120</xdr:colOff>
      <xdr:row>105</xdr:row>
      <xdr:rowOff>312420</xdr:rowOff>
    </xdr:to>
    <xdr:sp macro="" textlink="">
      <xdr:nvSpPr>
        <xdr:cNvPr id="1346" name="CheckBox39" hidden="1">
          <a:extLst>
            <a:ext uri="{63B3BB69-23CF-44E3-9099-C40C66FF867C}">
              <a14:compatExt xmlns:a14="http://schemas.microsoft.com/office/drawing/2010/main" spid="_x0000_s13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106</xdr:row>
      <xdr:rowOff>213360</xdr:rowOff>
    </xdr:from>
    <xdr:to>
      <xdr:col>7</xdr:col>
      <xdr:colOff>960120</xdr:colOff>
      <xdr:row>106</xdr:row>
      <xdr:rowOff>464820</xdr:rowOff>
    </xdr:to>
    <xdr:sp macro="" textlink="">
      <xdr:nvSpPr>
        <xdr:cNvPr id="1347" name="CheckBox40" hidden="1">
          <a:extLst>
            <a:ext uri="{63B3BB69-23CF-44E3-9099-C40C66FF867C}">
              <a14:compatExt xmlns:a14="http://schemas.microsoft.com/office/drawing/2010/main" spid="_x0000_s13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107</xdr:row>
      <xdr:rowOff>213360</xdr:rowOff>
    </xdr:from>
    <xdr:to>
      <xdr:col>7</xdr:col>
      <xdr:colOff>960120</xdr:colOff>
      <xdr:row>107</xdr:row>
      <xdr:rowOff>464820</xdr:rowOff>
    </xdr:to>
    <xdr:sp macro="" textlink="">
      <xdr:nvSpPr>
        <xdr:cNvPr id="1348" name="CheckBox41" hidden="1">
          <a:extLst>
            <a:ext uri="{63B3BB69-23CF-44E3-9099-C40C66FF867C}">
              <a14:compatExt xmlns:a14="http://schemas.microsoft.com/office/drawing/2010/main" spid="_x0000_s134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108</xdr:row>
      <xdr:rowOff>60960</xdr:rowOff>
    </xdr:from>
    <xdr:to>
      <xdr:col>7</xdr:col>
      <xdr:colOff>960120</xdr:colOff>
      <xdr:row>108</xdr:row>
      <xdr:rowOff>312420</xdr:rowOff>
    </xdr:to>
    <xdr:sp macro="" textlink="">
      <xdr:nvSpPr>
        <xdr:cNvPr id="1349" name="CheckBox42" hidden="1">
          <a:extLst>
            <a:ext uri="{63B3BB69-23CF-44E3-9099-C40C66FF867C}">
              <a14:compatExt xmlns:a14="http://schemas.microsoft.com/office/drawing/2010/main" spid="_x0000_s134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109</xdr:row>
      <xdr:rowOff>144780</xdr:rowOff>
    </xdr:from>
    <xdr:to>
      <xdr:col>7</xdr:col>
      <xdr:colOff>960120</xdr:colOff>
      <xdr:row>109</xdr:row>
      <xdr:rowOff>403860</xdr:rowOff>
    </xdr:to>
    <xdr:sp macro="" textlink="">
      <xdr:nvSpPr>
        <xdr:cNvPr id="1350" name="CheckBox43" hidden="1">
          <a:extLst>
            <a:ext uri="{63B3BB69-23CF-44E3-9099-C40C66FF867C}">
              <a14:compatExt xmlns:a14="http://schemas.microsoft.com/office/drawing/2010/main" spid="_x0000_s135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110</xdr:row>
      <xdr:rowOff>419100</xdr:rowOff>
    </xdr:from>
    <xdr:to>
      <xdr:col>7</xdr:col>
      <xdr:colOff>960120</xdr:colOff>
      <xdr:row>110</xdr:row>
      <xdr:rowOff>678180</xdr:rowOff>
    </xdr:to>
    <xdr:sp macro="" textlink="">
      <xdr:nvSpPr>
        <xdr:cNvPr id="1351" name="CheckBox44" hidden="1">
          <a:extLst>
            <a:ext uri="{63B3BB69-23CF-44E3-9099-C40C66FF867C}">
              <a14:compatExt xmlns:a14="http://schemas.microsoft.com/office/drawing/2010/main" spid="_x0000_s135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112</xdr:row>
      <xdr:rowOff>38100</xdr:rowOff>
    </xdr:from>
    <xdr:to>
      <xdr:col>7</xdr:col>
      <xdr:colOff>960120</xdr:colOff>
      <xdr:row>112</xdr:row>
      <xdr:rowOff>297180</xdr:rowOff>
    </xdr:to>
    <xdr:sp macro="" textlink="">
      <xdr:nvSpPr>
        <xdr:cNvPr id="1352" name="CheckBox45" hidden="1">
          <a:extLst>
            <a:ext uri="{63B3BB69-23CF-44E3-9099-C40C66FF867C}">
              <a14:compatExt xmlns:a14="http://schemas.microsoft.com/office/drawing/2010/main" spid="_x0000_s135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113</xdr:row>
      <xdr:rowOff>30480</xdr:rowOff>
    </xdr:from>
    <xdr:to>
      <xdr:col>7</xdr:col>
      <xdr:colOff>960120</xdr:colOff>
      <xdr:row>113</xdr:row>
      <xdr:rowOff>289560</xdr:rowOff>
    </xdr:to>
    <xdr:sp macro="" textlink="">
      <xdr:nvSpPr>
        <xdr:cNvPr id="1353" name="CheckBox46" hidden="1">
          <a:extLst>
            <a:ext uri="{63B3BB69-23CF-44E3-9099-C40C66FF867C}">
              <a14:compatExt xmlns:a14="http://schemas.microsoft.com/office/drawing/2010/main" spid="_x0000_s135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114</xdr:row>
      <xdr:rowOff>45720</xdr:rowOff>
    </xdr:from>
    <xdr:to>
      <xdr:col>7</xdr:col>
      <xdr:colOff>960120</xdr:colOff>
      <xdr:row>114</xdr:row>
      <xdr:rowOff>304800</xdr:rowOff>
    </xdr:to>
    <xdr:sp macro="" textlink="">
      <xdr:nvSpPr>
        <xdr:cNvPr id="1354" name="CheckBox47" hidden="1">
          <a:extLst>
            <a:ext uri="{63B3BB69-23CF-44E3-9099-C40C66FF867C}">
              <a14:compatExt xmlns:a14="http://schemas.microsoft.com/office/drawing/2010/main" spid="_x0000_s135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115</xdr:row>
      <xdr:rowOff>45720</xdr:rowOff>
    </xdr:from>
    <xdr:to>
      <xdr:col>7</xdr:col>
      <xdr:colOff>960120</xdr:colOff>
      <xdr:row>115</xdr:row>
      <xdr:rowOff>304800</xdr:rowOff>
    </xdr:to>
    <xdr:sp macro="" textlink="">
      <xdr:nvSpPr>
        <xdr:cNvPr id="1355" name="CheckBox48" hidden="1">
          <a:extLst>
            <a:ext uri="{63B3BB69-23CF-44E3-9099-C40C66FF867C}">
              <a14:compatExt xmlns:a14="http://schemas.microsoft.com/office/drawing/2010/main" spid="_x0000_s135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116</xdr:row>
      <xdr:rowOff>60960</xdr:rowOff>
    </xdr:from>
    <xdr:to>
      <xdr:col>7</xdr:col>
      <xdr:colOff>960120</xdr:colOff>
      <xdr:row>116</xdr:row>
      <xdr:rowOff>312420</xdr:rowOff>
    </xdr:to>
    <xdr:sp macro="" textlink="">
      <xdr:nvSpPr>
        <xdr:cNvPr id="1356" name="CheckBox49" hidden="1">
          <a:extLst>
            <a:ext uri="{63B3BB69-23CF-44E3-9099-C40C66FF867C}">
              <a14:compatExt xmlns:a14="http://schemas.microsoft.com/office/drawing/2010/main" spid="_x0000_s135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118</xdr:row>
      <xdr:rowOff>45720</xdr:rowOff>
    </xdr:from>
    <xdr:to>
      <xdr:col>7</xdr:col>
      <xdr:colOff>960120</xdr:colOff>
      <xdr:row>118</xdr:row>
      <xdr:rowOff>304800</xdr:rowOff>
    </xdr:to>
    <xdr:sp macro="" textlink="">
      <xdr:nvSpPr>
        <xdr:cNvPr id="1357" name="CheckBox50" hidden="1">
          <a:extLst>
            <a:ext uri="{63B3BB69-23CF-44E3-9099-C40C66FF867C}">
              <a14:compatExt xmlns:a14="http://schemas.microsoft.com/office/drawing/2010/main" spid="_x0000_s135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119</xdr:row>
      <xdr:rowOff>45720</xdr:rowOff>
    </xdr:from>
    <xdr:to>
      <xdr:col>7</xdr:col>
      <xdr:colOff>960120</xdr:colOff>
      <xdr:row>119</xdr:row>
      <xdr:rowOff>304800</xdr:rowOff>
    </xdr:to>
    <xdr:sp macro="" textlink="">
      <xdr:nvSpPr>
        <xdr:cNvPr id="1358" name="CheckBox51" hidden="1">
          <a:extLst>
            <a:ext uri="{63B3BB69-23CF-44E3-9099-C40C66FF867C}">
              <a14:compatExt xmlns:a14="http://schemas.microsoft.com/office/drawing/2010/main" spid="_x0000_s135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120</xdr:row>
      <xdr:rowOff>144780</xdr:rowOff>
    </xdr:from>
    <xdr:to>
      <xdr:col>7</xdr:col>
      <xdr:colOff>960120</xdr:colOff>
      <xdr:row>120</xdr:row>
      <xdr:rowOff>388620</xdr:rowOff>
    </xdr:to>
    <xdr:sp macro="" textlink="">
      <xdr:nvSpPr>
        <xdr:cNvPr id="1359" name="CheckBox52" hidden="1">
          <a:extLst>
            <a:ext uri="{63B3BB69-23CF-44E3-9099-C40C66FF867C}">
              <a14:compatExt xmlns:a14="http://schemas.microsoft.com/office/drawing/2010/main" spid="_x0000_s135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121</xdr:row>
      <xdr:rowOff>297180</xdr:rowOff>
    </xdr:from>
    <xdr:to>
      <xdr:col>7</xdr:col>
      <xdr:colOff>960120</xdr:colOff>
      <xdr:row>121</xdr:row>
      <xdr:rowOff>556260</xdr:rowOff>
    </xdr:to>
    <xdr:sp macro="" textlink="">
      <xdr:nvSpPr>
        <xdr:cNvPr id="1360" name="CheckBox53" hidden="1">
          <a:extLst>
            <a:ext uri="{63B3BB69-23CF-44E3-9099-C40C66FF867C}">
              <a14:compatExt xmlns:a14="http://schemas.microsoft.com/office/drawing/2010/main" spid="_x0000_s136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122</xdr:row>
      <xdr:rowOff>144780</xdr:rowOff>
    </xdr:from>
    <xdr:to>
      <xdr:col>7</xdr:col>
      <xdr:colOff>960120</xdr:colOff>
      <xdr:row>122</xdr:row>
      <xdr:rowOff>403860</xdr:rowOff>
    </xdr:to>
    <xdr:sp macro="" textlink="">
      <xdr:nvSpPr>
        <xdr:cNvPr id="1361" name="CheckBox54" hidden="1">
          <a:extLst>
            <a:ext uri="{63B3BB69-23CF-44E3-9099-C40C66FF867C}">
              <a14:compatExt xmlns:a14="http://schemas.microsoft.com/office/drawing/2010/main" spid="_x0000_s136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123</xdr:row>
      <xdr:rowOff>114300</xdr:rowOff>
    </xdr:from>
    <xdr:to>
      <xdr:col>7</xdr:col>
      <xdr:colOff>960120</xdr:colOff>
      <xdr:row>123</xdr:row>
      <xdr:rowOff>373380</xdr:rowOff>
    </xdr:to>
    <xdr:sp macro="" textlink="">
      <xdr:nvSpPr>
        <xdr:cNvPr id="1362" name="CheckBox55" hidden="1">
          <a:extLst>
            <a:ext uri="{63B3BB69-23CF-44E3-9099-C40C66FF867C}">
              <a14:compatExt xmlns:a14="http://schemas.microsoft.com/office/drawing/2010/main" spid="_x0000_s136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125</xdr:row>
      <xdr:rowOff>45720</xdr:rowOff>
    </xdr:from>
    <xdr:to>
      <xdr:col>7</xdr:col>
      <xdr:colOff>960120</xdr:colOff>
      <xdr:row>125</xdr:row>
      <xdr:rowOff>304800</xdr:rowOff>
    </xdr:to>
    <xdr:sp macro="" textlink="">
      <xdr:nvSpPr>
        <xdr:cNvPr id="1363" name="CheckBox56" hidden="1">
          <a:extLst>
            <a:ext uri="{63B3BB69-23CF-44E3-9099-C40C66FF867C}">
              <a14:compatExt xmlns:a14="http://schemas.microsoft.com/office/drawing/2010/main" spid="_x0000_s136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126</xdr:row>
      <xdr:rowOff>60960</xdr:rowOff>
    </xdr:from>
    <xdr:to>
      <xdr:col>7</xdr:col>
      <xdr:colOff>960120</xdr:colOff>
      <xdr:row>126</xdr:row>
      <xdr:rowOff>312420</xdr:rowOff>
    </xdr:to>
    <xdr:sp macro="" textlink="">
      <xdr:nvSpPr>
        <xdr:cNvPr id="1364" name="CheckBox57" hidden="1">
          <a:extLst>
            <a:ext uri="{63B3BB69-23CF-44E3-9099-C40C66FF867C}">
              <a14:compatExt xmlns:a14="http://schemas.microsoft.com/office/drawing/2010/main" spid="_x0000_s136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127</xdr:row>
      <xdr:rowOff>45720</xdr:rowOff>
    </xdr:from>
    <xdr:to>
      <xdr:col>7</xdr:col>
      <xdr:colOff>960120</xdr:colOff>
      <xdr:row>127</xdr:row>
      <xdr:rowOff>304800</xdr:rowOff>
    </xdr:to>
    <xdr:sp macro="" textlink="">
      <xdr:nvSpPr>
        <xdr:cNvPr id="1365" name="CheckBox58" hidden="1">
          <a:extLst>
            <a:ext uri="{63B3BB69-23CF-44E3-9099-C40C66FF867C}">
              <a14:compatExt xmlns:a14="http://schemas.microsoft.com/office/drawing/2010/main" spid="_x0000_s136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128</xdr:row>
      <xdr:rowOff>45720</xdr:rowOff>
    </xdr:from>
    <xdr:to>
      <xdr:col>7</xdr:col>
      <xdr:colOff>960120</xdr:colOff>
      <xdr:row>128</xdr:row>
      <xdr:rowOff>304800</xdr:rowOff>
    </xdr:to>
    <xdr:sp macro="" textlink="">
      <xdr:nvSpPr>
        <xdr:cNvPr id="1366" name="CheckBox59" hidden="1">
          <a:extLst>
            <a:ext uri="{63B3BB69-23CF-44E3-9099-C40C66FF867C}">
              <a14:compatExt xmlns:a14="http://schemas.microsoft.com/office/drawing/2010/main" spid="_x0000_s136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129</xdr:row>
      <xdr:rowOff>45720</xdr:rowOff>
    </xdr:from>
    <xdr:to>
      <xdr:col>7</xdr:col>
      <xdr:colOff>960120</xdr:colOff>
      <xdr:row>129</xdr:row>
      <xdr:rowOff>304800</xdr:rowOff>
    </xdr:to>
    <xdr:sp macro="" textlink="">
      <xdr:nvSpPr>
        <xdr:cNvPr id="1367" name="CheckBox60" hidden="1">
          <a:extLst>
            <a:ext uri="{63B3BB69-23CF-44E3-9099-C40C66FF867C}">
              <a14:compatExt xmlns:a14="http://schemas.microsoft.com/office/drawing/2010/main" spid="_x0000_s136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130</xdr:row>
      <xdr:rowOff>175260</xdr:rowOff>
    </xdr:from>
    <xdr:to>
      <xdr:col>7</xdr:col>
      <xdr:colOff>960120</xdr:colOff>
      <xdr:row>130</xdr:row>
      <xdr:rowOff>426720</xdr:rowOff>
    </xdr:to>
    <xdr:sp macro="" textlink="">
      <xdr:nvSpPr>
        <xdr:cNvPr id="1368" name="CheckBox61" hidden="1">
          <a:extLst>
            <a:ext uri="{63B3BB69-23CF-44E3-9099-C40C66FF867C}">
              <a14:compatExt xmlns:a14="http://schemas.microsoft.com/office/drawing/2010/main" spid="_x0000_s136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131</xdr:row>
      <xdr:rowOff>144780</xdr:rowOff>
    </xdr:from>
    <xdr:to>
      <xdr:col>7</xdr:col>
      <xdr:colOff>960120</xdr:colOff>
      <xdr:row>131</xdr:row>
      <xdr:rowOff>388620</xdr:rowOff>
    </xdr:to>
    <xdr:sp macro="" textlink="">
      <xdr:nvSpPr>
        <xdr:cNvPr id="1369" name="CheckBox62" hidden="1">
          <a:extLst>
            <a:ext uri="{63B3BB69-23CF-44E3-9099-C40C66FF867C}">
              <a14:compatExt xmlns:a14="http://schemas.microsoft.com/office/drawing/2010/main" spid="_x0000_s136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132</xdr:row>
      <xdr:rowOff>152400</xdr:rowOff>
    </xdr:from>
    <xdr:to>
      <xdr:col>7</xdr:col>
      <xdr:colOff>960120</xdr:colOff>
      <xdr:row>132</xdr:row>
      <xdr:rowOff>411480</xdr:rowOff>
    </xdr:to>
    <xdr:sp macro="" textlink="">
      <xdr:nvSpPr>
        <xdr:cNvPr id="1370" name="CheckBox63" hidden="1">
          <a:extLst>
            <a:ext uri="{63B3BB69-23CF-44E3-9099-C40C66FF867C}">
              <a14:compatExt xmlns:a14="http://schemas.microsoft.com/office/drawing/2010/main" spid="_x0000_s137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133</xdr:row>
      <xdr:rowOff>45720</xdr:rowOff>
    </xdr:from>
    <xdr:to>
      <xdr:col>7</xdr:col>
      <xdr:colOff>960120</xdr:colOff>
      <xdr:row>133</xdr:row>
      <xdr:rowOff>304800</xdr:rowOff>
    </xdr:to>
    <xdr:sp macro="" textlink="">
      <xdr:nvSpPr>
        <xdr:cNvPr id="1371" name="CheckBox64" hidden="1">
          <a:extLst>
            <a:ext uri="{63B3BB69-23CF-44E3-9099-C40C66FF867C}">
              <a14:compatExt xmlns:a14="http://schemas.microsoft.com/office/drawing/2010/main" spid="_x0000_s137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134</xdr:row>
      <xdr:rowOff>160020</xdr:rowOff>
    </xdr:from>
    <xdr:to>
      <xdr:col>7</xdr:col>
      <xdr:colOff>960120</xdr:colOff>
      <xdr:row>134</xdr:row>
      <xdr:rowOff>419100</xdr:rowOff>
    </xdr:to>
    <xdr:sp macro="" textlink="">
      <xdr:nvSpPr>
        <xdr:cNvPr id="1372" name="CheckBox65" hidden="1">
          <a:extLst>
            <a:ext uri="{63B3BB69-23CF-44E3-9099-C40C66FF867C}">
              <a14:compatExt xmlns:a14="http://schemas.microsoft.com/office/drawing/2010/main" spid="_x0000_s137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135</xdr:row>
      <xdr:rowOff>175260</xdr:rowOff>
    </xdr:from>
    <xdr:to>
      <xdr:col>7</xdr:col>
      <xdr:colOff>960120</xdr:colOff>
      <xdr:row>135</xdr:row>
      <xdr:rowOff>426720</xdr:rowOff>
    </xdr:to>
    <xdr:sp macro="" textlink="">
      <xdr:nvSpPr>
        <xdr:cNvPr id="1373" name="CheckBox66" hidden="1">
          <a:extLst>
            <a:ext uri="{63B3BB69-23CF-44E3-9099-C40C66FF867C}">
              <a14:compatExt xmlns:a14="http://schemas.microsoft.com/office/drawing/2010/main" spid="_x0000_s137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136</xdr:row>
      <xdr:rowOff>60960</xdr:rowOff>
    </xdr:from>
    <xdr:to>
      <xdr:col>7</xdr:col>
      <xdr:colOff>960120</xdr:colOff>
      <xdr:row>136</xdr:row>
      <xdr:rowOff>312420</xdr:rowOff>
    </xdr:to>
    <xdr:sp macro="" textlink="">
      <xdr:nvSpPr>
        <xdr:cNvPr id="1374" name="CheckBox67" hidden="1">
          <a:extLst>
            <a:ext uri="{63B3BB69-23CF-44E3-9099-C40C66FF867C}">
              <a14:compatExt xmlns:a14="http://schemas.microsoft.com/office/drawing/2010/main" spid="_x0000_s137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137</xdr:row>
      <xdr:rowOff>259080</xdr:rowOff>
    </xdr:from>
    <xdr:to>
      <xdr:col>7</xdr:col>
      <xdr:colOff>960120</xdr:colOff>
      <xdr:row>137</xdr:row>
      <xdr:rowOff>518160</xdr:rowOff>
    </xdr:to>
    <xdr:sp macro="" textlink="">
      <xdr:nvSpPr>
        <xdr:cNvPr id="1375" name="CheckBox68" hidden="1">
          <a:extLst>
            <a:ext uri="{63B3BB69-23CF-44E3-9099-C40C66FF867C}">
              <a14:compatExt xmlns:a14="http://schemas.microsoft.com/office/drawing/2010/main" spid="_x0000_s137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139</xdr:row>
      <xdr:rowOff>38100</xdr:rowOff>
    </xdr:from>
    <xdr:to>
      <xdr:col>7</xdr:col>
      <xdr:colOff>960120</xdr:colOff>
      <xdr:row>139</xdr:row>
      <xdr:rowOff>297180</xdr:rowOff>
    </xdr:to>
    <xdr:sp macro="" textlink="">
      <xdr:nvSpPr>
        <xdr:cNvPr id="1376" name="CheckBox69" hidden="1">
          <a:extLst>
            <a:ext uri="{63B3BB69-23CF-44E3-9099-C40C66FF867C}">
              <a14:compatExt xmlns:a14="http://schemas.microsoft.com/office/drawing/2010/main" spid="_x0000_s137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140</xdr:row>
      <xdr:rowOff>259080</xdr:rowOff>
    </xdr:from>
    <xdr:to>
      <xdr:col>7</xdr:col>
      <xdr:colOff>960120</xdr:colOff>
      <xdr:row>140</xdr:row>
      <xdr:rowOff>518160</xdr:rowOff>
    </xdr:to>
    <xdr:sp macro="" textlink="">
      <xdr:nvSpPr>
        <xdr:cNvPr id="1377" name="CheckBox70" hidden="1">
          <a:extLst>
            <a:ext uri="{63B3BB69-23CF-44E3-9099-C40C66FF867C}">
              <a14:compatExt xmlns:a14="http://schemas.microsoft.com/office/drawing/2010/main" spid="_x0000_s137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141</xdr:row>
      <xdr:rowOff>38100</xdr:rowOff>
    </xdr:from>
    <xdr:to>
      <xdr:col>7</xdr:col>
      <xdr:colOff>960120</xdr:colOff>
      <xdr:row>141</xdr:row>
      <xdr:rowOff>297180</xdr:rowOff>
    </xdr:to>
    <xdr:sp macro="" textlink="">
      <xdr:nvSpPr>
        <xdr:cNvPr id="1378" name="CheckBox71" hidden="1">
          <a:extLst>
            <a:ext uri="{63B3BB69-23CF-44E3-9099-C40C66FF867C}">
              <a14:compatExt xmlns:a14="http://schemas.microsoft.com/office/drawing/2010/main" spid="_x0000_s137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142</xdr:row>
      <xdr:rowOff>182880</xdr:rowOff>
    </xdr:from>
    <xdr:to>
      <xdr:col>7</xdr:col>
      <xdr:colOff>960120</xdr:colOff>
      <xdr:row>142</xdr:row>
      <xdr:rowOff>441960</xdr:rowOff>
    </xdr:to>
    <xdr:sp macro="" textlink="">
      <xdr:nvSpPr>
        <xdr:cNvPr id="1379" name="CheckBox72" hidden="1">
          <a:extLst>
            <a:ext uri="{63B3BB69-23CF-44E3-9099-C40C66FF867C}">
              <a14:compatExt xmlns:a14="http://schemas.microsoft.com/office/drawing/2010/main" spid="_x0000_s137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441960</xdr:colOff>
      <xdr:row>143</xdr:row>
      <xdr:rowOff>160020</xdr:rowOff>
    </xdr:from>
    <xdr:to>
      <xdr:col>7</xdr:col>
      <xdr:colOff>960120</xdr:colOff>
      <xdr:row>143</xdr:row>
      <xdr:rowOff>419100</xdr:rowOff>
    </xdr:to>
    <xdr:sp macro="" textlink="">
      <xdr:nvSpPr>
        <xdr:cNvPr id="1380" name="CheckBox73" hidden="1">
          <a:extLst>
            <a:ext uri="{63B3BB69-23CF-44E3-9099-C40C66FF867C}">
              <a14:compatExt xmlns:a14="http://schemas.microsoft.com/office/drawing/2010/main" spid="_x0000_s138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144</xdr:row>
      <xdr:rowOff>114300</xdr:rowOff>
    </xdr:from>
    <xdr:to>
      <xdr:col>7</xdr:col>
      <xdr:colOff>950258</xdr:colOff>
      <xdr:row>145</xdr:row>
      <xdr:rowOff>259080</xdr:rowOff>
    </xdr:to>
    <xdr:sp macro="" textlink="">
      <xdr:nvSpPr>
        <xdr:cNvPr id="1383" name="CheckBox74" hidden="1">
          <a:extLst>
            <a:ext uri="{63B3BB69-23CF-44E3-9099-C40C66FF867C}">
              <a14:compatExt xmlns:a14="http://schemas.microsoft.com/office/drawing/2010/main" spid="_x0000_s138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146</xdr:row>
      <xdr:rowOff>198120</xdr:rowOff>
    </xdr:from>
    <xdr:to>
      <xdr:col>7</xdr:col>
      <xdr:colOff>950258</xdr:colOff>
      <xdr:row>147</xdr:row>
      <xdr:rowOff>125506</xdr:rowOff>
    </xdr:to>
    <xdr:sp macro="" textlink="">
      <xdr:nvSpPr>
        <xdr:cNvPr id="1384" name="CheckBox75" hidden="1">
          <a:extLst>
            <a:ext uri="{63B3BB69-23CF-44E3-9099-C40C66FF867C}">
              <a14:compatExt xmlns:a14="http://schemas.microsoft.com/office/drawing/2010/main" spid="_x0000_s138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147</xdr:row>
      <xdr:rowOff>45720</xdr:rowOff>
    </xdr:from>
    <xdr:to>
      <xdr:col>7</xdr:col>
      <xdr:colOff>950258</xdr:colOff>
      <xdr:row>147</xdr:row>
      <xdr:rowOff>304800</xdr:rowOff>
    </xdr:to>
    <xdr:sp macro="" textlink="">
      <xdr:nvSpPr>
        <xdr:cNvPr id="1385" name="CheckBox76" hidden="1">
          <a:extLst>
            <a:ext uri="{63B3BB69-23CF-44E3-9099-C40C66FF867C}">
              <a14:compatExt xmlns:a14="http://schemas.microsoft.com/office/drawing/2010/main" spid="_x0000_s138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148</xdr:row>
      <xdr:rowOff>45720</xdr:rowOff>
    </xdr:from>
    <xdr:to>
      <xdr:col>7</xdr:col>
      <xdr:colOff>950258</xdr:colOff>
      <xdr:row>148</xdr:row>
      <xdr:rowOff>304800</xdr:rowOff>
    </xdr:to>
    <xdr:sp macro="" textlink="">
      <xdr:nvSpPr>
        <xdr:cNvPr id="1386" name="CheckBox77" hidden="1">
          <a:extLst>
            <a:ext uri="{63B3BB69-23CF-44E3-9099-C40C66FF867C}">
              <a14:compatExt xmlns:a14="http://schemas.microsoft.com/office/drawing/2010/main" spid="_x0000_s138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149</xdr:row>
      <xdr:rowOff>45720</xdr:rowOff>
    </xdr:from>
    <xdr:to>
      <xdr:col>7</xdr:col>
      <xdr:colOff>950258</xdr:colOff>
      <xdr:row>149</xdr:row>
      <xdr:rowOff>297180</xdr:rowOff>
    </xdr:to>
    <xdr:sp macro="" textlink="">
      <xdr:nvSpPr>
        <xdr:cNvPr id="1387" name="CheckBox78" hidden="1">
          <a:extLst>
            <a:ext uri="{63B3BB69-23CF-44E3-9099-C40C66FF867C}">
              <a14:compatExt xmlns:a14="http://schemas.microsoft.com/office/drawing/2010/main" spid="_x0000_s138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150</xdr:row>
      <xdr:rowOff>60960</xdr:rowOff>
    </xdr:from>
    <xdr:to>
      <xdr:col>7</xdr:col>
      <xdr:colOff>950258</xdr:colOff>
      <xdr:row>150</xdr:row>
      <xdr:rowOff>312420</xdr:rowOff>
    </xdr:to>
    <xdr:sp macro="" textlink="">
      <xdr:nvSpPr>
        <xdr:cNvPr id="1388" name="CheckBox79" hidden="1">
          <a:extLst>
            <a:ext uri="{63B3BB69-23CF-44E3-9099-C40C66FF867C}">
              <a14:compatExt xmlns:a14="http://schemas.microsoft.com/office/drawing/2010/main" spid="_x0000_s138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151</xdr:row>
      <xdr:rowOff>68580</xdr:rowOff>
    </xdr:from>
    <xdr:to>
      <xdr:col>7</xdr:col>
      <xdr:colOff>950258</xdr:colOff>
      <xdr:row>151</xdr:row>
      <xdr:rowOff>320040</xdr:rowOff>
    </xdr:to>
    <xdr:sp macro="" textlink="">
      <xdr:nvSpPr>
        <xdr:cNvPr id="1389" name="CheckBox80" hidden="1">
          <a:extLst>
            <a:ext uri="{63B3BB69-23CF-44E3-9099-C40C66FF867C}">
              <a14:compatExt xmlns:a14="http://schemas.microsoft.com/office/drawing/2010/main" spid="_x0000_s138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152</xdr:row>
      <xdr:rowOff>45720</xdr:rowOff>
    </xdr:from>
    <xdr:to>
      <xdr:col>7</xdr:col>
      <xdr:colOff>950258</xdr:colOff>
      <xdr:row>152</xdr:row>
      <xdr:rowOff>304800</xdr:rowOff>
    </xdr:to>
    <xdr:sp macro="" textlink="">
      <xdr:nvSpPr>
        <xdr:cNvPr id="1390" name="CheckBox81" hidden="1">
          <a:extLst>
            <a:ext uri="{63B3BB69-23CF-44E3-9099-C40C66FF867C}">
              <a14:compatExt xmlns:a14="http://schemas.microsoft.com/office/drawing/2010/main" spid="_x0000_s139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153</xdr:row>
      <xdr:rowOff>60960</xdr:rowOff>
    </xdr:from>
    <xdr:to>
      <xdr:col>7</xdr:col>
      <xdr:colOff>950258</xdr:colOff>
      <xdr:row>153</xdr:row>
      <xdr:rowOff>320040</xdr:rowOff>
    </xdr:to>
    <xdr:sp macro="" textlink="">
      <xdr:nvSpPr>
        <xdr:cNvPr id="1391" name="CheckBox82" hidden="1">
          <a:extLst>
            <a:ext uri="{63B3BB69-23CF-44E3-9099-C40C66FF867C}">
              <a14:compatExt xmlns:a14="http://schemas.microsoft.com/office/drawing/2010/main" spid="_x0000_s139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154</xdr:row>
      <xdr:rowOff>60960</xdr:rowOff>
    </xdr:from>
    <xdr:to>
      <xdr:col>7</xdr:col>
      <xdr:colOff>950258</xdr:colOff>
      <xdr:row>154</xdr:row>
      <xdr:rowOff>312420</xdr:rowOff>
    </xdr:to>
    <xdr:sp macro="" textlink="">
      <xdr:nvSpPr>
        <xdr:cNvPr id="1392" name="CheckBox83" hidden="1">
          <a:extLst>
            <a:ext uri="{63B3BB69-23CF-44E3-9099-C40C66FF867C}">
              <a14:compatExt xmlns:a14="http://schemas.microsoft.com/office/drawing/2010/main" spid="_x0000_s139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157</xdr:row>
      <xdr:rowOff>45720</xdr:rowOff>
    </xdr:from>
    <xdr:to>
      <xdr:col>7</xdr:col>
      <xdr:colOff>950258</xdr:colOff>
      <xdr:row>157</xdr:row>
      <xdr:rowOff>304800</xdr:rowOff>
    </xdr:to>
    <xdr:sp macro="" textlink="">
      <xdr:nvSpPr>
        <xdr:cNvPr id="1393" name="CheckBox84" hidden="1">
          <a:extLst>
            <a:ext uri="{63B3BB69-23CF-44E3-9099-C40C66FF867C}">
              <a14:compatExt xmlns:a14="http://schemas.microsoft.com/office/drawing/2010/main" spid="_x0000_s139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158</xdr:row>
      <xdr:rowOff>160020</xdr:rowOff>
    </xdr:from>
    <xdr:to>
      <xdr:col>7</xdr:col>
      <xdr:colOff>950258</xdr:colOff>
      <xdr:row>158</xdr:row>
      <xdr:rowOff>419100</xdr:rowOff>
    </xdr:to>
    <xdr:sp macro="" textlink="">
      <xdr:nvSpPr>
        <xdr:cNvPr id="1394" name="CheckBox85" hidden="1">
          <a:extLst>
            <a:ext uri="{63B3BB69-23CF-44E3-9099-C40C66FF867C}">
              <a14:compatExt xmlns:a14="http://schemas.microsoft.com/office/drawing/2010/main" spid="_x0000_s139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159</xdr:row>
      <xdr:rowOff>160020</xdr:rowOff>
    </xdr:from>
    <xdr:to>
      <xdr:col>7</xdr:col>
      <xdr:colOff>950258</xdr:colOff>
      <xdr:row>159</xdr:row>
      <xdr:rowOff>419100</xdr:rowOff>
    </xdr:to>
    <xdr:sp macro="" textlink="">
      <xdr:nvSpPr>
        <xdr:cNvPr id="1395" name="CheckBox86" hidden="1">
          <a:extLst>
            <a:ext uri="{63B3BB69-23CF-44E3-9099-C40C66FF867C}">
              <a14:compatExt xmlns:a14="http://schemas.microsoft.com/office/drawing/2010/main" spid="_x0000_s139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160</xdr:row>
      <xdr:rowOff>175260</xdr:rowOff>
    </xdr:from>
    <xdr:to>
      <xdr:col>7</xdr:col>
      <xdr:colOff>950258</xdr:colOff>
      <xdr:row>160</xdr:row>
      <xdr:rowOff>434340</xdr:rowOff>
    </xdr:to>
    <xdr:sp macro="" textlink="">
      <xdr:nvSpPr>
        <xdr:cNvPr id="1396" name="CheckBox87" hidden="1">
          <a:extLst>
            <a:ext uri="{63B3BB69-23CF-44E3-9099-C40C66FF867C}">
              <a14:compatExt xmlns:a14="http://schemas.microsoft.com/office/drawing/2010/main" spid="_x0000_s139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161</xdr:row>
      <xdr:rowOff>190500</xdr:rowOff>
    </xdr:from>
    <xdr:to>
      <xdr:col>7</xdr:col>
      <xdr:colOff>950258</xdr:colOff>
      <xdr:row>161</xdr:row>
      <xdr:rowOff>449580</xdr:rowOff>
    </xdr:to>
    <xdr:sp macro="" textlink="">
      <xdr:nvSpPr>
        <xdr:cNvPr id="1397" name="CheckBox88" hidden="1">
          <a:extLst>
            <a:ext uri="{63B3BB69-23CF-44E3-9099-C40C66FF867C}">
              <a14:compatExt xmlns:a14="http://schemas.microsoft.com/office/drawing/2010/main" spid="_x0000_s139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162</xdr:row>
      <xdr:rowOff>45720</xdr:rowOff>
    </xdr:from>
    <xdr:to>
      <xdr:col>7</xdr:col>
      <xdr:colOff>950258</xdr:colOff>
      <xdr:row>162</xdr:row>
      <xdr:rowOff>304800</xdr:rowOff>
    </xdr:to>
    <xdr:sp macro="" textlink="">
      <xdr:nvSpPr>
        <xdr:cNvPr id="1398" name="CheckBox89" hidden="1">
          <a:extLst>
            <a:ext uri="{63B3BB69-23CF-44E3-9099-C40C66FF867C}">
              <a14:compatExt xmlns:a14="http://schemas.microsoft.com/office/drawing/2010/main" spid="_x0000_s139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164</xdr:row>
      <xdr:rowOff>0</xdr:rowOff>
    </xdr:from>
    <xdr:to>
      <xdr:col>7</xdr:col>
      <xdr:colOff>950258</xdr:colOff>
      <xdr:row>170</xdr:row>
      <xdr:rowOff>253103</xdr:rowOff>
    </xdr:to>
    <xdr:sp macro="" textlink="">
      <xdr:nvSpPr>
        <xdr:cNvPr id="1399" name="CheckBox90" hidden="1">
          <a:extLst>
            <a:ext uri="{63B3BB69-23CF-44E3-9099-C40C66FF867C}">
              <a14:compatExt xmlns:a14="http://schemas.microsoft.com/office/drawing/2010/main" spid="_x0000_s139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164</xdr:row>
      <xdr:rowOff>45720</xdr:rowOff>
    </xdr:from>
    <xdr:to>
      <xdr:col>7</xdr:col>
      <xdr:colOff>950258</xdr:colOff>
      <xdr:row>170</xdr:row>
      <xdr:rowOff>259453</xdr:rowOff>
    </xdr:to>
    <xdr:sp macro="" textlink="">
      <xdr:nvSpPr>
        <xdr:cNvPr id="1400" name="CheckBox91" hidden="1">
          <a:extLst>
            <a:ext uri="{63B3BB69-23CF-44E3-9099-C40C66FF867C}">
              <a14:compatExt xmlns:a14="http://schemas.microsoft.com/office/drawing/2010/main" spid="_x0000_s140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165</xdr:row>
      <xdr:rowOff>45720</xdr:rowOff>
    </xdr:from>
    <xdr:to>
      <xdr:col>7</xdr:col>
      <xdr:colOff>950258</xdr:colOff>
      <xdr:row>170</xdr:row>
      <xdr:rowOff>259080</xdr:rowOff>
    </xdr:to>
    <xdr:sp macro="" textlink="">
      <xdr:nvSpPr>
        <xdr:cNvPr id="1401" name="CheckBox92" hidden="1">
          <a:extLst>
            <a:ext uri="{63B3BB69-23CF-44E3-9099-C40C66FF867C}">
              <a14:compatExt xmlns:a14="http://schemas.microsoft.com/office/drawing/2010/main" spid="_x0000_s140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166</xdr:row>
      <xdr:rowOff>160020</xdr:rowOff>
    </xdr:from>
    <xdr:to>
      <xdr:col>7</xdr:col>
      <xdr:colOff>950258</xdr:colOff>
      <xdr:row>170</xdr:row>
      <xdr:rowOff>251460</xdr:rowOff>
    </xdr:to>
    <xdr:sp macro="" textlink="">
      <xdr:nvSpPr>
        <xdr:cNvPr id="1402" name="CheckBox93" hidden="1">
          <a:extLst>
            <a:ext uri="{63B3BB69-23CF-44E3-9099-C40C66FF867C}">
              <a14:compatExt xmlns:a14="http://schemas.microsoft.com/office/drawing/2010/main" spid="_x0000_s140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167</xdr:row>
      <xdr:rowOff>45720</xdr:rowOff>
    </xdr:from>
    <xdr:to>
      <xdr:col>7</xdr:col>
      <xdr:colOff>950258</xdr:colOff>
      <xdr:row>170</xdr:row>
      <xdr:rowOff>259080</xdr:rowOff>
    </xdr:to>
    <xdr:sp macro="" textlink="">
      <xdr:nvSpPr>
        <xdr:cNvPr id="1403" name="CheckBox94" hidden="1">
          <a:extLst>
            <a:ext uri="{63B3BB69-23CF-44E3-9099-C40C66FF867C}">
              <a14:compatExt xmlns:a14="http://schemas.microsoft.com/office/drawing/2010/main" spid="_x0000_s140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441960</xdr:colOff>
      <xdr:row>170</xdr:row>
      <xdr:rowOff>0</xdr:rowOff>
    </xdr:from>
    <xdr:to>
      <xdr:col>7</xdr:col>
      <xdr:colOff>950258</xdr:colOff>
      <xdr:row>170</xdr:row>
      <xdr:rowOff>259080</xdr:rowOff>
    </xdr:to>
    <xdr:sp macro="" textlink="">
      <xdr:nvSpPr>
        <xdr:cNvPr id="1404" name="CheckBox95" hidden="1">
          <a:extLst>
            <a:ext uri="{63B3BB69-23CF-44E3-9099-C40C66FF867C}">
              <a14:compatExt xmlns:a14="http://schemas.microsoft.com/office/drawing/2010/main" spid="_x0000_s1404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171</xdr:row>
      <xdr:rowOff>441960</xdr:rowOff>
    </xdr:from>
    <xdr:to>
      <xdr:col>7</xdr:col>
      <xdr:colOff>937260</xdr:colOff>
      <xdr:row>171</xdr:row>
      <xdr:rowOff>701040</xdr:rowOff>
    </xdr:to>
    <xdr:sp macro="" textlink="">
      <xdr:nvSpPr>
        <xdr:cNvPr id="1405" name="CheckBox96" hidden="1">
          <a:extLst>
            <a:ext uri="{63B3BB69-23CF-44E3-9099-C40C66FF867C}">
              <a14:compatExt xmlns:a14="http://schemas.microsoft.com/office/drawing/2010/main" spid="_x0000_s140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172</xdr:row>
      <xdr:rowOff>213360</xdr:rowOff>
    </xdr:from>
    <xdr:to>
      <xdr:col>7</xdr:col>
      <xdr:colOff>950258</xdr:colOff>
      <xdr:row>173</xdr:row>
      <xdr:rowOff>109156</xdr:rowOff>
    </xdr:to>
    <xdr:sp macro="" textlink="">
      <xdr:nvSpPr>
        <xdr:cNvPr id="1406" name="CheckBox97" hidden="1">
          <a:extLst>
            <a:ext uri="{63B3BB69-23CF-44E3-9099-C40C66FF867C}">
              <a14:compatExt xmlns:a14="http://schemas.microsoft.com/office/drawing/2010/main" spid="_x0000_s140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173</xdr:row>
      <xdr:rowOff>38100</xdr:rowOff>
    </xdr:from>
    <xdr:to>
      <xdr:col>7</xdr:col>
      <xdr:colOff>950258</xdr:colOff>
      <xdr:row>173</xdr:row>
      <xdr:rowOff>293784</xdr:rowOff>
    </xdr:to>
    <xdr:sp macro="" textlink="">
      <xdr:nvSpPr>
        <xdr:cNvPr id="1407" name="CheckBox98" hidden="1">
          <a:extLst>
            <a:ext uri="{63B3BB69-23CF-44E3-9099-C40C66FF867C}">
              <a14:compatExt xmlns:a14="http://schemas.microsoft.com/office/drawing/2010/main" spid="_x0000_s140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174</xdr:row>
      <xdr:rowOff>30480</xdr:rowOff>
    </xdr:from>
    <xdr:to>
      <xdr:col>7</xdr:col>
      <xdr:colOff>950258</xdr:colOff>
      <xdr:row>174</xdr:row>
      <xdr:rowOff>289560</xdr:rowOff>
    </xdr:to>
    <xdr:sp macro="" textlink="">
      <xdr:nvSpPr>
        <xdr:cNvPr id="1408" name="CheckBox99" hidden="1">
          <a:extLst>
            <a:ext uri="{63B3BB69-23CF-44E3-9099-C40C66FF867C}">
              <a14:compatExt xmlns:a14="http://schemas.microsoft.com/office/drawing/2010/main" spid="_x0000_s140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175</xdr:row>
      <xdr:rowOff>251460</xdr:rowOff>
    </xdr:from>
    <xdr:to>
      <xdr:col>7</xdr:col>
      <xdr:colOff>950258</xdr:colOff>
      <xdr:row>176</xdr:row>
      <xdr:rowOff>125058</xdr:rowOff>
    </xdr:to>
    <xdr:sp macro="" textlink="">
      <xdr:nvSpPr>
        <xdr:cNvPr id="1409" name="CheckBox100" hidden="1">
          <a:extLst>
            <a:ext uri="{63B3BB69-23CF-44E3-9099-C40C66FF867C}">
              <a14:compatExt xmlns:a14="http://schemas.microsoft.com/office/drawing/2010/main" spid="_x0000_s140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176</xdr:row>
      <xdr:rowOff>182880</xdr:rowOff>
    </xdr:from>
    <xdr:to>
      <xdr:col>7</xdr:col>
      <xdr:colOff>950258</xdr:colOff>
      <xdr:row>177</xdr:row>
      <xdr:rowOff>134601</xdr:rowOff>
    </xdr:to>
    <xdr:sp macro="" textlink="">
      <xdr:nvSpPr>
        <xdr:cNvPr id="1410" name="CheckBox101" hidden="1">
          <a:extLst>
            <a:ext uri="{63B3BB69-23CF-44E3-9099-C40C66FF867C}">
              <a14:compatExt xmlns:a14="http://schemas.microsoft.com/office/drawing/2010/main" spid="_x0000_s141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177</xdr:row>
      <xdr:rowOff>114300</xdr:rowOff>
    </xdr:from>
    <xdr:to>
      <xdr:col>7</xdr:col>
      <xdr:colOff>950258</xdr:colOff>
      <xdr:row>178</xdr:row>
      <xdr:rowOff>52146</xdr:rowOff>
    </xdr:to>
    <xdr:sp macro="" textlink="">
      <xdr:nvSpPr>
        <xdr:cNvPr id="1411" name="CheckBox102" hidden="1">
          <a:extLst>
            <a:ext uri="{63B3BB69-23CF-44E3-9099-C40C66FF867C}">
              <a14:compatExt xmlns:a14="http://schemas.microsoft.com/office/drawing/2010/main" spid="_x0000_s141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121920</xdr:colOff>
      <xdr:row>178</xdr:row>
      <xdr:rowOff>38100</xdr:rowOff>
    </xdr:from>
    <xdr:to>
      <xdr:col>7</xdr:col>
      <xdr:colOff>950258</xdr:colOff>
      <xdr:row>178</xdr:row>
      <xdr:rowOff>297180</xdr:rowOff>
    </xdr:to>
    <xdr:sp macro="" textlink="">
      <xdr:nvSpPr>
        <xdr:cNvPr id="1412" name="CheckBox103" hidden="1">
          <a:extLst>
            <a:ext uri="{63B3BB69-23CF-44E3-9099-C40C66FF867C}">
              <a14:compatExt xmlns:a14="http://schemas.microsoft.com/office/drawing/2010/main" spid="_x0000_s141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322729</xdr:colOff>
      <xdr:row>88</xdr:row>
      <xdr:rowOff>107576</xdr:rowOff>
    </xdr:from>
    <xdr:to>
      <xdr:col>7</xdr:col>
      <xdr:colOff>932329</xdr:colOff>
      <xdr:row>88</xdr:row>
      <xdr:rowOff>286871</xdr:rowOff>
    </xdr:to>
    <xdr:sp macro="" textlink="">
      <xdr:nvSpPr>
        <xdr:cNvPr id="3" name="Прямоугольник 2"/>
        <xdr:cNvSpPr/>
      </xdr:nvSpPr>
      <xdr:spPr>
        <a:xfrm>
          <a:off x="7646894" y="52228376"/>
          <a:ext cx="609600" cy="179295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414746</xdr:colOff>
      <xdr:row>76</xdr:row>
      <xdr:rowOff>163647</xdr:rowOff>
    </xdr:from>
    <xdr:to>
      <xdr:col>7</xdr:col>
      <xdr:colOff>932906</xdr:colOff>
      <xdr:row>76</xdr:row>
      <xdr:rowOff>384627</xdr:rowOff>
    </xdr:to>
    <xdr:pic>
      <xdr:nvPicPr>
        <xdr:cNvPr id="11" name="CheckBox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2246" y="51090647"/>
          <a:ext cx="518160" cy="2209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419100</xdr:colOff>
      <xdr:row>80</xdr:row>
      <xdr:rowOff>53340</xdr:rowOff>
    </xdr:from>
    <xdr:to>
      <xdr:col>7</xdr:col>
      <xdr:colOff>929640</xdr:colOff>
      <xdr:row>80</xdr:row>
      <xdr:rowOff>335280</xdr:rowOff>
    </xdr:to>
    <xdr:pic>
      <xdr:nvPicPr>
        <xdr:cNvPr id="19" name="CheckBox1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1080" y="20467320"/>
          <a:ext cx="510540" cy="2819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441959</xdr:colOff>
      <xdr:row>81</xdr:row>
      <xdr:rowOff>53341</xdr:rowOff>
    </xdr:from>
    <xdr:to>
      <xdr:col>8</xdr:col>
      <xdr:colOff>0</xdr:colOff>
      <xdr:row>81</xdr:row>
      <xdr:rowOff>327661</xdr:rowOff>
    </xdr:to>
    <xdr:pic>
      <xdr:nvPicPr>
        <xdr:cNvPr id="20" name="CheckBox1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3939" y="20848321"/>
          <a:ext cx="510541" cy="2743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441959</xdr:colOff>
      <xdr:row>82</xdr:row>
      <xdr:rowOff>45719</xdr:rowOff>
    </xdr:from>
    <xdr:to>
      <xdr:col>8</xdr:col>
      <xdr:colOff>0</xdr:colOff>
      <xdr:row>82</xdr:row>
      <xdr:rowOff>304800</xdr:rowOff>
    </xdr:to>
    <xdr:pic>
      <xdr:nvPicPr>
        <xdr:cNvPr id="21" name="CheckBox1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3939" y="21221699"/>
          <a:ext cx="510541" cy="25908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432461</xdr:colOff>
      <xdr:row>83</xdr:row>
      <xdr:rowOff>71717</xdr:rowOff>
    </xdr:from>
    <xdr:to>
      <xdr:col>7</xdr:col>
      <xdr:colOff>941294</xdr:colOff>
      <xdr:row>83</xdr:row>
      <xdr:rowOff>335643</xdr:rowOff>
    </xdr:to>
    <xdr:pic>
      <xdr:nvPicPr>
        <xdr:cNvPr id="22" name="CheckBox1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1049" y="61255835"/>
          <a:ext cx="508833" cy="26392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84</xdr:row>
      <xdr:rowOff>38100</xdr:rowOff>
    </xdr:from>
    <xdr:to>
      <xdr:col>7</xdr:col>
      <xdr:colOff>960120</xdr:colOff>
      <xdr:row>84</xdr:row>
      <xdr:rowOff>297180</xdr:rowOff>
    </xdr:to>
    <xdr:pic>
      <xdr:nvPicPr>
        <xdr:cNvPr id="23" name="CheckBox2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132832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388171</xdr:colOff>
      <xdr:row>89</xdr:row>
      <xdr:rowOff>80684</xdr:rowOff>
    </xdr:from>
    <xdr:to>
      <xdr:col>7</xdr:col>
      <xdr:colOff>896470</xdr:colOff>
      <xdr:row>89</xdr:row>
      <xdr:rowOff>439272</xdr:rowOff>
    </xdr:to>
    <xdr:pic>
      <xdr:nvPicPr>
        <xdr:cNvPr id="25" name="CheckBox2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6759" y="64205225"/>
          <a:ext cx="508299" cy="35858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343348</xdr:colOff>
      <xdr:row>90</xdr:row>
      <xdr:rowOff>342900</xdr:rowOff>
    </xdr:from>
    <xdr:to>
      <xdr:col>7</xdr:col>
      <xdr:colOff>853888</xdr:colOff>
      <xdr:row>90</xdr:row>
      <xdr:rowOff>601980</xdr:rowOff>
    </xdr:to>
    <xdr:pic>
      <xdr:nvPicPr>
        <xdr:cNvPr id="26" name="CheckBox2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5372" y="66708618"/>
          <a:ext cx="51054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91</xdr:row>
      <xdr:rowOff>60960</xdr:rowOff>
    </xdr:from>
    <xdr:to>
      <xdr:col>7</xdr:col>
      <xdr:colOff>960120</xdr:colOff>
      <xdr:row>91</xdr:row>
      <xdr:rowOff>312420</xdr:rowOff>
    </xdr:to>
    <xdr:pic>
      <xdr:nvPicPr>
        <xdr:cNvPr id="27" name="CheckBox2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3019960"/>
          <a:ext cx="51816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352313</xdr:colOff>
      <xdr:row>92</xdr:row>
      <xdr:rowOff>283285</xdr:rowOff>
    </xdr:from>
    <xdr:to>
      <xdr:col>7</xdr:col>
      <xdr:colOff>862853</xdr:colOff>
      <xdr:row>92</xdr:row>
      <xdr:rowOff>542365</xdr:rowOff>
    </xdr:to>
    <xdr:pic>
      <xdr:nvPicPr>
        <xdr:cNvPr id="28" name="CheckBox2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4337" y="67670979"/>
          <a:ext cx="51054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370243</xdr:colOff>
      <xdr:row>93</xdr:row>
      <xdr:rowOff>281492</xdr:rowOff>
    </xdr:from>
    <xdr:to>
      <xdr:col>7</xdr:col>
      <xdr:colOff>880783</xdr:colOff>
      <xdr:row>93</xdr:row>
      <xdr:rowOff>540572</xdr:rowOff>
    </xdr:to>
    <xdr:pic>
      <xdr:nvPicPr>
        <xdr:cNvPr id="29" name="CheckBox2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2267" y="68476010"/>
          <a:ext cx="51054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343349</xdr:colOff>
      <xdr:row>94</xdr:row>
      <xdr:rowOff>180191</xdr:rowOff>
    </xdr:from>
    <xdr:to>
      <xdr:col>7</xdr:col>
      <xdr:colOff>853889</xdr:colOff>
      <xdr:row>94</xdr:row>
      <xdr:rowOff>439271</xdr:rowOff>
    </xdr:to>
    <xdr:pic>
      <xdr:nvPicPr>
        <xdr:cNvPr id="30" name="CheckBox2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5373" y="69190497"/>
          <a:ext cx="51054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388171</xdr:colOff>
      <xdr:row>95</xdr:row>
      <xdr:rowOff>238461</xdr:rowOff>
    </xdr:from>
    <xdr:to>
      <xdr:col>7</xdr:col>
      <xdr:colOff>898711</xdr:colOff>
      <xdr:row>95</xdr:row>
      <xdr:rowOff>497541</xdr:rowOff>
    </xdr:to>
    <xdr:pic>
      <xdr:nvPicPr>
        <xdr:cNvPr id="31" name="CheckBox2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0195" y="70019732"/>
          <a:ext cx="51054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96</xdr:row>
      <xdr:rowOff>144780</xdr:rowOff>
    </xdr:from>
    <xdr:to>
      <xdr:col>7</xdr:col>
      <xdr:colOff>960120</xdr:colOff>
      <xdr:row>96</xdr:row>
      <xdr:rowOff>403860</xdr:rowOff>
    </xdr:to>
    <xdr:pic>
      <xdr:nvPicPr>
        <xdr:cNvPr id="32" name="CheckBox3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488686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97</xdr:row>
      <xdr:rowOff>60960</xdr:rowOff>
    </xdr:from>
    <xdr:to>
      <xdr:col>7</xdr:col>
      <xdr:colOff>960120</xdr:colOff>
      <xdr:row>97</xdr:row>
      <xdr:rowOff>312420</xdr:rowOff>
    </xdr:to>
    <xdr:pic>
      <xdr:nvPicPr>
        <xdr:cNvPr id="33" name="CheckBox3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534406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388172</xdr:colOff>
      <xdr:row>98</xdr:row>
      <xdr:rowOff>614531</xdr:rowOff>
    </xdr:from>
    <xdr:to>
      <xdr:col>7</xdr:col>
      <xdr:colOff>898712</xdr:colOff>
      <xdr:row>98</xdr:row>
      <xdr:rowOff>865991</xdr:rowOff>
    </xdr:to>
    <xdr:pic>
      <xdr:nvPicPr>
        <xdr:cNvPr id="34" name="CheckBox3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0196" y="72170813"/>
          <a:ext cx="51054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99</xdr:row>
      <xdr:rowOff>60960</xdr:rowOff>
    </xdr:from>
    <xdr:to>
      <xdr:col>7</xdr:col>
      <xdr:colOff>960120</xdr:colOff>
      <xdr:row>99</xdr:row>
      <xdr:rowOff>312420</xdr:rowOff>
    </xdr:to>
    <xdr:pic>
      <xdr:nvPicPr>
        <xdr:cNvPr id="35" name="CheckBox3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621274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100</xdr:row>
      <xdr:rowOff>45720</xdr:rowOff>
    </xdr:from>
    <xdr:to>
      <xdr:col>7</xdr:col>
      <xdr:colOff>960120</xdr:colOff>
      <xdr:row>100</xdr:row>
      <xdr:rowOff>304800</xdr:rowOff>
    </xdr:to>
    <xdr:pic>
      <xdr:nvPicPr>
        <xdr:cNvPr id="36" name="CheckBox3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652516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101</xdr:row>
      <xdr:rowOff>137160</xdr:rowOff>
    </xdr:from>
    <xdr:to>
      <xdr:col>7</xdr:col>
      <xdr:colOff>960120</xdr:colOff>
      <xdr:row>101</xdr:row>
      <xdr:rowOff>388620</xdr:rowOff>
    </xdr:to>
    <xdr:pic>
      <xdr:nvPicPr>
        <xdr:cNvPr id="37" name="CheckBox3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694426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102</xdr:row>
      <xdr:rowOff>144780</xdr:rowOff>
    </xdr:from>
    <xdr:to>
      <xdr:col>7</xdr:col>
      <xdr:colOff>960120</xdr:colOff>
      <xdr:row>102</xdr:row>
      <xdr:rowOff>403860</xdr:rowOff>
    </xdr:to>
    <xdr:pic>
      <xdr:nvPicPr>
        <xdr:cNvPr id="38" name="CheckBox3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74929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103</xdr:row>
      <xdr:rowOff>60960</xdr:rowOff>
    </xdr:from>
    <xdr:to>
      <xdr:col>7</xdr:col>
      <xdr:colOff>960120</xdr:colOff>
      <xdr:row>103</xdr:row>
      <xdr:rowOff>312420</xdr:rowOff>
    </xdr:to>
    <xdr:pic>
      <xdr:nvPicPr>
        <xdr:cNvPr id="39" name="CheckBox3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795010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104</xdr:row>
      <xdr:rowOff>228600</xdr:rowOff>
    </xdr:from>
    <xdr:to>
      <xdr:col>7</xdr:col>
      <xdr:colOff>960120</xdr:colOff>
      <xdr:row>104</xdr:row>
      <xdr:rowOff>487680</xdr:rowOff>
    </xdr:to>
    <xdr:pic>
      <xdr:nvPicPr>
        <xdr:cNvPr id="40" name="CheckBox3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84454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105</xdr:row>
      <xdr:rowOff>60960</xdr:rowOff>
    </xdr:from>
    <xdr:to>
      <xdr:col>7</xdr:col>
      <xdr:colOff>960120</xdr:colOff>
      <xdr:row>105</xdr:row>
      <xdr:rowOff>312420</xdr:rowOff>
    </xdr:to>
    <xdr:pic>
      <xdr:nvPicPr>
        <xdr:cNvPr id="41" name="CheckBox3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898642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106</xdr:row>
      <xdr:rowOff>213360</xdr:rowOff>
    </xdr:from>
    <xdr:to>
      <xdr:col>7</xdr:col>
      <xdr:colOff>960120</xdr:colOff>
      <xdr:row>106</xdr:row>
      <xdr:rowOff>464820</xdr:rowOff>
    </xdr:to>
    <xdr:pic>
      <xdr:nvPicPr>
        <xdr:cNvPr id="42" name="CheckBox4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5946648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107</xdr:row>
      <xdr:rowOff>213360</xdr:rowOff>
    </xdr:from>
    <xdr:to>
      <xdr:col>7</xdr:col>
      <xdr:colOff>960120</xdr:colOff>
      <xdr:row>107</xdr:row>
      <xdr:rowOff>464820</xdr:rowOff>
    </xdr:to>
    <xdr:pic>
      <xdr:nvPicPr>
        <xdr:cNvPr id="43" name="CheckBox4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015990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108</xdr:row>
      <xdr:rowOff>60960</xdr:rowOff>
    </xdr:from>
    <xdr:to>
      <xdr:col>7</xdr:col>
      <xdr:colOff>960120</xdr:colOff>
      <xdr:row>108</xdr:row>
      <xdr:rowOff>312420</xdr:rowOff>
    </xdr:to>
    <xdr:pic>
      <xdr:nvPicPr>
        <xdr:cNvPr id="44" name="CheckBox4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070092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109</xdr:row>
      <xdr:rowOff>144780</xdr:rowOff>
    </xdr:from>
    <xdr:to>
      <xdr:col>7</xdr:col>
      <xdr:colOff>960120</xdr:colOff>
      <xdr:row>109</xdr:row>
      <xdr:rowOff>403860</xdr:rowOff>
    </xdr:to>
    <xdr:pic>
      <xdr:nvPicPr>
        <xdr:cNvPr id="45" name="CheckBox4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11124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110</xdr:row>
      <xdr:rowOff>419100</xdr:rowOff>
    </xdr:from>
    <xdr:to>
      <xdr:col>7</xdr:col>
      <xdr:colOff>960120</xdr:colOff>
      <xdr:row>110</xdr:row>
      <xdr:rowOff>678180</xdr:rowOff>
    </xdr:to>
    <xdr:pic>
      <xdr:nvPicPr>
        <xdr:cNvPr id="46" name="CheckBox4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192774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112</xdr:row>
      <xdr:rowOff>38100</xdr:rowOff>
    </xdr:from>
    <xdr:to>
      <xdr:col>7</xdr:col>
      <xdr:colOff>960120</xdr:colOff>
      <xdr:row>112</xdr:row>
      <xdr:rowOff>297180</xdr:rowOff>
    </xdr:to>
    <xdr:pic>
      <xdr:nvPicPr>
        <xdr:cNvPr id="47" name="CheckBox4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30936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113</xdr:row>
      <xdr:rowOff>30480</xdr:rowOff>
    </xdr:from>
    <xdr:to>
      <xdr:col>7</xdr:col>
      <xdr:colOff>960120</xdr:colOff>
      <xdr:row>113</xdr:row>
      <xdr:rowOff>289560</xdr:rowOff>
    </xdr:to>
    <xdr:pic>
      <xdr:nvPicPr>
        <xdr:cNvPr id="48" name="CheckBox4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341364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114</xdr:row>
      <xdr:rowOff>45720</xdr:rowOff>
    </xdr:from>
    <xdr:to>
      <xdr:col>7</xdr:col>
      <xdr:colOff>960120</xdr:colOff>
      <xdr:row>114</xdr:row>
      <xdr:rowOff>304800</xdr:rowOff>
    </xdr:to>
    <xdr:pic>
      <xdr:nvPicPr>
        <xdr:cNvPr id="49" name="CheckBox4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375654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115</xdr:row>
      <xdr:rowOff>45720</xdr:rowOff>
    </xdr:from>
    <xdr:to>
      <xdr:col>7</xdr:col>
      <xdr:colOff>960120</xdr:colOff>
      <xdr:row>115</xdr:row>
      <xdr:rowOff>304800</xdr:rowOff>
    </xdr:to>
    <xdr:pic>
      <xdr:nvPicPr>
        <xdr:cNvPr id="50" name="CheckBox4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40842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405994</xdr:colOff>
      <xdr:row>117</xdr:row>
      <xdr:rowOff>179294</xdr:rowOff>
    </xdr:from>
    <xdr:to>
      <xdr:col>7</xdr:col>
      <xdr:colOff>923364</xdr:colOff>
      <xdr:row>117</xdr:row>
      <xdr:rowOff>497050</xdr:rowOff>
    </xdr:to>
    <xdr:pic>
      <xdr:nvPicPr>
        <xdr:cNvPr id="51" name="CheckBox4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8018" y="76567553"/>
          <a:ext cx="517370" cy="31775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118</xdr:row>
      <xdr:rowOff>45720</xdr:rowOff>
    </xdr:from>
    <xdr:to>
      <xdr:col>7</xdr:col>
      <xdr:colOff>960120</xdr:colOff>
      <xdr:row>118</xdr:row>
      <xdr:rowOff>304800</xdr:rowOff>
    </xdr:to>
    <xdr:pic>
      <xdr:nvPicPr>
        <xdr:cNvPr id="52" name="CheckBox5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473952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119</xdr:row>
      <xdr:rowOff>45720</xdr:rowOff>
    </xdr:from>
    <xdr:to>
      <xdr:col>7</xdr:col>
      <xdr:colOff>960120</xdr:colOff>
      <xdr:row>119</xdr:row>
      <xdr:rowOff>304800</xdr:rowOff>
    </xdr:to>
    <xdr:pic>
      <xdr:nvPicPr>
        <xdr:cNvPr id="53" name="CheckBox5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506718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120</xdr:row>
      <xdr:rowOff>144780</xdr:rowOff>
    </xdr:from>
    <xdr:to>
      <xdr:col>7</xdr:col>
      <xdr:colOff>960120</xdr:colOff>
      <xdr:row>120</xdr:row>
      <xdr:rowOff>388620</xdr:rowOff>
    </xdr:to>
    <xdr:pic>
      <xdr:nvPicPr>
        <xdr:cNvPr id="54" name="CheckBox5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5493900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121</xdr:row>
      <xdr:rowOff>297180</xdr:rowOff>
    </xdr:from>
    <xdr:to>
      <xdr:col>7</xdr:col>
      <xdr:colOff>960120</xdr:colOff>
      <xdr:row>121</xdr:row>
      <xdr:rowOff>556260</xdr:rowOff>
    </xdr:to>
    <xdr:pic>
      <xdr:nvPicPr>
        <xdr:cNvPr id="55" name="CheckBox5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618732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122</xdr:row>
      <xdr:rowOff>144780</xdr:rowOff>
    </xdr:from>
    <xdr:to>
      <xdr:col>7</xdr:col>
      <xdr:colOff>960120</xdr:colOff>
      <xdr:row>122</xdr:row>
      <xdr:rowOff>403860</xdr:rowOff>
    </xdr:to>
    <xdr:pic>
      <xdr:nvPicPr>
        <xdr:cNvPr id="56" name="CheckBox5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681216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123</xdr:row>
      <xdr:rowOff>114300</xdr:rowOff>
    </xdr:from>
    <xdr:to>
      <xdr:col>7</xdr:col>
      <xdr:colOff>960120</xdr:colOff>
      <xdr:row>123</xdr:row>
      <xdr:rowOff>373380</xdr:rowOff>
    </xdr:to>
    <xdr:pic>
      <xdr:nvPicPr>
        <xdr:cNvPr id="57" name="CheckBox5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73227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125</xdr:row>
      <xdr:rowOff>45720</xdr:rowOff>
    </xdr:from>
    <xdr:to>
      <xdr:col>7</xdr:col>
      <xdr:colOff>960120</xdr:colOff>
      <xdr:row>125</xdr:row>
      <xdr:rowOff>304800</xdr:rowOff>
    </xdr:to>
    <xdr:pic>
      <xdr:nvPicPr>
        <xdr:cNvPr id="58" name="CheckBox5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81228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126</xdr:row>
      <xdr:rowOff>60960</xdr:rowOff>
    </xdr:from>
    <xdr:to>
      <xdr:col>7</xdr:col>
      <xdr:colOff>960120</xdr:colOff>
      <xdr:row>126</xdr:row>
      <xdr:rowOff>312420</xdr:rowOff>
    </xdr:to>
    <xdr:pic>
      <xdr:nvPicPr>
        <xdr:cNvPr id="59" name="CheckBox5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846570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127</xdr:row>
      <xdr:rowOff>45720</xdr:rowOff>
    </xdr:from>
    <xdr:to>
      <xdr:col>7</xdr:col>
      <xdr:colOff>960120</xdr:colOff>
      <xdr:row>127</xdr:row>
      <xdr:rowOff>304800</xdr:rowOff>
    </xdr:to>
    <xdr:pic>
      <xdr:nvPicPr>
        <xdr:cNvPr id="60" name="CheckBox5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877812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128</xdr:row>
      <xdr:rowOff>45720</xdr:rowOff>
    </xdr:from>
    <xdr:to>
      <xdr:col>7</xdr:col>
      <xdr:colOff>960120</xdr:colOff>
      <xdr:row>128</xdr:row>
      <xdr:rowOff>304800</xdr:rowOff>
    </xdr:to>
    <xdr:pic>
      <xdr:nvPicPr>
        <xdr:cNvPr id="61" name="CheckBox5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910578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129</xdr:row>
      <xdr:rowOff>45720</xdr:rowOff>
    </xdr:from>
    <xdr:to>
      <xdr:col>7</xdr:col>
      <xdr:colOff>960120</xdr:colOff>
      <xdr:row>129</xdr:row>
      <xdr:rowOff>304800</xdr:rowOff>
    </xdr:to>
    <xdr:pic>
      <xdr:nvPicPr>
        <xdr:cNvPr id="62" name="CheckBox6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943344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130</xdr:row>
      <xdr:rowOff>175260</xdr:rowOff>
    </xdr:from>
    <xdr:to>
      <xdr:col>7</xdr:col>
      <xdr:colOff>960120</xdr:colOff>
      <xdr:row>130</xdr:row>
      <xdr:rowOff>426720</xdr:rowOff>
    </xdr:to>
    <xdr:pic>
      <xdr:nvPicPr>
        <xdr:cNvPr id="63" name="CheckBox6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989064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131</xdr:row>
      <xdr:rowOff>144780</xdr:rowOff>
    </xdr:from>
    <xdr:to>
      <xdr:col>7</xdr:col>
      <xdr:colOff>960120</xdr:colOff>
      <xdr:row>131</xdr:row>
      <xdr:rowOff>388620</xdr:rowOff>
    </xdr:to>
    <xdr:pic>
      <xdr:nvPicPr>
        <xdr:cNvPr id="134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0584060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132</xdr:row>
      <xdr:rowOff>152400</xdr:rowOff>
    </xdr:from>
    <xdr:to>
      <xdr:col>7</xdr:col>
      <xdr:colOff>960120</xdr:colOff>
      <xdr:row>132</xdr:row>
      <xdr:rowOff>411480</xdr:rowOff>
    </xdr:to>
    <xdr:pic>
      <xdr:nvPicPr>
        <xdr:cNvPr id="1381" name="CheckBox6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120128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133</xdr:row>
      <xdr:rowOff>45720</xdr:rowOff>
    </xdr:from>
    <xdr:to>
      <xdr:col>7</xdr:col>
      <xdr:colOff>960120</xdr:colOff>
      <xdr:row>133</xdr:row>
      <xdr:rowOff>304800</xdr:rowOff>
    </xdr:to>
    <xdr:pic>
      <xdr:nvPicPr>
        <xdr:cNvPr id="1382" name="CheckBox6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165086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134</xdr:row>
      <xdr:rowOff>160020</xdr:rowOff>
    </xdr:from>
    <xdr:to>
      <xdr:col>7</xdr:col>
      <xdr:colOff>960120</xdr:colOff>
      <xdr:row>134</xdr:row>
      <xdr:rowOff>419100</xdr:rowOff>
    </xdr:to>
    <xdr:pic>
      <xdr:nvPicPr>
        <xdr:cNvPr id="1413" name="CheckBox6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209282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135</xdr:row>
      <xdr:rowOff>175260</xdr:rowOff>
    </xdr:from>
    <xdr:to>
      <xdr:col>7</xdr:col>
      <xdr:colOff>960120</xdr:colOff>
      <xdr:row>135</xdr:row>
      <xdr:rowOff>426720</xdr:rowOff>
    </xdr:to>
    <xdr:pic>
      <xdr:nvPicPr>
        <xdr:cNvPr id="1414" name="CheckBox6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264146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136</xdr:row>
      <xdr:rowOff>60960</xdr:rowOff>
    </xdr:from>
    <xdr:to>
      <xdr:col>7</xdr:col>
      <xdr:colOff>960120</xdr:colOff>
      <xdr:row>136</xdr:row>
      <xdr:rowOff>312420</xdr:rowOff>
    </xdr:to>
    <xdr:pic>
      <xdr:nvPicPr>
        <xdr:cNvPr id="1415" name="CheckBox6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3045320"/>
          <a:ext cx="51816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137</xdr:row>
      <xdr:rowOff>259080</xdr:rowOff>
    </xdr:from>
    <xdr:to>
      <xdr:col>7</xdr:col>
      <xdr:colOff>960120</xdr:colOff>
      <xdr:row>137</xdr:row>
      <xdr:rowOff>518160</xdr:rowOff>
    </xdr:to>
    <xdr:pic>
      <xdr:nvPicPr>
        <xdr:cNvPr id="1416" name="CheckBox6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33044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139</xdr:row>
      <xdr:rowOff>38100</xdr:rowOff>
    </xdr:from>
    <xdr:to>
      <xdr:col>7</xdr:col>
      <xdr:colOff>960120</xdr:colOff>
      <xdr:row>139</xdr:row>
      <xdr:rowOff>297180</xdr:rowOff>
    </xdr:to>
    <xdr:pic>
      <xdr:nvPicPr>
        <xdr:cNvPr id="1417" name="CheckBox6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420356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140</xdr:row>
      <xdr:rowOff>259080</xdr:rowOff>
    </xdr:from>
    <xdr:to>
      <xdr:col>7</xdr:col>
      <xdr:colOff>960120</xdr:colOff>
      <xdr:row>140</xdr:row>
      <xdr:rowOff>518160</xdr:rowOff>
    </xdr:to>
    <xdr:pic>
      <xdr:nvPicPr>
        <xdr:cNvPr id="1418" name="CheckBox7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473696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141</xdr:row>
      <xdr:rowOff>38100</xdr:rowOff>
    </xdr:from>
    <xdr:to>
      <xdr:col>7</xdr:col>
      <xdr:colOff>960120</xdr:colOff>
      <xdr:row>141</xdr:row>
      <xdr:rowOff>297180</xdr:rowOff>
    </xdr:to>
    <xdr:pic>
      <xdr:nvPicPr>
        <xdr:cNvPr id="1419" name="CheckBox7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526274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142</xdr:row>
      <xdr:rowOff>182880</xdr:rowOff>
    </xdr:from>
    <xdr:to>
      <xdr:col>7</xdr:col>
      <xdr:colOff>960120</xdr:colOff>
      <xdr:row>142</xdr:row>
      <xdr:rowOff>441960</xdr:rowOff>
    </xdr:to>
    <xdr:pic>
      <xdr:nvPicPr>
        <xdr:cNvPr id="1420" name="CheckBox7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571994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143</xdr:row>
      <xdr:rowOff>160020</xdr:rowOff>
    </xdr:from>
    <xdr:to>
      <xdr:col>7</xdr:col>
      <xdr:colOff>960120</xdr:colOff>
      <xdr:row>143</xdr:row>
      <xdr:rowOff>419100</xdr:rowOff>
    </xdr:to>
    <xdr:pic>
      <xdr:nvPicPr>
        <xdr:cNvPr id="1421" name="CheckBox7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62762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147</xdr:row>
      <xdr:rowOff>45720</xdr:rowOff>
    </xdr:from>
    <xdr:to>
      <xdr:col>7</xdr:col>
      <xdr:colOff>950258</xdr:colOff>
      <xdr:row>147</xdr:row>
      <xdr:rowOff>304800</xdr:rowOff>
    </xdr:to>
    <xdr:pic>
      <xdr:nvPicPr>
        <xdr:cNvPr id="1424" name="CheckBox7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818882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148</xdr:row>
      <xdr:rowOff>45720</xdr:rowOff>
    </xdr:from>
    <xdr:to>
      <xdr:col>7</xdr:col>
      <xdr:colOff>950258</xdr:colOff>
      <xdr:row>148</xdr:row>
      <xdr:rowOff>304800</xdr:rowOff>
    </xdr:to>
    <xdr:pic>
      <xdr:nvPicPr>
        <xdr:cNvPr id="1425" name="CheckBox7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851648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149</xdr:row>
      <xdr:rowOff>45720</xdr:rowOff>
    </xdr:from>
    <xdr:to>
      <xdr:col>7</xdr:col>
      <xdr:colOff>950258</xdr:colOff>
      <xdr:row>149</xdr:row>
      <xdr:rowOff>297180</xdr:rowOff>
    </xdr:to>
    <xdr:pic>
      <xdr:nvPicPr>
        <xdr:cNvPr id="1426" name="CheckBox7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8844140"/>
          <a:ext cx="52578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150</xdr:row>
      <xdr:rowOff>60960</xdr:rowOff>
    </xdr:from>
    <xdr:to>
      <xdr:col>7</xdr:col>
      <xdr:colOff>950258</xdr:colOff>
      <xdr:row>150</xdr:row>
      <xdr:rowOff>312420</xdr:rowOff>
    </xdr:to>
    <xdr:pic>
      <xdr:nvPicPr>
        <xdr:cNvPr id="1427" name="CheckBox7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9187040"/>
          <a:ext cx="52578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151</xdr:row>
      <xdr:rowOff>68580</xdr:rowOff>
    </xdr:from>
    <xdr:to>
      <xdr:col>7</xdr:col>
      <xdr:colOff>950258</xdr:colOff>
      <xdr:row>151</xdr:row>
      <xdr:rowOff>320040</xdr:rowOff>
    </xdr:to>
    <xdr:pic>
      <xdr:nvPicPr>
        <xdr:cNvPr id="1428" name="CheckBox8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9522320"/>
          <a:ext cx="52578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152</xdr:row>
      <xdr:rowOff>45720</xdr:rowOff>
    </xdr:from>
    <xdr:to>
      <xdr:col>7</xdr:col>
      <xdr:colOff>950258</xdr:colOff>
      <xdr:row>152</xdr:row>
      <xdr:rowOff>304800</xdr:rowOff>
    </xdr:to>
    <xdr:pic>
      <xdr:nvPicPr>
        <xdr:cNvPr id="1429" name="CheckBox8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7982712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153</xdr:row>
      <xdr:rowOff>60960</xdr:rowOff>
    </xdr:from>
    <xdr:to>
      <xdr:col>7</xdr:col>
      <xdr:colOff>950258</xdr:colOff>
      <xdr:row>153</xdr:row>
      <xdr:rowOff>320040</xdr:rowOff>
    </xdr:to>
    <xdr:pic>
      <xdr:nvPicPr>
        <xdr:cNvPr id="1430" name="CheckBox8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017002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154</xdr:row>
      <xdr:rowOff>60960</xdr:rowOff>
    </xdr:from>
    <xdr:to>
      <xdr:col>7</xdr:col>
      <xdr:colOff>950258</xdr:colOff>
      <xdr:row>154</xdr:row>
      <xdr:rowOff>312420</xdr:rowOff>
    </xdr:to>
    <xdr:pic>
      <xdr:nvPicPr>
        <xdr:cNvPr id="1431" name="CheckBox8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0497680"/>
          <a:ext cx="52578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157</xdr:row>
      <xdr:rowOff>45720</xdr:rowOff>
    </xdr:from>
    <xdr:to>
      <xdr:col>7</xdr:col>
      <xdr:colOff>950258</xdr:colOff>
      <xdr:row>157</xdr:row>
      <xdr:rowOff>304800</xdr:rowOff>
    </xdr:to>
    <xdr:pic>
      <xdr:nvPicPr>
        <xdr:cNvPr id="1432" name="CheckBox8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081010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158</xdr:row>
      <xdr:rowOff>160020</xdr:rowOff>
    </xdr:from>
    <xdr:to>
      <xdr:col>7</xdr:col>
      <xdr:colOff>950258</xdr:colOff>
      <xdr:row>158</xdr:row>
      <xdr:rowOff>419100</xdr:rowOff>
    </xdr:to>
    <xdr:pic>
      <xdr:nvPicPr>
        <xdr:cNvPr id="1433" name="CheckBox8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125206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159</xdr:row>
      <xdr:rowOff>160020</xdr:rowOff>
    </xdr:from>
    <xdr:to>
      <xdr:col>7</xdr:col>
      <xdr:colOff>950258</xdr:colOff>
      <xdr:row>159</xdr:row>
      <xdr:rowOff>419100</xdr:rowOff>
    </xdr:to>
    <xdr:pic>
      <xdr:nvPicPr>
        <xdr:cNvPr id="1434" name="CheckBox8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179308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160</xdr:row>
      <xdr:rowOff>175260</xdr:rowOff>
    </xdr:from>
    <xdr:to>
      <xdr:col>7</xdr:col>
      <xdr:colOff>950258</xdr:colOff>
      <xdr:row>160</xdr:row>
      <xdr:rowOff>434340</xdr:rowOff>
    </xdr:to>
    <xdr:pic>
      <xdr:nvPicPr>
        <xdr:cNvPr id="1435" name="CheckBox8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250936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161</xdr:row>
      <xdr:rowOff>190500</xdr:rowOff>
    </xdr:from>
    <xdr:to>
      <xdr:col>7</xdr:col>
      <xdr:colOff>950258</xdr:colOff>
      <xdr:row>161</xdr:row>
      <xdr:rowOff>449580</xdr:rowOff>
    </xdr:to>
    <xdr:pic>
      <xdr:nvPicPr>
        <xdr:cNvPr id="1436" name="CheckBox8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315706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441960</xdr:colOff>
      <xdr:row>162</xdr:row>
      <xdr:rowOff>45720</xdr:rowOff>
    </xdr:from>
    <xdr:to>
      <xdr:col>7</xdr:col>
      <xdr:colOff>950258</xdr:colOff>
      <xdr:row>162</xdr:row>
      <xdr:rowOff>304800</xdr:rowOff>
    </xdr:to>
    <xdr:pic>
      <xdr:nvPicPr>
        <xdr:cNvPr id="1437" name="CheckBox8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3644740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146124</xdr:colOff>
      <xdr:row>172</xdr:row>
      <xdr:rowOff>98612</xdr:rowOff>
    </xdr:from>
    <xdr:to>
      <xdr:col>7</xdr:col>
      <xdr:colOff>654423</xdr:colOff>
      <xdr:row>172</xdr:row>
      <xdr:rowOff>357692</xdr:rowOff>
    </xdr:to>
    <xdr:pic>
      <xdr:nvPicPr>
        <xdr:cNvPr id="1440" name="CheckBox9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712" y="96307836"/>
          <a:ext cx="508299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133531</xdr:colOff>
      <xdr:row>179</xdr:row>
      <xdr:rowOff>27641</xdr:rowOff>
    </xdr:from>
    <xdr:to>
      <xdr:col>7</xdr:col>
      <xdr:colOff>659311</xdr:colOff>
      <xdr:row>179</xdr:row>
      <xdr:rowOff>292055</xdr:rowOff>
    </xdr:to>
    <xdr:pic>
      <xdr:nvPicPr>
        <xdr:cNvPr id="1443" name="CheckBox9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2119" y="98666300"/>
          <a:ext cx="525780" cy="2644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128304</xdr:colOff>
      <xdr:row>171</xdr:row>
      <xdr:rowOff>348917</xdr:rowOff>
    </xdr:from>
    <xdr:to>
      <xdr:col>7</xdr:col>
      <xdr:colOff>950258</xdr:colOff>
      <xdr:row>171</xdr:row>
      <xdr:rowOff>607318</xdr:rowOff>
    </xdr:to>
    <xdr:pic>
      <xdr:nvPicPr>
        <xdr:cNvPr id="1445" name="CheckBox9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6892" y="95697529"/>
          <a:ext cx="830580" cy="25840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112955</xdr:colOff>
      <xdr:row>175</xdr:row>
      <xdr:rowOff>48410</xdr:rowOff>
    </xdr:from>
    <xdr:to>
      <xdr:col>7</xdr:col>
      <xdr:colOff>941294</xdr:colOff>
      <xdr:row>175</xdr:row>
      <xdr:rowOff>313896</xdr:rowOff>
    </xdr:to>
    <xdr:pic>
      <xdr:nvPicPr>
        <xdr:cNvPr id="1449" name="CheckBox10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1543" y="97360292"/>
          <a:ext cx="828339" cy="26548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121920</xdr:colOff>
      <xdr:row>177</xdr:row>
      <xdr:rowOff>114300</xdr:rowOff>
    </xdr:from>
    <xdr:to>
      <xdr:col>7</xdr:col>
      <xdr:colOff>950258</xdr:colOff>
      <xdr:row>178</xdr:row>
      <xdr:rowOff>52146</xdr:rowOff>
    </xdr:to>
    <xdr:pic>
      <xdr:nvPicPr>
        <xdr:cNvPr id="1450" name="CheckBox10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1028520"/>
          <a:ext cx="83820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121920</xdr:colOff>
      <xdr:row>178</xdr:row>
      <xdr:rowOff>38100</xdr:rowOff>
    </xdr:from>
    <xdr:to>
      <xdr:col>7</xdr:col>
      <xdr:colOff>950258</xdr:colOff>
      <xdr:row>178</xdr:row>
      <xdr:rowOff>297180</xdr:rowOff>
    </xdr:to>
    <xdr:pic>
      <xdr:nvPicPr>
        <xdr:cNvPr id="1451" name="CheckBox10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1493340"/>
          <a:ext cx="83820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276412</xdr:colOff>
      <xdr:row>171</xdr:row>
      <xdr:rowOff>433294</xdr:rowOff>
    </xdr:from>
    <xdr:to>
      <xdr:col>7</xdr:col>
      <xdr:colOff>978647</xdr:colOff>
      <xdr:row>171</xdr:row>
      <xdr:rowOff>702235</xdr:rowOff>
    </xdr:to>
    <xdr:sp macro="" textlink="">
      <xdr:nvSpPr>
        <xdr:cNvPr id="179" name="Прямоугольник 178"/>
        <xdr:cNvSpPr/>
      </xdr:nvSpPr>
      <xdr:spPr>
        <a:xfrm>
          <a:off x="7806765" y="96714235"/>
          <a:ext cx="702235" cy="268941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21734</xdr:colOff>
      <xdr:row>196</xdr:row>
      <xdr:rowOff>340657</xdr:rowOff>
    </xdr:from>
    <xdr:to>
      <xdr:col>8</xdr:col>
      <xdr:colOff>0</xdr:colOff>
      <xdr:row>206</xdr:row>
      <xdr:rowOff>331693</xdr:rowOff>
    </xdr:to>
    <xdr:sp macro="" textlink="">
      <xdr:nvSpPr>
        <xdr:cNvPr id="345" name="Прямоугольник 344"/>
        <xdr:cNvSpPr/>
      </xdr:nvSpPr>
      <xdr:spPr>
        <a:xfrm>
          <a:off x="8242369" y="119777433"/>
          <a:ext cx="937489" cy="318247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380158</xdr:colOff>
      <xdr:row>89</xdr:row>
      <xdr:rowOff>103270</xdr:rowOff>
    </xdr:from>
    <xdr:to>
      <xdr:col>3</xdr:col>
      <xdr:colOff>898318</xdr:colOff>
      <xdr:row>89</xdr:row>
      <xdr:rowOff>439271</xdr:rowOff>
    </xdr:to>
    <xdr:pic>
      <xdr:nvPicPr>
        <xdr:cNvPr id="299" name="CheckBox2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1899" y="64227811"/>
          <a:ext cx="518160" cy="33600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389122</xdr:colOff>
      <xdr:row>90</xdr:row>
      <xdr:rowOff>428241</xdr:rowOff>
    </xdr:from>
    <xdr:to>
      <xdr:col>3</xdr:col>
      <xdr:colOff>907282</xdr:colOff>
      <xdr:row>90</xdr:row>
      <xdr:rowOff>687321</xdr:rowOff>
    </xdr:to>
    <xdr:pic>
      <xdr:nvPicPr>
        <xdr:cNvPr id="300" name="CheckBox2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863" y="65081700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92</xdr:row>
      <xdr:rowOff>135543</xdr:rowOff>
    </xdr:from>
    <xdr:to>
      <xdr:col>3</xdr:col>
      <xdr:colOff>916247</xdr:colOff>
      <xdr:row>92</xdr:row>
      <xdr:rowOff>394623</xdr:rowOff>
    </xdr:to>
    <xdr:pic>
      <xdr:nvPicPr>
        <xdr:cNvPr id="301" name="CheckBox2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1464998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93</xdr:row>
      <xdr:rowOff>44103</xdr:rowOff>
    </xdr:from>
    <xdr:to>
      <xdr:col>3</xdr:col>
      <xdr:colOff>986118</xdr:colOff>
      <xdr:row>93</xdr:row>
      <xdr:rowOff>484094</xdr:rowOff>
    </xdr:to>
    <xdr:pic>
      <xdr:nvPicPr>
        <xdr:cNvPr id="302" name="CheckBox2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828" y="66338103"/>
          <a:ext cx="588031" cy="43999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94</xdr:row>
      <xdr:rowOff>59343</xdr:rowOff>
    </xdr:from>
    <xdr:to>
      <xdr:col>3</xdr:col>
      <xdr:colOff>916247</xdr:colOff>
      <xdr:row>94</xdr:row>
      <xdr:rowOff>318423</xdr:rowOff>
    </xdr:to>
    <xdr:pic>
      <xdr:nvPicPr>
        <xdr:cNvPr id="303" name="CheckBox2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2300888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95</xdr:row>
      <xdr:rowOff>135543</xdr:rowOff>
    </xdr:from>
    <xdr:to>
      <xdr:col>3</xdr:col>
      <xdr:colOff>916247</xdr:colOff>
      <xdr:row>95</xdr:row>
      <xdr:rowOff>394623</xdr:rowOff>
    </xdr:to>
    <xdr:pic>
      <xdr:nvPicPr>
        <xdr:cNvPr id="304" name="CheckBox2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2711907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96</xdr:row>
      <xdr:rowOff>158403</xdr:rowOff>
    </xdr:from>
    <xdr:to>
      <xdr:col>3</xdr:col>
      <xdr:colOff>916247</xdr:colOff>
      <xdr:row>97</xdr:row>
      <xdr:rowOff>11083</xdr:rowOff>
    </xdr:to>
    <xdr:pic>
      <xdr:nvPicPr>
        <xdr:cNvPr id="305" name="CheckBox3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3554494"/>
          <a:ext cx="518160" cy="2336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97</xdr:row>
      <xdr:rowOff>74583</xdr:rowOff>
    </xdr:from>
    <xdr:to>
      <xdr:col>3</xdr:col>
      <xdr:colOff>916247</xdr:colOff>
      <xdr:row>97</xdr:row>
      <xdr:rowOff>326043</xdr:rowOff>
    </xdr:to>
    <xdr:pic>
      <xdr:nvPicPr>
        <xdr:cNvPr id="306" name="CheckBox3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3851674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98</xdr:row>
      <xdr:rowOff>188883</xdr:rowOff>
    </xdr:from>
    <xdr:to>
      <xdr:col>3</xdr:col>
      <xdr:colOff>916247</xdr:colOff>
      <xdr:row>98</xdr:row>
      <xdr:rowOff>440343</xdr:rowOff>
    </xdr:to>
    <xdr:pic>
      <xdr:nvPicPr>
        <xdr:cNvPr id="307" name="CheckBox3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4531701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99</xdr:row>
      <xdr:rowOff>74583</xdr:rowOff>
    </xdr:from>
    <xdr:to>
      <xdr:col>3</xdr:col>
      <xdr:colOff>916247</xdr:colOff>
      <xdr:row>99</xdr:row>
      <xdr:rowOff>326043</xdr:rowOff>
    </xdr:to>
    <xdr:pic>
      <xdr:nvPicPr>
        <xdr:cNvPr id="308" name="CheckBox3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814" y="65941401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450273</xdr:colOff>
      <xdr:row>119</xdr:row>
      <xdr:rowOff>69273</xdr:rowOff>
    </xdr:from>
    <xdr:to>
      <xdr:col>3</xdr:col>
      <xdr:colOff>968433</xdr:colOff>
      <xdr:row>119</xdr:row>
      <xdr:rowOff>328353</xdr:rowOff>
    </xdr:to>
    <xdr:pic>
      <xdr:nvPicPr>
        <xdr:cNvPr id="315" name="CheckBox5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0" y="68799364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450273</xdr:colOff>
      <xdr:row>120</xdr:row>
      <xdr:rowOff>168333</xdr:rowOff>
    </xdr:from>
    <xdr:to>
      <xdr:col>3</xdr:col>
      <xdr:colOff>968433</xdr:colOff>
      <xdr:row>120</xdr:row>
      <xdr:rowOff>412173</xdr:rowOff>
    </xdr:to>
    <xdr:pic>
      <xdr:nvPicPr>
        <xdr:cNvPr id="316" name="CheckBox5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0" y="69487242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450273</xdr:colOff>
      <xdr:row>121</xdr:row>
      <xdr:rowOff>320733</xdr:rowOff>
    </xdr:from>
    <xdr:to>
      <xdr:col>3</xdr:col>
      <xdr:colOff>968433</xdr:colOff>
      <xdr:row>121</xdr:row>
      <xdr:rowOff>579813</xdr:rowOff>
    </xdr:to>
    <xdr:pic>
      <xdr:nvPicPr>
        <xdr:cNvPr id="317" name="CheckBox5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0" y="70182278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450273</xdr:colOff>
      <xdr:row>122</xdr:row>
      <xdr:rowOff>168333</xdr:rowOff>
    </xdr:from>
    <xdr:to>
      <xdr:col>3</xdr:col>
      <xdr:colOff>968433</xdr:colOff>
      <xdr:row>122</xdr:row>
      <xdr:rowOff>427413</xdr:rowOff>
    </xdr:to>
    <xdr:pic>
      <xdr:nvPicPr>
        <xdr:cNvPr id="318" name="CheckBox54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0" y="70814969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450273</xdr:colOff>
      <xdr:row>123</xdr:row>
      <xdr:rowOff>137853</xdr:rowOff>
    </xdr:from>
    <xdr:to>
      <xdr:col>3</xdr:col>
      <xdr:colOff>968433</xdr:colOff>
      <xdr:row>123</xdr:row>
      <xdr:rowOff>396933</xdr:rowOff>
    </xdr:to>
    <xdr:pic>
      <xdr:nvPicPr>
        <xdr:cNvPr id="319" name="CheckBox5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0" y="71327126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125</xdr:row>
      <xdr:rowOff>11545</xdr:rowOff>
    </xdr:from>
    <xdr:to>
      <xdr:col>3</xdr:col>
      <xdr:colOff>945342</xdr:colOff>
      <xdr:row>125</xdr:row>
      <xdr:rowOff>270625</xdr:rowOff>
    </xdr:to>
    <xdr:pic>
      <xdr:nvPicPr>
        <xdr:cNvPr id="327" name="CheckBox5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2078272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126</xdr:row>
      <xdr:rowOff>26785</xdr:rowOff>
    </xdr:from>
    <xdr:to>
      <xdr:col>3</xdr:col>
      <xdr:colOff>945342</xdr:colOff>
      <xdr:row>126</xdr:row>
      <xdr:rowOff>278245</xdr:rowOff>
    </xdr:to>
    <xdr:pic>
      <xdr:nvPicPr>
        <xdr:cNvPr id="328" name="CheckBox5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2589967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127</xdr:row>
      <xdr:rowOff>11545</xdr:rowOff>
    </xdr:from>
    <xdr:to>
      <xdr:col>3</xdr:col>
      <xdr:colOff>945342</xdr:colOff>
      <xdr:row>127</xdr:row>
      <xdr:rowOff>270625</xdr:rowOff>
    </xdr:to>
    <xdr:pic>
      <xdr:nvPicPr>
        <xdr:cNvPr id="329" name="CheckBox5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3325181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128</xdr:row>
      <xdr:rowOff>11545</xdr:rowOff>
    </xdr:from>
    <xdr:to>
      <xdr:col>3</xdr:col>
      <xdr:colOff>945342</xdr:colOff>
      <xdr:row>128</xdr:row>
      <xdr:rowOff>270625</xdr:rowOff>
    </xdr:to>
    <xdr:pic>
      <xdr:nvPicPr>
        <xdr:cNvPr id="330" name="CheckBox5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3833181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129</xdr:row>
      <xdr:rowOff>11545</xdr:rowOff>
    </xdr:from>
    <xdr:to>
      <xdr:col>3</xdr:col>
      <xdr:colOff>945342</xdr:colOff>
      <xdr:row>129</xdr:row>
      <xdr:rowOff>270625</xdr:rowOff>
    </xdr:to>
    <xdr:pic>
      <xdr:nvPicPr>
        <xdr:cNvPr id="331" name="CheckBox6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4618272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130</xdr:row>
      <xdr:rowOff>141085</xdr:rowOff>
    </xdr:from>
    <xdr:to>
      <xdr:col>3</xdr:col>
      <xdr:colOff>945342</xdr:colOff>
      <xdr:row>130</xdr:row>
      <xdr:rowOff>392545</xdr:rowOff>
    </xdr:to>
    <xdr:pic>
      <xdr:nvPicPr>
        <xdr:cNvPr id="332" name="CheckBox6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5440540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427182</xdr:colOff>
      <xdr:row>131</xdr:row>
      <xdr:rowOff>110605</xdr:rowOff>
    </xdr:from>
    <xdr:to>
      <xdr:col>3</xdr:col>
      <xdr:colOff>945342</xdr:colOff>
      <xdr:row>131</xdr:row>
      <xdr:rowOff>354445</xdr:rowOff>
    </xdr:to>
    <xdr:pic>
      <xdr:nvPicPr>
        <xdr:cNvPr id="33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09" y="76137423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432724</xdr:colOff>
      <xdr:row>139</xdr:row>
      <xdr:rowOff>58650</xdr:rowOff>
    </xdr:from>
    <xdr:to>
      <xdr:col>3</xdr:col>
      <xdr:colOff>950884</xdr:colOff>
      <xdr:row>139</xdr:row>
      <xdr:rowOff>317730</xdr:rowOff>
    </xdr:to>
    <xdr:pic>
      <xdr:nvPicPr>
        <xdr:cNvPr id="337" name="CheckBox6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451" y="76859014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432724</xdr:colOff>
      <xdr:row>140</xdr:row>
      <xdr:rowOff>279630</xdr:rowOff>
    </xdr:from>
    <xdr:to>
      <xdr:col>3</xdr:col>
      <xdr:colOff>950884</xdr:colOff>
      <xdr:row>140</xdr:row>
      <xdr:rowOff>538710</xdr:rowOff>
    </xdr:to>
    <xdr:pic>
      <xdr:nvPicPr>
        <xdr:cNvPr id="338" name="CheckBox7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451" y="77726539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432724</xdr:colOff>
      <xdr:row>141</xdr:row>
      <xdr:rowOff>58650</xdr:rowOff>
    </xdr:from>
    <xdr:to>
      <xdr:col>3</xdr:col>
      <xdr:colOff>950884</xdr:colOff>
      <xdr:row>141</xdr:row>
      <xdr:rowOff>317730</xdr:rowOff>
    </xdr:to>
    <xdr:pic>
      <xdr:nvPicPr>
        <xdr:cNvPr id="339" name="CheckBox7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451" y="78256014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427183</xdr:colOff>
      <xdr:row>158</xdr:row>
      <xdr:rowOff>138545</xdr:rowOff>
    </xdr:from>
    <xdr:to>
      <xdr:col>3</xdr:col>
      <xdr:colOff>952963</xdr:colOff>
      <xdr:row>158</xdr:row>
      <xdr:rowOff>397625</xdr:rowOff>
    </xdr:to>
    <xdr:pic>
      <xdr:nvPicPr>
        <xdr:cNvPr id="340" name="CheckBox85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82919454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427183</xdr:colOff>
      <xdr:row>159</xdr:row>
      <xdr:rowOff>138545</xdr:rowOff>
    </xdr:from>
    <xdr:to>
      <xdr:col>3</xdr:col>
      <xdr:colOff>952963</xdr:colOff>
      <xdr:row>159</xdr:row>
      <xdr:rowOff>397625</xdr:rowOff>
    </xdr:to>
    <xdr:pic>
      <xdr:nvPicPr>
        <xdr:cNvPr id="341" name="CheckBox8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83831545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427183</xdr:colOff>
      <xdr:row>160</xdr:row>
      <xdr:rowOff>153785</xdr:rowOff>
    </xdr:from>
    <xdr:to>
      <xdr:col>3</xdr:col>
      <xdr:colOff>952963</xdr:colOff>
      <xdr:row>160</xdr:row>
      <xdr:rowOff>412865</xdr:rowOff>
    </xdr:to>
    <xdr:pic>
      <xdr:nvPicPr>
        <xdr:cNvPr id="342" name="CheckBox8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84551058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427183</xdr:colOff>
      <xdr:row>161</xdr:row>
      <xdr:rowOff>169025</xdr:rowOff>
    </xdr:from>
    <xdr:to>
      <xdr:col>3</xdr:col>
      <xdr:colOff>952963</xdr:colOff>
      <xdr:row>161</xdr:row>
      <xdr:rowOff>428105</xdr:rowOff>
    </xdr:to>
    <xdr:pic>
      <xdr:nvPicPr>
        <xdr:cNvPr id="346" name="CheckBox8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85201298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427183</xdr:colOff>
      <xdr:row>162</xdr:row>
      <xdr:rowOff>24245</xdr:rowOff>
    </xdr:from>
    <xdr:to>
      <xdr:col>3</xdr:col>
      <xdr:colOff>952963</xdr:colOff>
      <xdr:row>162</xdr:row>
      <xdr:rowOff>283325</xdr:rowOff>
    </xdr:to>
    <xdr:pic>
      <xdr:nvPicPr>
        <xdr:cNvPr id="347" name="CheckBox8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85691518"/>
          <a:ext cx="52578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381000</xdr:colOff>
      <xdr:row>182</xdr:row>
      <xdr:rowOff>115455</xdr:rowOff>
    </xdr:from>
    <xdr:to>
      <xdr:col>7</xdr:col>
      <xdr:colOff>899160</xdr:colOff>
      <xdr:row>182</xdr:row>
      <xdr:rowOff>374535</xdr:rowOff>
    </xdr:to>
    <xdr:pic>
      <xdr:nvPicPr>
        <xdr:cNvPr id="348" name="CheckBox5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636" y="91232182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369455</xdr:colOff>
      <xdr:row>183</xdr:row>
      <xdr:rowOff>153786</xdr:rowOff>
    </xdr:from>
    <xdr:to>
      <xdr:col>7</xdr:col>
      <xdr:colOff>887615</xdr:colOff>
      <xdr:row>183</xdr:row>
      <xdr:rowOff>405246</xdr:rowOff>
    </xdr:to>
    <xdr:pic>
      <xdr:nvPicPr>
        <xdr:cNvPr id="349" name="CheckBox5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7091" y="92020968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381000</xdr:colOff>
      <xdr:row>184</xdr:row>
      <xdr:rowOff>138545</xdr:rowOff>
    </xdr:from>
    <xdr:to>
      <xdr:col>7</xdr:col>
      <xdr:colOff>899160</xdr:colOff>
      <xdr:row>184</xdr:row>
      <xdr:rowOff>397625</xdr:rowOff>
    </xdr:to>
    <xdr:pic>
      <xdr:nvPicPr>
        <xdr:cNvPr id="350" name="CheckBox5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636" y="92559909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346364</xdr:colOff>
      <xdr:row>185</xdr:row>
      <xdr:rowOff>150091</xdr:rowOff>
    </xdr:from>
    <xdr:to>
      <xdr:col>7</xdr:col>
      <xdr:colOff>864524</xdr:colOff>
      <xdr:row>185</xdr:row>
      <xdr:rowOff>409171</xdr:rowOff>
    </xdr:to>
    <xdr:pic>
      <xdr:nvPicPr>
        <xdr:cNvPr id="351" name="CheckBox5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93125636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381000</xdr:colOff>
      <xdr:row>186</xdr:row>
      <xdr:rowOff>242455</xdr:rowOff>
    </xdr:from>
    <xdr:to>
      <xdr:col>7</xdr:col>
      <xdr:colOff>899160</xdr:colOff>
      <xdr:row>186</xdr:row>
      <xdr:rowOff>501535</xdr:rowOff>
    </xdr:to>
    <xdr:pic>
      <xdr:nvPicPr>
        <xdr:cNvPr id="352" name="CheckBox6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636" y="93772182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346365</xdr:colOff>
      <xdr:row>188</xdr:row>
      <xdr:rowOff>302722</xdr:rowOff>
    </xdr:from>
    <xdr:to>
      <xdr:col>7</xdr:col>
      <xdr:colOff>864525</xdr:colOff>
      <xdr:row>188</xdr:row>
      <xdr:rowOff>554182</xdr:rowOff>
    </xdr:to>
    <xdr:pic>
      <xdr:nvPicPr>
        <xdr:cNvPr id="353" name="CheckBox6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274" y="96915086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381000</xdr:colOff>
      <xdr:row>187</xdr:row>
      <xdr:rowOff>410788</xdr:rowOff>
    </xdr:from>
    <xdr:to>
      <xdr:col>7</xdr:col>
      <xdr:colOff>899160</xdr:colOff>
      <xdr:row>187</xdr:row>
      <xdr:rowOff>654628</xdr:rowOff>
    </xdr:to>
    <xdr:pic>
      <xdr:nvPicPr>
        <xdr:cNvPr id="35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636" y="95291333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429491</xdr:colOff>
      <xdr:row>182</xdr:row>
      <xdr:rowOff>187037</xdr:rowOff>
    </xdr:from>
    <xdr:to>
      <xdr:col>3</xdr:col>
      <xdr:colOff>947651</xdr:colOff>
      <xdr:row>182</xdr:row>
      <xdr:rowOff>446117</xdr:rowOff>
    </xdr:to>
    <xdr:pic>
      <xdr:nvPicPr>
        <xdr:cNvPr id="355" name="CheckBox56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218" y="91303764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452582</xdr:colOff>
      <xdr:row>183</xdr:row>
      <xdr:rowOff>86823</xdr:rowOff>
    </xdr:from>
    <xdr:to>
      <xdr:col>3</xdr:col>
      <xdr:colOff>970742</xdr:colOff>
      <xdr:row>183</xdr:row>
      <xdr:rowOff>338283</xdr:rowOff>
    </xdr:to>
    <xdr:pic>
      <xdr:nvPicPr>
        <xdr:cNvPr id="356" name="CheckBox5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6309" y="91954005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429491</xdr:colOff>
      <xdr:row>184</xdr:row>
      <xdr:rowOff>129309</xdr:rowOff>
    </xdr:from>
    <xdr:to>
      <xdr:col>3</xdr:col>
      <xdr:colOff>947651</xdr:colOff>
      <xdr:row>184</xdr:row>
      <xdr:rowOff>388389</xdr:rowOff>
    </xdr:to>
    <xdr:pic>
      <xdr:nvPicPr>
        <xdr:cNvPr id="366" name="CheckBox5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218" y="92550673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429491</xdr:colOff>
      <xdr:row>185</xdr:row>
      <xdr:rowOff>83128</xdr:rowOff>
    </xdr:from>
    <xdr:to>
      <xdr:col>3</xdr:col>
      <xdr:colOff>947651</xdr:colOff>
      <xdr:row>185</xdr:row>
      <xdr:rowOff>342208</xdr:rowOff>
    </xdr:to>
    <xdr:pic>
      <xdr:nvPicPr>
        <xdr:cNvPr id="367" name="CheckBox5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218" y="93058673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429491</xdr:colOff>
      <xdr:row>186</xdr:row>
      <xdr:rowOff>314037</xdr:rowOff>
    </xdr:from>
    <xdr:to>
      <xdr:col>3</xdr:col>
      <xdr:colOff>947651</xdr:colOff>
      <xdr:row>186</xdr:row>
      <xdr:rowOff>573117</xdr:rowOff>
    </xdr:to>
    <xdr:pic>
      <xdr:nvPicPr>
        <xdr:cNvPr id="368" name="CheckBox60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218" y="93843764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406400</xdr:colOff>
      <xdr:row>188</xdr:row>
      <xdr:rowOff>281940</xdr:rowOff>
    </xdr:from>
    <xdr:to>
      <xdr:col>3</xdr:col>
      <xdr:colOff>924560</xdr:colOff>
      <xdr:row>188</xdr:row>
      <xdr:rowOff>533400</xdr:rowOff>
    </xdr:to>
    <xdr:pic>
      <xdr:nvPicPr>
        <xdr:cNvPr id="369" name="CheckBox6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96894304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429491</xdr:colOff>
      <xdr:row>187</xdr:row>
      <xdr:rowOff>482370</xdr:rowOff>
    </xdr:from>
    <xdr:to>
      <xdr:col>3</xdr:col>
      <xdr:colOff>947651</xdr:colOff>
      <xdr:row>187</xdr:row>
      <xdr:rowOff>726210</xdr:rowOff>
    </xdr:to>
    <xdr:pic>
      <xdr:nvPicPr>
        <xdr:cNvPr id="370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218" y="9536291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360218</xdr:colOff>
      <xdr:row>189</xdr:row>
      <xdr:rowOff>332278</xdr:rowOff>
    </xdr:from>
    <xdr:to>
      <xdr:col>7</xdr:col>
      <xdr:colOff>878378</xdr:colOff>
      <xdr:row>189</xdr:row>
      <xdr:rowOff>576118</xdr:rowOff>
    </xdr:to>
    <xdr:pic>
      <xdr:nvPicPr>
        <xdr:cNvPr id="371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7854" y="97983733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374073</xdr:colOff>
      <xdr:row>190</xdr:row>
      <xdr:rowOff>323042</xdr:rowOff>
    </xdr:from>
    <xdr:to>
      <xdr:col>7</xdr:col>
      <xdr:colOff>889001</xdr:colOff>
      <xdr:row>190</xdr:row>
      <xdr:rowOff>566882</xdr:rowOff>
    </xdr:to>
    <xdr:pic>
      <xdr:nvPicPr>
        <xdr:cNvPr id="372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1709" y="98828860"/>
          <a:ext cx="514928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374073</xdr:colOff>
      <xdr:row>190</xdr:row>
      <xdr:rowOff>323042</xdr:rowOff>
    </xdr:from>
    <xdr:to>
      <xdr:col>7</xdr:col>
      <xdr:colOff>892233</xdr:colOff>
      <xdr:row>190</xdr:row>
      <xdr:rowOff>566882</xdr:rowOff>
    </xdr:to>
    <xdr:pic>
      <xdr:nvPicPr>
        <xdr:cNvPr id="37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1709" y="98828860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341746</xdr:colOff>
      <xdr:row>191</xdr:row>
      <xdr:rowOff>221442</xdr:rowOff>
    </xdr:from>
    <xdr:to>
      <xdr:col>7</xdr:col>
      <xdr:colOff>859906</xdr:colOff>
      <xdr:row>191</xdr:row>
      <xdr:rowOff>465282</xdr:rowOff>
    </xdr:to>
    <xdr:pic>
      <xdr:nvPicPr>
        <xdr:cNvPr id="37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9382" y="9963935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355601</xdr:colOff>
      <xdr:row>192</xdr:row>
      <xdr:rowOff>489296</xdr:rowOff>
    </xdr:from>
    <xdr:to>
      <xdr:col>7</xdr:col>
      <xdr:colOff>873761</xdr:colOff>
      <xdr:row>192</xdr:row>
      <xdr:rowOff>733136</xdr:rowOff>
    </xdr:to>
    <xdr:pic>
      <xdr:nvPicPr>
        <xdr:cNvPr id="375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3237" y="100565296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381001</xdr:colOff>
      <xdr:row>193</xdr:row>
      <xdr:rowOff>376151</xdr:rowOff>
    </xdr:from>
    <xdr:to>
      <xdr:col>7</xdr:col>
      <xdr:colOff>892811</xdr:colOff>
      <xdr:row>193</xdr:row>
      <xdr:rowOff>619991</xdr:rowOff>
    </xdr:to>
    <xdr:pic>
      <xdr:nvPicPr>
        <xdr:cNvPr id="376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637" y="101756787"/>
          <a:ext cx="51181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369456</xdr:colOff>
      <xdr:row>194</xdr:row>
      <xdr:rowOff>745606</xdr:rowOff>
    </xdr:from>
    <xdr:to>
      <xdr:col>7</xdr:col>
      <xdr:colOff>887616</xdr:colOff>
      <xdr:row>194</xdr:row>
      <xdr:rowOff>989446</xdr:rowOff>
    </xdr:to>
    <xdr:pic>
      <xdr:nvPicPr>
        <xdr:cNvPr id="377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7092" y="10337315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406402</xdr:colOff>
      <xdr:row>195</xdr:row>
      <xdr:rowOff>713278</xdr:rowOff>
    </xdr:from>
    <xdr:to>
      <xdr:col>7</xdr:col>
      <xdr:colOff>924562</xdr:colOff>
      <xdr:row>195</xdr:row>
      <xdr:rowOff>957118</xdr:rowOff>
    </xdr:to>
    <xdr:pic>
      <xdr:nvPicPr>
        <xdr:cNvPr id="378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038" y="105072642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431800</xdr:colOff>
      <xdr:row>189</xdr:row>
      <xdr:rowOff>346132</xdr:rowOff>
    </xdr:from>
    <xdr:to>
      <xdr:col>3</xdr:col>
      <xdr:colOff>946728</xdr:colOff>
      <xdr:row>189</xdr:row>
      <xdr:rowOff>589972</xdr:rowOff>
    </xdr:to>
    <xdr:pic>
      <xdr:nvPicPr>
        <xdr:cNvPr id="379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5527" y="97997587"/>
          <a:ext cx="514928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445655</xdr:colOff>
      <xdr:row>190</xdr:row>
      <xdr:rowOff>336896</xdr:rowOff>
    </xdr:from>
    <xdr:to>
      <xdr:col>3</xdr:col>
      <xdr:colOff>963815</xdr:colOff>
      <xdr:row>190</xdr:row>
      <xdr:rowOff>580736</xdr:rowOff>
    </xdr:to>
    <xdr:pic>
      <xdr:nvPicPr>
        <xdr:cNvPr id="380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9382" y="98842714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413328</xdr:colOff>
      <xdr:row>191</xdr:row>
      <xdr:rowOff>235296</xdr:rowOff>
    </xdr:from>
    <xdr:to>
      <xdr:col>3</xdr:col>
      <xdr:colOff>931488</xdr:colOff>
      <xdr:row>191</xdr:row>
      <xdr:rowOff>479136</xdr:rowOff>
    </xdr:to>
    <xdr:pic>
      <xdr:nvPicPr>
        <xdr:cNvPr id="381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7055" y="9965320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427183</xdr:colOff>
      <xdr:row>192</xdr:row>
      <xdr:rowOff>503150</xdr:rowOff>
    </xdr:from>
    <xdr:to>
      <xdr:col>3</xdr:col>
      <xdr:colOff>938993</xdr:colOff>
      <xdr:row>192</xdr:row>
      <xdr:rowOff>746990</xdr:rowOff>
    </xdr:to>
    <xdr:pic>
      <xdr:nvPicPr>
        <xdr:cNvPr id="382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100579150"/>
          <a:ext cx="51181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452583</xdr:colOff>
      <xdr:row>193</xdr:row>
      <xdr:rowOff>390005</xdr:rowOff>
    </xdr:from>
    <xdr:to>
      <xdr:col>3</xdr:col>
      <xdr:colOff>964393</xdr:colOff>
      <xdr:row>193</xdr:row>
      <xdr:rowOff>633845</xdr:rowOff>
    </xdr:to>
    <xdr:pic>
      <xdr:nvPicPr>
        <xdr:cNvPr id="38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6310" y="101770641"/>
          <a:ext cx="51181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441038</xdr:colOff>
      <xdr:row>194</xdr:row>
      <xdr:rowOff>759460</xdr:rowOff>
    </xdr:from>
    <xdr:to>
      <xdr:col>3</xdr:col>
      <xdr:colOff>959198</xdr:colOff>
      <xdr:row>194</xdr:row>
      <xdr:rowOff>1003300</xdr:rowOff>
    </xdr:to>
    <xdr:pic>
      <xdr:nvPicPr>
        <xdr:cNvPr id="38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4765" y="10338700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477984</xdr:colOff>
      <xdr:row>195</xdr:row>
      <xdr:rowOff>727132</xdr:rowOff>
    </xdr:from>
    <xdr:to>
      <xdr:col>3</xdr:col>
      <xdr:colOff>996144</xdr:colOff>
      <xdr:row>195</xdr:row>
      <xdr:rowOff>970972</xdr:rowOff>
    </xdr:to>
    <xdr:pic>
      <xdr:nvPicPr>
        <xdr:cNvPr id="385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1711" y="105086496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323273</xdr:colOff>
      <xdr:row>197</xdr:row>
      <xdr:rowOff>80818</xdr:rowOff>
    </xdr:from>
    <xdr:to>
      <xdr:col>7</xdr:col>
      <xdr:colOff>841433</xdr:colOff>
      <xdr:row>198</xdr:row>
      <xdr:rowOff>12931</xdr:rowOff>
    </xdr:to>
    <xdr:pic>
      <xdr:nvPicPr>
        <xdr:cNvPr id="386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0909" y="106599182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325582</xdr:colOff>
      <xdr:row>198</xdr:row>
      <xdr:rowOff>106218</xdr:rowOff>
    </xdr:from>
    <xdr:to>
      <xdr:col>7</xdr:col>
      <xdr:colOff>843742</xdr:colOff>
      <xdr:row>199</xdr:row>
      <xdr:rowOff>38331</xdr:rowOff>
    </xdr:to>
    <xdr:pic>
      <xdr:nvPicPr>
        <xdr:cNvPr id="387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3218" y="106936309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327892</xdr:colOff>
      <xdr:row>199</xdr:row>
      <xdr:rowOff>108528</xdr:rowOff>
    </xdr:from>
    <xdr:to>
      <xdr:col>7</xdr:col>
      <xdr:colOff>846052</xdr:colOff>
      <xdr:row>200</xdr:row>
      <xdr:rowOff>40641</xdr:rowOff>
    </xdr:to>
    <xdr:pic>
      <xdr:nvPicPr>
        <xdr:cNvPr id="388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5528" y="107250346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325582</xdr:colOff>
      <xdr:row>200</xdr:row>
      <xdr:rowOff>94673</xdr:rowOff>
    </xdr:from>
    <xdr:to>
      <xdr:col>7</xdr:col>
      <xdr:colOff>843742</xdr:colOff>
      <xdr:row>201</xdr:row>
      <xdr:rowOff>26785</xdr:rowOff>
    </xdr:to>
    <xdr:pic>
      <xdr:nvPicPr>
        <xdr:cNvPr id="389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6217" y="120840297"/>
          <a:ext cx="518160" cy="24587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327891</xdr:colOff>
      <xdr:row>201</xdr:row>
      <xdr:rowOff>120072</xdr:rowOff>
    </xdr:from>
    <xdr:to>
      <xdr:col>7</xdr:col>
      <xdr:colOff>846051</xdr:colOff>
      <xdr:row>202</xdr:row>
      <xdr:rowOff>52185</xdr:rowOff>
    </xdr:to>
    <xdr:pic>
      <xdr:nvPicPr>
        <xdr:cNvPr id="390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5527" y="10788534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330201</xdr:colOff>
      <xdr:row>202</xdr:row>
      <xdr:rowOff>122382</xdr:rowOff>
    </xdr:from>
    <xdr:to>
      <xdr:col>7</xdr:col>
      <xdr:colOff>848361</xdr:colOff>
      <xdr:row>203</xdr:row>
      <xdr:rowOff>54495</xdr:rowOff>
    </xdr:to>
    <xdr:pic>
      <xdr:nvPicPr>
        <xdr:cNvPr id="391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7837" y="108199382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339436</xdr:colOff>
      <xdr:row>203</xdr:row>
      <xdr:rowOff>85437</xdr:rowOff>
    </xdr:from>
    <xdr:to>
      <xdr:col>7</xdr:col>
      <xdr:colOff>857596</xdr:colOff>
      <xdr:row>204</xdr:row>
      <xdr:rowOff>17549</xdr:rowOff>
    </xdr:to>
    <xdr:pic>
      <xdr:nvPicPr>
        <xdr:cNvPr id="392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072" y="108474164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341745</xdr:colOff>
      <xdr:row>204</xdr:row>
      <xdr:rowOff>110836</xdr:rowOff>
    </xdr:from>
    <xdr:to>
      <xdr:col>7</xdr:col>
      <xdr:colOff>859905</xdr:colOff>
      <xdr:row>205</xdr:row>
      <xdr:rowOff>42949</xdr:rowOff>
    </xdr:to>
    <xdr:pic>
      <xdr:nvPicPr>
        <xdr:cNvPr id="39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9381" y="10881129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344055</xdr:colOff>
      <xdr:row>205</xdr:row>
      <xdr:rowOff>113146</xdr:rowOff>
    </xdr:from>
    <xdr:to>
      <xdr:col>7</xdr:col>
      <xdr:colOff>862215</xdr:colOff>
      <xdr:row>206</xdr:row>
      <xdr:rowOff>45259</xdr:rowOff>
    </xdr:to>
    <xdr:pic>
      <xdr:nvPicPr>
        <xdr:cNvPr id="39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691" y="109125328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346364</xdr:colOff>
      <xdr:row>206</xdr:row>
      <xdr:rowOff>57728</xdr:rowOff>
    </xdr:from>
    <xdr:to>
      <xdr:col>7</xdr:col>
      <xdr:colOff>864524</xdr:colOff>
      <xdr:row>206</xdr:row>
      <xdr:rowOff>301568</xdr:rowOff>
    </xdr:to>
    <xdr:pic>
      <xdr:nvPicPr>
        <xdr:cNvPr id="395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109381637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348673</xdr:colOff>
      <xdr:row>208</xdr:row>
      <xdr:rowOff>267855</xdr:rowOff>
    </xdr:from>
    <xdr:to>
      <xdr:col>3</xdr:col>
      <xdr:colOff>866833</xdr:colOff>
      <xdr:row>208</xdr:row>
      <xdr:rowOff>511695</xdr:rowOff>
    </xdr:to>
    <xdr:pic>
      <xdr:nvPicPr>
        <xdr:cNvPr id="396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10215219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362527</xdr:colOff>
      <xdr:row>209</xdr:row>
      <xdr:rowOff>223983</xdr:rowOff>
    </xdr:from>
    <xdr:to>
      <xdr:col>3</xdr:col>
      <xdr:colOff>880687</xdr:colOff>
      <xdr:row>209</xdr:row>
      <xdr:rowOff>467823</xdr:rowOff>
    </xdr:to>
    <xdr:pic>
      <xdr:nvPicPr>
        <xdr:cNvPr id="397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6254" y="110979528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364837</xdr:colOff>
      <xdr:row>211</xdr:row>
      <xdr:rowOff>226292</xdr:rowOff>
    </xdr:from>
    <xdr:to>
      <xdr:col>7</xdr:col>
      <xdr:colOff>882997</xdr:colOff>
      <xdr:row>211</xdr:row>
      <xdr:rowOff>470132</xdr:rowOff>
    </xdr:to>
    <xdr:pic>
      <xdr:nvPicPr>
        <xdr:cNvPr id="398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2473" y="112759837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362527</xdr:colOff>
      <xdr:row>218</xdr:row>
      <xdr:rowOff>358588</xdr:rowOff>
    </xdr:from>
    <xdr:to>
      <xdr:col>3</xdr:col>
      <xdr:colOff>880687</xdr:colOff>
      <xdr:row>219</xdr:row>
      <xdr:rowOff>6004</xdr:rowOff>
    </xdr:to>
    <xdr:pic>
      <xdr:nvPicPr>
        <xdr:cNvPr id="399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4268" y="125201082"/>
          <a:ext cx="518160" cy="33769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353291</xdr:colOff>
      <xdr:row>208</xdr:row>
      <xdr:rowOff>284017</xdr:rowOff>
    </xdr:from>
    <xdr:to>
      <xdr:col>7</xdr:col>
      <xdr:colOff>871451</xdr:colOff>
      <xdr:row>208</xdr:row>
      <xdr:rowOff>527857</xdr:rowOff>
    </xdr:to>
    <xdr:pic>
      <xdr:nvPicPr>
        <xdr:cNvPr id="400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0927" y="11023138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367147</xdr:colOff>
      <xdr:row>209</xdr:row>
      <xdr:rowOff>217055</xdr:rowOff>
    </xdr:from>
    <xdr:to>
      <xdr:col>7</xdr:col>
      <xdr:colOff>885307</xdr:colOff>
      <xdr:row>209</xdr:row>
      <xdr:rowOff>460895</xdr:rowOff>
    </xdr:to>
    <xdr:pic>
      <xdr:nvPicPr>
        <xdr:cNvPr id="401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783" y="110972600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387927</xdr:colOff>
      <xdr:row>210</xdr:row>
      <xdr:rowOff>313764</xdr:rowOff>
    </xdr:from>
    <xdr:to>
      <xdr:col>3</xdr:col>
      <xdr:colOff>906087</xdr:colOff>
      <xdr:row>210</xdr:row>
      <xdr:rowOff>536864</xdr:rowOff>
    </xdr:to>
    <xdr:pic>
      <xdr:nvPicPr>
        <xdr:cNvPr id="402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9668" y="123345388"/>
          <a:ext cx="518160" cy="2231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344054</xdr:colOff>
      <xdr:row>210</xdr:row>
      <xdr:rowOff>304800</xdr:rowOff>
    </xdr:from>
    <xdr:to>
      <xdr:col>7</xdr:col>
      <xdr:colOff>862214</xdr:colOff>
      <xdr:row>210</xdr:row>
      <xdr:rowOff>531323</xdr:rowOff>
    </xdr:to>
    <xdr:pic>
      <xdr:nvPicPr>
        <xdr:cNvPr id="40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2642" y="123336424"/>
          <a:ext cx="518160" cy="2265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346364</xdr:colOff>
      <xdr:row>211</xdr:row>
      <xdr:rowOff>369456</xdr:rowOff>
    </xdr:from>
    <xdr:to>
      <xdr:col>3</xdr:col>
      <xdr:colOff>864524</xdr:colOff>
      <xdr:row>212</xdr:row>
      <xdr:rowOff>1386</xdr:rowOff>
    </xdr:to>
    <xdr:pic>
      <xdr:nvPicPr>
        <xdr:cNvPr id="40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091" y="11290300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360219</xdr:colOff>
      <xdr:row>212</xdr:row>
      <xdr:rowOff>314036</xdr:rowOff>
    </xdr:from>
    <xdr:to>
      <xdr:col>3</xdr:col>
      <xdr:colOff>878379</xdr:colOff>
      <xdr:row>212</xdr:row>
      <xdr:rowOff>557876</xdr:rowOff>
    </xdr:to>
    <xdr:pic>
      <xdr:nvPicPr>
        <xdr:cNvPr id="405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3946" y="11345949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344053</xdr:colOff>
      <xdr:row>212</xdr:row>
      <xdr:rowOff>378691</xdr:rowOff>
    </xdr:from>
    <xdr:to>
      <xdr:col>7</xdr:col>
      <xdr:colOff>862213</xdr:colOff>
      <xdr:row>212</xdr:row>
      <xdr:rowOff>622531</xdr:rowOff>
    </xdr:to>
    <xdr:pic>
      <xdr:nvPicPr>
        <xdr:cNvPr id="406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689" y="113524146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344055</xdr:colOff>
      <xdr:row>218</xdr:row>
      <xdr:rowOff>90055</xdr:rowOff>
    </xdr:from>
    <xdr:to>
      <xdr:col>7</xdr:col>
      <xdr:colOff>854364</xdr:colOff>
      <xdr:row>218</xdr:row>
      <xdr:rowOff>333895</xdr:rowOff>
    </xdr:to>
    <xdr:pic>
      <xdr:nvPicPr>
        <xdr:cNvPr id="407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691" y="114078328"/>
          <a:ext cx="510309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171009</xdr:colOff>
      <xdr:row>220</xdr:row>
      <xdr:rowOff>193965</xdr:rowOff>
    </xdr:from>
    <xdr:to>
      <xdr:col>7</xdr:col>
      <xdr:colOff>689169</xdr:colOff>
      <xdr:row>220</xdr:row>
      <xdr:rowOff>437805</xdr:rowOff>
    </xdr:to>
    <xdr:pic>
      <xdr:nvPicPr>
        <xdr:cNvPr id="408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9597" y="126300483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265546</xdr:colOff>
      <xdr:row>221</xdr:row>
      <xdr:rowOff>635000</xdr:rowOff>
    </xdr:from>
    <xdr:to>
      <xdr:col>7</xdr:col>
      <xdr:colOff>783706</xdr:colOff>
      <xdr:row>221</xdr:row>
      <xdr:rowOff>878840</xdr:rowOff>
    </xdr:to>
    <xdr:pic>
      <xdr:nvPicPr>
        <xdr:cNvPr id="409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116043364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170330</xdr:colOff>
      <xdr:row>222</xdr:row>
      <xdr:rowOff>25535</xdr:rowOff>
    </xdr:from>
    <xdr:to>
      <xdr:col>7</xdr:col>
      <xdr:colOff>775692</xdr:colOff>
      <xdr:row>222</xdr:row>
      <xdr:rowOff>346934</xdr:rowOff>
    </xdr:to>
    <xdr:pic>
      <xdr:nvPicPr>
        <xdr:cNvPr id="410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918" y="127270570"/>
          <a:ext cx="605362" cy="32139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258618</xdr:colOff>
      <xdr:row>223</xdr:row>
      <xdr:rowOff>339436</xdr:rowOff>
    </xdr:from>
    <xdr:to>
      <xdr:col>7</xdr:col>
      <xdr:colOff>776778</xdr:colOff>
      <xdr:row>223</xdr:row>
      <xdr:rowOff>583276</xdr:rowOff>
    </xdr:to>
    <xdr:pic>
      <xdr:nvPicPr>
        <xdr:cNvPr id="411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6254" y="117641254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498764</xdr:colOff>
      <xdr:row>221</xdr:row>
      <xdr:rowOff>591127</xdr:rowOff>
    </xdr:from>
    <xdr:to>
      <xdr:col>3</xdr:col>
      <xdr:colOff>1016924</xdr:colOff>
      <xdr:row>221</xdr:row>
      <xdr:rowOff>834967</xdr:rowOff>
    </xdr:to>
    <xdr:pic>
      <xdr:nvPicPr>
        <xdr:cNvPr id="41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2491" y="11599949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454891</xdr:colOff>
      <xdr:row>222</xdr:row>
      <xdr:rowOff>62345</xdr:rowOff>
    </xdr:from>
    <xdr:to>
      <xdr:col>3</xdr:col>
      <xdr:colOff>973051</xdr:colOff>
      <xdr:row>222</xdr:row>
      <xdr:rowOff>306185</xdr:rowOff>
    </xdr:to>
    <xdr:pic>
      <xdr:nvPicPr>
        <xdr:cNvPr id="41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8618" y="11702934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491836</xdr:colOff>
      <xdr:row>223</xdr:row>
      <xdr:rowOff>134470</xdr:rowOff>
    </xdr:from>
    <xdr:to>
      <xdr:col>3</xdr:col>
      <xdr:colOff>1009996</xdr:colOff>
      <xdr:row>223</xdr:row>
      <xdr:rowOff>364143</xdr:rowOff>
    </xdr:to>
    <xdr:pic>
      <xdr:nvPicPr>
        <xdr:cNvPr id="415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3577" y="127791882"/>
          <a:ext cx="518160" cy="22967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454891</xdr:colOff>
      <xdr:row>220</xdr:row>
      <xdr:rowOff>150092</xdr:rowOff>
    </xdr:from>
    <xdr:to>
      <xdr:col>3</xdr:col>
      <xdr:colOff>973051</xdr:colOff>
      <xdr:row>220</xdr:row>
      <xdr:rowOff>393932</xdr:rowOff>
    </xdr:to>
    <xdr:pic>
      <xdr:nvPicPr>
        <xdr:cNvPr id="416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8618" y="114992728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876300</xdr:colOff>
      <xdr:row>70</xdr:row>
      <xdr:rowOff>198120</xdr:rowOff>
    </xdr:from>
    <xdr:ext cx="994486" cy="236220"/>
    <xdr:sp macro="" textlink="">
      <xdr:nvSpPr>
        <xdr:cNvPr id="32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592359" y="39993944"/>
          <a:ext cx="994486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twoCellAnchor>
    <xdr:from>
      <xdr:col>7</xdr:col>
      <xdr:colOff>422002</xdr:colOff>
      <xdr:row>116</xdr:row>
      <xdr:rowOff>50075</xdr:rowOff>
    </xdr:from>
    <xdr:to>
      <xdr:col>7</xdr:col>
      <xdr:colOff>940162</xdr:colOff>
      <xdr:row>116</xdr:row>
      <xdr:rowOff>301535</xdr:rowOff>
    </xdr:to>
    <xdr:pic>
      <xdr:nvPicPr>
        <xdr:cNvPr id="421" name="CheckBox49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502" y="74789575"/>
          <a:ext cx="518160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466165</xdr:colOff>
      <xdr:row>155</xdr:row>
      <xdr:rowOff>134471</xdr:rowOff>
    </xdr:from>
    <xdr:to>
      <xdr:col>8</xdr:col>
      <xdr:colOff>24205</xdr:colOff>
      <xdr:row>155</xdr:row>
      <xdr:rowOff>385931</xdr:rowOff>
    </xdr:to>
    <xdr:pic>
      <xdr:nvPicPr>
        <xdr:cNvPr id="336" name="CheckBox8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4753" y="88929883"/>
          <a:ext cx="508299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457200</xdr:colOff>
      <xdr:row>156</xdr:row>
      <xdr:rowOff>62753</xdr:rowOff>
    </xdr:from>
    <xdr:to>
      <xdr:col>8</xdr:col>
      <xdr:colOff>15240</xdr:colOff>
      <xdr:row>156</xdr:row>
      <xdr:rowOff>314213</xdr:rowOff>
    </xdr:to>
    <xdr:pic>
      <xdr:nvPicPr>
        <xdr:cNvPr id="357" name="CheckBox8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5788" y="89396047"/>
          <a:ext cx="508299" cy="2514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132356</xdr:colOff>
      <xdr:row>180</xdr:row>
      <xdr:rowOff>53681</xdr:rowOff>
    </xdr:from>
    <xdr:to>
      <xdr:col>8</xdr:col>
      <xdr:colOff>12677</xdr:colOff>
      <xdr:row>180</xdr:row>
      <xdr:rowOff>312082</xdr:rowOff>
    </xdr:to>
    <xdr:pic>
      <xdr:nvPicPr>
        <xdr:cNvPr id="412" name="CheckBox9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0944" y="100090834"/>
          <a:ext cx="830580" cy="25840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259976</xdr:colOff>
      <xdr:row>73</xdr:row>
      <xdr:rowOff>71717</xdr:rowOff>
    </xdr:from>
    <xdr:to>
      <xdr:col>7</xdr:col>
      <xdr:colOff>778136</xdr:colOff>
      <xdr:row>73</xdr:row>
      <xdr:rowOff>290659</xdr:rowOff>
    </xdr:to>
    <xdr:pic>
      <xdr:nvPicPr>
        <xdr:cNvPr id="424" name="CheckBox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1956" y="18283517"/>
          <a:ext cx="518160" cy="21894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407051</xdr:colOff>
      <xdr:row>93</xdr:row>
      <xdr:rowOff>142715</xdr:rowOff>
    </xdr:from>
    <xdr:to>
      <xdr:col>3</xdr:col>
      <xdr:colOff>925211</xdr:colOff>
      <xdr:row>93</xdr:row>
      <xdr:rowOff>401795</xdr:rowOff>
    </xdr:to>
    <xdr:pic>
      <xdr:nvPicPr>
        <xdr:cNvPr id="425" name="CheckBox2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8792" y="66436715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398087</xdr:colOff>
      <xdr:row>93</xdr:row>
      <xdr:rowOff>59343</xdr:rowOff>
    </xdr:from>
    <xdr:to>
      <xdr:col>3</xdr:col>
      <xdr:colOff>916247</xdr:colOff>
      <xdr:row>93</xdr:row>
      <xdr:rowOff>318423</xdr:rowOff>
    </xdr:to>
    <xdr:pic>
      <xdr:nvPicPr>
        <xdr:cNvPr id="426" name="CheckBox2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828" y="67169131"/>
          <a:ext cx="518160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442910</xdr:colOff>
      <xdr:row>100</xdr:row>
      <xdr:rowOff>83546</xdr:rowOff>
    </xdr:from>
    <xdr:to>
      <xdr:col>3</xdr:col>
      <xdr:colOff>1246093</xdr:colOff>
      <xdr:row>100</xdr:row>
      <xdr:rowOff>349623</xdr:rowOff>
    </xdr:to>
    <xdr:pic>
      <xdr:nvPicPr>
        <xdr:cNvPr id="427" name="CheckBox33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651" y="71729475"/>
          <a:ext cx="803183" cy="2660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152401</xdr:colOff>
      <xdr:row>174</xdr:row>
      <xdr:rowOff>89647</xdr:rowOff>
    </xdr:from>
    <xdr:to>
      <xdr:col>8</xdr:col>
      <xdr:colOff>24097</xdr:colOff>
      <xdr:row>174</xdr:row>
      <xdr:rowOff>348048</xdr:rowOff>
    </xdr:to>
    <xdr:pic>
      <xdr:nvPicPr>
        <xdr:cNvPr id="428" name="CheckBox97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0989" y="98082847"/>
          <a:ext cx="821955" cy="25840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242046</xdr:colOff>
      <xdr:row>174</xdr:row>
      <xdr:rowOff>17928</xdr:rowOff>
    </xdr:from>
    <xdr:to>
      <xdr:col>7</xdr:col>
      <xdr:colOff>905435</xdr:colOff>
      <xdr:row>180</xdr:row>
      <xdr:rowOff>331694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20634" y="98011128"/>
          <a:ext cx="663389" cy="2357719"/>
        </a:xfrm>
        <a:prstGeom prst="rect">
          <a:avLst/>
        </a:prstGeom>
      </xdr:spPr>
    </xdr:pic>
    <xdr:clientData/>
  </xdr:twoCellAnchor>
  <xdr:twoCellAnchor editAs="oneCell">
    <xdr:from>
      <xdr:col>7</xdr:col>
      <xdr:colOff>143435</xdr:colOff>
      <xdr:row>173</xdr:row>
      <xdr:rowOff>26894</xdr:rowOff>
    </xdr:from>
    <xdr:to>
      <xdr:col>7</xdr:col>
      <xdr:colOff>651734</xdr:colOff>
      <xdr:row>173</xdr:row>
      <xdr:rowOff>285974</xdr:rowOff>
    </xdr:to>
    <xdr:pic>
      <xdr:nvPicPr>
        <xdr:cNvPr id="429" name="CheckBox9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2023" y="97670470"/>
          <a:ext cx="508299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107577</xdr:colOff>
      <xdr:row>176</xdr:row>
      <xdr:rowOff>17929</xdr:rowOff>
    </xdr:from>
    <xdr:to>
      <xdr:col>7</xdr:col>
      <xdr:colOff>615876</xdr:colOff>
      <xdr:row>176</xdr:row>
      <xdr:rowOff>277009</xdr:rowOff>
    </xdr:to>
    <xdr:pic>
      <xdr:nvPicPr>
        <xdr:cNvPr id="430" name="CheckBox9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165" y="98782094"/>
          <a:ext cx="508299" cy="2590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179295</xdr:colOff>
      <xdr:row>221</xdr:row>
      <xdr:rowOff>152400</xdr:rowOff>
    </xdr:from>
    <xdr:to>
      <xdr:col>7</xdr:col>
      <xdr:colOff>697455</xdr:colOff>
      <xdr:row>221</xdr:row>
      <xdr:rowOff>396240</xdr:rowOff>
    </xdr:to>
    <xdr:pic>
      <xdr:nvPicPr>
        <xdr:cNvPr id="43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3" y="12678783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143435</xdr:colOff>
      <xdr:row>223</xdr:row>
      <xdr:rowOff>98612</xdr:rowOff>
    </xdr:from>
    <xdr:to>
      <xdr:col>7</xdr:col>
      <xdr:colOff>661595</xdr:colOff>
      <xdr:row>223</xdr:row>
      <xdr:rowOff>331694</xdr:rowOff>
    </xdr:to>
    <xdr:pic>
      <xdr:nvPicPr>
        <xdr:cNvPr id="43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2023" y="127756024"/>
          <a:ext cx="518160" cy="23308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518160</xdr:colOff>
      <xdr:row>239</xdr:row>
      <xdr:rowOff>243840</xdr:rowOff>
    </xdr:to>
    <xdr:pic>
      <xdr:nvPicPr>
        <xdr:cNvPr id="437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32166659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518160</xdr:colOff>
      <xdr:row>226</xdr:row>
      <xdr:rowOff>243840</xdr:rowOff>
    </xdr:to>
    <xdr:pic>
      <xdr:nvPicPr>
        <xdr:cNvPr id="438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28616635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518160</xdr:colOff>
      <xdr:row>227</xdr:row>
      <xdr:rowOff>243840</xdr:rowOff>
    </xdr:to>
    <xdr:pic>
      <xdr:nvPicPr>
        <xdr:cNvPr id="439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28867647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518160</xdr:colOff>
      <xdr:row>228</xdr:row>
      <xdr:rowOff>243840</xdr:rowOff>
    </xdr:to>
    <xdr:pic>
      <xdr:nvPicPr>
        <xdr:cNvPr id="440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29118659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518160</xdr:colOff>
      <xdr:row>229</xdr:row>
      <xdr:rowOff>243840</xdr:rowOff>
    </xdr:to>
    <xdr:pic>
      <xdr:nvPicPr>
        <xdr:cNvPr id="441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2936967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518160</xdr:colOff>
      <xdr:row>230</xdr:row>
      <xdr:rowOff>243840</xdr:rowOff>
    </xdr:to>
    <xdr:pic>
      <xdr:nvPicPr>
        <xdr:cNvPr id="444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29620682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518160</xdr:colOff>
      <xdr:row>231</xdr:row>
      <xdr:rowOff>243840</xdr:rowOff>
    </xdr:to>
    <xdr:pic>
      <xdr:nvPicPr>
        <xdr:cNvPr id="445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29871694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518160</xdr:colOff>
      <xdr:row>232</xdr:row>
      <xdr:rowOff>243840</xdr:rowOff>
    </xdr:to>
    <xdr:pic>
      <xdr:nvPicPr>
        <xdr:cNvPr id="446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30122706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518160</xdr:colOff>
      <xdr:row>234</xdr:row>
      <xdr:rowOff>28687</xdr:rowOff>
    </xdr:to>
    <xdr:pic>
      <xdr:nvPicPr>
        <xdr:cNvPr id="447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30373718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518160</xdr:colOff>
      <xdr:row>234</xdr:row>
      <xdr:rowOff>243840</xdr:rowOff>
    </xdr:to>
    <xdr:pic>
      <xdr:nvPicPr>
        <xdr:cNvPr id="448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88" y="130588871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457200</xdr:colOff>
      <xdr:row>221</xdr:row>
      <xdr:rowOff>170329</xdr:rowOff>
    </xdr:from>
    <xdr:to>
      <xdr:col>3</xdr:col>
      <xdr:colOff>975360</xdr:colOff>
      <xdr:row>221</xdr:row>
      <xdr:rowOff>414169</xdr:rowOff>
    </xdr:to>
    <xdr:pic>
      <xdr:nvPicPr>
        <xdr:cNvPr id="343" name="CheckBox62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8941" y="128706282"/>
          <a:ext cx="518160" cy="2438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876300</xdr:colOff>
      <xdr:row>69</xdr:row>
      <xdr:rowOff>198120</xdr:rowOff>
    </xdr:from>
    <xdr:ext cx="965243" cy="236220"/>
    <xdr:sp macro="" textlink="">
      <xdr:nvSpPr>
        <xdr:cNvPr id="344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17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20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31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3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3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3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4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43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49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0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1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3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4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7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8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59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0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1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3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4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7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8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69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70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71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7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73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26717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0</xdr:rowOff>
    </xdr:from>
    <xdr:ext cx="965243" cy="236220"/>
    <xdr:sp macro="" textlink="">
      <xdr:nvSpPr>
        <xdr:cNvPr id="474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37616802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198120</xdr:rowOff>
    </xdr:from>
    <xdr:ext cx="965243" cy="236220"/>
    <xdr:sp macro="" textlink="">
      <xdr:nvSpPr>
        <xdr:cNvPr id="47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1632991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70</xdr:row>
      <xdr:rowOff>198120</xdr:rowOff>
    </xdr:from>
    <xdr:ext cx="965243" cy="236220"/>
    <xdr:sp macro="" textlink="">
      <xdr:nvSpPr>
        <xdr:cNvPr id="47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1632991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71</xdr:row>
      <xdr:rowOff>198120</xdr:rowOff>
    </xdr:from>
    <xdr:ext cx="965243" cy="236220"/>
    <xdr:sp macro="" textlink="">
      <xdr:nvSpPr>
        <xdr:cNvPr id="477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1946755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71</xdr:row>
      <xdr:rowOff>198120</xdr:rowOff>
    </xdr:from>
    <xdr:ext cx="965243" cy="236220"/>
    <xdr:sp macro="" textlink="">
      <xdr:nvSpPr>
        <xdr:cNvPr id="478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1946755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79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0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1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3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4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7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8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89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0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1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2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3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4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5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6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7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oneCellAnchor>
    <xdr:from>
      <xdr:col>6</xdr:col>
      <xdr:colOff>876300</xdr:colOff>
      <xdr:row>72</xdr:row>
      <xdr:rowOff>0</xdr:rowOff>
    </xdr:from>
    <xdr:ext cx="965243" cy="236220"/>
    <xdr:sp macro="" textlink="">
      <xdr:nvSpPr>
        <xdr:cNvPr id="498" name="CheckBox2" hidden="1">
          <a:extLst>
            <a:ext uri="{63B3BB69-23CF-44E3-9099-C40C66FF867C}">
              <a14:compatExt xmlns:a14="http://schemas.microsoft.com/office/drawing/2010/main" spid="_x0000_s1305"/>
            </a:ext>
          </a:extLst>
        </xdr:cNvPr>
        <xdr:cNvSpPr/>
      </xdr:nvSpPr>
      <xdr:spPr bwMode="auto">
        <a:xfrm>
          <a:off x="7886700" y="43345249"/>
          <a:ext cx="965243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oneCellAnchor>
  <xdr:twoCellAnchor>
    <xdr:from>
      <xdr:col>7</xdr:col>
      <xdr:colOff>441960</xdr:colOff>
      <xdr:row>76</xdr:row>
      <xdr:rowOff>45720</xdr:rowOff>
    </xdr:from>
    <xdr:to>
      <xdr:col>7</xdr:col>
      <xdr:colOff>995082</xdr:colOff>
      <xdr:row>77</xdr:row>
      <xdr:rowOff>0</xdr:rowOff>
    </xdr:to>
    <xdr:sp macro="" textlink="">
      <xdr:nvSpPr>
        <xdr:cNvPr id="499" name="CheckBox3" hidden="1">
          <a:extLst>
            <a:ext uri="{63B3BB69-23CF-44E3-9099-C40C66FF867C}">
              <a14:compatExt xmlns:a14="http://schemas.microsoft.com/office/drawing/2010/main" spid="_x0000_s1306"/>
            </a:ext>
          </a:extLst>
        </xdr:cNvPr>
        <xdr:cNvSpPr/>
      </xdr:nvSpPr>
      <xdr:spPr bwMode="auto">
        <a:xfrm>
          <a:off x="8663940" y="18257520"/>
          <a:ext cx="507402" cy="2819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259976</xdr:colOff>
      <xdr:row>76</xdr:row>
      <xdr:rowOff>71717</xdr:rowOff>
    </xdr:from>
    <xdr:to>
      <xdr:col>7</xdr:col>
      <xdr:colOff>778136</xdr:colOff>
      <xdr:row>76</xdr:row>
      <xdr:rowOff>290659</xdr:rowOff>
    </xdr:to>
    <xdr:pic>
      <xdr:nvPicPr>
        <xdr:cNvPr id="500" name="CheckBox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1956" y="18283517"/>
          <a:ext cx="518160" cy="21894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78</xdr:row>
      <xdr:rowOff>60960</xdr:rowOff>
    </xdr:from>
    <xdr:to>
      <xdr:col>7</xdr:col>
      <xdr:colOff>960120</xdr:colOff>
      <xdr:row>78</xdr:row>
      <xdr:rowOff>266700</xdr:rowOff>
    </xdr:to>
    <xdr:sp macro="" textlink="">
      <xdr:nvSpPr>
        <xdr:cNvPr id="501" name="CheckBox7" hidden="1">
          <a:extLst>
            <a:ext uri="{63B3BB69-23CF-44E3-9099-C40C66FF867C}">
              <a14:compatExt xmlns:a14="http://schemas.microsoft.com/office/drawing/2010/main" spid="_x0000_s1310"/>
            </a:ext>
          </a:extLst>
        </xdr:cNvPr>
        <xdr:cNvSpPr/>
      </xdr:nvSpPr>
      <xdr:spPr bwMode="auto">
        <a:xfrm>
          <a:off x="8663940" y="19118580"/>
          <a:ext cx="510540" cy="2057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414746</xdr:colOff>
      <xdr:row>78</xdr:row>
      <xdr:rowOff>163647</xdr:rowOff>
    </xdr:from>
    <xdr:to>
      <xdr:col>7</xdr:col>
      <xdr:colOff>932906</xdr:colOff>
      <xdr:row>78</xdr:row>
      <xdr:rowOff>384627</xdr:rowOff>
    </xdr:to>
    <xdr:pic>
      <xdr:nvPicPr>
        <xdr:cNvPr id="502" name="CheckBox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726" y="19221267"/>
          <a:ext cx="518160" cy="1676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441960</xdr:colOff>
      <xdr:row>78</xdr:row>
      <xdr:rowOff>45720</xdr:rowOff>
    </xdr:from>
    <xdr:to>
      <xdr:col>7</xdr:col>
      <xdr:colOff>995082</xdr:colOff>
      <xdr:row>79</xdr:row>
      <xdr:rowOff>0</xdr:rowOff>
    </xdr:to>
    <xdr:sp macro="" textlink="">
      <xdr:nvSpPr>
        <xdr:cNvPr id="503" name="CheckBox3" hidden="1">
          <a:extLst>
            <a:ext uri="{63B3BB69-23CF-44E3-9099-C40C66FF867C}">
              <a14:compatExt xmlns:a14="http://schemas.microsoft.com/office/drawing/2010/main" spid="_x0000_s1306"/>
            </a:ext>
          </a:extLst>
        </xdr:cNvPr>
        <xdr:cNvSpPr/>
      </xdr:nvSpPr>
      <xdr:spPr bwMode="auto">
        <a:xfrm>
          <a:off x="8663940" y="19103340"/>
          <a:ext cx="507402" cy="2819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259976</xdr:colOff>
      <xdr:row>78</xdr:row>
      <xdr:rowOff>71717</xdr:rowOff>
    </xdr:from>
    <xdr:to>
      <xdr:col>7</xdr:col>
      <xdr:colOff>778136</xdr:colOff>
      <xdr:row>78</xdr:row>
      <xdr:rowOff>290659</xdr:rowOff>
    </xdr:to>
    <xdr:pic>
      <xdr:nvPicPr>
        <xdr:cNvPr id="504" name="CheckBox8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1956" y="19129337"/>
          <a:ext cx="518160" cy="21894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1737430</xdr:colOff>
      <xdr:row>1</xdr:row>
      <xdr:rowOff>0</xdr:rowOff>
    </xdr:from>
    <xdr:to>
      <xdr:col>6</xdr:col>
      <xdr:colOff>1314450</xdr:colOff>
      <xdr:row>6</xdr:row>
      <xdr:rowOff>0</xdr:rowOff>
    </xdr:to>
    <xdr:pic>
      <xdr:nvPicPr>
        <xdr:cNvPr id="2" name="Рисунок 2" descr="http://portal.gazprom-neft.local/Kb/Brands/CorporateBrand/DocLib1/Логотип/4_GPN_logo_rus_white-on-dark-blu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0780" y="171450"/>
          <a:ext cx="193922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6</xdr:row>
      <xdr:rowOff>42430</xdr:rowOff>
    </xdr:from>
    <xdr:to>
      <xdr:col>3</xdr:col>
      <xdr:colOff>145101</xdr:colOff>
      <xdr:row>7</xdr:row>
      <xdr:rowOff>204923</xdr:rowOff>
    </xdr:to>
    <xdr:pic>
      <xdr:nvPicPr>
        <xdr:cNvPr id="2" name="Рисунок 2" descr="http://portal.gazprom-neft.local/Kb/Brands/CorporateBrand/DocLib1/Логотип/4_GPN_logo_rus_white-on-dark-blu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9605"/>
          <a:ext cx="1097601" cy="610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uvashov.MN/Desktop/&#1044;&#1083;&#1103;%20&#1086;&#1079;&#1085;&#1072;&#1082;&#1086;&#1084;&#1083;&#1077;&#1085;&#1080;&#1103;%20&#1080;%20&#1088;&#1072;&#1073;&#1086;&#1090;&#1099;/&#1057;&#1090;&#1088;&#1072;&#1090;&#1077;&#1075;&#1080;&#1080;%20&#1080;%20&#1079;&#1072;&#1076;&#1072;&#1095;&#1080;%20&#1087;&#1086;&#1076;&#1088;&#1072;&#1079;&#1076;&#1077;&#1083;&#1077;&#1085;&#1080;&#1103;%20&#1087;&#1086;%20&#1058;&#1054;%20&#1080;%20&#1059;&#1087;&#1088;&#1072;&#1074;&#1083;&#1077;&#1085;&#1080;&#1102;%20&#1082;&#1072;&#1095;&#1077;&#1089;&#1090;&#1074;&#1072;/&#1042;%20&#1088;&#1072;&#1079;&#1088;&#1072;&#1073;&#1086;&#1090;&#1082;&#1077;/&#1058;&#1077;&#1093;&#1085;&#1080;&#1095;&#1077;&#1089;&#1082;&#1086;&#1077;%20&#1079;&#1072;&#1076;&#1072;&#1085;&#1080;&#1077;%20&#1069;&#1041;/&#1050;&#1086;&#1085;&#1089;&#1090;&#1088;&#1091;&#1082;&#1090;&#1086;&#1088;%20&#1058;&#1047;%20&#1087;&#1086;%20&#1069;&#1082;&#1089;&#1087;&#1083;&#1091;&#1072;&#1090;&#1072;&#1094;&#1080;&#1086;&#1085;&#1085;&#1086;&#1084;&#1091;%20&#1073;&#1091;&#1088;&#1077;&#1085;&#1080;&#11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СПОРТ ПРОЕКТА"/>
      <sheetName val="СРОКИ И БЮДЖЕТ"/>
      <sheetName val="ВЫГРУЗКА В ПОРТФЕЛЬ (АДМИН.)"/>
      <sheetName val="РасчетЗатрат-УП"/>
      <sheetName val="РасчетЗатрат-Архитектура"/>
      <sheetName val="Расчёт затрат БА"/>
      <sheetName val="Справочник"/>
      <sheetName val="Описание Критериев ранжирования"/>
      <sheetName val="Шаг2-Организационный объем"/>
    </sheetNames>
    <sheetDataSet>
      <sheetData sheetId="0">
        <row r="1">
          <cell r="N1" t="str">
            <v>Блок</v>
          </cell>
        </row>
      </sheetData>
      <sheetData sheetId="1">
        <row r="12">
          <cell r="D12">
            <v>0</v>
          </cell>
        </row>
      </sheetData>
      <sheetData sheetId="2"/>
      <sheetData sheetId="3"/>
      <sheetData sheetId="4"/>
      <sheetData sheetId="5"/>
      <sheetData sheetId="6">
        <row r="2">
          <cell r="A2" t="str">
            <v>01-БРД</v>
          </cell>
        </row>
        <row r="36">
          <cell r="AC36" t="str">
            <v>0- бизнес процесс (предмет автоматизации), четко регламентирован (есть действующий Стандарт) и действует без изменений более 5 лет, в рамках внедрения не надо менять бизнес процесс</v>
          </cell>
          <cell r="AD36">
            <v>0</v>
          </cell>
        </row>
        <row r="37">
          <cell r="AC37" t="str">
            <v>1 - бизнес процесс (предмет автоматизации), четко регламентирован (есть действующий Стандарт) и действует без изменений от 3 до 5 лет, в рамках внедрения не надо менять бизнес процесс</v>
          </cell>
          <cell r="AD37">
            <v>1</v>
          </cell>
        </row>
        <row r="38">
          <cell r="AC38" t="str">
            <v>2 - бизнес процесс (предмет автоматизации), четко регламентирован (есть действующий Стандарт) и действует без изменений от 1 до 3 лет, в рамках внедрения не надо менять бизнес процесс</v>
          </cell>
          <cell r="AD38">
            <v>2</v>
          </cell>
        </row>
        <row r="39">
          <cell r="AC39" t="str">
            <v>3- бизнес процесс (предмет автоматизации), четко регламентирован (есть действующий Стандарт) и действует без изменений менее 1 года, в рамках внедрения не надо менять бизнес процесс</v>
          </cell>
          <cell r="AD39">
            <v>3</v>
          </cell>
        </row>
        <row r="40">
          <cell r="AC40" t="str">
            <v>4- Бизнес процесс (предмет автоматизации), регламентирован (есть действующий Стандарт), но в рамках внедрения необходимо изменить бизнес процесс</v>
          </cell>
          <cell r="AD40">
            <v>4</v>
          </cell>
        </row>
        <row r="41">
          <cell r="AC41" t="str">
            <v>5- Бизнес процесс (предмет автоматизации), не регламентирован, в рамках внедрения необходимо изменить бизнес процесс</v>
          </cell>
          <cell r="AD41">
            <v>5</v>
          </cell>
        </row>
        <row r="43">
          <cell r="AC43" t="str">
            <v>1 - от 5 до 10 человек</v>
          </cell>
          <cell r="AD43">
            <v>1</v>
          </cell>
        </row>
        <row r="44">
          <cell r="AC44" t="str">
            <v>2 - от 10 до 20 человек</v>
          </cell>
          <cell r="AD44">
            <v>2</v>
          </cell>
        </row>
        <row r="45">
          <cell r="AC45" t="str">
            <v>3 - от 20 до 50 человек</v>
          </cell>
          <cell r="AD45">
            <v>3</v>
          </cell>
        </row>
        <row r="46">
          <cell r="AC46" t="str">
            <v>4 - от 50 до 100 человек</v>
          </cell>
          <cell r="AD46">
            <v>4</v>
          </cell>
        </row>
        <row r="47">
          <cell r="AC47" t="str">
            <v>5 – свыше 100 человек</v>
          </cell>
          <cell r="AD47">
            <v>5</v>
          </cell>
        </row>
        <row r="48">
          <cell r="AC48" t="str">
            <v>0-Используется стандартная архитектура</v>
          </cell>
          <cell r="AD48">
            <v>0</v>
          </cell>
        </row>
        <row r="49">
          <cell r="AC49" t="str">
            <v>1-Незначительные изменения в стандартной архитектуре</v>
          </cell>
          <cell r="AD49">
            <v>1</v>
          </cell>
        </row>
        <row r="50">
          <cell r="AC50" t="str">
            <v>2-Серьезные изменения в стандартной архитектуре</v>
          </cell>
          <cell r="AD50">
            <v>2</v>
          </cell>
        </row>
        <row r="51">
          <cell r="AC51" t="str">
            <v>3-Серьезные изменения в стандартной архитектуре</v>
          </cell>
          <cell r="AD51">
            <v>3</v>
          </cell>
        </row>
        <row r="56">
          <cell r="AC56" t="str">
            <v>0-Используются существующие системы и сервера</v>
          </cell>
          <cell r="AD56">
            <v>0</v>
          </cell>
        </row>
        <row r="57">
          <cell r="AC57" t="str">
            <v>1-Небольшие изменения существующей инфраструктуры</v>
          </cell>
          <cell r="AD57">
            <v>1</v>
          </cell>
        </row>
        <row r="58">
          <cell r="AC58" t="str">
            <v>2-Серьезные изменения инфраструктуры (оценка ДИТАТ)</v>
          </cell>
          <cell r="AD58">
            <v>2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Chuvashov.MN\Desktop\&#1044;&#1083;&#1103;%20&#1086;&#1079;&#1085;&#1072;&#1082;&#1086;&#1084;&#1083;&#1077;&#1085;&#1080;&#1103;%20&#1080;%20&#1088;&#1072;&#1073;&#1086;&#1090;&#1099;\&#1057;&#1090;&#1088;&#1072;&#1090;&#1077;&#1075;&#1080;&#1080;%20&#1080;%20&#1079;&#1072;&#1076;&#1072;&#1095;&#1080;%20&#1087;&#1086;&#1076;&#1088;&#1072;&#1079;&#1076;&#1077;&#1083;&#1077;&#1085;&#1080;&#1103;%20&#1087;&#1086;%20&#1058;&#1054;%20&#1080;%20&#1059;&#1087;&#1088;&#1072;&#1074;&#1083;&#1077;&#1085;&#1080;&#1102;%20&#1082;&#1072;&#1095;&#1077;&#1089;&#1090;&#1074;&#1072;\&#1042;%20&#1088;&#1072;&#1079;&#1088;&#1072;&#1073;&#1086;&#1090;&#1082;&#1077;\07%20&#1058;&#1077;&#1093;&#1085;&#1080;&#1095;&#1077;&#1089;&#1082;&#1086;&#1077;%20&#1079;&#1072;&#1076;&#1072;&#1085;&#1080;&#1077;%20&#1069;&#1041;\&#1050;&#1086;&#1085;&#1089;&#1090;&#1088;&#1091;&#1082;&#1090;&#1086;&#1088;%20&#1058;&#1047;,%20&#1058;&#1054;%20&#1087;&#1086;%20&#1069;&#1041;_&#1074;3_150319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omments" Target="../comments1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5" tint="-0.249977111117893"/>
  </sheetPr>
  <dimension ref="A1:I72"/>
  <sheetViews>
    <sheetView view="pageBreakPreview" topLeftCell="A67" zoomScaleNormal="85" zoomScaleSheetLayoutView="100" workbookViewId="0">
      <selection activeCell="C33" sqref="C33"/>
    </sheetView>
  </sheetViews>
  <sheetFormatPr defaultRowHeight="15" x14ac:dyDescent="0.25"/>
  <cols>
    <col min="1" max="1" width="3.140625" style="106" customWidth="1"/>
    <col min="2" max="2" width="21.42578125" customWidth="1"/>
    <col min="3" max="3" width="84.42578125" customWidth="1"/>
    <col min="4" max="8" width="9.140625" customWidth="1"/>
  </cols>
  <sheetData>
    <row r="1" spans="2:9" s="106" customFormat="1" ht="15.75" thickBot="1" x14ac:dyDescent="0.3"/>
    <row r="2" spans="2:9" ht="256.5" customHeight="1" thickBot="1" x14ac:dyDescent="0.3">
      <c r="B2" s="327" t="s">
        <v>331</v>
      </c>
      <c r="C2" s="328"/>
    </row>
    <row r="3" spans="2:9" ht="24.95" customHeight="1" thickBot="1" x14ac:dyDescent="0.3">
      <c r="B3" s="323" t="s">
        <v>286</v>
      </c>
      <c r="C3" s="324"/>
    </row>
    <row r="4" spans="2:9" ht="24.95" customHeight="1" x14ac:dyDescent="0.25">
      <c r="B4" s="325" t="s">
        <v>287</v>
      </c>
      <c r="C4" s="99" t="s">
        <v>582</v>
      </c>
      <c r="E4" s="113"/>
      <c r="F4" s="113"/>
      <c r="G4" s="113"/>
      <c r="H4" s="113"/>
      <c r="I4" s="113"/>
    </row>
    <row r="5" spans="2:9" ht="24.95" customHeight="1" thickBot="1" x14ac:dyDescent="0.3">
      <c r="B5" s="326"/>
      <c r="C5" s="100" t="s">
        <v>323</v>
      </c>
      <c r="E5" s="113" t="s">
        <v>330</v>
      </c>
      <c r="F5" s="113"/>
      <c r="G5" s="113">
        <v>0</v>
      </c>
      <c r="H5" s="113"/>
      <c r="I5" s="113"/>
    </row>
    <row r="6" spans="2:9" ht="24.95" customHeight="1" x14ac:dyDescent="0.25">
      <c r="B6" s="320" t="s">
        <v>288</v>
      </c>
      <c r="C6" s="101" t="s">
        <v>289</v>
      </c>
      <c r="E6" s="113" t="s">
        <v>325</v>
      </c>
      <c r="F6" s="113"/>
      <c r="G6" s="113">
        <v>10</v>
      </c>
      <c r="H6" s="113">
        <v>10</v>
      </c>
      <c r="I6" s="113"/>
    </row>
    <row r="7" spans="2:9" ht="24.95" customHeight="1" x14ac:dyDescent="0.25">
      <c r="B7" s="321"/>
      <c r="C7" s="101" t="s">
        <v>290</v>
      </c>
      <c r="E7" s="113" t="s">
        <v>326</v>
      </c>
      <c r="F7" s="113"/>
      <c r="G7" s="113">
        <f>H6+H7</f>
        <v>15</v>
      </c>
      <c r="H7" s="113">
        <v>5</v>
      </c>
      <c r="I7" s="113"/>
    </row>
    <row r="8" spans="2:9" ht="24.95" customHeight="1" x14ac:dyDescent="0.25">
      <c r="B8" s="321"/>
      <c r="C8" s="101" t="s">
        <v>291</v>
      </c>
      <c r="E8" s="113" t="s">
        <v>327</v>
      </c>
      <c r="F8" s="113"/>
      <c r="G8" s="113">
        <f>G7+H7</f>
        <v>20</v>
      </c>
      <c r="H8" s="113">
        <v>7</v>
      </c>
      <c r="I8" s="113"/>
    </row>
    <row r="9" spans="2:9" ht="24.95" customHeight="1" x14ac:dyDescent="0.25">
      <c r="B9" s="321"/>
      <c r="C9" s="101" t="s">
        <v>290</v>
      </c>
      <c r="E9" s="113" t="s">
        <v>328</v>
      </c>
      <c r="F9" s="113"/>
      <c r="G9" s="113">
        <f>G8+H8</f>
        <v>27</v>
      </c>
      <c r="H9" s="113">
        <v>1</v>
      </c>
      <c r="I9" s="113"/>
    </row>
    <row r="10" spans="2:9" ht="24.95" customHeight="1" x14ac:dyDescent="0.25">
      <c r="B10" s="321"/>
      <c r="C10" s="101" t="s">
        <v>324</v>
      </c>
      <c r="E10" s="113" t="s">
        <v>329</v>
      </c>
      <c r="F10" s="113"/>
      <c r="G10" s="113">
        <f>G9+H10</f>
        <v>28</v>
      </c>
      <c r="H10" s="113">
        <v>1</v>
      </c>
      <c r="I10" s="113"/>
    </row>
    <row r="11" spans="2:9" ht="24.95" customHeight="1" x14ac:dyDescent="0.25">
      <c r="B11" s="321"/>
      <c r="C11" s="101" t="s">
        <v>290</v>
      </c>
      <c r="E11" s="113" t="s">
        <v>394</v>
      </c>
      <c r="F11" s="113"/>
      <c r="G11" s="113">
        <f>G10+H11</f>
        <v>30</v>
      </c>
      <c r="H11" s="113">
        <v>2</v>
      </c>
      <c r="I11" s="113"/>
    </row>
    <row r="12" spans="2:9" ht="24.95" customHeight="1" thickBot="1" x14ac:dyDescent="0.3">
      <c r="B12" s="322"/>
      <c r="C12" s="102" t="s">
        <v>337</v>
      </c>
      <c r="E12" s="113"/>
      <c r="F12" s="113"/>
      <c r="G12" s="113"/>
      <c r="H12" s="113"/>
      <c r="I12" s="113"/>
    </row>
    <row r="13" spans="2:9" ht="24.95" customHeight="1" x14ac:dyDescent="0.25">
      <c r="B13" s="320" t="s">
        <v>292</v>
      </c>
      <c r="C13" s="101" t="s">
        <v>293</v>
      </c>
      <c r="E13" s="113"/>
      <c r="F13" s="113"/>
      <c r="G13" s="113"/>
      <c r="H13" s="113"/>
      <c r="I13" s="113"/>
    </row>
    <row r="14" spans="2:9" ht="24.95" customHeight="1" x14ac:dyDescent="0.25">
      <c r="B14" s="321"/>
      <c r="C14" s="101" t="s">
        <v>294</v>
      </c>
      <c r="E14" s="113"/>
      <c r="F14" s="113"/>
      <c r="G14" s="113"/>
      <c r="H14" s="113"/>
      <c r="I14" s="113"/>
    </row>
    <row r="15" spans="2:9" ht="24.95" customHeight="1" thickBot="1" x14ac:dyDescent="0.3">
      <c r="B15" s="322"/>
      <c r="C15" s="102" t="s">
        <v>295</v>
      </c>
    </row>
    <row r="16" spans="2:9" ht="24.95" customHeight="1" x14ac:dyDescent="0.25">
      <c r="B16" s="320" t="s">
        <v>296</v>
      </c>
      <c r="C16" s="101" t="s">
        <v>564</v>
      </c>
    </row>
    <row r="17" spans="2:3" ht="24.95" customHeight="1" thickBot="1" x14ac:dyDescent="0.3">
      <c r="B17" s="322"/>
      <c r="C17" s="103" t="s">
        <v>563</v>
      </c>
    </row>
    <row r="18" spans="2:3" ht="24.95" customHeight="1" thickBot="1" x14ac:dyDescent="0.3">
      <c r="B18" s="104" t="s">
        <v>297</v>
      </c>
      <c r="C18" s="102" t="s">
        <v>565</v>
      </c>
    </row>
    <row r="19" spans="2:3" ht="24.95" customHeight="1" thickBot="1" x14ac:dyDescent="0.3">
      <c r="B19" s="104" t="s">
        <v>298</v>
      </c>
      <c r="C19" s="102" t="s">
        <v>299</v>
      </c>
    </row>
    <row r="20" spans="2:3" ht="24.95" customHeight="1" thickBot="1" x14ac:dyDescent="0.3">
      <c r="B20" s="104" t="s">
        <v>300</v>
      </c>
      <c r="C20" s="102" t="s">
        <v>301</v>
      </c>
    </row>
    <row r="21" spans="2:3" ht="24.95" customHeight="1" thickBot="1" x14ac:dyDescent="0.3">
      <c r="B21" s="114" t="s">
        <v>338</v>
      </c>
      <c r="C21" s="115" t="s">
        <v>339</v>
      </c>
    </row>
    <row r="22" spans="2:3" ht="24.95" customHeight="1" thickBot="1" x14ac:dyDescent="0.3">
      <c r="B22" s="333" t="s">
        <v>340</v>
      </c>
      <c r="C22" s="102" t="s">
        <v>341</v>
      </c>
    </row>
    <row r="23" spans="2:3" ht="24.95" customHeight="1" thickBot="1" x14ac:dyDescent="0.3">
      <c r="B23" s="334"/>
      <c r="C23" s="102" t="s">
        <v>342</v>
      </c>
    </row>
    <row r="24" spans="2:3" ht="24.95" customHeight="1" thickBot="1" x14ac:dyDescent="0.3">
      <c r="B24" s="334"/>
      <c r="C24" s="102" t="s">
        <v>343</v>
      </c>
    </row>
    <row r="25" spans="2:3" ht="39" customHeight="1" thickBot="1" x14ac:dyDescent="0.3">
      <c r="B25" s="335"/>
      <c r="C25" s="102" t="s">
        <v>353</v>
      </c>
    </row>
    <row r="26" spans="2:3" ht="39" customHeight="1" thickBot="1" x14ac:dyDescent="0.3">
      <c r="B26" s="333" t="s">
        <v>344</v>
      </c>
      <c r="C26" s="102" t="s">
        <v>345</v>
      </c>
    </row>
    <row r="27" spans="2:3" ht="24.95" customHeight="1" thickBot="1" x14ac:dyDescent="0.3">
      <c r="B27" s="335"/>
      <c r="C27" s="102" t="s">
        <v>346</v>
      </c>
    </row>
    <row r="28" spans="2:3" ht="24.95" customHeight="1" thickBot="1" x14ac:dyDescent="0.3">
      <c r="B28" s="333" t="s">
        <v>347</v>
      </c>
      <c r="C28" s="102" t="s">
        <v>348</v>
      </c>
    </row>
    <row r="29" spans="2:3" ht="24.95" customHeight="1" thickBot="1" x14ac:dyDescent="0.3">
      <c r="B29" s="334"/>
      <c r="C29" s="102" t="s">
        <v>349</v>
      </c>
    </row>
    <row r="30" spans="2:3" ht="24.95" customHeight="1" thickBot="1" x14ac:dyDescent="0.3">
      <c r="B30" s="334"/>
      <c r="C30" s="102" t="s">
        <v>350</v>
      </c>
    </row>
    <row r="31" spans="2:3" ht="24.95" customHeight="1" thickBot="1" x14ac:dyDescent="0.3">
      <c r="B31" s="334"/>
      <c r="C31" s="102" t="s">
        <v>351</v>
      </c>
    </row>
    <row r="32" spans="2:3" ht="24.95" customHeight="1" thickBot="1" x14ac:dyDescent="0.3">
      <c r="B32" s="335"/>
      <c r="C32" s="102" t="s">
        <v>354</v>
      </c>
    </row>
    <row r="33" spans="2:3" ht="24.95" customHeight="1" thickBot="1" x14ac:dyDescent="0.3">
      <c r="B33" s="112" t="s">
        <v>352</v>
      </c>
      <c r="C33" s="102" t="s">
        <v>355</v>
      </c>
    </row>
    <row r="34" spans="2:3" ht="24.95" customHeight="1" x14ac:dyDescent="0.25">
      <c r="B34" s="329"/>
      <c r="C34" s="330"/>
    </row>
    <row r="35" spans="2:3" ht="120" customHeight="1" thickBot="1" x14ac:dyDescent="0.3">
      <c r="B35" s="331"/>
      <c r="C35" s="332"/>
    </row>
    <row r="36" spans="2:3" ht="24.95" customHeight="1" thickBot="1" x14ac:dyDescent="0.3">
      <c r="B36" s="112" t="s">
        <v>297</v>
      </c>
      <c r="C36" s="102" t="s">
        <v>566</v>
      </c>
    </row>
    <row r="37" spans="2:3" ht="25.5" customHeight="1" thickBot="1" x14ac:dyDescent="0.3">
      <c r="B37" s="112" t="s">
        <v>300</v>
      </c>
      <c r="C37" s="102" t="s">
        <v>303</v>
      </c>
    </row>
    <row r="38" spans="2:3" ht="24.95" customHeight="1" thickBot="1" x14ac:dyDescent="0.3">
      <c r="B38" s="318" t="s">
        <v>304</v>
      </c>
      <c r="C38" s="319"/>
    </row>
    <row r="39" spans="2:3" ht="24.95" customHeight="1" thickBot="1" x14ac:dyDescent="0.3">
      <c r="B39" s="105" t="s">
        <v>287</v>
      </c>
      <c r="C39" s="132" t="s">
        <v>567</v>
      </c>
    </row>
    <row r="40" spans="2:3" ht="24.95" customHeight="1" thickBot="1" x14ac:dyDescent="0.3">
      <c r="B40" s="104" t="s">
        <v>292</v>
      </c>
      <c r="C40" s="102" t="s">
        <v>568</v>
      </c>
    </row>
    <row r="41" spans="2:3" ht="24.95" customHeight="1" x14ac:dyDescent="0.25">
      <c r="B41" s="320" t="s">
        <v>296</v>
      </c>
      <c r="C41" s="101" t="s">
        <v>569</v>
      </c>
    </row>
    <row r="42" spans="2:3" ht="24.95" customHeight="1" x14ac:dyDescent="0.25">
      <c r="B42" s="321"/>
      <c r="C42" s="101" t="s">
        <v>305</v>
      </c>
    </row>
    <row r="43" spans="2:3" ht="24.95" customHeight="1" thickBot="1" x14ac:dyDescent="0.3">
      <c r="B43" s="322"/>
      <c r="C43" s="102" t="s">
        <v>586</v>
      </c>
    </row>
    <row r="44" spans="2:3" ht="24.95" customHeight="1" x14ac:dyDescent="0.25">
      <c r="B44" s="320" t="s">
        <v>297</v>
      </c>
      <c r="C44" s="101" t="s">
        <v>570</v>
      </c>
    </row>
    <row r="45" spans="2:3" ht="24.95" customHeight="1" thickBot="1" x14ac:dyDescent="0.3">
      <c r="B45" s="322"/>
      <c r="C45" s="102" t="s">
        <v>306</v>
      </c>
    </row>
    <row r="46" spans="2:3" ht="24.95" customHeight="1" x14ac:dyDescent="0.25">
      <c r="B46" s="320" t="s">
        <v>298</v>
      </c>
      <c r="C46" s="101" t="s">
        <v>307</v>
      </c>
    </row>
    <row r="47" spans="2:3" ht="24.95" customHeight="1" x14ac:dyDescent="0.25">
      <c r="B47" s="321"/>
      <c r="C47" s="101" t="s">
        <v>302</v>
      </c>
    </row>
    <row r="48" spans="2:3" ht="24.95" customHeight="1" thickBot="1" x14ac:dyDescent="0.3">
      <c r="B48" s="322"/>
      <c r="C48" s="102" t="s">
        <v>308</v>
      </c>
    </row>
    <row r="49" spans="2:3" ht="24.95" customHeight="1" thickBot="1" x14ac:dyDescent="0.3">
      <c r="B49" s="104" t="s">
        <v>300</v>
      </c>
      <c r="C49" s="102" t="s">
        <v>309</v>
      </c>
    </row>
    <row r="50" spans="2:3" ht="24.95" customHeight="1" thickBot="1" x14ac:dyDescent="0.3">
      <c r="B50" s="318" t="s">
        <v>310</v>
      </c>
      <c r="C50" s="319"/>
    </row>
    <row r="51" spans="2:3" ht="24.95" customHeight="1" x14ac:dyDescent="0.25">
      <c r="B51" s="325" t="s">
        <v>287</v>
      </c>
      <c r="C51" s="99" t="s">
        <v>311</v>
      </c>
    </row>
    <row r="52" spans="2:3" ht="24.95" customHeight="1" thickBot="1" x14ac:dyDescent="0.3">
      <c r="B52" s="326"/>
      <c r="C52" s="100" t="s">
        <v>312</v>
      </c>
    </row>
    <row r="53" spans="2:3" ht="24.95" customHeight="1" thickBot="1" x14ac:dyDescent="0.3">
      <c r="B53" s="104" t="s">
        <v>288</v>
      </c>
      <c r="C53" s="102" t="s">
        <v>313</v>
      </c>
    </row>
    <row r="54" spans="2:3" ht="24.95" customHeight="1" thickBot="1" x14ac:dyDescent="0.3">
      <c r="B54" s="104" t="s">
        <v>292</v>
      </c>
      <c r="C54" s="102" t="s">
        <v>314</v>
      </c>
    </row>
    <row r="55" spans="2:3" ht="24.95" customHeight="1" x14ac:dyDescent="0.25">
      <c r="B55" s="320" t="s">
        <v>296</v>
      </c>
      <c r="C55" s="101" t="s">
        <v>315</v>
      </c>
    </row>
    <row r="56" spans="2:3" ht="35.25" customHeight="1" thickBot="1" x14ac:dyDescent="0.3">
      <c r="B56" s="322"/>
      <c r="C56" s="102" t="s">
        <v>585</v>
      </c>
    </row>
    <row r="57" spans="2:3" ht="24.95" customHeight="1" thickBot="1" x14ac:dyDescent="0.3">
      <c r="B57" s="104" t="s">
        <v>297</v>
      </c>
      <c r="C57" s="102" t="s">
        <v>316</v>
      </c>
    </row>
    <row r="58" spans="2:3" ht="24.95" customHeight="1" thickBot="1" x14ac:dyDescent="0.3">
      <c r="B58" s="104" t="s">
        <v>300</v>
      </c>
      <c r="C58" s="102" t="s">
        <v>317</v>
      </c>
    </row>
    <row r="59" spans="2:3" ht="24.95" customHeight="1" thickBot="1" x14ac:dyDescent="0.3">
      <c r="B59" s="318" t="s">
        <v>318</v>
      </c>
      <c r="C59" s="319"/>
    </row>
    <row r="60" spans="2:3" ht="24.95" customHeight="1" thickBot="1" x14ac:dyDescent="0.3">
      <c r="B60" s="105" t="s">
        <v>287</v>
      </c>
      <c r="C60" s="100" t="s">
        <v>319</v>
      </c>
    </row>
    <row r="61" spans="2:3" ht="24.95" customHeight="1" thickBot="1" x14ac:dyDescent="0.3">
      <c r="B61" s="104" t="s">
        <v>292</v>
      </c>
      <c r="C61" s="102" t="s">
        <v>316</v>
      </c>
    </row>
    <row r="62" spans="2:3" ht="24.95" customHeight="1" thickBot="1" x14ac:dyDescent="0.3">
      <c r="B62" s="104" t="s">
        <v>296</v>
      </c>
      <c r="C62" s="103" t="s">
        <v>320</v>
      </c>
    </row>
    <row r="63" spans="2:3" ht="24.95" customHeight="1" thickBot="1" x14ac:dyDescent="0.3">
      <c r="B63" s="104" t="s">
        <v>297</v>
      </c>
      <c r="C63" s="102" t="s">
        <v>321</v>
      </c>
    </row>
    <row r="64" spans="2:3" ht="30" customHeight="1" thickBot="1" x14ac:dyDescent="0.3">
      <c r="B64" s="104" t="s">
        <v>298</v>
      </c>
      <c r="C64" s="102" t="s">
        <v>322</v>
      </c>
    </row>
    <row r="65" spans="2:3" ht="24.95" customHeight="1" thickBot="1" x14ac:dyDescent="0.3">
      <c r="B65" s="104" t="s">
        <v>300</v>
      </c>
      <c r="C65" s="102" t="s">
        <v>317</v>
      </c>
    </row>
    <row r="66" spans="2:3" ht="39.6" customHeight="1" thickBot="1" x14ac:dyDescent="0.3">
      <c r="B66" s="318" t="s">
        <v>393</v>
      </c>
      <c r="C66" s="319"/>
    </row>
    <row r="67" spans="2:3" ht="30" customHeight="1" thickBot="1" x14ac:dyDescent="0.3">
      <c r="B67" s="105" t="s">
        <v>287</v>
      </c>
      <c r="C67" s="100" t="s">
        <v>395</v>
      </c>
    </row>
    <row r="68" spans="2:3" ht="30" customHeight="1" thickBot="1" x14ac:dyDescent="0.3">
      <c r="B68" s="104" t="s">
        <v>292</v>
      </c>
      <c r="C68" s="102" t="s">
        <v>316</v>
      </c>
    </row>
    <row r="69" spans="2:3" ht="30" customHeight="1" thickBot="1" x14ac:dyDescent="0.3">
      <c r="B69" s="104" t="s">
        <v>296</v>
      </c>
      <c r="C69" s="103" t="s">
        <v>320</v>
      </c>
    </row>
    <row r="70" spans="2:3" ht="30" customHeight="1" thickBot="1" x14ac:dyDescent="0.3">
      <c r="B70" s="104" t="s">
        <v>297</v>
      </c>
      <c r="C70" s="102" t="s">
        <v>335</v>
      </c>
    </row>
    <row r="71" spans="2:3" ht="30" customHeight="1" thickBot="1" x14ac:dyDescent="0.3">
      <c r="B71" s="104" t="s">
        <v>298</v>
      </c>
      <c r="C71" s="102" t="s">
        <v>396</v>
      </c>
    </row>
    <row r="72" spans="2:3" ht="30" customHeight="1" thickBot="1" x14ac:dyDescent="0.3">
      <c r="B72" s="104" t="s">
        <v>300</v>
      </c>
      <c r="C72" s="102" t="s">
        <v>336</v>
      </c>
    </row>
  </sheetData>
  <mergeCells count="19">
    <mergeCell ref="B2:C2"/>
    <mergeCell ref="B34:C35"/>
    <mergeCell ref="B22:B25"/>
    <mergeCell ref="B28:B32"/>
    <mergeCell ref="B26:B27"/>
    <mergeCell ref="B66:C66"/>
    <mergeCell ref="B38:C38"/>
    <mergeCell ref="B41:B43"/>
    <mergeCell ref="B44:B45"/>
    <mergeCell ref="B3:C3"/>
    <mergeCell ref="B4:B5"/>
    <mergeCell ref="B6:B12"/>
    <mergeCell ref="B13:B15"/>
    <mergeCell ref="B16:B17"/>
    <mergeCell ref="B46:B48"/>
    <mergeCell ref="B50:C50"/>
    <mergeCell ref="B51:B52"/>
    <mergeCell ref="B55:B56"/>
    <mergeCell ref="B59:C59"/>
  </mergeCells>
  <pageMargins left="0.7" right="0.7" top="0.75" bottom="0.75" header="0.3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  <pageSetUpPr fitToPage="1"/>
  </sheetPr>
  <dimension ref="A1:Q117"/>
  <sheetViews>
    <sheetView view="pageBreakPreview" zoomScale="80" zoomScaleNormal="70" zoomScaleSheetLayoutView="80" zoomScalePageLayoutView="85" workbookViewId="0">
      <pane ySplit="1" topLeftCell="A98" activePane="bottomLeft" state="frozen"/>
      <selection activeCell="E34" sqref="E34:E36"/>
      <selection pane="bottomLeft" activeCell="H13" sqref="H13"/>
    </sheetView>
  </sheetViews>
  <sheetFormatPr defaultColWidth="9.140625" defaultRowHeight="14.25" x14ac:dyDescent="0.2"/>
  <cols>
    <col min="1" max="1" width="4" style="173" customWidth="1"/>
    <col min="2" max="2" width="5.42578125" style="21" customWidth="1"/>
    <col min="3" max="3" width="70.140625" style="17" customWidth="1"/>
    <col min="4" max="6" width="28.140625" style="18" customWidth="1"/>
    <col min="7" max="7" width="21.7109375" style="18" customWidth="1"/>
    <col min="8" max="8" width="52.140625" style="19" customWidth="1"/>
    <col min="9" max="17" width="9.140625" style="10" hidden="1" customWidth="1"/>
    <col min="18" max="22" width="9.140625" style="10" customWidth="1"/>
    <col min="23" max="16384" width="9.140625" style="10"/>
  </cols>
  <sheetData>
    <row r="1" spans="1:16" s="73" customFormat="1" x14ac:dyDescent="0.2">
      <c r="A1" s="173"/>
      <c r="B1" s="74"/>
      <c r="C1" s="75"/>
      <c r="D1" s="76"/>
      <c r="E1" s="76"/>
      <c r="F1" s="76"/>
      <c r="G1" s="76"/>
      <c r="H1" s="77"/>
      <c r="I1" s="77"/>
      <c r="J1" s="77"/>
      <c r="K1" s="77"/>
      <c r="L1" s="77"/>
      <c r="M1" s="77"/>
      <c r="N1" s="77"/>
      <c r="O1" s="77"/>
      <c r="P1" s="77"/>
    </row>
    <row r="2" spans="1:16" s="11" customFormat="1" ht="27.75" customHeight="1" x14ac:dyDescent="0.25">
      <c r="A2" s="174"/>
      <c r="B2" s="344" t="s">
        <v>112</v>
      </c>
      <c r="C2" s="344"/>
      <c r="D2" s="344"/>
      <c r="E2" s="344"/>
      <c r="F2" s="344"/>
      <c r="G2" s="344"/>
      <c r="H2" s="344"/>
    </row>
    <row r="3" spans="1:16" s="11" customFormat="1" ht="27" customHeight="1" x14ac:dyDescent="0.25">
      <c r="A3" s="174"/>
      <c r="B3" s="345" t="s">
        <v>113</v>
      </c>
      <c r="C3" s="345"/>
      <c r="D3" s="345"/>
      <c r="E3" s="345"/>
      <c r="F3" s="345"/>
      <c r="G3" s="345"/>
      <c r="H3" s="345"/>
    </row>
    <row r="4" spans="1:16" s="11" customFormat="1" ht="16.5" customHeight="1" x14ac:dyDescent="0.25">
      <c r="A4" s="174"/>
      <c r="B4" s="354"/>
      <c r="C4" s="354"/>
      <c r="D4" s="354"/>
      <c r="E4" s="354"/>
      <c r="F4" s="354"/>
      <c r="G4" s="354"/>
      <c r="H4" s="354"/>
    </row>
    <row r="5" spans="1:16" s="11" customFormat="1" ht="40.5" customHeight="1" x14ac:dyDescent="0.25">
      <c r="A5" s="174"/>
      <c r="B5" s="346" t="s">
        <v>246</v>
      </c>
      <c r="C5" s="346"/>
      <c r="D5" s="346"/>
      <c r="E5" s="346"/>
      <c r="F5" s="346"/>
      <c r="G5" s="346"/>
      <c r="H5" s="346"/>
      <c r="I5" s="11" t="s">
        <v>584</v>
      </c>
    </row>
    <row r="6" spans="1:16" s="11" customFormat="1" ht="21.75" customHeight="1" x14ac:dyDescent="0.25">
      <c r="A6" s="174"/>
      <c r="B6" s="356" t="s">
        <v>114</v>
      </c>
      <c r="C6" s="356"/>
      <c r="D6" s="356"/>
      <c r="E6" s="356"/>
      <c r="F6" s="356"/>
      <c r="G6" s="356"/>
      <c r="H6" s="356"/>
      <c r="I6" s="92" t="s">
        <v>195</v>
      </c>
    </row>
    <row r="7" spans="1:16" s="11" customFormat="1" ht="23.25" customHeight="1" x14ac:dyDescent="0.25">
      <c r="A7" s="174"/>
      <c r="B7" s="355" t="s">
        <v>115</v>
      </c>
      <c r="C7" s="355"/>
      <c r="D7" s="355"/>
      <c r="E7" s="355"/>
      <c r="F7" s="355"/>
      <c r="G7" s="355"/>
      <c r="H7" s="355"/>
      <c r="I7" s="11" t="s">
        <v>157</v>
      </c>
    </row>
    <row r="8" spans="1:16" s="11" customFormat="1" ht="18" customHeight="1" x14ac:dyDescent="0.25">
      <c r="A8" s="174"/>
      <c r="B8" s="342" t="s">
        <v>116</v>
      </c>
      <c r="C8" s="342"/>
      <c r="D8" s="342"/>
      <c r="E8" s="342"/>
      <c r="F8" s="342"/>
      <c r="G8" s="342"/>
      <c r="H8" s="342"/>
    </row>
    <row r="9" spans="1:16" s="11" customFormat="1" ht="18" customHeight="1" x14ac:dyDescent="0.25">
      <c r="A9" s="174"/>
      <c r="B9" s="343"/>
      <c r="C9" s="343"/>
      <c r="D9" s="343"/>
      <c r="E9" s="343"/>
      <c r="F9" s="343"/>
      <c r="G9" s="343"/>
      <c r="H9" s="343"/>
    </row>
    <row r="10" spans="1:16" s="12" customFormat="1" ht="70.5" customHeight="1" x14ac:dyDescent="0.25">
      <c r="A10" s="175"/>
      <c r="B10" s="118" t="s">
        <v>117</v>
      </c>
      <c r="C10" s="118" t="s">
        <v>118</v>
      </c>
      <c r="D10" s="118" t="s">
        <v>119</v>
      </c>
      <c r="E10" s="118" t="s">
        <v>120</v>
      </c>
      <c r="F10" s="118" t="s">
        <v>121</v>
      </c>
      <c r="G10" s="118" t="s">
        <v>122</v>
      </c>
      <c r="H10" s="140" t="s">
        <v>123</v>
      </c>
    </row>
    <row r="11" spans="1:16" s="12" customFormat="1" ht="16.5" x14ac:dyDescent="0.25">
      <c r="A11" s="175"/>
      <c r="B11" s="107" t="s">
        <v>124</v>
      </c>
      <c r="C11" s="107" t="s">
        <v>125</v>
      </c>
      <c r="D11" s="107" t="s">
        <v>126</v>
      </c>
      <c r="E11" s="107" t="s">
        <v>127</v>
      </c>
      <c r="F11" s="107" t="s">
        <v>128</v>
      </c>
      <c r="G11" s="107" t="s">
        <v>129</v>
      </c>
      <c r="H11" s="141" t="s">
        <v>130</v>
      </c>
      <c r="I11" s="146" t="s">
        <v>130</v>
      </c>
      <c r="J11" s="107" t="s">
        <v>129</v>
      </c>
      <c r="K11" s="107" t="s">
        <v>130</v>
      </c>
      <c r="L11" s="107" t="s">
        <v>129</v>
      </c>
      <c r="M11" s="107" t="s">
        <v>130</v>
      </c>
      <c r="N11" s="107" t="s">
        <v>129</v>
      </c>
      <c r="O11" s="107" t="s">
        <v>130</v>
      </c>
      <c r="P11" s="107" t="s">
        <v>129</v>
      </c>
    </row>
    <row r="12" spans="1:16" s="12" customFormat="1" ht="30" customHeight="1" x14ac:dyDescent="0.25">
      <c r="A12" s="175"/>
      <c r="B12" s="338" t="s">
        <v>131</v>
      </c>
      <c r="C12" s="339"/>
      <c r="D12" s="339"/>
      <c r="E12" s="339"/>
      <c r="F12" s="339"/>
      <c r="G12" s="339"/>
      <c r="H12" s="339"/>
    </row>
    <row r="13" spans="1:16" s="12" customFormat="1" ht="42" customHeight="1" x14ac:dyDescent="0.25">
      <c r="A13" s="175"/>
      <c r="B13" s="24">
        <v>1</v>
      </c>
      <c r="C13" s="25" t="s">
        <v>132</v>
      </c>
      <c r="D13" s="26" t="s">
        <v>133</v>
      </c>
      <c r="E13" s="26" t="s">
        <v>134</v>
      </c>
      <c r="F13" s="27" t="s">
        <v>195</v>
      </c>
      <c r="G13" s="27" t="s">
        <v>584</v>
      </c>
      <c r="H13" s="122" t="s">
        <v>135</v>
      </c>
    </row>
    <row r="14" spans="1:16" s="12" customFormat="1" ht="42" customHeight="1" x14ac:dyDescent="0.25">
      <c r="A14" s="175"/>
      <c r="B14" s="24">
        <v>2</v>
      </c>
      <c r="C14" s="25" t="s">
        <v>136</v>
      </c>
      <c r="D14" s="26" t="s">
        <v>133</v>
      </c>
      <c r="E14" s="26" t="s">
        <v>134</v>
      </c>
      <c r="F14" s="27" t="s">
        <v>195</v>
      </c>
      <c r="G14" s="27" t="s">
        <v>584</v>
      </c>
      <c r="H14" s="122" t="s">
        <v>135</v>
      </c>
    </row>
    <row r="15" spans="1:16" s="12" customFormat="1" ht="42" customHeight="1" x14ac:dyDescent="0.25">
      <c r="A15" s="175"/>
      <c r="B15" s="24">
        <v>3</v>
      </c>
      <c r="C15" s="28" t="s">
        <v>137</v>
      </c>
      <c r="D15" s="27" t="s">
        <v>138</v>
      </c>
      <c r="E15" s="27" t="s">
        <v>134</v>
      </c>
      <c r="F15" s="27" t="s">
        <v>195</v>
      </c>
      <c r="G15" s="27" t="s">
        <v>584</v>
      </c>
      <c r="H15" s="122" t="s">
        <v>140</v>
      </c>
    </row>
    <row r="16" spans="1:16" s="12" customFormat="1" ht="42" customHeight="1" x14ac:dyDescent="0.25">
      <c r="A16" s="175"/>
      <c r="B16" s="24">
        <v>4</v>
      </c>
      <c r="C16" s="133" t="s">
        <v>576</v>
      </c>
      <c r="D16" s="27" t="s">
        <v>138</v>
      </c>
      <c r="E16" s="27" t="s">
        <v>134</v>
      </c>
      <c r="F16" s="27" t="s">
        <v>195</v>
      </c>
      <c r="G16" s="27" t="s">
        <v>584</v>
      </c>
      <c r="H16" s="122" t="s">
        <v>140</v>
      </c>
    </row>
    <row r="17" spans="1:8" s="12" customFormat="1" ht="26.25" customHeight="1" x14ac:dyDescent="0.25">
      <c r="A17" s="175"/>
      <c r="B17" s="340" t="s">
        <v>141</v>
      </c>
      <c r="C17" s="341"/>
      <c r="D17" s="341"/>
      <c r="E17" s="341"/>
      <c r="F17" s="341"/>
      <c r="G17" s="341"/>
      <c r="H17" s="341"/>
    </row>
    <row r="18" spans="1:8" s="12" customFormat="1" ht="65.25" customHeight="1" x14ac:dyDescent="0.25">
      <c r="A18" s="175"/>
      <c r="B18" s="29">
        <v>1</v>
      </c>
      <c r="C18" s="30" t="s">
        <v>577</v>
      </c>
      <c r="D18" s="26" t="s">
        <v>142</v>
      </c>
      <c r="E18" s="27" t="s">
        <v>143</v>
      </c>
      <c r="F18" s="26" t="s">
        <v>144</v>
      </c>
      <c r="G18" s="27" t="s">
        <v>584</v>
      </c>
      <c r="H18" s="142" t="s">
        <v>145</v>
      </c>
    </row>
    <row r="19" spans="1:8" s="12" customFormat="1" ht="65.25" customHeight="1" x14ac:dyDescent="0.25">
      <c r="A19" s="175"/>
      <c r="B19" s="29">
        <v>2</v>
      </c>
      <c r="C19" s="31" t="s">
        <v>146</v>
      </c>
      <c r="D19" s="26" t="s">
        <v>142</v>
      </c>
      <c r="E19" s="27" t="s">
        <v>143</v>
      </c>
      <c r="F19" s="26" t="s">
        <v>144</v>
      </c>
      <c r="G19" s="27" t="s">
        <v>584</v>
      </c>
      <c r="H19" s="143" t="s">
        <v>147</v>
      </c>
    </row>
    <row r="20" spans="1:8" s="12" customFormat="1" ht="65.25" customHeight="1" x14ac:dyDescent="0.25">
      <c r="A20" s="175"/>
      <c r="B20" s="29">
        <v>3</v>
      </c>
      <c r="C20" s="31" t="s">
        <v>148</v>
      </c>
      <c r="D20" s="26" t="s">
        <v>142</v>
      </c>
      <c r="E20" s="27" t="s">
        <v>143</v>
      </c>
      <c r="F20" s="26" t="s">
        <v>144</v>
      </c>
      <c r="G20" s="27" t="s">
        <v>584</v>
      </c>
      <c r="H20" s="143" t="s">
        <v>149</v>
      </c>
    </row>
    <row r="21" spans="1:8" s="12" customFormat="1" ht="65.25" customHeight="1" x14ac:dyDescent="0.25">
      <c r="A21" s="175"/>
      <c r="B21" s="29">
        <v>4</v>
      </c>
      <c r="C21" s="31" t="s">
        <v>150</v>
      </c>
      <c r="D21" s="26" t="s">
        <v>142</v>
      </c>
      <c r="E21" s="27" t="s">
        <v>143</v>
      </c>
      <c r="F21" s="26" t="s">
        <v>144</v>
      </c>
      <c r="G21" s="27" t="s">
        <v>584</v>
      </c>
      <c r="H21" s="143" t="s">
        <v>150</v>
      </c>
    </row>
    <row r="22" spans="1:8" s="12" customFormat="1" ht="65.25" customHeight="1" x14ac:dyDescent="0.25">
      <c r="A22" s="175"/>
      <c r="B22" s="29">
        <v>5</v>
      </c>
      <c r="C22" s="31" t="s">
        <v>151</v>
      </c>
      <c r="D22" s="26" t="s">
        <v>142</v>
      </c>
      <c r="E22" s="27" t="s">
        <v>143</v>
      </c>
      <c r="F22" s="26" t="s">
        <v>144</v>
      </c>
      <c r="G22" s="27" t="s">
        <v>584</v>
      </c>
      <c r="H22" s="143" t="s">
        <v>152</v>
      </c>
    </row>
    <row r="23" spans="1:8" s="12" customFormat="1" ht="65.25" customHeight="1" x14ac:dyDescent="0.25">
      <c r="A23" s="175"/>
      <c r="B23" s="29">
        <v>6</v>
      </c>
      <c r="C23" s="31" t="s">
        <v>153</v>
      </c>
      <c r="D23" s="26" t="s">
        <v>142</v>
      </c>
      <c r="E23" s="27" t="s">
        <v>143</v>
      </c>
      <c r="F23" s="26" t="s">
        <v>144</v>
      </c>
      <c r="G23" s="27" t="s">
        <v>584</v>
      </c>
      <c r="H23" s="143" t="s">
        <v>154</v>
      </c>
    </row>
    <row r="24" spans="1:8" s="12" customFormat="1" ht="65.25" customHeight="1" x14ac:dyDescent="0.25">
      <c r="A24" s="175"/>
      <c r="B24" s="29">
        <v>7</v>
      </c>
      <c r="C24" s="33" t="s">
        <v>155</v>
      </c>
      <c r="D24" s="26" t="s">
        <v>156</v>
      </c>
      <c r="E24" s="27" t="s">
        <v>143</v>
      </c>
      <c r="F24" s="26" t="s">
        <v>157</v>
      </c>
      <c r="G24" s="27" t="s">
        <v>584</v>
      </c>
      <c r="H24" s="144" t="s">
        <v>158</v>
      </c>
    </row>
    <row r="25" spans="1:8" s="12" customFormat="1" ht="65.25" customHeight="1" x14ac:dyDescent="0.25">
      <c r="A25" s="175"/>
      <c r="B25" s="29">
        <v>8</v>
      </c>
      <c r="C25" s="33" t="s">
        <v>159</v>
      </c>
      <c r="D25" s="26" t="s">
        <v>156</v>
      </c>
      <c r="E25" s="27" t="s">
        <v>143</v>
      </c>
      <c r="F25" s="26" t="s">
        <v>157</v>
      </c>
      <c r="G25" s="27" t="s">
        <v>584</v>
      </c>
      <c r="H25" s="145" t="s">
        <v>160</v>
      </c>
    </row>
    <row r="26" spans="1:8" s="12" customFormat="1" ht="65.25" customHeight="1" x14ac:dyDescent="0.25">
      <c r="A26" s="175"/>
      <c r="B26" s="29">
        <v>9</v>
      </c>
      <c r="C26" s="34" t="s">
        <v>161</v>
      </c>
      <c r="D26" s="35" t="s">
        <v>162</v>
      </c>
      <c r="E26" s="27" t="s">
        <v>143</v>
      </c>
      <c r="F26" s="26" t="s">
        <v>163</v>
      </c>
      <c r="G26" s="27" t="s">
        <v>584</v>
      </c>
      <c r="H26" s="142" t="s">
        <v>164</v>
      </c>
    </row>
    <row r="27" spans="1:8" s="12" customFormat="1" ht="65.25" customHeight="1" x14ac:dyDescent="0.25">
      <c r="A27" s="175"/>
      <c r="B27" s="29">
        <v>10</v>
      </c>
      <c r="C27" s="34" t="s">
        <v>165</v>
      </c>
      <c r="D27" s="26" t="s">
        <v>166</v>
      </c>
      <c r="E27" s="27" t="s">
        <v>143</v>
      </c>
      <c r="F27" s="26" t="s">
        <v>157</v>
      </c>
      <c r="G27" s="27" t="s">
        <v>584</v>
      </c>
      <c r="H27" s="142" t="s">
        <v>167</v>
      </c>
    </row>
    <row r="28" spans="1:8" s="12" customFormat="1" ht="65.25" customHeight="1" x14ac:dyDescent="0.25">
      <c r="A28" s="175"/>
      <c r="B28" s="29">
        <v>11</v>
      </c>
      <c r="C28" s="36" t="s">
        <v>168</v>
      </c>
      <c r="D28" s="26" t="s">
        <v>142</v>
      </c>
      <c r="E28" s="27" t="s">
        <v>143</v>
      </c>
      <c r="F28" s="26" t="s">
        <v>163</v>
      </c>
      <c r="G28" s="27" t="s">
        <v>584</v>
      </c>
      <c r="H28" s="142" t="s">
        <v>169</v>
      </c>
    </row>
    <row r="29" spans="1:8" ht="24.75" customHeight="1" x14ac:dyDescent="0.2">
      <c r="B29" s="340" t="s">
        <v>170</v>
      </c>
      <c r="C29" s="341"/>
      <c r="D29" s="341"/>
      <c r="E29" s="341"/>
      <c r="F29" s="341"/>
      <c r="G29" s="341"/>
      <c r="H29" s="341"/>
    </row>
    <row r="30" spans="1:8" ht="42.75" customHeight="1" x14ac:dyDescent="0.2">
      <c r="B30" s="29">
        <v>1</v>
      </c>
      <c r="C30" s="37" t="s">
        <v>171</v>
      </c>
      <c r="D30" s="26" t="s">
        <v>172</v>
      </c>
      <c r="E30" s="27" t="s">
        <v>143</v>
      </c>
      <c r="F30" s="26" t="s">
        <v>163</v>
      </c>
      <c r="G30" s="27" t="s">
        <v>584</v>
      </c>
      <c r="H30" s="143" t="s">
        <v>147</v>
      </c>
    </row>
    <row r="31" spans="1:8" ht="42.75" customHeight="1" x14ac:dyDescent="0.2">
      <c r="B31" s="29">
        <v>2</v>
      </c>
      <c r="C31" s="38" t="s">
        <v>220</v>
      </c>
      <c r="D31" s="26" t="s">
        <v>172</v>
      </c>
      <c r="E31" s="27" t="s">
        <v>143</v>
      </c>
      <c r="F31" s="26" t="s">
        <v>163</v>
      </c>
      <c r="G31" s="27" t="s">
        <v>584</v>
      </c>
      <c r="H31" s="143" t="s">
        <v>221</v>
      </c>
    </row>
    <row r="32" spans="1:8" ht="42.75" customHeight="1" x14ac:dyDescent="0.2">
      <c r="B32" s="29">
        <v>3</v>
      </c>
      <c r="C32" s="38" t="s">
        <v>222</v>
      </c>
      <c r="D32" s="26" t="s">
        <v>172</v>
      </c>
      <c r="E32" s="27" t="s">
        <v>143</v>
      </c>
      <c r="F32" s="26" t="s">
        <v>163</v>
      </c>
      <c r="G32" s="27" t="s">
        <v>584</v>
      </c>
      <c r="H32" s="143" t="s">
        <v>223</v>
      </c>
    </row>
    <row r="33" spans="2:8" ht="42.75" customHeight="1" x14ac:dyDescent="0.2">
      <c r="B33" s="29">
        <v>4</v>
      </c>
      <c r="C33" s="38" t="s">
        <v>224</v>
      </c>
      <c r="D33" s="26" t="s">
        <v>172</v>
      </c>
      <c r="E33" s="27" t="s">
        <v>143</v>
      </c>
      <c r="F33" s="26" t="s">
        <v>163</v>
      </c>
      <c r="G33" s="27" t="s">
        <v>584</v>
      </c>
      <c r="H33" s="143" t="s">
        <v>225</v>
      </c>
    </row>
    <row r="34" spans="2:8" ht="42.75" customHeight="1" x14ac:dyDescent="0.2">
      <c r="B34" s="29">
        <v>5</v>
      </c>
      <c r="C34" s="37" t="s">
        <v>226</v>
      </c>
      <c r="D34" s="26" t="s">
        <v>172</v>
      </c>
      <c r="E34" s="27" t="s">
        <v>143</v>
      </c>
      <c r="F34" s="26" t="s">
        <v>163</v>
      </c>
      <c r="G34" s="27" t="s">
        <v>584</v>
      </c>
      <c r="H34" s="143" t="s">
        <v>227</v>
      </c>
    </row>
    <row r="35" spans="2:8" ht="42.75" customHeight="1" x14ac:dyDescent="0.2">
      <c r="B35" s="29">
        <v>6</v>
      </c>
      <c r="C35" s="38" t="s">
        <v>228</v>
      </c>
      <c r="D35" s="26" t="s">
        <v>172</v>
      </c>
      <c r="E35" s="27" t="s">
        <v>143</v>
      </c>
      <c r="F35" s="26" t="s">
        <v>163</v>
      </c>
      <c r="G35" s="27" t="s">
        <v>584</v>
      </c>
      <c r="H35" s="143" t="s">
        <v>221</v>
      </c>
    </row>
    <row r="36" spans="2:8" ht="42.75" customHeight="1" x14ac:dyDescent="0.2">
      <c r="B36" s="29">
        <v>7</v>
      </c>
      <c r="C36" s="38" t="s">
        <v>229</v>
      </c>
      <c r="D36" s="26" t="s">
        <v>172</v>
      </c>
      <c r="E36" s="27" t="s">
        <v>143</v>
      </c>
      <c r="F36" s="26" t="s">
        <v>163</v>
      </c>
      <c r="G36" s="27" t="s">
        <v>584</v>
      </c>
      <c r="H36" s="143" t="s">
        <v>223</v>
      </c>
    </row>
    <row r="37" spans="2:8" ht="42.75" customHeight="1" x14ac:dyDescent="0.2">
      <c r="B37" s="29">
        <v>8</v>
      </c>
      <c r="C37" s="38" t="s">
        <v>230</v>
      </c>
      <c r="D37" s="26" t="s">
        <v>172</v>
      </c>
      <c r="E37" s="27" t="s">
        <v>143</v>
      </c>
      <c r="F37" s="26" t="s">
        <v>163</v>
      </c>
      <c r="G37" s="27" t="s">
        <v>584</v>
      </c>
      <c r="H37" s="143" t="s">
        <v>225</v>
      </c>
    </row>
    <row r="38" spans="2:8" ht="42.75" customHeight="1" x14ac:dyDescent="0.2">
      <c r="B38" s="29">
        <v>9</v>
      </c>
      <c r="C38" s="37" t="s">
        <v>231</v>
      </c>
      <c r="D38" s="26" t="s">
        <v>172</v>
      </c>
      <c r="E38" s="27" t="s">
        <v>143</v>
      </c>
      <c r="F38" s="26" t="s">
        <v>163</v>
      </c>
      <c r="G38" s="27" t="s">
        <v>584</v>
      </c>
      <c r="H38" s="143" t="s">
        <v>227</v>
      </c>
    </row>
    <row r="39" spans="2:8" ht="42.75" customHeight="1" x14ac:dyDescent="0.2">
      <c r="B39" s="29">
        <v>10</v>
      </c>
      <c r="C39" s="39" t="s">
        <v>232</v>
      </c>
      <c r="D39" s="26" t="s">
        <v>172</v>
      </c>
      <c r="E39" s="27" t="s">
        <v>143</v>
      </c>
      <c r="F39" s="26" t="s">
        <v>163</v>
      </c>
      <c r="G39" s="27" t="s">
        <v>584</v>
      </c>
      <c r="H39" s="143" t="s">
        <v>233</v>
      </c>
    </row>
    <row r="40" spans="2:8" ht="62.25" customHeight="1" x14ac:dyDescent="0.2">
      <c r="B40" s="29">
        <v>11</v>
      </c>
      <c r="C40" s="39" t="s">
        <v>234</v>
      </c>
      <c r="D40" s="26" t="s">
        <v>172</v>
      </c>
      <c r="E40" s="27" t="s">
        <v>143</v>
      </c>
      <c r="F40" s="26" t="s">
        <v>163</v>
      </c>
      <c r="G40" s="27" t="s">
        <v>584</v>
      </c>
      <c r="H40" s="143" t="s">
        <v>235</v>
      </c>
    </row>
    <row r="41" spans="2:8" ht="62.25" customHeight="1" x14ac:dyDescent="0.2">
      <c r="B41" s="29">
        <v>12</v>
      </c>
      <c r="C41" s="39" t="s">
        <v>236</v>
      </c>
      <c r="D41" s="26" t="s">
        <v>172</v>
      </c>
      <c r="E41" s="27" t="s">
        <v>143</v>
      </c>
      <c r="F41" s="26" t="s">
        <v>163</v>
      </c>
      <c r="G41" s="27" t="s">
        <v>584</v>
      </c>
      <c r="H41" s="143" t="s">
        <v>237</v>
      </c>
    </row>
    <row r="42" spans="2:8" ht="62.25" customHeight="1" x14ac:dyDescent="0.2">
      <c r="B42" s="29">
        <v>13</v>
      </c>
      <c r="C42" s="39" t="s">
        <v>238</v>
      </c>
      <c r="D42" s="26" t="s">
        <v>172</v>
      </c>
      <c r="E42" s="27" t="s">
        <v>143</v>
      </c>
      <c r="F42" s="26" t="s">
        <v>163</v>
      </c>
      <c r="G42" s="27" t="s">
        <v>584</v>
      </c>
      <c r="H42" s="143" t="s">
        <v>239</v>
      </c>
    </row>
    <row r="43" spans="2:8" ht="62.25" customHeight="1" x14ac:dyDescent="0.2">
      <c r="B43" s="29">
        <v>14</v>
      </c>
      <c r="C43" s="40" t="s">
        <v>240</v>
      </c>
      <c r="D43" s="26" t="s">
        <v>172</v>
      </c>
      <c r="E43" s="27" t="s">
        <v>143</v>
      </c>
      <c r="F43" s="26" t="s">
        <v>163</v>
      </c>
      <c r="G43" s="27" t="s">
        <v>584</v>
      </c>
      <c r="H43" s="143" t="s">
        <v>241</v>
      </c>
    </row>
    <row r="44" spans="2:8" ht="62.25" customHeight="1" x14ac:dyDescent="0.2">
      <c r="B44" s="29">
        <v>15</v>
      </c>
      <c r="C44" s="40" t="s">
        <v>242</v>
      </c>
      <c r="D44" s="26" t="s">
        <v>172</v>
      </c>
      <c r="E44" s="27" t="s">
        <v>143</v>
      </c>
      <c r="F44" s="26" t="s">
        <v>163</v>
      </c>
      <c r="G44" s="27" t="s">
        <v>584</v>
      </c>
      <c r="H44" s="143" t="s">
        <v>235</v>
      </c>
    </row>
    <row r="45" spans="2:8" ht="62.25" customHeight="1" x14ac:dyDescent="0.2">
      <c r="B45" s="29">
        <v>16</v>
      </c>
      <c r="C45" s="40" t="s">
        <v>243</v>
      </c>
      <c r="D45" s="26" t="s">
        <v>172</v>
      </c>
      <c r="E45" s="27" t="s">
        <v>143</v>
      </c>
      <c r="F45" s="26" t="s">
        <v>163</v>
      </c>
      <c r="G45" s="27" t="s">
        <v>584</v>
      </c>
      <c r="H45" s="143" t="s">
        <v>237</v>
      </c>
    </row>
    <row r="46" spans="2:8" ht="62.25" customHeight="1" x14ac:dyDescent="0.2">
      <c r="B46" s="29">
        <v>17</v>
      </c>
      <c r="C46" s="40" t="s">
        <v>244</v>
      </c>
      <c r="D46" s="26" t="s">
        <v>172</v>
      </c>
      <c r="E46" s="27" t="s">
        <v>143</v>
      </c>
      <c r="F46" s="26" t="s">
        <v>163</v>
      </c>
      <c r="G46" s="27" t="s">
        <v>584</v>
      </c>
      <c r="H46" s="143" t="s">
        <v>239</v>
      </c>
    </row>
    <row r="47" spans="2:8" ht="62.25" customHeight="1" x14ac:dyDescent="0.2">
      <c r="B47" s="29">
        <v>18</v>
      </c>
      <c r="C47" s="40" t="s">
        <v>173</v>
      </c>
      <c r="D47" s="26" t="s">
        <v>172</v>
      </c>
      <c r="E47" s="27" t="s">
        <v>143</v>
      </c>
      <c r="F47" s="26" t="s">
        <v>163</v>
      </c>
      <c r="G47" s="27" t="s">
        <v>584</v>
      </c>
      <c r="H47" s="143" t="s">
        <v>174</v>
      </c>
    </row>
    <row r="48" spans="2:8" ht="62.25" customHeight="1" x14ac:dyDescent="0.2">
      <c r="B48" s="29">
        <v>19</v>
      </c>
      <c r="C48" s="40" t="s">
        <v>175</v>
      </c>
      <c r="D48" s="26" t="s">
        <v>172</v>
      </c>
      <c r="E48" s="27" t="s">
        <v>143</v>
      </c>
      <c r="F48" s="26" t="s">
        <v>163</v>
      </c>
      <c r="G48" s="27" t="s">
        <v>584</v>
      </c>
      <c r="H48" s="143" t="s">
        <v>174</v>
      </c>
    </row>
    <row r="49" spans="1:13" s="9" customFormat="1" ht="24" customHeight="1" x14ac:dyDescent="0.2">
      <c r="A49" s="176"/>
      <c r="B49" s="340" t="s">
        <v>176</v>
      </c>
      <c r="C49" s="341"/>
      <c r="D49" s="341"/>
      <c r="E49" s="341"/>
      <c r="F49" s="341"/>
      <c r="G49" s="341"/>
      <c r="H49" s="341"/>
    </row>
    <row r="50" spans="1:13" s="9" customFormat="1" ht="48" customHeight="1" x14ac:dyDescent="0.2">
      <c r="A50" s="176"/>
      <c r="B50" s="29">
        <v>1</v>
      </c>
      <c r="C50" s="136" t="s">
        <v>177</v>
      </c>
      <c r="D50" s="137" t="s">
        <v>178</v>
      </c>
      <c r="E50" s="27" t="s">
        <v>143</v>
      </c>
      <c r="F50" s="41" t="s">
        <v>163</v>
      </c>
      <c r="G50" s="27" t="s">
        <v>584</v>
      </c>
      <c r="H50" s="142" t="s">
        <v>581</v>
      </c>
    </row>
    <row r="51" spans="1:13" s="9" customFormat="1" ht="129.75" customHeight="1" x14ac:dyDescent="0.2">
      <c r="A51" s="176"/>
      <c r="B51" s="29">
        <v>2</v>
      </c>
      <c r="C51" s="136" t="s">
        <v>179</v>
      </c>
      <c r="D51" s="138" t="s">
        <v>180</v>
      </c>
      <c r="E51" s="27" t="s">
        <v>143</v>
      </c>
      <c r="F51" s="41" t="s">
        <v>163</v>
      </c>
      <c r="G51" s="27" t="s">
        <v>584</v>
      </c>
      <c r="H51" s="143" t="s">
        <v>174</v>
      </c>
    </row>
    <row r="52" spans="1:13" s="9" customFormat="1" ht="20.25" customHeight="1" x14ac:dyDescent="0.2">
      <c r="A52" s="176"/>
      <c r="B52" s="340" t="s">
        <v>405</v>
      </c>
      <c r="C52" s="341"/>
      <c r="D52" s="341"/>
      <c r="E52" s="341"/>
      <c r="F52" s="341"/>
      <c r="G52" s="341"/>
      <c r="H52" s="341"/>
    </row>
    <row r="53" spans="1:13" s="9" customFormat="1" ht="20.25" customHeight="1" x14ac:dyDescent="0.2">
      <c r="A53" s="176"/>
      <c r="B53" s="27"/>
      <c r="C53" s="36"/>
      <c r="D53" s="27"/>
      <c r="E53" s="26"/>
      <c r="F53" s="41"/>
      <c r="G53" s="27" t="s">
        <v>584</v>
      </c>
      <c r="H53" s="122"/>
    </row>
    <row r="54" spans="1:13" s="9" customFormat="1" ht="20.25" customHeight="1" x14ac:dyDescent="0.2">
      <c r="A54" s="176"/>
      <c r="B54" s="340" t="s">
        <v>406</v>
      </c>
      <c r="C54" s="341"/>
      <c r="D54" s="341"/>
      <c r="E54" s="341"/>
      <c r="F54" s="341"/>
      <c r="G54" s="341"/>
      <c r="H54" s="341"/>
    </row>
    <row r="55" spans="1:13" s="14" customFormat="1" ht="15.75" customHeight="1" x14ac:dyDescent="0.2">
      <c r="A55" s="177"/>
      <c r="B55" s="340" t="s">
        <v>404</v>
      </c>
      <c r="C55" s="341"/>
      <c r="D55" s="341"/>
      <c r="E55" s="341"/>
      <c r="F55" s="341"/>
      <c r="G55" s="341"/>
      <c r="H55" s="341"/>
      <c r="I55" s="13"/>
    </row>
    <row r="56" spans="1:13" s="15" customFormat="1" ht="15.75" customHeight="1" x14ac:dyDescent="0.2">
      <c r="A56" s="177"/>
      <c r="B56" s="340" t="s">
        <v>401</v>
      </c>
      <c r="C56" s="341"/>
      <c r="D56" s="341"/>
      <c r="E56" s="341"/>
      <c r="F56" s="341"/>
      <c r="G56" s="341"/>
      <c r="H56" s="341"/>
    </row>
    <row r="57" spans="1:13" s="16" customFormat="1" ht="32.25" customHeight="1" x14ac:dyDescent="0.2">
      <c r="A57" s="176"/>
      <c r="B57" s="27">
        <v>1</v>
      </c>
      <c r="C57" s="36" t="s">
        <v>181</v>
      </c>
      <c r="D57" s="27" t="s">
        <v>182</v>
      </c>
      <c r="E57" s="26" t="s">
        <v>143</v>
      </c>
      <c r="F57" s="41" t="s">
        <v>163</v>
      </c>
      <c r="G57" s="27" t="s">
        <v>584</v>
      </c>
      <c r="H57" s="122" t="s">
        <v>581</v>
      </c>
      <c r="I57" s="126"/>
      <c r="J57" s="126"/>
      <c r="K57" s="126"/>
      <c r="L57" s="126"/>
      <c r="M57" s="126"/>
    </row>
    <row r="58" spans="1:13" s="16" customFormat="1" ht="32.25" customHeight="1" x14ac:dyDescent="0.2">
      <c r="A58" s="176"/>
      <c r="B58" s="27">
        <v>2</v>
      </c>
      <c r="C58" s="36" t="s">
        <v>183</v>
      </c>
      <c r="D58" s="27" t="s">
        <v>184</v>
      </c>
      <c r="E58" s="26" t="s">
        <v>143</v>
      </c>
      <c r="F58" s="41" t="s">
        <v>163</v>
      </c>
      <c r="G58" s="27" t="s">
        <v>584</v>
      </c>
      <c r="H58" s="122" t="s">
        <v>174</v>
      </c>
      <c r="I58" s="126"/>
      <c r="J58" s="126"/>
      <c r="K58" s="126"/>
      <c r="L58" s="126"/>
      <c r="M58" s="126"/>
    </row>
    <row r="59" spans="1:13" s="16" customFormat="1" ht="32.25" customHeight="1" x14ac:dyDescent="0.2">
      <c r="A59" s="176"/>
      <c r="B59" s="27">
        <v>4</v>
      </c>
      <c r="C59" s="36" t="s">
        <v>185</v>
      </c>
      <c r="D59" s="27" t="s">
        <v>182</v>
      </c>
      <c r="E59" s="26" t="s">
        <v>143</v>
      </c>
      <c r="F59" s="41" t="s">
        <v>163</v>
      </c>
      <c r="G59" s="27" t="s">
        <v>584</v>
      </c>
      <c r="H59" s="122" t="s">
        <v>186</v>
      </c>
      <c r="I59" s="126"/>
      <c r="J59" s="126"/>
      <c r="K59" s="126"/>
      <c r="L59" s="126"/>
      <c r="M59" s="126"/>
    </row>
    <row r="60" spans="1:13" ht="50.1" customHeight="1" x14ac:dyDescent="0.2">
      <c r="B60" s="27">
        <v>5</v>
      </c>
      <c r="C60" s="33" t="s">
        <v>187</v>
      </c>
      <c r="D60" s="42" t="s">
        <v>188</v>
      </c>
      <c r="E60" s="42" t="s">
        <v>139</v>
      </c>
      <c r="F60" s="137" t="str">
        <f>'02_Техническое Задание'!$C$82</f>
        <v>&lt;Выбирается из списка&gt;</v>
      </c>
      <c r="G60" s="27" t="s">
        <v>584</v>
      </c>
      <c r="H60" s="122" t="s">
        <v>189</v>
      </c>
      <c r="I60" s="117"/>
      <c r="J60" s="117"/>
      <c r="K60" s="117"/>
      <c r="L60" s="117"/>
      <c r="M60" s="117"/>
    </row>
    <row r="61" spans="1:13" ht="32.25" customHeight="1" x14ac:dyDescent="0.2">
      <c r="B61" s="27">
        <v>6</v>
      </c>
      <c r="C61" s="33" t="s">
        <v>190</v>
      </c>
      <c r="D61" s="26" t="s">
        <v>138</v>
      </c>
      <c r="E61" s="42" t="s">
        <v>139</v>
      </c>
      <c r="F61" s="32" t="s">
        <v>20</v>
      </c>
      <c r="G61" s="27" t="s">
        <v>584</v>
      </c>
      <c r="H61" s="122" t="s">
        <v>191</v>
      </c>
      <c r="I61" s="117"/>
      <c r="J61" s="117"/>
      <c r="K61" s="117"/>
      <c r="L61" s="117"/>
      <c r="M61" s="117"/>
    </row>
    <row r="62" spans="1:13" ht="32.25" customHeight="1" x14ac:dyDescent="0.2">
      <c r="B62" s="27">
        <v>7</v>
      </c>
      <c r="C62" s="40" t="s">
        <v>192</v>
      </c>
      <c r="D62" s="26" t="s">
        <v>193</v>
      </c>
      <c r="E62" s="26" t="s">
        <v>139</v>
      </c>
      <c r="F62" s="27" t="str">
        <f>'02_Техническое Задание'!$C$81</f>
        <v>&lt;Выбирается из списка&gt;</v>
      </c>
      <c r="G62" s="27" t="s">
        <v>584</v>
      </c>
      <c r="H62" s="122" t="s">
        <v>191</v>
      </c>
      <c r="I62" s="117"/>
      <c r="J62" s="117"/>
      <c r="K62" s="117"/>
      <c r="L62" s="117"/>
      <c r="M62" s="117"/>
    </row>
    <row r="63" spans="1:13" ht="66.75" customHeight="1" x14ac:dyDescent="0.2">
      <c r="B63" s="27">
        <v>8</v>
      </c>
      <c r="C63" s="40" t="s">
        <v>385</v>
      </c>
      <c r="D63" s="26" t="s">
        <v>138</v>
      </c>
      <c r="E63" s="26" t="s">
        <v>139</v>
      </c>
      <c r="F63" s="32" t="s">
        <v>20</v>
      </c>
      <c r="G63" s="27" t="s">
        <v>584</v>
      </c>
      <c r="H63" s="122" t="s">
        <v>571</v>
      </c>
      <c r="I63" s="348"/>
      <c r="J63" s="348"/>
      <c r="K63" s="348"/>
      <c r="L63" s="348"/>
      <c r="M63" s="348"/>
    </row>
    <row r="64" spans="1:13" s="9" customFormat="1" ht="71.25" customHeight="1" x14ac:dyDescent="0.2">
      <c r="A64" s="176"/>
      <c r="B64" s="27">
        <v>9</v>
      </c>
      <c r="C64" s="139" t="s">
        <v>194</v>
      </c>
      <c r="D64" s="43" t="s">
        <v>356</v>
      </c>
      <c r="E64" s="26" t="s">
        <v>139</v>
      </c>
      <c r="F64" s="44" t="s">
        <v>195</v>
      </c>
      <c r="G64" s="27" t="s">
        <v>584</v>
      </c>
      <c r="H64" s="125" t="s">
        <v>196</v>
      </c>
      <c r="I64" s="124"/>
      <c r="J64" s="124"/>
      <c r="K64" s="124"/>
      <c r="L64" s="124"/>
      <c r="M64" s="124"/>
    </row>
    <row r="65" spans="1:16" ht="32.25" customHeight="1" x14ac:dyDescent="0.2">
      <c r="B65" s="27">
        <v>11</v>
      </c>
      <c r="C65" s="40" t="s">
        <v>583</v>
      </c>
      <c r="D65" s="26" t="s">
        <v>138</v>
      </c>
      <c r="E65" s="26" t="s">
        <v>139</v>
      </c>
      <c r="F65" s="32" t="str">
        <f>'02_Техническое Задание'!$C$83</f>
        <v>&lt;Выбирается из списка&gt;</v>
      </c>
      <c r="G65" s="27" t="s">
        <v>584</v>
      </c>
      <c r="H65" s="122" t="s">
        <v>191</v>
      </c>
      <c r="I65" s="123"/>
      <c r="J65" s="116"/>
      <c r="K65" s="116"/>
      <c r="L65" s="116"/>
      <c r="M65" s="116"/>
    </row>
    <row r="66" spans="1:16" s="15" customFormat="1" ht="15.75" customHeight="1" x14ac:dyDescent="0.2">
      <c r="A66" s="177"/>
      <c r="B66" s="340" t="s">
        <v>402</v>
      </c>
      <c r="C66" s="341"/>
      <c r="D66" s="341"/>
      <c r="E66" s="341"/>
      <c r="F66" s="341"/>
      <c r="G66" s="341"/>
      <c r="H66" s="341"/>
    </row>
    <row r="67" spans="1:16" ht="46.5" customHeight="1" x14ac:dyDescent="0.2">
      <c r="B67" s="27">
        <v>1</v>
      </c>
      <c r="C67" s="40" t="s">
        <v>197</v>
      </c>
      <c r="D67" s="26" t="s">
        <v>138</v>
      </c>
      <c r="E67" s="26" t="s">
        <v>139</v>
      </c>
      <c r="F67" s="32" t="s">
        <v>20</v>
      </c>
      <c r="G67" s="27" t="s">
        <v>584</v>
      </c>
      <c r="H67" s="349" t="s">
        <v>198</v>
      </c>
    </row>
    <row r="68" spans="1:16" ht="46.5" customHeight="1" x14ac:dyDescent="0.2">
      <c r="B68" s="27">
        <v>2</v>
      </c>
      <c r="C68" s="40" t="s">
        <v>52</v>
      </c>
      <c r="D68" s="26" t="s">
        <v>199</v>
      </c>
      <c r="E68" s="26" t="s">
        <v>139</v>
      </c>
      <c r="F68" s="32">
        <f>'02_Техническое Задание'!$C$114</f>
        <v>1</v>
      </c>
      <c r="G68" s="27" t="s">
        <v>584</v>
      </c>
      <c r="H68" s="350"/>
    </row>
    <row r="69" spans="1:16" ht="46.5" customHeight="1" x14ac:dyDescent="0.2">
      <c r="B69" s="27">
        <v>3</v>
      </c>
      <c r="C69" s="40" t="s">
        <v>728</v>
      </c>
      <c r="D69" s="26" t="s">
        <v>138</v>
      </c>
      <c r="E69" s="26" t="s">
        <v>139</v>
      </c>
      <c r="F69" s="32" t="s">
        <v>20</v>
      </c>
      <c r="G69" s="27" t="s">
        <v>584</v>
      </c>
      <c r="H69" s="350"/>
    </row>
    <row r="70" spans="1:16" ht="42.75" customHeight="1" x14ac:dyDescent="0.2">
      <c r="B70" s="27">
        <v>4</v>
      </c>
      <c r="C70" s="36" t="s">
        <v>200</v>
      </c>
      <c r="D70" s="27" t="s">
        <v>387</v>
      </c>
      <c r="E70" s="27" t="s">
        <v>134</v>
      </c>
      <c r="F70" s="27" t="str">
        <f>'02_Техническое Задание'!$C$116</f>
        <v>менее 50 Атм</v>
      </c>
      <c r="G70" s="27" t="s">
        <v>584</v>
      </c>
      <c r="H70" s="350"/>
    </row>
    <row r="71" spans="1:16" ht="27.75" customHeight="1" x14ac:dyDescent="0.2">
      <c r="B71" s="27">
        <v>5</v>
      </c>
      <c r="C71" s="40" t="s">
        <v>201</v>
      </c>
      <c r="D71" s="26" t="s">
        <v>202</v>
      </c>
      <c r="E71" s="26" t="s">
        <v>139</v>
      </c>
      <c r="F71" s="27" t="str">
        <f>'02_Техническое Задание'!$C$115</f>
        <v>&lt;Указывается значение&gt;</v>
      </c>
      <c r="G71" s="27" t="s">
        <v>584</v>
      </c>
      <c r="H71" s="351"/>
    </row>
    <row r="72" spans="1:16" s="15" customFormat="1" ht="15.75" customHeight="1" x14ac:dyDescent="0.2">
      <c r="A72" s="177"/>
      <c r="B72" s="340" t="s">
        <v>403</v>
      </c>
      <c r="C72" s="341"/>
      <c r="D72" s="341"/>
      <c r="E72" s="341"/>
      <c r="F72" s="341"/>
      <c r="G72" s="341"/>
      <c r="H72" s="341"/>
    </row>
    <row r="73" spans="1:16" ht="28.5" customHeight="1" x14ac:dyDescent="0.2">
      <c r="B73" s="42">
        <v>1</v>
      </c>
      <c r="C73" s="40" t="s">
        <v>203</v>
      </c>
      <c r="D73" s="26" t="s">
        <v>138</v>
      </c>
      <c r="E73" s="26" t="s">
        <v>139</v>
      </c>
      <c r="F73" s="32" t="s">
        <v>20</v>
      </c>
      <c r="G73" s="27" t="s">
        <v>584</v>
      </c>
      <c r="H73" s="349" t="s">
        <v>204</v>
      </c>
    </row>
    <row r="74" spans="1:16" ht="28.5" customHeight="1" x14ac:dyDescent="0.2">
      <c r="B74" s="42">
        <v>2</v>
      </c>
      <c r="C74" s="36" t="s">
        <v>205</v>
      </c>
      <c r="D74" s="26" t="s">
        <v>206</v>
      </c>
      <c r="E74" s="26" t="s">
        <v>139</v>
      </c>
      <c r="F74" s="27" t="s">
        <v>207</v>
      </c>
      <c r="G74" s="27" t="s">
        <v>584</v>
      </c>
      <c r="H74" s="350"/>
    </row>
    <row r="75" spans="1:16" ht="28.5" customHeight="1" x14ac:dyDescent="0.2">
      <c r="B75" s="42">
        <v>3</v>
      </c>
      <c r="C75" s="36" t="s">
        <v>208</v>
      </c>
      <c r="D75" s="26" t="s">
        <v>138</v>
      </c>
      <c r="E75" s="26" t="s">
        <v>139</v>
      </c>
      <c r="F75" s="27" t="s">
        <v>20</v>
      </c>
      <c r="G75" s="27" t="s">
        <v>584</v>
      </c>
      <c r="H75" s="351"/>
    </row>
    <row r="76" spans="1:16" ht="28.5" customHeight="1" x14ac:dyDescent="0.2">
      <c r="B76" s="340" t="s">
        <v>407</v>
      </c>
      <c r="C76" s="341"/>
      <c r="D76" s="341"/>
      <c r="E76" s="341"/>
      <c r="F76" s="341"/>
      <c r="G76" s="341"/>
      <c r="H76" s="341"/>
    </row>
    <row r="77" spans="1:16" ht="28.5" customHeight="1" x14ac:dyDescent="0.2">
      <c r="B77" s="147">
        <v>1</v>
      </c>
      <c r="C77" s="148"/>
      <c r="D77" s="149"/>
      <c r="E77" s="149"/>
      <c r="F77" s="150"/>
      <c r="G77" s="155"/>
      <c r="H77" s="151"/>
      <c r="P77" s="95"/>
    </row>
    <row r="78" spans="1:16" ht="28.5" customHeight="1" x14ac:dyDescent="0.2">
      <c r="B78" s="340" t="s">
        <v>408</v>
      </c>
      <c r="C78" s="341"/>
      <c r="D78" s="341"/>
      <c r="E78" s="341"/>
      <c r="F78" s="341"/>
      <c r="G78" s="341"/>
      <c r="H78" s="341"/>
    </row>
    <row r="79" spans="1:16" ht="28.5" customHeight="1" x14ac:dyDescent="0.2">
      <c r="B79" s="27"/>
      <c r="C79" s="40"/>
      <c r="D79" s="26"/>
      <c r="E79" s="26"/>
      <c r="F79" s="32"/>
      <c r="G79" s="27" t="s">
        <v>584</v>
      </c>
      <c r="H79" s="122"/>
    </row>
    <row r="80" spans="1:16" ht="28.5" customHeight="1" x14ac:dyDescent="0.2">
      <c r="B80" s="340" t="s">
        <v>409</v>
      </c>
      <c r="C80" s="341"/>
      <c r="D80" s="341"/>
      <c r="E80" s="341"/>
      <c r="F80" s="341"/>
      <c r="G80" s="341"/>
      <c r="H80" s="341"/>
    </row>
    <row r="81" spans="1:8" ht="28.5" customHeight="1" x14ac:dyDescent="0.2">
      <c r="B81" s="27"/>
      <c r="C81" s="40"/>
      <c r="D81" s="26"/>
      <c r="E81" s="26"/>
      <c r="F81" s="32"/>
      <c r="G81" s="27" t="s">
        <v>584</v>
      </c>
      <c r="H81" s="122"/>
    </row>
    <row r="82" spans="1:8" ht="28.5" customHeight="1" x14ac:dyDescent="0.2">
      <c r="B82" s="340" t="s">
        <v>410</v>
      </c>
      <c r="C82" s="341"/>
      <c r="D82" s="341"/>
      <c r="E82" s="341"/>
      <c r="F82" s="341"/>
      <c r="G82" s="341"/>
      <c r="H82" s="341"/>
    </row>
    <row r="83" spans="1:8" ht="28.5" customHeight="1" x14ac:dyDescent="0.2">
      <c r="B83" s="340" t="s">
        <v>411</v>
      </c>
      <c r="C83" s="341"/>
      <c r="D83" s="341"/>
      <c r="E83" s="341"/>
      <c r="F83" s="341"/>
      <c r="G83" s="341"/>
      <c r="H83" s="341"/>
    </row>
    <row r="84" spans="1:8" ht="28.5" customHeight="1" x14ac:dyDescent="0.2">
      <c r="A84" s="172"/>
      <c r="B84" s="152">
        <v>1</v>
      </c>
      <c r="C84" s="153" t="s">
        <v>578</v>
      </c>
      <c r="D84" s="154" t="s">
        <v>138</v>
      </c>
      <c r="E84" s="154" t="s">
        <v>139</v>
      </c>
      <c r="F84" s="155" t="s">
        <v>20</v>
      </c>
      <c r="G84" s="155"/>
      <c r="H84" s="156" t="s">
        <v>579</v>
      </c>
    </row>
    <row r="85" spans="1:8" ht="28.5" customHeight="1" x14ac:dyDescent="0.2">
      <c r="B85" s="340" t="s">
        <v>412</v>
      </c>
      <c r="C85" s="341"/>
      <c r="D85" s="341"/>
      <c r="E85" s="341"/>
      <c r="F85" s="341"/>
      <c r="G85" s="341"/>
      <c r="H85" s="341"/>
    </row>
    <row r="86" spans="1:8" ht="28.5" customHeight="1" x14ac:dyDescent="0.2">
      <c r="A86" s="173" t="s">
        <v>601</v>
      </c>
      <c r="B86" s="147">
        <v>1</v>
      </c>
      <c r="C86" s="153" t="s">
        <v>26</v>
      </c>
      <c r="D86" s="26" t="s">
        <v>138</v>
      </c>
      <c r="E86" s="26" t="s">
        <v>139</v>
      </c>
      <c r="F86" s="32" t="s">
        <v>20</v>
      </c>
      <c r="G86" s="27" t="s">
        <v>584</v>
      </c>
      <c r="H86" s="156" t="s">
        <v>579</v>
      </c>
    </row>
    <row r="87" spans="1:8" ht="28.5" customHeight="1" x14ac:dyDescent="0.2">
      <c r="A87" s="173" t="s">
        <v>603</v>
      </c>
      <c r="B87" s="147">
        <v>2</v>
      </c>
      <c r="C87" s="153" t="s">
        <v>559</v>
      </c>
      <c r="D87" s="26" t="s">
        <v>138</v>
      </c>
      <c r="E87" s="26" t="s">
        <v>139</v>
      </c>
      <c r="F87" s="32" t="s">
        <v>20</v>
      </c>
      <c r="G87" s="27" t="s">
        <v>584</v>
      </c>
      <c r="H87" s="156" t="s">
        <v>579</v>
      </c>
    </row>
    <row r="88" spans="1:8" ht="28.5" customHeight="1" x14ac:dyDescent="0.2">
      <c r="A88" s="173" t="s">
        <v>604</v>
      </c>
      <c r="B88" s="147">
        <v>3</v>
      </c>
      <c r="C88" s="153" t="s">
        <v>25</v>
      </c>
      <c r="D88" s="26" t="s">
        <v>138</v>
      </c>
      <c r="E88" s="26" t="s">
        <v>139</v>
      </c>
      <c r="F88" s="32" t="s">
        <v>20</v>
      </c>
      <c r="G88" s="27" t="s">
        <v>584</v>
      </c>
      <c r="H88" s="156" t="s">
        <v>579</v>
      </c>
    </row>
    <row r="89" spans="1:8" ht="28.5" customHeight="1" x14ac:dyDescent="0.2">
      <c r="B89" s="147"/>
      <c r="C89" s="153"/>
      <c r="D89" s="154"/>
      <c r="E89" s="154"/>
      <c r="F89" s="155"/>
      <c r="G89" s="155"/>
      <c r="H89" s="156"/>
    </row>
    <row r="90" spans="1:8" ht="28.5" customHeight="1" x14ac:dyDescent="0.2">
      <c r="B90" s="336" t="s">
        <v>413</v>
      </c>
      <c r="C90" s="337"/>
      <c r="D90" s="337"/>
      <c r="E90" s="337"/>
      <c r="F90" s="337"/>
      <c r="G90" s="337"/>
      <c r="H90" s="337"/>
    </row>
    <row r="91" spans="1:8" ht="156" customHeight="1" x14ac:dyDescent="0.2">
      <c r="B91" s="45">
        <v>1</v>
      </c>
      <c r="C91" s="40" t="s">
        <v>213</v>
      </c>
      <c r="D91" s="26" t="s">
        <v>214</v>
      </c>
      <c r="E91" s="26" t="s">
        <v>212</v>
      </c>
      <c r="F91" s="27" t="s">
        <v>163</v>
      </c>
      <c r="G91" s="27"/>
      <c r="H91" s="122" t="s">
        <v>215</v>
      </c>
    </row>
    <row r="92" spans="1:8" ht="28.5" customHeight="1" x14ac:dyDescent="0.2">
      <c r="B92" s="338" t="s">
        <v>414</v>
      </c>
      <c r="C92" s="339"/>
      <c r="D92" s="339"/>
      <c r="E92" s="339"/>
      <c r="F92" s="339"/>
      <c r="G92" s="339"/>
      <c r="H92" s="339"/>
    </row>
    <row r="93" spans="1:8" ht="28.5" customHeight="1" x14ac:dyDescent="0.2">
      <c r="B93" s="27"/>
      <c r="C93" s="40"/>
      <c r="D93" s="26"/>
      <c r="E93" s="26"/>
      <c r="F93" s="27"/>
      <c r="G93" s="27"/>
      <c r="H93" s="122"/>
    </row>
    <row r="94" spans="1:8" s="15" customFormat="1" ht="15.75" customHeight="1" x14ac:dyDescent="0.2">
      <c r="A94" s="177"/>
      <c r="B94" s="336" t="s">
        <v>415</v>
      </c>
      <c r="C94" s="337"/>
      <c r="D94" s="337"/>
      <c r="E94" s="337"/>
      <c r="F94" s="337"/>
      <c r="G94" s="337"/>
      <c r="H94" s="337"/>
    </row>
    <row r="95" spans="1:8" ht="28.5" customHeight="1" x14ac:dyDescent="0.2">
      <c r="B95" s="45">
        <v>1</v>
      </c>
      <c r="C95" s="40" t="s">
        <v>210</v>
      </c>
      <c r="D95" s="26" t="s">
        <v>580</v>
      </c>
      <c r="E95" s="26" t="s">
        <v>139</v>
      </c>
      <c r="F95" s="27" t="s">
        <v>211</v>
      </c>
      <c r="G95" s="27"/>
      <c r="H95" s="122" t="s">
        <v>191</v>
      </c>
    </row>
    <row r="96" spans="1:8" ht="28.5" customHeight="1" x14ac:dyDescent="0.2">
      <c r="B96" s="42"/>
      <c r="C96" s="40"/>
      <c r="D96" s="26"/>
      <c r="E96" s="26"/>
      <c r="F96" s="27"/>
      <c r="G96" s="27"/>
      <c r="H96" s="122"/>
    </row>
    <row r="97" spans="2:9" ht="60" customHeight="1" x14ac:dyDescent="0.2">
      <c r="B97" s="46"/>
      <c r="C97" s="78"/>
      <c r="D97" s="79"/>
      <c r="E97" s="79"/>
      <c r="F97" s="80"/>
      <c r="G97" s="81"/>
      <c r="H97" s="82"/>
    </row>
    <row r="98" spans="2:9" ht="16.5" x14ac:dyDescent="0.3">
      <c r="B98" s="83"/>
      <c r="C98" s="84"/>
      <c r="D98" s="85"/>
      <c r="E98" s="85"/>
      <c r="F98" s="85"/>
      <c r="G98" s="85"/>
      <c r="H98" s="86"/>
      <c r="I98" s="20"/>
    </row>
    <row r="99" spans="2:9" ht="16.5" x14ac:dyDescent="0.2">
      <c r="B99" s="87"/>
      <c r="C99" s="352" t="s">
        <v>245</v>
      </c>
      <c r="D99" s="352"/>
      <c r="E99" s="85"/>
      <c r="F99" s="85"/>
      <c r="G99" s="85"/>
      <c r="H99" s="86"/>
    </row>
    <row r="100" spans="2:9" ht="16.5" x14ac:dyDescent="0.2">
      <c r="B100" s="87"/>
      <c r="C100" s="88"/>
      <c r="D100" s="88"/>
      <c r="E100" s="85"/>
      <c r="F100" s="85"/>
      <c r="G100" s="85"/>
      <c r="H100" s="86"/>
    </row>
    <row r="101" spans="2:9" ht="16.5" x14ac:dyDescent="0.25">
      <c r="B101" s="87"/>
      <c r="C101" s="353"/>
      <c r="D101" s="353"/>
      <c r="E101" s="85"/>
      <c r="F101" s="85"/>
      <c r="G101" s="85"/>
      <c r="H101" s="86"/>
    </row>
    <row r="102" spans="2:9" ht="16.5" x14ac:dyDescent="0.2">
      <c r="B102" s="87"/>
      <c r="C102" s="347" t="s">
        <v>216</v>
      </c>
      <c r="D102" s="347"/>
      <c r="E102" s="85"/>
      <c r="F102" s="85"/>
      <c r="G102" s="85"/>
      <c r="H102" s="86"/>
    </row>
    <row r="103" spans="2:9" ht="16.5" x14ac:dyDescent="0.25">
      <c r="B103" s="87"/>
      <c r="C103" s="89"/>
      <c r="D103" s="89"/>
      <c r="E103" s="85"/>
      <c r="F103" s="85"/>
      <c r="G103" s="85"/>
      <c r="H103" s="86"/>
    </row>
    <row r="104" spans="2:9" ht="16.5" x14ac:dyDescent="0.25">
      <c r="B104" s="87"/>
      <c r="C104" s="89"/>
      <c r="D104" s="89"/>
      <c r="E104" s="85"/>
      <c r="F104" s="85"/>
      <c r="G104" s="85"/>
      <c r="H104" s="86"/>
    </row>
    <row r="105" spans="2:9" ht="16.5" x14ac:dyDescent="0.2">
      <c r="B105" s="87"/>
      <c r="C105" s="347" t="s">
        <v>217</v>
      </c>
      <c r="D105" s="347"/>
      <c r="E105" s="85"/>
      <c r="F105" s="85"/>
      <c r="G105" s="85"/>
      <c r="H105" s="86"/>
    </row>
    <row r="106" spans="2:9" ht="16.5" x14ac:dyDescent="0.25">
      <c r="B106" s="87"/>
      <c r="C106" s="89"/>
      <c r="D106" s="89"/>
      <c r="E106" s="85"/>
      <c r="F106" s="85"/>
      <c r="G106" s="85"/>
      <c r="H106" s="86"/>
    </row>
    <row r="107" spans="2:9" ht="16.5" x14ac:dyDescent="0.25">
      <c r="B107" s="87"/>
      <c r="C107" s="89"/>
      <c r="D107" s="89"/>
      <c r="E107" s="85"/>
      <c r="F107" s="85"/>
      <c r="G107" s="85"/>
      <c r="H107" s="86"/>
    </row>
    <row r="108" spans="2:9" ht="16.5" x14ac:dyDescent="0.2">
      <c r="B108" s="87"/>
      <c r="C108" s="347" t="s">
        <v>218</v>
      </c>
      <c r="D108" s="347"/>
      <c r="E108" s="85"/>
      <c r="F108" s="85"/>
      <c r="G108" s="85"/>
      <c r="H108" s="86"/>
    </row>
    <row r="109" spans="2:9" ht="16.5" x14ac:dyDescent="0.2">
      <c r="B109" s="87"/>
      <c r="C109" s="90" t="s">
        <v>219</v>
      </c>
      <c r="D109" s="91"/>
      <c r="E109" s="85"/>
      <c r="F109" s="85"/>
      <c r="G109" s="85"/>
      <c r="H109" s="86"/>
    </row>
    <row r="110" spans="2:9" ht="16.5" x14ac:dyDescent="0.2">
      <c r="B110" s="87"/>
      <c r="C110" s="90"/>
      <c r="D110" s="91"/>
      <c r="E110" s="91"/>
      <c r="F110" s="91"/>
      <c r="G110" s="91"/>
      <c r="H110" s="86"/>
    </row>
    <row r="111" spans="2:9" ht="16.5" x14ac:dyDescent="0.2">
      <c r="B111" s="87"/>
      <c r="C111" s="90"/>
      <c r="D111" s="91"/>
      <c r="E111" s="91"/>
      <c r="F111" s="91"/>
      <c r="G111" s="91"/>
      <c r="H111" s="86"/>
    </row>
    <row r="112" spans="2:9" ht="15" x14ac:dyDescent="0.2">
      <c r="C112" s="22"/>
      <c r="D112" s="23"/>
      <c r="E112" s="23"/>
      <c r="F112" s="23"/>
      <c r="G112" s="23"/>
    </row>
    <row r="113" spans="3:7" ht="15" x14ac:dyDescent="0.2">
      <c r="C113" s="22"/>
      <c r="D113" s="23"/>
      <c r="E113" s="23"/>
      <c r="F113" s="23"/>
      <c r="G113" s="23"/>
    </row>
    <row r="114" spans="3:7" ht="15" x14ac:dyDescent="0.2">
      <c r="C114" s="22"/>
      <c r="D114" s="23"/>
      <c r="E114" s="23"/>
      <c r="F114" s="23"/>
      <c r="G114" s="23"/>
    </row>
    <row r="115" spans="3:7" ht="15" x14ac:dyDescent="0.2">
      <c r="C115" s="22"/>
      <c r="D115" s="23"/>
      <c r="E115" s="23"/>
      <c r="F115" s="23"/>
      <c r="G115" s="23"/>
    </row>
    <row r="116" spans="3:7" ht="15" x14ac:dyDescent="0.2">
      <c r="C116" s="22"/>
      <c r="D116" s="23"/>
      <c r="E116" s="23"/>
      <c r="F116" s="23"/>
      <c r="G116" s="23"/>
    </row>
    <row r="117" spans="3:7" ht="15" x14ac:dyDescent="0.2">
      <c r="C117" s="22"/>
      <c r="D117" s="23"/>
      <c r="E117" s="23"/>
      <c r="F117" s="23"/>
      <c r="G117" s="23"/>
    </row>
  </sheetData>
  <dataConsolidate>
    <dataRefs count="1">
      <dataRef ref="C156:G156" sheet="02_Техническое Задание" r:id="rId1"/>
    </dataRefs>
  </dataConsolidate>
  <mergeCells count="34">
    <mergeCell ref="B2:H2"/>
    <mergeCell ref="B3:H3"/>
    <mergeCell ref="B5:H5"/>
    <mergeCell ref="C108:D108"/>
    <mergeCell ref="I63:M63"/>
    <mergeCell ref="H67:H71"/>
    <mergeCell ref="H73:H75"/>
    <mergeCell ref="C99:D99"/>
    <mergeCell ref="C101:D101"/>
    <mergeCell ref="C102:D102"/>
    <mergeCell ref="C105:D105"/>
    <mergeCell ref="B72:H72"/>
    <mergeCell ref="B94:H94"/>
    <mergeCell ref="B4:H4"/>
    <mergeCell ref="B7:H7"/>
    <mergeCell ref="B6:H6"/>
    <mergeCell ref="B12:H12"/>
    <mergeCell ref="B17:H17"/>
    <mergeCell ref="B8:H9"/>
    <mergeCell ref="B76:H76"/>
    <mergeCell ref="B78:H78"/>
    <mergeCell ref="B29:H29"/>
    <mergeCell ref="B49:H49"/>
    <mergeCell ref="B55:H55"/>
    <mergeCell ref="B56:H56"/>
    <mergeCell ref="B66:H66"/>
    <mergeCell ref="B52:H52"/>
    <mergeCell ref="B54:H54"/>
    <mergeCell ref="B90:H90"/>
    <mergeCell ref="B92:H92"/>
    <mergeCell ref="B80:H80"/>
    <mergeCell ref="B82:H82"/>
    <mergeCell ref="B83:H83"/>
    <mergeCell ref="B85:H85"/>
  </mergeCells>
  <dataValidations count="2">
    <dataValidation type="list" allowBlank="1" showInputMessage="1" showErrorMessage="1" sqref="G84 G95:G96 G93 G91 G89">
      <formula1>$I$6:$I$7</formula1>
    </dataValidation>
    <dataValidation type="list" allowBlank="1" showInputMessage="1" showErrorMessage="1" sqref="G13:G16 G18:G28 G30:G48 G50:G51 G53 G57:G65 G67:G71 G73:G75 G79 G81 G77 G86:G88">
      <formula1>$I$5:$I$7</formula1>
    </dataValidation>
  </dataValidations>
  <printOptions horizontalCentered="1"/>
  <pageMargins left="0.23622047244094491" right="0.23622047244094491" top="0.35433070866141736" bottom="0.35433070866141736" header="0.31496062992125984" footer="0.31496062992125984"/>
  <pageSetup paperSize="9" scale="42" fitToHeight="0" orientation="portrait" r:id="rId2"/>
  <headerFooter alignWithMargins="0">
    <oddFooter>&amp;CШ-03.02.02-05 Сводная анкета (I этап)</oddFooter>
  </headerFooter>
  <rowBreaks count="1" manualBreakCount="1">
    <brk id="42" min="1" max="7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>
    <tabColor theme="5" tint="-0.249977111117893"/>
    <pageSetUpPr fitToPage="1"/>
  </sheetPr>
  <dimension ref="B1:Y242"/>
  <sheetViews>
    <sheetView tabSelected="1" view="pageBreakPreview" topLeftCell="A7" zoomScaleNormal="100" zoomScaleSheetLayoutView="100" workbookViewId="0">
      <selection activeCell="K6" sqref="K6:Q25"/>
    </sheetView>
  </sheetViews>
  <sheetFormatPr defaultColWidth="9.140625" defaultRowHeight="12.75" x14ac:dyDescent="0.2"/>
  <cols>
    <col min="1" max="1" width="1.5703125" style="2" customWidth="1"/>
    <col min="2" max="2" width="36.28515625" style="8" customWidth="1"/>
    <col min="3" max="3" width="14.85546875" style="2" customWidth="1"/>
    <col min="4" max="4" width="18.28515625" style="2" customWidth="1"/>
    <col min="5" max="5" width="15.28515625" style="2" customWidth="1"/>
    <col min="6" max="6" width="15.7109375" style="2" customWidth="1"/>
    <col min="7" max="7" width="17.7109375" style="2" customWidth="1"/>
    <col min="8" max="8" width="13.85546875" style="2" customWidth="1"/>
    <col min="9" max="10" width="4.140625" style="2" customWidth="1"/>
    <col min="11" max="11" width="12.140625" style="2" customWidth="1"/>
    <col min="12" max="13" width="9.140625" style="2"/>
    <col min="14" max="14" width="8.85546875" style="2" customWidth="1"/>
    <col min="15" max="15" width="6" style="2" hidden="1" customWidth="1"/>
    <col min="16" max="17" width="9.140625" style="2" hidden="1" customWidth="1"/>
    <col min="18" max="19" width="9.140625" style="2" customWidth="1"/>
    <col min="20" max="16384" width="9.140625" style="2"/>
  </cols>
  <sheetData>
    <row r="1" spans="2:25" ht="7.5" customHeight="1" x14ac:dyDescent="0.2"/>
    <row r="2" spans="2:25" ht="22.5" customHeight="1" x14ac:dyDescent="0.2">
      <c r="B2" s="407" t="s">
        <v>334</v>
      </c>
      <c r="C2" s="408"/>
      <c r="D2" s="420" t="s">
        <v>0</v>
      </c>
      <c r="E2" s="420"/>
      <c r="F2" s="420"/>
      <c r="G2" s="420"/>
      <c r="H2" s="421"/>
    </row>
    <row r="3" spans="2:25" ht="19.5" customHeight="1" x14ac:dyDescent="0.2">
      <c r="B3" s="409"/>
      <c r="C3" s="410"/>
      <c r="D3" s="420"/>
      <c r="E3" s="420"/>
      <c r="F3" s="420"/>
      <c r="G3" s="420"/>
      <c r="H3" s="421"/>
      <c r="R3" s="121" t="s">
        <v>3</v>
      </c>
    </row>
    <row r="4" spans="2:25" ht="29.45" customHeight="1" x14ac:dyDescent="0.2">
      <c r="B4" s="409"/>
      <c r="C4" s="410"/>
      <c r="D4" s="420"/>
      <c r="E4" s="420"/>
      <c r="F4" s="420"/>
      <c r="G4" s="420"/>
      <c r="H4" s="421"/>
      <c r="R4" s="121" t="s">
        <v>422</v>
      </c>
    </row>
    <row r="5" spans="2:25" ht="31.9" customHeight="1" x14ac:dyDescent="0.2">
      <c r="B5" s="422" t="s">
        <v>1</v>
      </c>
      <c r="C5" s="423"/>
      <c r="D5" s="423"/>
      <c r="E5" s="423"/>
      <c r="F5" s="423"/>
      <c r="G5" s="423"/>
      <c r="H5" s="424"/>
      <c r="R5" s="121" t="s">
        <v>423</v>
      </c>
    </row>
    <row r="6" spans="2:25" ht="27" customHeight="1" x14ac:dyDescent="0.2">
      <c r="B6" s="425" t="s">
        <v>658</v>
      </c>
      <c r="C6" s="426"/>
      <c r="D6" s="426"/>
      <c r="E6" s="426"/>
      <c r="F6" s="426"/>
      <c r="G6" s="426"/>
      <c r="H6" s="427"/>
      <c r="K6" s="453" t="s">
        <v>255</v>
      </c>
      <c r="L6" s="453"/>
      <c r="M6" s="453"/>
      <c r="N6" s="453"/>
      <c r="O6" s="453"/>
      <c r="P6" s="453"/>
      <c r="Q6" s="453"/>
      <c r="R6" s="121" t="s">
        <v>424</v>
      </c>
    </row>
    <row r="7" spans="2:25" ht="20.25" customHeight="1" x14ac:dyDescent="0.25">
      <c r="B7" s="205" t="s">
        <v>659</v>
      </c>
      <c r="C7" s="428"/>
      <c r="D7" s="428"/>
      <c r="E7" s="428"/>
      <c r="F7" s="428"/>
      <c r="G7" s="428"/>
      <c r="H7" s="428"/>
      <c r="I7" s="3"/>
      <c r="K7" s="453"/>
      <c r="L7" s="453"/>
      <c r="M7" s="453"/>
      <c r="N7" s="453"/>
      <c r="O7" s="453"/>
      <c r="P7" s="453"/>
      <c r="Q7" s="453"/>
      <c r="R7" s="121" t="s">
        <v>838</v>
      </c>
      <c r="T7" s="129"/>
      <c r="U7" s="130"/>
      <c r="V7" s="130"/>
      <c r="W7" s="130"/>
      <c r="X7" s="130"/>
      <c r="Y7" s="130"/>
    </row>
    <row r="8" spans="2:25" ht="20.25" customHeight="1" x14ac:dyDescent="0.25">
      <c r="B8" s="206" t="s">
        <v>660</v>
      </c>
      <c r="C8" s="429" t="s">
        <v>858</v>
      </c>
      <c r="D8" s="429"/>
      <c r="E8" s="429"/>
      <c r="F8" s="429"/>
      <c r="G8" s="429"/>
      <c r="H8" s="429"/>
      <c r="K8" s="453"/>
      <c r="L8" s="453"/>
      <c r="M8" s="453"/>
      <c r="N8" s="453"/>
      <c r="O8" s="453"/>
      <c r="P8" s="453"/>
      <c r="Q8" s="453"/>
      <c r="R8" s="128" t="s">
        <v>419</v>
      </c>
      <c r="S8" s="128"/>
      <c r="T8" s="129"/>
      <c r="U8" s="130"/>
      <c r="V8" s="130"/>
      <c r="W8" s="130"/>
      <c r="X8" s="130"/>
      <c r="Y8" s="130"/>
    </row>
    <row r="9" spans="2:25" ht="20.25" customHeight="1" x14ac:dyDescent="0.25">
      <c r="B9" s="206" t="s">
        <v>661</v>
      </c>
      <c r="C9" s="429" t="s">
        <v>845</v>
      </c>
      <c r="D9" s="429"/>
      <c r="E9" s="429"/>
      <c r="F9" s="429"/>
      <c r="G9" s="429"/>
      <c r="H9" s="429"/>
      <c r="K9" s="453"/>
      <c r="L9" s="453"/>
      <c r="M9" s="453"/>
      <c r="N9" s="453"/>
      <c r="O9" s="453"/>
      <c r="P9" s="453"/>
      <c r="Q9" s="453"/>
      <c r="R9" s="128" t="s">
        <v>420</v>
      </c>
      <c r="T9" s="129"/>
      <c r="U9" s="130"/>
      <c r="V9" s="130"/>
      <c r="W9" s="130"/>
      <c r="X9" s="130"/>
      <c r="Y9" s="130"/>
    </row>
    <row r="10" spans="2:25" ht="76.900000000000006" customHeight="1" x14ac:dyDescent="0.25">
      <c r="B10" s="206" t="s">
        <v>662</v>
      </c>
      <c r="C10" s="429" t="s">
        <v>734</v>
      </c>
      <c r="D10" s="429"/>
      <c r="E10" s="429"/>
      <c r="F10" s="429"/>
      <c r="G10" s="429"/>
      <c r="H10" s="429"/>
      <c r="K10" s="453"/>
      <c r="L10" s="453"/>
      <c r="M10" s="453"/>
      <c r="N10" s="453"/>
      <c r="O10" s="453"/>
      <c r="P10" s="453"/>
      <c r="Q10" s="453"/>
      <c r="R10" s="130" t="s">
        <v>422</v>
      </c>
      <c r="S10" s="130" t="s">
        <v>425</v>
      </c>
      <c r="T10" s="130"/>
      <c r="U10" s="130"/>
      <c r="V10" s="130"/>
      <c r="W10" s="130"/>
      <c r="X10" s="130"/>
      <c r="Y10" s="130"/>
    </row>
    <row r="11" spans="2:25" ht="72.400000000000006" customHeight="1" x14ac:dyDescent="0.25">
      <c r="B11" s="206" t="s">
        <v>663</v>
      </c>
      <c r="C11" s="429" t="s">
        <v>846</v>
      </c>
      <c r="D11" s="429"/>
      <c r="E11" s="429"/>
      <c r="F11" s="429"/>
      <c r="G11" s="429"/>
      <c r="H11" s="429"/>
      <c r="K11" s="453"/>
      <c r="L11" s="453"/>
      <c r="M11" s="453"/>
      <c r="N11" s="453"/>
      <c r="O11" s="453"/>
      <c r="P11" s="453"/>
      <c r="Q11" s="453"/>
      <c r="R11" s="130"/>
      <c r="S11" s="130" t="s">
        <v>426</v>
      </c>
      <c r="T11" s="130"/>
      <c r="U11" s="130"/>
      <c r="V11" s="130"/>
      <c r="W11" s="130"/>
      <c r="X11" s="130"/>
      <c r="Y11" s="130"/>
    </row>
    <row r="12" spans="2:25" ht="39.75" customHeight="1" x14ac:dyDescent="0.25">
      <c r="B12" s="414" t="s">
        <v>664</v>
      </c>
      <c r="C12" s="190" t="s">
        <v>389</v>
      </c>
      <c r="D12" s="190" t="s">
        <v>459</v>
      </c>
      <c r="E12" s="190" t="s">
        <v>391</v>
      </c>
      <c r="F12" s="190" t="s">
        <v>392</v>
      </c>
      <c r="G12" s="448" t="s">
        <v>390</v>
      </c>
      <c r="H12" s="448"/>
      <c r="K12" s="453"/>
      <c r="L12" s="453"/>
      <c r="M12" s="453"/>
      <c r="N12" s="453"/>
      <c r="O12" s="453"/>
      <c r="P12" s="453"/>
      <c r="Q12" s="453"/>
      <c r="R12" s="130"/>
      <c r="S12" s="130" t="s">
        <v>428</v>
      </c>
      <c r="T12" s="130"/>
      <c r="U12" s="130"/>
      <c r="V12" s="130"/>
      <c r="W12" s="130"/>
      <c r="X12" s="130"/>
      <c r="Y12" s="130"/>
    </row>
    <row r="13" spans="2:25" ht="15" customHeight="1" x14ac:dyDescent="0.25">
      <c r="B13" s="415"/>
      <c r="C13" s="288" t="s">
        <v>195</v>
      </c>
      <c r="D13" s="288" t="s">
        <v>195</v>
      </c>
      <c r="E13" s="288" t="s">
        <v>195</v>
      </c>
      <c r="F13" s="288" t="s">
        <v>195</v>
      </c>
      <c r="G13" s="449" t="s">
        <v>157</v>
      </c>
      <c r="H13" s="449"/>
      <c r="K13" s="453"/>
      <c r="L13" s="453"/>
      <c r="M13" s="453"/>
      <c r="N13" s="453"/>
      <c r="O13" s="453"/>
      <c r="P13" s="453"/>
      <c r="Q13" s="453"/>
      <c r="R13" s="130"/>
      <c r="S13" s="130" t="s">
        <v>429</v>
      </c>
      <c r="T13" s="130"/>
      <c r="U13" s="130"/>
      <c r="V13" s="130"/>
      <c r="W13" s="130"/>
      <c r="X13" s="130"/>
      <c r="Y13" s="130"/>
    </row>
    <row r="14" spans="2:25" ht="20.25" customHeight="1" x14ac:dyDescent="0.25">
      <c r="B14" s="206" t="s">
        <v>665</v>
      </c>
      <c r="C14" s="432" t="s">
        <v>422</v>
      </c>
      <c r="D14" s="433"/>
      <c r="E14" s="433"/>
      <c r="F14" s="433"/>
      <c r="G14" s="433"/>
      <c r="H14" s="434"/>
      <c r="K14" s="453"/>
      <c r="L14" s="453"/>
      <c r="M14" s="453"/>
      <c r="N14" s="453"/>
      <c r="O14" s="453"/>
      <c r="P14" s="453"/>
      <c r="Q14" s="453"/>
      <c r="R14" s="130"/>
      <c r="S14" s="130" t="s">
        <v>427</v>
      </c>
      <c r="T14" s="130"/>
      <c r="U14" s="130"/>
      <c r="V14" s="130"/>
      <c r="W14" s="130"/>
      <c r="X14" s="130"/>
      <c r="Y14" s="130"/>
    </row>
    <row r="15" spans="2:25" ht="49.15" customHeight="1" x14ac:dyDescent="0.25">
      <c r="B15" s="416" t="s">
        <v>666</v>
      </c>
      <c r="C15" s="189" t="s">
        <v>4</v>
      </c>
      <c r="D15" s="264" t="s">
        <v>698</v>
      </c>
      <c r="E15" s="189" t="s">
        <v>5</v>
      </c>
      <c r="F15" s="189" t="s">
        <v>6</v>
      </c>
      <c r="G15" s="450" t="s">
        <v>7</v>
      </c>
      <c r="H15" s="450"/>
      <c r="K15" s="453"/>
      <c r="L15" s="453"/>
      <c r="M15" s="453"/>
      <c r="N15" s="453"/>
      <c r="O15" s="453"/>
      <c r="P15" s="453"/>
      <c r="Q15" s="453"/>
      <c r="R15" s="130"/>
      <c r="S15" s="130" t="s">
        <v>430</v>
      </c>
      <c r="T15" s="130"/>
      <c r="U15" s="130"/>
      <c r="V15" s="130"/>
      <c r="W15" s="130"/>
      <c r="X15" s="130"/>
      <c r="Y15" s="130"/>
    </row>
    <row r="16" spans="2:25" ht="33.6" customHeight="1" x14ac:dyDescent="0.25">
      <c r="B16" s="417"/>
      <c r="C16" s="289" t="s">
        <v>849</v>
      </c>
      <c r="D16" s="289">
        <v>2895</v>
      </c>
      <c r="E16" s="289">
        <v>110</v>
      </c>
      <c r="F16" s="289">
        <v>25</v>
      </c>
      <c r="G16" s="444" t="s">
        <v>841</v>
      </c>
      <c r="H16" s="445"/>
      <c r="K16" s="453"/>
      <c r="L16" s="453"/>
      <c r="M16" s="453"/>
      <c r="N16" s="453"/>
      <c r="O16" s="453"/>
      <c r="P16" s="453"/>
      <c r="Q16" s="453"/>
      <c r="R16" s="130"/>
      <c r="S16" s="130" t="s">
        <v>431</v>
      </c>
      <c r="T16" s="130"/>
      <c r="U16" s="130"/>
      <c r="V16" s="130"/>
      <c r="W16" s="130"/>
      <c r="X16" s="130"/>
      <c r="Y16" s="130"/>
    </row>
    <row r="17" spans="2:25" ht="31.15" customHeight="1" x14ac:dyDescent="0.25">
      <c r="B17" s="430" t="s">
        <v>667</v>
      </c>
      <c r="C17" s="263" t="s">
        <v>3</v>
      </c>
      <c r="D17" s="263" t="s">
        <v>3</v>
      </c>
      <c r="E17" s="263" t="s">
        <v>3</v>
      </c>
      <c r="F17" s="263" t="s">
        <v>3</v>
      </c>
      <c r="G17" s="263" t="s">
        <v>3</v>
      </c>
      <c r="H17" s="263" t="s">
        <v>3</v>
      </c>
      <c r="I17" s="5"/>
      <c r="K17" s="453"/>
      <c r="L17" s="453"/>
      <c r="M17" s="453"/>
      <c r="N17" s="453"/>
      <c r="O17" s="453"/>
      <c r="P17" s="453"/>
      <c r="Q17" s="453"/>
      <c r="R17" s="130"/>
      <c r="S17" s="130" t="s">
        <v>432</v>
      </c>
      <c r="T17" s="130"/>
      <c r="U17" s="130"/>
      <c r="V17" s="130"/>
      <c r="W17" s="130"/>
      <c r="X17" s="130"/>
      <c r="Y17" s="130"/>
    </row>
    <row r="18" spans="2:25" ht="0.4" customHeight="1" x14ac:dyDescent="0.25">
      <c r="B18" s="431"/>
      <c r="C18" s="262" t="s">
        <v>617</v>
      </c>
      <c r="D18" s="262" t="s">
        <v>617</v>
      </c>
      <c r="E18" s="262" t="s">
        <v>617</v>
      </c>
      <c r="F18" s="262" t="s">
        <v>617</v>
      </c>
      <c r="G18" s="262" t="s">
        <v>617</v>
      </c>
      <c r="H18" s="262" t="s">
        <v>617</v>
      </c>
      <c r="I18" s="194"/>
      <c r="K18" s="453"/>
      <c r="L18" s="453"/>
      <c r="M18" s="453"/>
      <c r="N18" s="453"/>
      <c r="O18" s="453"/>
      <c r="P18" s="453"/>
      <c r="Q18" s="453"/>
      <c r="R18" s="130"/>
      <c r="S18" s="130"/>
      <c r="T18" s="130"/>
      <c r="U18" s="130"/>
      <c r="V18" s="130"/>
      <c r="W18" s="130"/>
      <c r="X18" s="130"/>
      <c r="Y18" s="130"/>
    </row>
    <row r="19" spans="2:25" ht="33" customHeight="1" x14ac:dyDescent="0.25">
      <c r="B19" s="411" t="s">
        <v>701</v>
      </c>
      <c r="C19" s="412" t="s">
        <v>8</v>
      </c>
      <c r="D19" s="412"/>
      <c r="E19" s="412"/>
      <c r="F19" s="412"/>
      <c r="G19" s="412" t="s">
        <v>9</v>
      </c>
      <c r="H19" s="412"/>
      <c r="I19" s="5"/>
      <c r="K19" s="453"/>
      <c r="L19" s="453"/>
      <c r="M19" s="453"/>
      <c r="N19" s="453"/>
      <c r="O19" s="453"/>
      <c r="P19" s="453"/>
      <c r="Q19" s="453"/>
      <c r="R19" s="130" t="s">
        <v>424</v>
      </c>
      <c r="S19" s="130" t="s">
        <v>433</v>
      </c>
      <c r="T19" s="130"/>
      <c r="U19" s="130"/>
      <c r="V19" s="130"/>
      <c r="W19" s="130"/>
      <c r="X19" s="130"/>
      <c r="Y19" s="130"/>
    </row>
    <row r="20" spans="2:25" ht="16.5" customHeight="1" x14ac:dyDescent="0.25">
      <c r="B20" s="411"/>
      <c r="C20" s="413" t="s">
        <v>840</v>
      </c>
      <c r="D20" s="413"/>
      <c r="E20" s="413"/>
      <c r="F20" s="413"/>
      <c r="G20" s="457" t="s">
        <v>836</v>
      </c>
      <c r="H20" s="457"/>
      <c r="K20" s="453"/>
      <c r="L20" s="453"/>
      <c r="M20" s="453"/>
      <c r="N20" s="453"/>
      <c r="O20" s="453"/>
      <c r="P20" s="453"/>
      <c r="Q20" s="453"/>
      <c r="R20" s="130"/>
      <c r="S20" s="130" t="s">
        <v>434</v>
      </c>
      <c r="T20" s="130"/>
      <c r="U20" s="130"/>
      <c r="V20" s="130"/>
      <c r="W20" s="130"/>
      <c r="X20" s="130"/>
      <c r="Y20" s="130"/>
    </row>
    <row r="21" spans="2:25" ht="17.25" customHeight="1" x14ac:dyDescent="0.25">
      <c r="B21" s="458" t="s">
        <v>668</v>
      </c>
      <c r="C21" s="458"/>
      <c r="D21" s="458"/>
      <c r="E21" s="458"/>
      <c r="F21" s="458"/>
      <c r="G21" s="458"/>
      <c r="H21" s="458"/>
      <c r="K21" s="453"/>
      <c r="L21" s="453"/>
      <c r="M21" s="453"/>
      <c r="N21" s="453"/>
      <c r="O21" s="453"/>
      <c r="P21" s="453"/>
      <c r="Q21" s="453"/>
      <c r="R21" s="130"/>
      <c r="S21" s="130" t="s">
        <v>435</v>
      </c>
      <c r="T21" s="130"/>
      <c r="U21" s="130"/>
      <c r="V21" s="130"/>
      <c r="W21" s="130"/>
      <c r="X21" s="130"/>
      <c r="Y21" s="130"/>
    </row>
    <row r="22" spans="2:25" s="3" customFormat="1" ht="19.149999999999999" customHeight="1" x14ac:dyDescent="0.25">
      <c r="B22" s="171" t="s">
        <v>10</v>
      </c>
      <c r="C22" s="413" t="s">
        <v>847</v>
      </c>
      <c r="D22" s="413"/>
      <c r="E22" s="413"/>
      <c r="F22" s="413"/>
      <c r="G22" s="413"/>
      <c r="H22" s="413"/>
      <c r="K22" s="453"/>
      <c r="L22" s="453"/>
      <c r="M22" s="453"/>
      <c r="N22" s="453"/>
      <c r="O22" s="453"/>
      <c r="P22" s="453"/>
      <c r="Q22" s="453"/>
      <c r="R22" s="131"/>
      <c r="S22" s="131" t="s">
        <v>436</v>
      </c>
      <c r="T22" s="131"/>
      <c r="U22" s="131"/>
      <c r="V22" s="131"/>
      <c r="W22" s="131"/>
      <c r="X22" s="131"/>
      <c r="Y22" s="131"/>
    </row>
    <row r="23" spans="2:25" s="3" customFormat="1" ht="22.15" customHeight="1" x14ac:dyDescent="0.25">
      <c r="B23" s="170" t="s">
        <v>11</v>
      </c>
      <c r="C23" s="419" t="s">
        <v>848</v>
      </c>
      <c r="D23" s="419"/>
      <c r="E23" s="419"/>
      <c r="F23" s="419"/>
      <c r="G23" s="419"/>
      <c r="H23" s="419"/>
      <c r="K23" s="453"/>
      <c r="L23" s="453"/>
      <c r="M23" s="453"/>
      <c r="N23" s="453"/>
      <c r="O23" s="453"/>
      <c r="P23" s="453"/>
      <c r="Q23" s="453"/>
      <c r="R23" s="131"/>
      <c r="S23" s="131" t="s">
        <v>437</v>
      </c>
      <c r="T23" s="131"/>
      <c r="U23" s="131"/>
      <c r="V23" s="131"/>
      <c r="W23" s="131"/>
      <c r="X23" s="131"/>
      <c r="Y23" s="131"/>
    </row>
    <row r="24" spans="2:25" ht="0.6" customHeight="1" x14ac:dyDescent="0.25">
      <c r="B24" s="170"/>
      <c r="C24" s="418" t="s">
        <v>12</v>
      </c>
      <c r="D24" s="418"/>
      <c r="E24" s="418"/>
      <c r="F24" s="418"/>
      <c r="G24" s="418"/>
      <c r="H24" s="418"/>
      <c r="K24" s="453"/>
      <c r="L24" s="453"/>
      <c r="M24" s="453"/>
      <c r="N24" s="453"/>
      <c r="O24" s="453"/>
      <c r="P24" s="453"/>
      <c r="Q24" s="453"/>
      <c r="R24" s="130"/>
      <c r="S24" s="130" t="s">
        <v>438</v>
      </c>
      <c r="T24" s="130"/>
      <c r="U24" s="130"/>
      <c r="V24" s="130"/>
      <c r="W24" s="130"/>
      <c r="X24" s="130"/>
      <c r="Y24" s="130"/>
    </row>
    <row r="25" spans="2:25" ht="0.6" customHeight="1" x14ac:dyDescent="0.25">
      <c r="B25" s="170"/>
      <c r="C25" s="418" t="s">
        <v>12</v>
      </c>
      <c r="D25" s="418"/>
      <c r="E25" s="418"/>
      <c r="F25" s="418"/>
      <c r="G25" s="418"/>
      <c r="H25" s="418"/>
      <c r="K25" s="453"/>
      <c r="L25" s="453"/>
      <c r="M25" s="453"/>
      <c r="N25" s="453"/>
      <c r="O25" s="453"/>
      <c r="P25" s="453"/>
      <c r="Q25" s="453"/>
      <c r="R25" s="130"/>
      <c r="S25" s="130" t="s">
        <v>439</v>
      </c>
      <c r="T25" s="130"/>
      <c r="U25" s="130"/>
      <c r="V25" s="130"/>
      <c r="W25" s="130"/>
      <c r="X25" s="130"/>
      <c r="Y25" s="130"/>
    </row>
    <row r="26" spans="2:25" ht="16.149999999999999" hidden="1" customHeight="1" thickBot="1" x14ac:dyDescent="0.3">
      <c r="B26" s="170"/>
      <c r="C26" s="418" t="s">
        <v>12</v>
      </c>
      <c r="D26" s="418"/>
      <c r="E26" s="418"/>
      <c r="F26" s="418"/>
      <c r="G26" s="418"/>
      <c r="H26" s="418"/>
      <c r="K26" s="96"/>
      <c r="L26" s="119"/>
      <c r="M26" s="119"/>
      <c r="N26" s="119"/>
      <c r="R26" s="130"/>
      <c r="S26" s="130" t="s">
        <v>440</v>
      </c>
      <c r="T26" s="130"/>
      <c r="U26" s="130"/>
      <c r="V26" s="130"/>
      <c r="W26" s="130"/>
      <c r="X26" s="130"/>
      <c r="Y26" s="130"/>
    </row>
    <row r="27" spans="2:25" ht="22.9" hidden="1" customHeight="1" thickBot="1" x14ac:dyDescent="0.25">
      <c r="B27" s="170"/>
      <c r="C27" s="418" t="s">
        <v>12</v>
      </c>
      <c r="D27" s="418"/>
      <c r="E27" s="418"/>
      <c r="F27" s="418"/>
      <c r="G27" s="418"/>
      <c r="H27" s="418"/>
      <c r="K27" s="96"/>
      <c r="L27" s="119"/>
      <c r="M27" s="119"/>
      <c r="N27" s="119"/>
    </row>
    <row r="28" spans="2:25" ht="1.1499999999999999" hidden="1" customHeight="1" thickBot="1" x14ac:dyDescent="0.25">
      <c r="B28" s="473" t="s">
        <v>13</v>
      </c>
      <c r="C28" s="462"/>
      <c r="D28" s="462"/>
      <c r="E28" s="462"/>
      <c r="F28" s="462"/>
      <c r="G28" s="462"/>
      <c r="H28" s="462"/>
      <c r="K28" s="96"/>
      <c r="L28" s="119"/>
      <c r="M28" s="119"/>
      <c r="N28" s="119"/>
    </row>
    <row r="29" spans="2:25" ht="22.15" hidden="1" customHeight="1" thickBot="1" x14ac:dyDescent="0.25">
      <c r="B29" s="4" t="s">
        <v>14</v>
      </c>
      <c r="C29" s="6" t="s">
        <v>15</v>
      </c>
      <c r="D29" s="7">
        <v>43101</v>
      </c>
      <c r="E29" s="6" t="s">
        <v>16</v>
      </c>
      <c r="F29" s="459">
        <f>'[1]СРОКИ И БЮДЖЕТ'!D12</f>
        <v>0</v>
      </c>
      <c r="G29" s="460"/>
      <c r="H29" s="460"/>
      <c r="K29" s="96"/>
      <c r="L29" s="119"/>
      <c r="M29" s="119"/>
      <c r="N29" s="119"/>
    </row>
    <row r="30" spans="2:25" ht="19.149999999999999" hidden="1" customHeight="1" thickBot="1" x14ac:dyDescent="0.25">
      <c r="B30" s="461" t="s">
        <v>552</v>
      </c>
      <c r="C30" s="462"/>
      <c r="D30" s="462"/>
      <c r="E30" s="462"/>
      <c r="F30" s="462"/>
      <c r="G30" s="462"/>
      <c r="H30" s="462"/>
      <c r="I30" s="5"/>
      <c r="K30" s="96"/>
      <c r="L30" s="119"/>
      <c r="M30" s="119"/>
      <c r="N30" s="119"/>
    </row>
    <row r="31" spans="2:25" ht="3" hidden="1" customHeight="1" x14ac:dyDescent="0.2">
      <c r="B31" s="441" t="s">
        <v>551</v>
      </c>
      <c r="C31" s="438" t="s">
        <v>64</v>
      </c>
      <c r="D31" s="438"/>
      <c r="E31" s="438"/>
      <c r="F31" s="438"/>
      <c r="G31" s="438"/>
      <c r="H31" s="438"/>
      <c r="K31" s="96"/>
    </row>
    <row r="32" spans="2:25" ht="3" hidden="1" customHeight="1" x14ac:dyDescent="0.2">
      <c r="B32" s="441"/>
      <c r="C32" s="438"/>
      <c r="D32" s="438"/>
      <c r="E32" s="438"/>
      <c r="F32" s="438"/>
      <c r="G32" s="438"/>
      <c r="H32" s="438"/>
      <c r="I32" s="435"/>
      <c r="K32" s="96"/>
    </row>
    <row r="33" spans="2:11" ht="3" hidden="1" customHeight="1" x14ac:dyDescent="0.2">
      <c r="B33" s="441"/>
      <c r="C33" s="438"/>
      <c r="D33" s="438"/>
      <c r="E33" s="438"/>
      <c r="F33" s="438"/>
      <c r="G33" s="438"/>
      <c r="H33" s="438"/>
      <c r="I33" s="435"/>
      <c r="K33" s="96"/>
    </row>
    <row r="34" spans="2:11" ht="3" hidden="1" customHeight="1" x14ac:dyDescent="0.2">
      <c r="B34" s="441"/>
      <c r="C34" s="438"/>
      <c r="D34" s="438"/>
      <c r="E34" s="438"/>
      <c r="F34" s="438"/>
      <c r="G34" s="438"/>
      <c r="H34" s="438"/>
      <c r="I34" s="435"/>
      <c r="K34" s="96"/>
    </row>
    <row r="35" spans="2:11" ht="3" hidden="1" customHeight="1" x14ac:dyDescent="0.2">
      <c r="B35" s="441"/>
      <c r="C35" s="438"/>
      <c r="D35" s="438"/>
      <c r="E35" s="438"/>
      <c r="F35" s="438"/>
      <c r="G35" s="438"/>
      <c r="H35" s="438"/>
      <c r="I35" s="435"/>
      <c r="K35" s="96"/>
    </row>
    <row r="36" spans="2:11" ht="3" hidden="1" customHeight="1" x14ac:dyDescent="0.2">
      <c r="B36" s="441"/>
      <c r="C36" s="438"/>
      <c r="D36" s="438"/>
      <c r="E36" s="438"/>
      <c r="F36" s="438"/>
      <c r="G36" s="438"/>
      <c r="H36" s="438"/>
      <c r="I36" s="435"/>
      <c r="K36" s="96"/>
    </row>
    <row r="37" spans="2:11" ht="3" hidden="1" customHeight="1" x14ac:dyDescent="0.2">
      <c r="B37" s="441"/>
      <c r="C37" s="438"/>
      <c r="D37" s="438"/>
      <c r="E37" s="438"/>
      <c r="F37" s="438"/>
      <c r="G37" s="438"/>
      <c r="H37" s="438"/>
      <c r="I37" s="435"/>
      <c r="K37" s="96"/>
    </row>
    <row r="38" spans="2:11" ht="3" hidden="1" customHeight="1" x14ac:dyDescent="0.2">
      <c r="B38" s="441"/>
      <c r="C38" s="438"/>
      <c r="D38" s="438"/>
      <c r="E38" s="438"/>
      <c r="F38" s="438"/>
      <c r="G38" s="438"/>
      <c r="H38" s="438"/>
      <c r="I38" s="435"/>
      <c r="K38" s="96"/>
    </row>
    <row r="39" spans="2:11" ht="3" hidden="1" customHeight="1" x14ac:dyDescent="0.2">
      <c r="B39" s="441"/>
      <c r="C39" s="438"/>
      <c r="D39" s="438"/>
      <c r="E39" s="438"/>
      <c r="F39" s="438"/>
      <c r="G39" s="438"/>
      <c r="H39" s="438"/>
      <c r="I39" s="435"/>
      <c r="K39" s="96"/>
    </row>
    <row r="40" spans="2:11" ht="3" hidden="1" customHeight="1" x14ac:dyDescent="0.2">
      <c r="B40" s="441"/>
      <c r="C40" s="438"/>
      <c r="D40" s="438"/>
      <c r="E40" s="438"/>
      <c r="F40" s="438"/>
      <c r="G40" s="438"/>
      <c r="H40" s="438"/>
      <c r="I40" s="435"/>
      <c r="K40" s="96"/>
    </row>
    <row r="41" spans="2:11" ht="3" hidden="1" customHeight="1" x14ac:dyDescent="0.25">
      <c r="B41" s="441"/>
      <c r="C41" s="438"/>
      <c r="D41" s="438"/>
      <c r="E41" s="438"/>
      <c r="F41" s="438"/>
      <c r="G41" s="438"/>
      <c r="H41" s="438"/>
      <c r="I41" s="435"/>
      <c r="K41" s="97"/>
    </row>
    <row r="42" spans="2:11" ht="15" hidden="1" customHeight="1" x14ac:dyDescent="0.2">
      <c r="B42" s="441"/>
      <c r="C42" s="438"/>
      <c r="D42" s="438"/>
      <c r="E42" s="438"/>
      <c r="F42" s="438"/>
      <c r="G42" s="438"/>
      <c r="H42" s="438"/>
      <c r="I42" s="435"/>
    </row>
    <row r="43" spans="2:11" ht="37.9" hidden="1" customHeight="1" x14ac:dyDescent="0.2">
      <c r="B43" s="441"/>
      <c r="C43" s="438"/>
      <c r="D43" s="438"/>
      <c r="E43" s="438"/>
      <c r="F43" s="438"/>
      <c r="G43" s="438"/>
      <c r="H43" s="438"/>
      <c r="I43" s="435"/>
    </row>
    <row r="44" spans="2:11" ht="15" hidden="1" customHeight="1" x14ac:dyDescent="0.2">
      <c r="B44" s="441"/>
      <c r="C44" s="438"/>
      <c r="D44" s="438"/>
      <c r="E44" s="438"/>
      <c r="F44" s="438"/>
      <c r="G44" s="438"/>
      <c r="H44" s="438"/>
      <c r="I44" s="435"/>
    </row>
    <row r="45" spans="2:11" ht="37.9" hidden="1" customHeight="1" x14ac:dyDescent="0.2">
      <c r="B45" s="441"/>
      <c r="C45" s="438"/>
      <c r="D45" s="438"/>
      <c r="E45" s="438"/>
      <c r="F45" s="438"/>
      <c r="G45" s="438"/>
      <c r="H45" s="438"/>
      <c r="I45" s="435"/>
    </row>
    <row r="46" spans="2:11" ht="45.4" hidden="1" customHeight="1" x14ac:dyDescent="0.2">
      <c r="B46" s="441"/>
      <c r="C46" s="163" t="s">
        <v>553</v>
      </c>
      <c r="D46" s="163" t="s">
        <v>554</v>
      </c>
      <c r="E46" s="163" t="s">
        <v>555</v>
      </c>
      <c r="F46" s="163" t="s">
        <v>556</v>
      </c>
      <c r="G46" s="439" t="s">
        <v>17</v>
      </c>
      <c r="H46" s="439"/>
      <c r="I46" s="435"/>
    </row>
    <row r="47" spans="2:11" ht="39.4" hidden="1" customHeight="1" x14ac:dyDescent="0.2">
      <c r="B47" s="441"/>
      <c r="C47" s="468" t="s">
        <v>63</v>
      </c>
      <c r="D47" s="468"/>
      <c r="E47" s="468"/>
      <c r="F47" s="468"/>
      <c r="G47" s="468"/>
      <c r="H47" s="468"/>
      <c r="I47" s="435"/>
      <c r="K47" s="120"/>
    </row>
    <row r="48" spans="2:11" ht="31.5" customHeight="1" x14ac:dyDescent="0.2">
      <c r="B48" s="425" t="s">
        <v>669</v>
      </c>
      <c r="C48" s="426"/>
      <c r="D48" s="426"/>
      <c r="E48" s="426"/>
      <c r="F48" s="426"/>
      <c r="G48" s="426"/>
      <c r="H48" s="426"/>
      <c r="I48" s="435"/>
    </row>
    <row r="49" spans="2:9" ht="39.75" customHeight="1" x14ac:dyDescent="0.2">
      <c r="B49" s="436" t="s">
        <v>700</v>
      </c>
      <c r="C49" s="308" t="s">
        <v>538</v>
      </c>
      <c r="D49" s="308" t="s">
        <v>540</v>
      </c>
      <c r="E49" s="308" t="s">
        <v>544</v>
      </c>
      <c r="F49" s="308" t="s">
        <v>545</v>
      </c>
      <c r="G49" s="463" t="s">
        <v>539</v>
      </c>
      <c r="H49" s="463"/>
      <c r="I49" s="5"/>
    </row>
    <row r="50" spans="2:9" ht="24.6" customHeight="1" x14ac:dyDescent="0.2">
      <c r="B50" s="437"/>
      <c r="C50" s="317" t="s">
        <v>542</v>
      </c>
      <c r="D50" s="317" t="s">
        <v>536</v>
      </c>
      <c r="E50" s="306">
        <v>32</v>
      </c>
      <c r="F50" s="306">
        <v>28</v>
      </c>
      <c r="G50" s="440" t="s">
        <v>836</v>
      </c>
      <c r="H50" s="440"/>
    </row>
    <row r="51" spans="2:9" ht="24.6" customHeight="1" x14ac:dyDescent="0.2">
      <c r="B51" s="437"/>
      <c r="C51" s="317" t="s">
        <v>541</v>
      </c>
      <c r="D51" s="317" t="s">
        <v>536</v>
      </c>
      <c r="E51" s="306">
        <v>5</v>
      </c>
      <c r="F51" s="306">
        <v>4</v>
      </c>
      <c r="G51" s="440">
        <v>20</v>
      </c>
      <c r="H51" s="440"/>
    </row>
    <row r="52" spans="2:9" ht="24.6" customHeight="1" x14ac:dyDescent="0.2">
      <c r="B52" s="437"/>
      <c r="C52" s="317" t="s">
        <v>543</v>
      </c>
      <c r="D52" s="317" t="s">
        <v>536</v>
      </c>
      <c r="E52" s="306" t="s">
        <v>836</v>
      </c>
      <c r="F52" s="306" t="s">
        <v>836</v>
      </c>
      <c r="G52" s="440" t="s">
        <v>836</v>
      </c>
      <c r="H52" s="440"/>
    </row>
    <row r="53" spans="2:9" ht="55.5" customHeight="1" x14ac:dyDescent="0.2">
      <c r="B53" s="469" t="s">
        <v>670</v>
      </c>
      <c r="C53" s="186" t="s">
        <v>550</v>
      </c>
      <c r="D53" s="187" t="s">
        <v>18</v>
      </c>
      <c r="E53" s="187" t="s">
        <v>549</v>
      </c>
      <c r="F53" s="187" t="s">
        <v>548</v>
      </c>
      <c r="G53" s="187" t="s">
        <v>574</v>
      </c>
      <c r="H53" s="187" t="s">
        <v>575</v>
      </c>
    </row>
    <row r="54" spans="2:9" ht="21.6" customHeight="1" x14ac:dyDescent="0.2">
      <c r="B54" s="470"/>
      <c r="C54" s="307" t="s">
        <v>850</v>
      </c>
      <c r="D54" s="307" t="s">
        <v>851</v>
      </c>
      <c r="E54" s="307">
        <v>11</v>
      </c>
      <c r="F54" s="307">
        <v>1.5</v>
      </c>
      <c r="G54" s="307" t="s">
        <v>836</v>
      </c>
      <c r="H54" s="307" t="s">
        <v>836</v>
      </c>
    </row>
    <row r="55" spans="2:9" ht="26.25" customHeight="1" x14ac:dyDescent="0.2">
      <c r="B55" s="470"/>
      <c r="C55" s="307" t="s">
        <v>852</v>
      </c>
      <c r="D55" s="307" t="s">
        <v>853</v>
      </c>
      <c r="E55" s="307" t="s">
        <v>836</v>
      </c>
      <c r="F55" s="307">
        <v>1.45</v>
      </c>
      <c r="G55" s="307" t="s">
        <v>836</v>
      </c>
      <c r="H55" s="307" t="s">
        <v>836</v>
      </c>
    </row>
    <row r="56" spans="2:9" ht="26.25" customHeight="1" x14ac:dyDescent="0.2">
      <c r="B56" s="471" t="s">
        <v>671</v>
      </c>
      <c r="C56" s="474" t="s">
        <v>18</v>
      </c>
      <c r="D56" s="442"/>
      <c r="E56" s="442" t="s">
        <v>421</v>
      </c>
      <c r="F56" s="442" t="s">
        <v>441</v>
      </c>
      <c r="G56" s="442" t="s">
        <v>7</v>
      </c>
      <c r="H56" s="442"/>
    </row>
    <row r="57" spans="2:9" ht="8.65" customHeight="1" x14ac:dyDescent="0.2">
      <c r="B57" s="471"/>
      <c r="C57" s="475"/>
      <c r="D57" s="443"/>
      <c r="E57" s="443"/>
      <c r="F57" s="443"/>
      <c r="G57" s="443"/>
      <c r="H57" s="443"/>
    </row>
    <row r="58" spans="2:9" ht="43.5" customHeight="1" x14ac:dyDescent="0.2">
      <c r="B58" s="227" t="s">
        <v>672</v>
      </c>
      <c r="C58" s="157">
        <v>0</v>
      </c>
      <c r="D58" s="157">
        <v>4087</v>
      </c>
      <c r="E58" s="157" t="s">
        <v>854</v>
      </c>
      <c r="F58" s="157" t="s">
        <v>855</v>
      </c>
      <c r="G58" s="444" t="s">
        <v>841</v>
      </c>
      <c r="H58" s="445"/>
    </row>
    <row r="59" spans="2:9" ht="28.5" customHeight="1" x14ac:dyDescent="0.2">
      <c r="B59" s="227" t="s">
        <v>673</v>
      </c>
      <c r="C59" s="157">
        <v>0</v>
      </c>
      <c r="D59" s="157">
        <v>4087</v>
      </c>
      <c r="E59" s="157" t="s">
        <v>854</v>
      </c>
      <c r="F59" s="157"/>
      <c r="G59" s="444" t="s">
        <v>841</v>
      </c>
      <c r="H59" s="445"/>
    </row>
    <row r="60" spans="2:9" ht="32.65" customHeight="1" x14ac:dyDescent="0.2">
      <c r="B60" s="227" t="s">
        <v>674</v>
      </c>
      <c r="C60" s="157">
        <v>2817</v>
      </c>
      <c r="D60" s="157">
        <v>2845</v>
      </c>
      <c r="E60" s="157" t="s">
        <v>546</v>
      </c>
      <c r="F60" s="157" t="s">
        <v>837</v>
      </c>
      <c r="G60" s="444" t="s">
        <v>841</v>
      </c>
      <c r="H60" s="445"/>
    </row>
    <row r="61" spans="2:9" ht="34.15" customHeight="1" x14ac:dyDescent="0.2">
      <c r="B61" s="227" t="s">
        <v>675</v>
      </c>
      <c r="C61" s="157">
        <v>1260</v>
      </c>
      <c r="D61" s="157">
        <v>2836</v>
      </c>
      <c r="E61" s="157" t="s">
        <v>546</v>
      </c>
      <c r="F61" s="157" t="s">
        <v>837</v>
      </c>
      <c r="G61" s="444" t="s">
        <v>841</v>
      </c>
      <c r="H61" s="445"/>
    </row>
    <row r="62" spans="2:9" ht="31.15" customHeight="1" x14ac:dyDescent="0.2">
      <c r="B62" s="465" t="s">
        <v>705</v>
      </c>
      <c r="C62" s="466"/>
      <c r="D62" s="466"/>
      <c r="E62" s="466"/>
      <c r="F62" s="466"/>
      <c r="G62" s="466"/>
      <c r="H62" s="467"/>
    </row>
    <row r="63" spans="2:9" ht="43.9" customHeight="1" x14ac:dyDescent="0.2">
      <c r="B63" s="464" t="s">
        <v>442</v>
      </c>
      <c r="C63" s="185" t="s">
        <v>587</v>
      </c>
      <c r="D63" s="270" t="s">
        <v>588</v>
      </c>
      <c r="E63" s="185" t="s">
        <v>600</v>
      </c>
      <c r="F63" s="185" t="s">
        <v>416</v>
      </c>
      <c r="G63" s="185" t="s">
        <v>602</v>
      </c>
      <c r="H63" s="185" t="s">
        <v>590</v>
      </c>
    </row>
    <row r="64" spans="2:9" ht="25.9" customHeight="1" x14ac:dyDescent="0.2">
      <c r="B64" s="464"/>
      <c r="C64" s="307" t="s">
        <v>836</v>
      </c>
      <c r="D64" s="158" t="s">
        <v>3</v>
      </c>
      <c r="E64" s="307" t="s">
        <v>836</v>
      </c>
      <c r="F64" s="307" t="s">
        <v>836</v>
      </c>
      <c r="G64" s="307" t="s">
        <v>836</v>
      </c>
      <c r="H64" s="446" t="s">
        <v>836</v>
      </c>
      <c r="I64" s="435"/>
    </row>
    <row r="65" spans="2:9" ht="26.25" customHeight="1" x14ac:dyDescent="0.2">
      <c r="B65" s="464"/>
      <c r="C65" s="307" t="s">
        <v>836</v>
      </c>
      <c r="D65" s="158" t="s">
        <v>3</v>
      </c>
      <c r="E65" s="307" t="s">
        <v>836</v>
      </c>
      <c r="F65" s="307" t="s">
        <v>836</v>
      </c>
      <c r="G65" s="307" t="s">
        <v>836</v>
      </c>
      <c r="H65" s="447"/>
      <c r="I65" s="435"/>
    </row>
    <row r="66" spans="2:9" ht="26.25" customHeight="1" x14ac:dyDescent="0.2">
      <c r="B66" s="464"/>
      <c r="C66" s="307" t="s">
        <v>836</v>
      </c>
      <c r="D66" s="158" t="s">
        <v>3</v>
      </c>
      <c r="E66" s="307" t="s">
        <v>836</v>
      </c>
      <c r="F66" s="307" t="s">
        <v>836</v>
      </c>
      <c r="G66" s="307" t="s">
        <v>836</v>
      </c>
      <c r="H66" s="447"/>
      <c r="I66" s="127"/>
    </row>
    <row r="67" spans="2:9" ht="42.6" customHeight="1" x14ac:dyDescent="0.2">
      <c r="B67" s="472" t="s">
        <v>254</v>
      </c>
      <c r="C67" s="185" t="s">
        <v>594</v>
      </c>
      <c r="D67" s="185" t="s">
        <v>593</v>
      </c>
      <c r="E67" s="185" t="s">
        <v>592</v>
      </c>
      <c r="F67" s="185" t="s">
        <v>605</v>
      </c>
      <c r="G67" s="191" t="s">
        <v>591</v>
      </c>
      <c r="H67" s="192" t="s">
        <v>589</v>
      </c>
      <c r="I67" s="5"/>
    </row>
    <row r="68" spans="2:9" ht="35.450000000000003" customHeight="1" x14ac:dyDescent="0.2">
      <c r="B68" s="472"/>
      <c r="C68" s="307" t="s">
        <v>836</v>
      </c>
      <c r="D68" s="307" t="s">
        <v>836</v>
      </c>
      <c r="E68" s="307" t="s">
        <v>836</v>
      </c>
      <c r="F68" s="307" t="s">
        <v>836</v>
      </c>
      <c r="G68" s="307" t="s">
        <v>836</v>
      </c>
      <c r="H68" s="307" t="s">
        <v>839</v>
      </c>
      <c r="I68" s="5"/>
    </row>
    <row r="69" spans="2:9" ht="25.5" x14ac:dyDescent="0.2">
      <c r="B69" s="357" t="s">
        <v>707</v>
      </c>
      <c r="C69" s="188" t="s">
        <v>21</v>
      </c>
      <c r="D69" s="188" t="s">
        <v>22</v>
      </c>
      <c r="E69" s="188" t="s">
        <v>23</v>
      </c>
      <c r="F69" s="188" t="s">
        <v>24</v>
      </c>
      <c r="G69" s="451" t="s">
        <v>706</v>
      </c>
      <c r="H69" s="452"/>
    </row>
    <row r="70" spans="2:9" ht="24.75" customHeight="1" x14ac:dyDescent="0.2">
      <c r="B70" s="358"/>
      <c r="C70" s="271" t="s">
        <v>735</v>
      </c>
      <c r="D70" s="159" t="s">
        <v>27</v>
      </c>
      <c r="E70" s="159" t="s">
        <v>27</v>
      </c>
      <c r="F70" s="159" t="s">
        <v>3</v>
      </c>
      <c r="G70" s="444" t="s">
        <v>842</v>
      </c>
      <c r="H70" s="445"/>
    </row>
    <row r="71" spans="2:9" ht="36.4" customHeight="1" x14ac:dyDescent="0.2">
      <c r="B71" s="357" t="s">
        <v>709</v>
      </c>
      <c r="C71" s="257" t="s">
        <v>21</v>
      </c>
      <c r="D71" s="257" t="s">
        <v>22</v>
      </c>
      <c r="E71" s="257" t="s">
        <v>23</v>
      </c>
      <c r="F71" s="257" t="s">
        <v>24</v>
      </c>
      <c r="G71" s="451" t="s">
        <v>706</v>
      </c>
      <c r="H71" s="452"/>
    </row>
    <row r="72" spans="2:9" ht="31.9" customHeight="1" x14ac:dyDescent="0.2">
      <c r="B72" s="358"/>
      <c r="C72" s="255" t="s">
        <v>859</v>
      </c>
      <c r="D72" s="255" t="s">
        <v>27</v>
      </c>
      <c r="E72" s="255" t="s">
        <v>27</v>
      </c>
      <c r="F72" s="255" t="s">
        <v>3</v>
      </c>
      <c r="G72" s="444" t="s">
        <v>842</v>
      </c>
      <c r="H72" s="445"/>
    </row>
    <row r="73" spans="2:9" ht="19.5" customHeight="1" x14ac:dyDescent="0.2">
      <c r="B73" s="488" t="s">
        <v>614</v>
      </c>
      <c r="C73" s="489"/>
      <c r="D73" s="489"/>
      <c r="E73" s="489"/>
      <c r="F73" s="489"/>
      <c r="G73" s="489"/>
      <c r="H73" s="490"/>
    </row>
    <row r="74" spans="2:9" ht="26.25" customHeight="1" x14ac:dyDescent="0.25">
      <c r="B74" s="198"/>
      <c r="C74" s="501" t="s">
        <v>3</v>
      </c>
      <c r="D74" s="501"/>
      <c r="E74" s="501"/>
      <c r="F74" s="501"/>
      <c r="G74" s="501"/>
      <c r="H74" s="161"/>
    </row>
    <row r="75" spans="2:9" ht="26.25" customHeight="1" x14ac:dyDescent="0.2">
      <c r="B75" s="491" t="s">
        <v>676</v>
      </c>
      <c r="C75" s="492"/>
      <c r="D75" s="492"/>
      <c r="E75" s="492"/>
      <c r="F75" s="492"/>
      <c r="G75" s="492"/>
      <c r="H75" s="492"/>
    </row>
    <row r="76" spans="2:9" ht="15" customHeight="1" x14ac:dyDescent="0.2">
      <c r="B76" s="195" t="s">
        <v>677</v>
      </c>
      <c r="C76" s="193"/>
      <c r="D76" s="196"/>
      <c r="E76" s="196"/>
      <c r="F76" s="196"/>
      <c r="G76" s="196"/>
      <c r="H76" s="196"/>
    </row>
    <row r="77" spans="2:9" ht="25.9" customHeight="1" x14ac:dyDescent="0.25">
      <c r="B77" s="198"/>
      <c r="C77" s="501" t="s">
        <v>3</v>
      </c>
      <c r="D77" s="501"/>
      <c r="E77" s="501"/>
      <c r="F77" s="501"/>
      <c r="G77" s="501"/>
      <c r="H77" s="161"/>
    </row>
    <row r="78" spans="2:9" ht="30" customHeight="1" x14ac:dyDescent="0.2">
      <c r="B78" s="372" t="s">
        <v>678</v>
      </c>
      <c r="C78" s="373"/>
      <c r="D78" s="373"/>
      <c r="E78" s="373"/>
      <c r="F78" s="373"/>
      <c r="G78" s="373"/>
      <c r="H78" s="373"/>
    </row>
    <row r="79" spans="2:9" ht="25.15" customHeight="1" x14ac:dyDescent="0.25">
      <c r="B79" s="198"/>
      <c r="C79" s="501" t="s">
        <v>3</v>
      </c>
      <c r="D79" s="501"/>
      <c r="E79" s="501"/>
      <c r="F79" s="501"/>
      <c r="G79" s="501"/>
      <c r="H79" s="161"/>
    </row>
    <row r="80" spans="2:9" ht="26.25" customHeight="1" x14ac:dyDescent="0.2">
      <c r="B80" s="368" t="s">
        <v>679</v>
      </c>
      <c r="C80" s="369"/>
      <c r="D80" s="369"/>
      <c r="E80" s="370"/>
      <c r="F80" s="370"/>
      <c r="G80" s="369"/>
      <c r="H80" s="371"/>
    </row>
    <row r="81" spans="2:8" ht="30" customHeight="1" x14ac:dyDescent="0.2">
      <c r="B81" s="298" t="s">
        <v>31</v>
      </c>
      <c r="C81" s="502" t="s">
        <v>3</v>
      </c>
      <c r="D81" s="502"/>
      <c r="E81" s="502"/>
      <c r="F81" s="502"/>
      <c r="G81" s="502"/>
      <c r="H81" s="299">
        <f>IFERROR(VLOOKUP(C81,[1]Справочник!AC36:AD41,2),0)</f>
        <v>0</v>
      </c>
    </row>
    <row r="82" spans="2:8" ht="30" customHeight="1" x14ac:dyDescent="0.2">
      <c r="B82" s="298" t="s">
        <v>32</v>
      </c>
      <c r="C82" s="503" t="s">
        <v>3</v>
      </c>
      <c r="D82" s="503"/>
      <c r="E82" s="503"/>
      <c r="F82" s="503"/>
      <c r="G82" s="503"/>
      <c r="H82" s="299">
        <f>IFERROR(VLOOKUP(C82,[1]Справочник!AC43:AD47,2),0)</f>
        <v>0</v>
      </c>
    </row>
    <row r="83" spans="2:8" ht="30" customHeight="1" x14ac:dyDescent="0.2">
      <c r="B83" s="298" t="s">
        <v>33</v>
      </c>
      <c r="C83" s="386" t="s">
        <v>3</v>
      </c>
      <c r="D83" s="386"/>
      <c r="E83" s="386"/>
      <c r="F83" s="386"/>
      <c r="G83" s="386"/>
      <c r="H83" s="299">
        <f>IFERROR(IF(C83="&lt;Выбирается из списка&gt;",0,VLOOKUP(C83,[1]Справочник!AC48:AD51,2)),0)</f>
        <v>0</v>
      </c>
    </row>
    <row r="84" spans="2:8" ht="30" customHeight="1" x14ac:dyDescent="0.2">
      <c r="B84" s="298" t="s">
        <v>607</v>
      </c>
      <c r="C84" s="386" t="s">
        <v>3</v>
      </c>
      <c r="D84" s="386"/>
      <c r="E84" s="386"/>
      <c r="F84" s="386"/>
      <c r="G84" s="386"/>
      <c r="H84" s="299">
        <f>IFERROR(IF(C84="&lt;Выбирается из списка&gt;",0,VLOOKUP(C84,[1]Справочник!AC56:AD58,2)),0)</f>
        <v>0</v>
      </c>
    </row>
    <row r="85" spans="2:8" ht="30" customHeight="1" x14ac:dyDescent="0.2">
      <c r="B85" s="298" t="s">
        <v>34</v>
      </c>
      <c r="C85" s="386" t="s">
        <v>3</v>
      </c>
      <c r="D85" s="386"/>
      <c r="E85" s="386"/>
      <c r="F85" s="386"/>
      <c r="G85" s="386"/>
      <c r="H85" s="299"/>
    </row>
    <row r="86" spans="2:8" ht="33.6" customHeight="1" x14ac:dyDescent="0.2">
      <c r="B86" s="374" t="s">
        <v>829</v>
      </c>
      <c r="C86" s="300" t="s">
        <v>547</v>
      </c>
      <c r="D86" s="300" t="s">
        <v>606</v>
      </c>
      <c r="E86" s="300" t="s">
        <v>830</v>
      </c>
      <c r="F86" s="301" t="s">
        <v>831</v>
      </c>
      <c r="G86" s="493" t="s">
        <v>832</v>
      </c>
      <c r="H86" s="494"/>
    </row>
    <row r="87" spans="2:8" ht="43.15" customHeight="1" x14ac:dyDescent="0.2">
      <c r="B87" s="374"/>
      <c r="C87" s="376" t="s">
        <v>27</v>
      </c>
      <c r="D87" s="379" t="s">
        <v>3</v>
      </c>
      <c r="E87" s="302" t="s">
        <v>710</v>
      </c>
      <c r="F87" s="302" t="s">
        <v>710</v>
      </c>
      <c r="G87" s="495" t="s">
        <v>710</v>
      </c>
      <c r="H87" s="496"/>
    </row>
    <row r="88" spans="2:8" ht="46.15" customHeight="1" x14ac:dyDescent="0.2">
      <c r="B88" s="374"/>
      <c r="C88" s="377"/>
      <c r="D88" s="379"/>
      <c r="E88" s="303" t="s">
        <v>833</v>
      </c>
      <c r="F88" s="303" t="s">
        <v>833</v>
      </c>
      <c r="G88" s="497" t="s">
        <v>834</v>
      </c>
      <c r="H88" s="498"/>
    </row>
    <row r="89" spans="2:8" ht="45.6" customHeight="1" thickBot="1" x14ac:dyDescent="0.25">
      <c r="B89" s="375"/>
      <c r="C89" s="378"/>
      <c r="D89" s="379"/>
      <c r="E89" s="302" t="s">
        <v>835</v>
      </c>
      <c r="F89" s="302" t="s">
        <v>835</v>
      </c>
      <c r="G89" s="495" t="s">
        <v>835</v>
      </c>
      <c r="H89" s="496"/>
    </row>
    <row r="90" spans="2:8" ht="41.45" customHeight="1" x14ac:dyDescent="0.2">
      <c r="B90" s="234" t="s">
        <v>446</v>
      </c>
      <c r="C90" s="311" t="s">
        <v>20</v>
      </c>
      <c r="D90" s="235"/>
      <c r="E90" s="362" t="s">
        <v>43</v>
      </c>
      <c r="F90" s="363"/>
      <c r="G90" s="309" t="s">
        <v>3</v>
      </c>
      <c r="H90" s="245"/>
    </row>
    <row r="91" spans="2:8" ht="80.45" customHeight="1" x14ac:dyDescent="0.2">
      <c r="B91" s="160" t="s">
        <v>35</v>
      </c>
      <c r="C91" s="304" t="s">
        <v>3</v>
      </c>
      <c r="D91" s="233"/>
      <c r="E91" s="364" t="s">
        <v>44</v>
      </c>
      <c r="F91" s="365"/>
      <c r="G91" s="309" t="s">
        <v>3</v>
      </c>
      <c r="H91" s="162"/>
    </row>
    <row r="92" spans="2:8" ht="39" hidden="1" customHeight="1" x14ac:dyDescent="0.2">
      <c r="B92" s="164" t="s">
        <v>36</v>
      </c>
      <c r="C92" s="304" t="s">
        <v>27</v>
      </c>
      <c r="D92" s="233"/>
      <c r="E92" s="198" t="s">
        <v>45</v>
      </c>
      <c r="F92" s="233"/>
      <c r="G92" s="309" t="s">
        <v>3</v>
      </c>
      <c r="H92" s="162"/>
    </row>
    <row r="93" spans="2:8" ht="63.6" customHeight="1" x14ac:dyDescent="0.2">
      <c r="B93" s="160" t="s">
        <v>712</v>
      </c>
      <c r="C93" s="305" t="s">
        <v>3</v>
      </c>
      <c r="D93" s="233"/>
      <c r="E93" s="364" t="s">
        <v>46</v>
      </c>
      <c r="F93" s="365"/>
      <c r="G93" s="309" t="s">
        <v>3</v>
      </c>
      <c r="H93" s="162"/>
    </row>
    <row r="94" spans="2:8" ht="64.5" customHeight="1" x14ac:dyDescent="0.2">
      <c r="B94" s="160" t="s">
        <v>37</v>
      </c>
      <c r="C94" s="305" t="s">
        <v>3</v>
      </c>
      <c r="D94" s="233"/>
      <c r="E94" s="366" t="s">
        <v>47</v>
      </c>
      <c r="F94" s="367"/>
      <c r="G94" s="309" t="s">
        <v>3</v>
      </c>
      <c r="H94" s="162"/>
    </row>
    <row r="95" spans="2:8" ht="60.6" customHeight="1" x14ac:dyDescent="0.2">
      <c r="B95" s="160" t="s">
        <v>619</v>
      </c>
      <c r="C95" s="309" t="s">
        <v>3</v>
      </c>
      <c r="D95" s="233"/>
      <c r="E95" s="364" t="s">
        <v>615</v>
      </c>
      <c r="F95" s="365"/>
      <c r="G95" s="309" t="s">
        <v>3</v>
      </c>
      <c r="H95" s="162"/>
    </row>
    <row r="96" spans="2:8" ht="56.65" customHeight="1" x14ac:dyDescent="0.2">
      <c r="B96" s="160" t="s">
        <v>38</v>
      </c>
      <c r="C96" s="309" t="s">
        <v>3</v>
      </c>
      <c r="D96" s="233"/>
      <c r="E96" s="364" t="s">
        <v>48</v>
      </c>
      <c r="F96" s="365"/>
      <c r="G96" s="309" t="s">
        <v>3</v>
      </c>
      <c r="H96" s="162"/>
    </row>
    <row r="97" spans="2:8" ht="42.6" customHeight="1" x14ac:dyDescent="0.2">
      <c r="B97" s="160" t="s">
        <v>618</v>
      </c>
      <c r="C97" s="309" t="s">
        <v>3</v>
      </c>
      <c r="D97" s="233"/>
      <c r="E97" s="364" t="s">
        <v>45</v>
      </c>
      <c r="F97" s="365"/>
      <c r="G97" s="309" t="s">
        <v>3</v>
      </c>
      <c r="H97" s="162"/>
    </row>
    <row r="98" spans="2:8" ht="40.9" customHeight="1" x14ac:dyDescent="0.2">
      <c r="B98" s="160" t="s">
        <v>39</v>
      </c>
      <c r="C98" s="310" t="s">
        <v>3</v>
      </c>
      <c r="D98" s="233"/>
      <c r="E98" s="364" t="s">
        <v>49</v>
      </c>
      <c r="F98" s="365"/>
      <c r="G98" s="309" t="s">
        <v>3</v>
      </c>
      <c r="H98" s="162"/>
    </row>
    <row r="99" spans="2:8" ht="114" customHeight="1" x14ac:dyDescent="0.2">
      <c r="B99" s="160" t="s">
        <v>40</v>
      </c>
      <c r="C99" s="309" t="s">
        <v>3</v>
      </c>
      <c r="D99" s="233"/>
      <c r="E99" s="364" t="s">
        <v>50</v>
      </c>
      <c r="F99" s="365"/>
      <c r="G99" s="309" t="s">
        <v>3</v>
      </c>
      <c r="H99" s="162"/>
    </row>
    <row r="100" spans="2:8" ht="42.6" customHeight="1" x14ac:dyDescent="0.2">
      <c r="B100" s="160" t="s">
        <v>41</v>
      </c>
      <c r="C100" s="309" t="s">
        <v>3</v>
      </c>
      <c r="D100" s="233"/>
      <c r="E100" s="364" t="s">
        <v>42</v>
      </c>
      <c r="F100" s="365"/>
      <c r="G100" s="309" t="s">
        <v>3</v>
      </c>
      <c r="H100" s="162"/>
    </row>
    <row r="101" spans="2:8" ht="33" customHeight="1" thickBot="1" x14ac:dyDescent="0.25">
      <c r="B101" s="160" t="s">
        <v>711</v>
      </c>
      <c r="C101" s="309" t="s">
        <v>3</v>
      </c>
      <c r="D101" s="233"/>
      <c r="E101" s="364" t="s">
        <v>724</v>
      </c>
      <c r="F101" s="365"/>
      <c r="G101" s="310" t="s">
        <v>3</v>
      </c>
      <c r="H101" s="162"/>
    </row>
    <row r="102" spans="2:8" ht="18.399999999999999" hidden="1" customHeight="1" x14ac:dyDescent="0.2">
      <c r="B102" s="160"/>
      <c r="C102" s="233" t="s">
        <v>27</v>
      </c>
      <c r="D102" s="233"/>
      <c r="E102" s="233"/>
      <c r="F102" s="233"/>
      <c r="G102" s="233"/>
      <c r="H102" s="162"/>
    </row>
    <row r="103" spans="2:8" ht="55.9" hidden="1" customHeight="1" x14ac:dyDescent="0.2">
      <c r="B103" s="160"/>
      <c r="C103" s="233" t="s">
        <v>27</v>
      </c>
      <c r="D103" s="233"/>
      <c r="E103" s="233"/>
      <c r="F103" s="233"/>
      <c r="G103" s="233"/>
      <c r="H103" s="162"/>
    </row>
    <row r="104" spans="2:8" ht="19.149999999999999" hidden="1" customHeight="1" x14ac:dyDescent="0.2">
      <c r="B104" s="160"/>
      <c r="C104" s="233" t="s">
        <v>27</v>
      </c>
      <c r="D104" s="233"/>
      <c r="E104" s="233"/>
      <c r="F104" s="233"/>
      <c r="G104" s="233"/>
      <c r="H104" s="162"/>
    </row>
    <row r="105" spans="2:8" ht="42.4" hidden="1" customHeight="1" x14ac:dyDescent="0.2">
      <c r="B105" s="160"/>
      <c r="C105" s="233" t="s">
        <v>27</v>
      </c>
      <c r="D105" s="233"/>
      <c r="E105" s="233"/>
      <c r="F105" s="233"/>
      <c r="G105" s="233"/>
      <c r="H105" s="162"/>
    </row>
    <row r="106" spans="2:8" ht="54.4" hidden="1" customHeight="1" x14ac:dyDescent="0.2">
      <c r="B106" s="160"/>
      <c r="C106" s="233" t="s">
        <v>27</v>
      </c>
      <c r="D106" s="233"/>
      <c r="E106" s="233"/>
      <c r="F106" s="233"/>
      <c r="G106" s="233"/>
      <c r="H106" s="162"/>
    </row>
    <row r="107" spans="2:8" ht="17.649999999999999" hidden="1" customHeight="1" x14ac:dyDescent="0.2">
      <c r="B107" s="160"/>
      <c r="C107" s="233" t="s">
        <v>27</v>
      </c>
      <c r="D107" s="233"/>
      <c r="E107" s="233"/>
      <c r="F107" s="233"/>
      <c r="G107" s="233"/>
      <c r="H107" s="162"/>
    </row>
    <row r="108" spans="2:8" ht="25.5" hidden="1" customHeight="1" x14ac:dyDescent="0.2">
      <c r="B108" s="160"/>
      <c r="C108" s="233" t="s">
        <v>27</v>
      </c>
      <c r="D108" s="233"/>
      <c r="E108" s="233"/>
      <c r="F108" s="233"/>
      <c r="G108" s="233"/>
      <c r="H108" s="162"/>
    </row>
    <row r="109" spans="2:8" ht="28.15" hidden="1" customHeight="1" x14ac:dyDescent="0.2">
      <c r="B109" s="160"/>
      <c r="C109" s="233" t="s">
        <v>27</v>
      </c>
      <c r="D109" s="233"/>
      <c r="E109" s="233"/>
      <c r="F109" s="233"/>
      <c r="G109" s="233"/>
      <c r="H109" s="162"/>
    </row>
    <row r="110" spans="2:8" ht="24.75" hidden="1" customHeight="1" thickBot="1" x14ac:dyDescent="0.25">
      <c r="B110" s="160"/>
      <c r="C110" s="233" t="s">
        <v>27</v>
      </c>
      <c r="D110" s="233"/>
      <c r="E110" s="233"/>
      <c r="F110" s="233"/>
      <c r="G110" s="233"/>
      <c r="H110" s="162"/>
    </row>
    <row r="111" spans="2:8" ht="25.9" hidden="1" customHeight="1" x14ac:dyDescent="0.2">
      <c r="B111" s="165"/>
      <c r="C111" s="244" t="s">
        <v>20</v>
      </c>
      <c r="D111" s="244"/>
      <c r="E111" s="244"/>
      <c r="F111" s="244"/>
      <c r="G111" s="244"/>
      <c r="H111" s="166"/>
    </row>
    <row r="112" spans="2:8" ht="25.15" customHeight="1" x14ac:dyDescent="0.2">
      <c r="B112" s="485" t="s">
        <v>680</v>
      </c>
      <c r="C112" s="486"/>
      <c r="D112" s="486"/>
      <c r="E112" s="486"/>
      <c r="F112" s="486"/>
      <c r="G112" s="486"/>
      <c r="H112" s="487"/>
    </row>
    <row r="113" spans="2:8" ht="25.9" hidden="1" customHeight="1" x14ac:dyDescent="0.2">
      <c r="B113" s="246" t="s">
        <v>51</v>
      </c>
      <c r="C113" s="380" t="s">
        <v>20</v>
      </c>
      <c r="D113" s="381"/>
      <c r="E113" s="381"/>
      <c r="F113" s="381"/>
      <c r="G113" s="382"/>
      <c r="H113" s="247"/>
    </row>
    <row r="114" spans="2:8" ht="26.25" customHeight="1" x14ac:dyDescent="0.2">
      <c r="B114" s="246" t="s">
        <v>52</v>
      </c>
      <c r="C114" s="454">
        <v>1</v>
      </c>
      <c r="D114" s="455"/>
      <c r="E114" s="455"/>
      <c r="F114" s="455"/>
      <c r="G114" s="456"/>
      <c r="H114" s="247"/>
    </row>
    <row r="115" spans="2:8" ht="26.25" customHeight="1" x14ac:dyDescent="0.2">
      <c r="B115" s="246" t="s">
        <v>718</v>
      </c>
      <c r="C115" s="383" t="s">
        <v>836</v>
      </c>
      <c r="D115" s="384"/>
      <c r="E115" s="384"/>
      <c r="F115" s="384"/>
      <c r="G115" s="385"/>
      <c r="H115" s="247"/>
    </row>
    <row r="116" spans="2:8" ht="26.25" customHeight="1" x14ac:dyDescent="0.2">
      <c r="B116" s="246" t="s">
        <v>53</v>
      </c>
      <c r="C116" s="454" t="s">
        <v>386</v>
      </c>
      <c r="D116" s="455"/>
      <c r="E116" s="455"/>
      <c r="F116" s="455"/>
      <c r="G116" s="456"/>
      <c r="H116" s="247"/>
    </row>
    <row r="117" spans="2:8" ht="32.450000000000003" customHeight="1" x14ac:dyDescent="0.2">
      <c r="B117" s="246" t="s">
        <v>54</v>
      </c>
      <c r="C117" s="383" t="s">
        <v>386</v>
      </c>
      <c r="D117" s="384"/>
      <c r="E117" s="384"/>
      <c r="F117" s="384"/>
      <c r="G117" s="385"/>
      <c r="H117" s="247"/>
    </row>
    <row r="118" spans="2:8" ht="46.15" customHeight="1" x14ac:dyDescent="0.2">
      <c r="B118" s="246" t="s">
        <v>733</v>
      </c>
      <c r="C118" s="383" t="s">
        <v>836</v>
      </c>
      <c r="D118" s="384"/>
      <c r="E118" s="384"/>
      <c r="F118" s="384"/>
      <c r="G118" s="385"/>
      <c r="H118" s="266"/>
    </row>
    <row r="119" spans="2:8" ht="42.75" customHeight="1" thickBot="1" x14ac:dyDescent="0.25">
      <c r="B119" s="248" t="s">
        <v>55</v>
      </c>
      <c r="C119" s="482" t="s">
        <v>386</v>
      </c>
      <c r="D119" s="483"/>
      <c r="E119" s="483"/>
      <c r="F119" s="483"/>
      <c r="G119" s="484"/>
      <c r="H119" s="249"/>
    </row>
    <row r="120" spans="2:8" ht="61.5" customHeight="1" x14ac:dyDescent="0.2">
      <c r="B120" s="234" t="s">
        <v>56</v>
      </c>
      <c r="C120" s="312" t="s">
        <v>3</v>
      </c>
      <c r="D120" s="235"/>
      <c r="E120" s="362" t="s">
        <v>690</v>
      </c>
      <c r="F120" s="363"/>
      <c r="G120" s="312" t="s">
        <v>3</v>
      </c>
      <c r="H120" s="245"/>
    </row>
    <row r="121" spans="2:8" ht="42.75" customHeight="1" x14ac:dyDescent="0.2">
      <c r="B121" s="160" t="s">
        <v>57</v>
      </c>
      <c r="C121" s="312" t="s">
        <v>3</v>
      </c>
      <c r="D121" s="233"/>
      <c r="E121" s="364" t="s">
        <v>59</v>
      </c>
      <c r="F121" s="365"/>
      <c r="G121" s="312" t="s">
        <v>3</v>
      </c>
      <c r="H121" s="162"/>
    </row>
    <row r="122" spans="2:8" ht="42.75" customHeight="1" x14ac:dyDescent="0.2">
      <c r="B122" s="160" t="s">
        <v>58</v>
      </c>
      <c r="C122" s="313" t="s">
        <v>3</v>
      </c>
      <c r="D122" s="233"/>
      <c r="E122" s="364" t="s">
        <v>717</v>
      </c>
      <c r="F122" s="365"/>
      <c r="G122" s="314" t="s">
        <v>3</v>
      </c>
      <c r="H122" s="162"/>
    </row>
    <row r="123" spans="2:8" ht="31.15" customHeight="1" x14ac:dyDescent="0.2">
      <c r="B123" s="198" t="s">
        <v>726</v>
      </c>
      <c r="C123" s="314" t="s">
        <v>3</v>
      </c>
      <c r="D123" s="233"/>
      <c r="E123" s="364" t="s">
        <v>691</v>
      </c>
      <c r="F123" s="365"/>
      <c r="G123" s="309" t="s">
        <v>3</v>
      </c>
      <c r="H123" s="162"/>
    </row>
    <row r="124" spans="2:8" ht="48.6" customHeight="1" x14ac:dyDescent="0.2">
      <c r="B124" s="198" t="s">
        <v>691</v>
      </c>
      <c r="C124" s="309" t="s">
        <v>3</v>
      </c>
      <c r="D124" s="233"/>
      <c r="E124" s="364" t="s">
        <v>691</v>
      </c>
      <c r="F124" s="365"/>
      <c r="G124" s="309" t="s">
        <v>3</v>
      </c>
      <c r="H124" s="162"/>
    </row>
    <row r="125" spans="2:8" ht="58.9" customHeight="1" x14ac:dyDescent="0.2">
      <c r="B125" s="391" t="s">
        <v>681</v>
      </c>
      <c r="C125" s="392"/>
      <c r="D125" s="392"/>
      <c r="E125" s="392"/>
      <c r="F125" s="392"/>
      <c r="G125" s="392"/>
      <c r="H125" s="393"/>
    </row>
    <row r="126" spans="2:8" ht="40.15" customHeight="1" x14ac:dyDescent="0.2">
      <c r="B126" s="237" t="s">
        <v>388</v>
      </c>
      <c r="C126" s="261">
        <v>50</v>
      </c>
      <c r="D126" s="236"/>
      <c r="E126" s="405" t="s">
        <v>360</v>
      </c>
      <c r="F126" s="406"/>
      <c r="G126" s="314" t="s">
        <v>3</v>
      </c>
      <c r="H126" s="162"/>
    </row>
    <row r="127" spans="2:8" ht="61.9" customHeight="1" x14ac:dyDescent="0.2">
      <c r="B127" s="237" t="s">
        <v>357</v>
      </c>
      <c r="C127" s="287">
        <v>1</v>
      </c>
      <c r="D127" s="236"/>
      <c r="E127" s="364" t="s">
        <v>361</v>
      </c>
      <c r="F127" s="365"/>
      <c r="G127" s="312" t="s">
        <v>3</v>
      </c>
      <c r="H127" s="162"/>
    </row>
    <row r="128" spans="2:8" ht="54.4" customHeight="1" x14ac:dyDescent="0.2">
      <c r="B128" s="237" t="s">
        <v>358</v>
      </c>
      <c r="C128" s="287">
        <v>50</v>
      </c>
      <c r="D128" s="236"/>
      <c r="E128" s="364" t="s">
        <v>362</v>
      </c>
      <c r="F128" s="365"/>
      <c r="G128" s="312" t="s">
        <v>3</v>
      </c>
      <c r="H128" s="162"/>
    </row>
    <row r="129" spans="2:8" ht="57" customHeight="1" x14ac:dyDescent="0.2">
      <c r="B129" s="237" t="s">
        <v>359</v>
      </c>
      <c r="C129" s="287">
        <v>50</v>
      </c>
      <c r="D129" s="236"/>
      <c r="E129" s="364" t="s">
        <v>363</v>
      </c>
      <c r="F129" s="365"/>
      <c r="G129" s="312" t="s">
        <v>3</v>
      </c>
      <c r="H129" s="162"/>
    </row>
    <row r="130" spans="2:8" ht="65.650000000000006" customHeight="1" x14ac:dyDescent="0.2">
      <c r="B130" s="237" t="s">
        <v>719</v>
      </c>
      <c r="C130" s="287">
        <v>1</v>
      </c>
      <c r="D130" s="236"/>
      <c r="E130" s="364" t="s">
        <v>364</v>
      </c>
      <c r="F130" s="365"/>
      <c r="G130" s="312" t="s">
        <v>3</v>
      </c>
      <c r="H130" s="162"/>
    </row>
    <row r="131" spans="2:8" ht="63" customHeight="1" x14ac:dyDescent="0.2">
      <c r="B131" s="237" t="s">
        <v>695</v>
      </c>
      <c r="C131" s="269" t="s">
        <v>3</v>
      </c>
      <c r="D131" s="236"/>
      <c r="E131" s="364" t="s">
        <v>727</v>
      </c>
      <c r="F131" s="365"/>
      <c r="G131" s="314" t="s">
        <v>3</v>
      </c>
      <c r="H131" s="162"/>
    </row>
    <row r="132" spans="2:8" ht="57.6" customHeight="1" x14ac:dyDescent="0.2">
      <c r="B132" s="237" t="s">
        <v>360</v>
      </c>
      <c r="C132" s="269" t="s">
        <v>3</v>
      </c>
      <c r="D132" s="236"/>
      <c r="E132" s="364" t="s">
        <v>691</v>
      </c>
      <c r="F132" s="365"/>
      <c r="G132" s="312" t="s">
        <v>3</v>
      </c>
      <c r="H132" s="162"/>
    </row>
    <row r="133" spans="2:8" ht="2.4500000000000002" hidden="1" customHeight="1" x14ac:dyDescent="0.2">
      <c r="B133" s="237" t="s">
        <v>360</v>
      </c>
      <c r="C133" s="236"/>
      <c r="D133" s="236"/>
      <c r="E133" s="236"/>
      <c r="F133" s="236"/>
      <c r="G133" s="312" t="s">
        <v>3</v>
      </c>
      <c r="H133" s="162"/>
    </row>
    <row r="134" spans="2:8" ht="45" hidden="1" customHeight="1" x14ac:dyDescent="0.2">
      <c r="B134" s="237" t="s">
        <v>360</v>
      </c>
      <c r="C134" s="236"/>
      <c r="D134" s="236"/>
      <c r="E134" s="236"/>
      <c r="F134" s="236"/>
      <c r="G134" s="312" t="s">
        <v>3</v>
      </c>
      <c r="H134" s="162"/>
    </row>
    <row r="135" spans="2:8" ht="79.150000000000006" hidden="1" customHeight="1" x14ac:dyDescent="0.2">
      <c r="B135" s="237" t="s">
        <v>360</v>
      </c>
      <c r="C135" s="236"/>
      <c r="D135" s="236"/>
      <c r="E135" s="236"/>
      <c r="F135" s="236"/>
      <c r="G135" s="312" t="s">
        <v>3</v>
      </c>
      <c r="H135" s="162"/>
    </row>
    <row r="136" spans="2:8" ht="51.4" hidden="1" customHeight="1" x14ac:dyDescent="0.2">
      <c r="B136" s="237" t="s">
        <v>360</v>
      </c>
      <c r="C136" s="236"/>
      <c r="D136" s="236"/>
      <c r="E136" s="236"/>
      <c r="F136" s="236"/>
      <c r="G136" s="312" t="s">
        <v>3</v>
      </c>
      <c r="H136" s="162"/>
    </row>
    <row r="137" spans="2:8" ht="51" customHeight="1" x14ac:dyDescent="0.2">
      <c r="B137" s="237" t="s">
        <v>691</v>
      </c>
      <c r="C137" s="269" t="s">
        <v>3</v>
      </c>
      <c r="D137" s="236"/>
      <c r="E137" s="364" t="s">
        <v>691</v>
      </c>
      <c r="F137" s="365"/>
      <c r="G137" s="312" t="s">
        <v>3</v>
      </c>
      <c r="H137" s="162"/>
    </row>
    <row r="138" spans="2:8" ht="51" hidden="1" customHeight="1" x14ac:dyDescent="0.2">
      <c r="B138" s="237"/>
      <c r="C138" s="236" t="s">
        <v>3</v>
      </c>
      <c r="D138" s="236"/>
      <c r="E138" s="236"/>
      <c r="F138" s="236"/>
      <c r="G138" s="236"/>
      <c r="H138" s="162"/>
    </row>
    <row r="139" spans="2:8" ht="59.25" customHeight="1" x14ac:dyDescent="0.2">
      <c r="B139" s="397" t="s">
        <v>682</v>
      </c>
      <c r="C139" s="398"/>
      <c r="D139" s="398"/>
      <c r="E139" s="398"/>
      <c r="F139" s="398"/>
      <c r="G139" s="398"/>
      <c r="H139" s="399"/>
    </row>
    <row r="140" spans="2:8" ht="42" customHeight="1" x14ac:dyDescent="0.2">
      <c r="B140" s="160" t="s">
        <v>558</v>
      </c>
      <c r="C140" s="307" t="s">
        <v>843</v>
      </c>
      <c r="D140" s="236"/>
      <c r="E140" s="364" t="s">
        <v>366</v>
      </c>
      <c r="F140" s="365"/>
      <c r="G140" s="313" t="s">
        <v>3</v>
      </c>
      <c r="H140" s="162"/>
    </row>
    <row r="141" spans="2:8" ht="42" customHeight="1" x14ac:dyDescent="0.2">
      <c r="B141" s="160" t="s">
        <v>365</v>
      </c>
      <c r="C141" s="314" t="s">
        <v>3</v>
      </c>
      <c r="D141" s="236"/>
      <c r="E141" s="364" t="s">
        <v>367</v>
      </c>
      <c r="F141" s="365"/>
      <c r="G141" s="314" t="s">
        <v>3</v>
      </c>
      <c r="H141" s="162"/>
    </row>
    <row r="142" spans="2:8" ht="42" customHeight="1" x14ac:dyDescent="0.2">
      <c r="B142" s="160" t="s">
        <v>28</v>
      </c>
      <c r="C142" s="314" t="s">
        <v>3</v>
      </c>
      <c r="D142" s="236"/>
      <c r="E142" s="364" t="s">
        <v>209</v>
      </c>
      <c r="F142" s="365"/>
      <c r="G142" s="314" t="s">
        <v>3</v>
      </c>
      <c r="H142" s="162"/>
    </row>
    <row r="143" spans="2:8" ht="37.15" hidden="1" customHeight="1" x14ac:dyDescent="0.2">
      <c r="B143" s="160"/>
      <c r="C143" s="236"/>
      <c r="D143" s="236"/>
      <c r="E143" s="236"/>
      <c r="F143" s="236"/>
      <c r="G143" s="236"/>
      <c r="H143" s="162"/>
    </row>
    <row r="144" spans="2:8" ht="24.6" hidden="1" customHeight="1" x14ac:dyDescent="0.2">
      <c r="B144" s="160"/>
      <c r="C144" s="236"/>
      <c r="D144" s="236"/>
      <c r="E144" s="236"/>
      <c r="F144" s="236"/>
      <c r="G144" s="236"/>
      <c r="H144" s="162"/>
    </row>
    <row r="145" spans="2:8" ht="36.6" hidden="1" customHeight="1" x14ac:dyDescent="0.2">
      <c r="B145" s="165"/>
      <c r="C145" s="238"/>
      <c r="D145" s="238"/>
      <c r="E145" s="238"/>
      <c r="F145" s="238"/>
      <c r="G145" s="238"/>
      <c r="H145" s="166"/>
    </row>
    <row r="146" spans="2:8" ht="26.25" customHeight="1" x14ac:dyDescent="0.2">
      <c r="B146" s="394" t="s">
        <v>683</v>
      </c>
      <c r="C146" s="395"/>
      <c r="D146" s="395"/>
      <c r="E146" s="395"/>
      <c r="F146" s="395"/>
      <c r="G146" s="395"/>
      <c r="H146" s="396"/>
    </row>
    <row r="147" spans="2:8" ht="26.25" customHeight="1" x14ac:dyDescent="0.2">
      <c r="B147" s="243" t="s">
        <v>375</v>
      </c>
      <c r="C147" s="241" t="s">
        <v>557</v>
      </c>
      <c r="D147" s="241" t="s">
        <v>376</v>
      </c>
      <c r="E147" s="241" t="s">
        <v>377</v>
      </c>
      <c r="F147" s="241" t="s">
        <v>378</v>
      </c>
      <c r="G147" s="241" t="s">
        <v>692</v>
      </c>
      <c r="H147" s="239"/>
    </row>
    <row r="148" spans="2:8" ht="33.6" customHeight="1" x14ac:dyDescent="0.2">
      <c r="B148" s="207" t="s">
        <v>3</v>
      </c>
      <c r="C148" s="307" t="s">
        <v>836</v>
      </c>
      <c r="D148" s="307" t="s">
        <v>836</v>
      </c>
      <c r="E148" s="307" t="s">
        <v>836</v>
      </c>
      <c r="F148" s="307" t="s">
        <v>836</v>
      </c>
      <c r="G148" s="306" t="s">
        <v>844</v>
      </c>
      <c r="H148" s="239"/>
    </row>
    <row r="149" spans="2:8" ht="26.25" customHeight="1" x14ac:dyDescent="0.2">
      <c r="B149" s="296" t="s">
        <v>3</v>
      </c>
      <c r="C149" s="307" t="s">
        <v>836</v>
      </c>
      <c r="D149" s="307" t="s">
        <v>836</v>
      </c>
      <c r="E149" s="307" t="s">
        <v>836</v>
      </c>
      <c r="F149" s="307" t="s">
        <v>836</v>
      </c>
      <c r="G149" s="306" t="s">
        <v>844</v>
      </c>
      <c r="H149" s="239"/>
    </row>
    <row r="150" spans="2:8" ht="26.25" customHeight="1" x14ac:dyDescent="0.2">
      <c r="B150" s="296" t="s">
        <v>3</v>
      </c>
      <c r="C150" s="307" t="s">
        <v>836</v>
      </c>
      <c r="D150" s="307" t="s">
        <v>836</v>
      </c>
      <c r="E150" s="307" t="s">
        <v>836</v>
      </c>
      <c r="F150" s="307" t="s">
        <v>836</v>
      </c>
      <c r="G150" s="306" t="s">
        <v>844</v>
      </c>
      <c r="H150" s="239"/>
    </row>
    <row r="151" spans="2:8" ht="26.25" customHeight="1" x14ac:dyDescent="0.2">
      <c r="B151" s="296" t="s">
        <v>3</v>
      </c>
      <c r="C151" s="307" t="s">
        <v>836</v>
      </c>
      <c r="D151" s="307" t="s">
        <v>836</v>
      </c>
      <c r="E151" s="307" t="s">
        <v>836</v>
      </c>
      <c r="F151" s="307" t="s">
        <v>836</v>
      </c>
      <c r="G151" s="306" t="s">
        <v>844</v>
      </c>
      <c r="H151" s="239"/>
    </row>
    <row r="152" spans="2:8" ht="26.25" customHeight="1" x14ac:dyDescent="0.2">
      <c r="B152" s="296" t="s">
        <v>3</v>
      </c>
      <c r="C152" s="307" t="s">
        <v>836</v>
      </c>
      <c r="D152" s="307" t="s">
        <v>836</v>
      </c>
      <c r="E152" s="307" t="s">
        <v>836</v>
      </c>
      <c r="F152" s="307" t="s">
        <v>836</v>
      </c>
      <c r="G152" s="306" t="s">
        <v>844</v>
      </c>
      <c r="H152" s="239"/>
    </row>
    <row r="153" spans="2:8" ht="27" customHeight="1" x14ac:dyDescent="0.2">
      <c r="B153" s="296" t="s">
        <v>3</v>
      </c>
      <c r="C153" s="307" t="s">
        <v>836</v>
      </c>
      <c r="D153" s="307" t="s">
        <v>836</v>
      </c>
      <c r="E153" s="307" t="s">
        <v>836</v>
      </c>
      <c r="F153" s="307" t="s">
        <v>836</v>
      </c>
      <c r="G153" s="306" t="s">
        <v>844</v>
      </c>
      <c r="H153" s="239"/>
    </row>
    <row r="154" spans="2:8" ht="26.25" customHeight="1" x14ac:dyDescent="0.2">
      <c r="B154" s="296" t="s">
        <v>3</v>
      </c>
      <c r="C154" s="307" t="s">
        <v>836</v>
      </c>
      <c r="D154" s="307" t="s">
        <v>836</v>
      </c>
      <c r="E154" s="307" t="s">
        <v>836</v>
      </c>
      <c r="F154" s="307" t="s">
        <v>836</v>
      </c>
      <c r="G154" s="306" t="s">
        <v>844</v>
      </c>
      <c r="H154" s="239"/>
    </row>
    <row r="155" spans="2:8" ht="26.25" customHeight="1" x14ac:dyDescent="0.2">
      <c r="B155" s="296" t="s">
        <v>3</v>
      </c>
      <c r="C155" s="307" t="s">
        <v>836</v>
      </c>
      <c r="D155" s="307" t="s">
        <v>836</v>
      </c>
      <c r="E155" s="307" t="s">
        <v>836</v>
      </c>
      <c r="F155" s="307" t="s">
        <v>836</v>
      </c>
      <c r="G155" s="306" t="s">
        <v>844</v>
      </c>
      <c r="H155" s="239"/>
    </row>
    <row r="156" spans="2:8" ht="33" customHeight="1" x14ac:dyDescent="0.2">
      <c r="B156" s="296" t="s">
        <v>3</v>
      </c>
      <c r="C156" s="307" t="s">
        <v>836</v>
      </c>
      <c r="D156" s="307" t="s">
        <v>836</v>
      </c>
      <c r="E156" s="307" t="s">
        <v>836</v>
      </c>
      <c r="F156" s="307" t="s">
        <v>836</v>
      </c>
      <c r="G156" s="306" t="s">
        <v>844</v>
      </c>
      <c r="H156" s="239"/>
    </row>
    <row r="157" spans="2:8" ht="30.6" customHeight="1" x14ac:dyDescent="0.2">
      <c r="B157" s="250" t="s">
        <v>716</v>
      </c>
      <c r="C157" s="307" t="s">
        <v>836</v>
      </c>
      <c r="D157" s="307" t="s">
        <v>836</v>
      </c>
      <c r="E157" s="307" t="s">
        <v>836</v>
      </c>
      <c r="F157" s="307" t="s">
        <v>836</v>
      </c>
      <c r="G157" s="306" t="s">
        <v>844</v>
      </c>
      <c r="H157" s="239"/>
    </row>
    <row r="158" spans="2:8" ht="46.9" customHeight="1" x14ac:dyDescent="0.2">
      <c r="B158" s="207" t="s">
        <v>620</v>
      </c>
      <c r="C158" s="307" t="s">
        <v>836</v>
      </c>
      <c r="D158" s="307" t="s">
        <v>836</v>
      </c>
      <c r="E158" s="307" t="s">
        <v>836</v>
      </c>
      <c r="F158" s="307" t="s">
        <v>836</v>
      </c>
      <c r="G158" s="306" t="s">
        <v>844</v>
      </c>
      <c r="H158" s="239"/>
    </row>
    <row r="159" spans="2:8" ht="74.45" customHeight="1" x14ac:dyDescent="0.2">
      <c r="B159" s="242" t="s">
        <v>368</v>
      </c>
      <c r="C159" s="253" t="s">
        <v>3</v>
      </c>
      <c r="D159" s="240"/>
      <c r="E159" s="506" t="s">
        <v>715</v>
      </c>
      <c r="F159" s="507"/>
      <c r="G159" s="309" t="s">
        <v>3</v>
      </c>
      <c r="H159" s="168"/>
    </row>
    <row r="160" spans="2:8" ht="50.1" customHeight="1" x14ac:dyDescent="0.2">
      <c r="B160" s="167" t="s">
        <v>400</v>
      </c>
      <c r="C160" s="253" t="s">
        <v>3</v>
      </c>
      <c r="D160" s="232"/>
      <c r="E160" s="359" t="s">
        <v>372</v>
      </c>
      <c r="F160" s="361"/>
      <c r="G160" s="309" t="s">
        <v>3</v>
      </c>
      <c r="H160" s="168"/>
    </row>
    <row r="161" spans="2:8" ht="81.599999999999994" customHeight="1" x14ac:dyDescent="0.2">
      <c r="B161" s="167" t="s">
        <v>625</v>
      </c>
      <c r="C161" s="253" t="s">
        <v>3</v>
      </c>
      <c r="D161" s="232"/>
      <c r="E161" s="359" t="s">
        <v>373</v>
      </c>
      <c r="F161" s="361"/>
      <c r="G161" s="309" t="s">
        <v>3</v>
      </c>
      <c r="H161" s="168"/>
    </row>
    <row r="162" spans="2:8" ht="61.9" customHeight="1" x14ac:dyDescent="0.2">
      <c r="B162" s="167" t="s">
        <v>369</v>
      </c>
      <c r="C162" s="315" t="s">
        <v>3</v>
      </c>
      <c r="D162" s="232"/>
      <c r="E162" s="359" t="s">
        <v>374</v>
      </c>
      <c r="F162" s="361"/>
      <c r="G162" s="309" t="s">
        <v>3</v>
      </c>
      <c r="H162" s="168"/>
    </row>
    <row r="163" spans="2:8" ht="58.9" customHeight="1" x14ac:dyDescent="0.2">
      <c r="B163" s="167" t="s">
        <v>370</v>
      </c>
      <c r="C163" s="253" t="s">
        <v>3</v>
      </c>
      <c r="D163" s="232"/>
      <c r="E163" s="359" t="s">
        <v>723</v>
      </c>
      <c r="F163" s="361"/>
      <c r="G163" s="316" t="s">
        <v>3</v>
      </c>
      <c r="H163" s="168"/>
    </row>
    <row r="164" spans="2:8" ht="61.9" hidden="1" customHeight="1" x14ac:dyDescent="0.2">
      <c r="B164" s="169" t="s">
        <v>397</v>
      </c>
      <c r="C164" s="232" t="s">
        <v>20</v>
      </c>
      <c r="D164" s="253"/>
      <c r="E164" s="253"/>
      <c r="F164" s="253"/>
      <c r="G164" s="253"/>
      <c r="H164" s="168"/>
    </row>
    <row r="165" spans="2:8" ht="61.9" hidden="1" customHeight="1" x14ac:dyDescent="0.2">
      <c r="B165" s="167" t="s">
        <v>371</v>
      </c>
      <c r="C165" s="253" t="s">
        <v>65</v>
      </c>
      <c r="D165" s="232"/>
      <c r="E165" s="478"/>
      <c r="F165" s="479"/>
      <c r="G165" s="232"/>
      <c r="H165" s="168"/>
    </row>
    <row r="166" spans="2:8" ht="61.9" hidden="1" customHeight="1" x14ac:dyDescent="0.2">
      <c r="B166" s="167" t="s">
        <v>372</v>
      </c>
      <c r="C166" s="232" t="s">
        <v>65</v>
      </c>
      <c r="D166" s="251"/>
      <c r="E166" s="251"/>
      <c r="F166" s="251"/>
      <c r="G166" s="251"/>
      <c r="H166" s="168"/>
    </row>
    <row r="167" spans="2:8" ht="61.9" hidden="1" customHeight="1" x14ac:dyDescent="0.2">
      <c r="B167" s="167" t="s">
        <v>373</v>
      </c>
      <c r="C167" s="251"/>
      <c r="D167" s="251"/>
      <c r="E167" s="251"/>
      <c r="F167" s="251"/>
      <c r="G167" s="251"/>
      <c r="H167" s="168"/>
    </row>
    <row r="168" spans="2:8" ht="61.9" hidden="1" customHeight="1" x14ac:dyDescent="0.2">
      <c r="B168" s="167" t="s">
        <v>374</v>
      </c>
      <c r="C168" s="251"/>
      <c r="D168" s="251"/>
      <c r="E168" s="251"/>
      <c r="F168" s="251"/>
      <c r="G168" s="251"/>
      <c r="H168" s="168"/>
    </row>
    <row r="169" spans="2:8" ht="61.9" hidden="1" customHeight="1" x14ac:dyDescent="0.2">
      <c r="B169" s="167"/>
      <c r="C169" s="251"/>
      <c r="D169" s="251"/>
      <c r="E169" s="251"/>
      <c r="F169" s="251"/>
      <c r="G169" s="251"/>
      <c r="H169" s="168"/>
    </row>
    <row r="170" spans="2:8" ht="64.150000000000006" hidden="1" customHeight="1" x14ac:dyDescent="0.2">
      <c r="B170" s="169" t="s">
        <v>398</v>
      </c>
      <c r="C170" s="251"/>
      <c r="D170" s="251"/>
      <c r="E170" s="251"/>
      <c r="F170" s="251"/>
      <c r="G170" s="251"/>
      <c r="H170" s="168"/>
    </row>
    <row r="171" spans="2:8" ht="58.15" customHeight="1" x14ac:dyDescent="0.2">
      <c r="B171" s="402" t="s">
        <v>684</v>
      </c>
      <c r="C171" s="403"/>
      <c r="D171" s="403"/>
      <c r="E171" s="403"/>
      <c r="F171" s="403"/>
      <c r="G171" s="404"/>
      <c r="H171" s="252"/>
    </row>
    <row r="172" spans="2:8" ht="67.900000000000006" customHeight="1" x14ac:dyDescent="0.2">
      <c r="B172" s="359" t="s">
        <v>379</v>
      </c>
      <c r="C172" s="360"/>
      <c r="D172" s="360"/>
      <c r="E172" s="360"/>
      <c r="F172" s="361"/>
      <c r="G172" s="316" t="s">
        <v>3</v>
      </c>
      <c r="H172" s="168"/>
    </row>
    <row r="173" spans="2:8" ht="28.9" customHeight="1" x14ac:dyDescent="0.2">
      <c r="B173" s="359" t="s">
        <v>626</v>
      </c>
      <c r="C173" s="360"/>
      <c r="D173" s="360"/>
      <c r="E173" s="360"/>
      <c r="F173" s="361"/>
      <c r="G173" s="316" t="s">
        <v>3</v>
      </c>
      <c r="H173" s="168"/>
    </row>
    <row r="174" spans="2:8" ht="27.6" customHeight="1" x14ac:dyDescent="0.2">
      <c r="B174" s="359" t="s">
        <v>380</v>
      </c>
      <c r="C174" s="360"/>
      <c r="D174" s="360"/>
      <c r="E174" s="360"/>
      <c r="F174" s="361"/>
      <c r="G174" s="316" t="s">
        <v>3</v>
      </c>
      <c r="H174" s="168"/>
    </row>
    <row r="175" spans="2:8" ht="30" customHeight="1" x14ac:dyDescent="0.2">
      <c r="B175" s="359" t="s">
        <v>381</v>
      </c>
      <c r="C175" s="360"/>
      <c r="D175" s="360"/>
      <c r="E175" s="360"/>
      <c r="F175" s="361"/>
      <c r="G175" s="316" t="s">
        <v>3</v>
      </c>
      <c r="H175" s="168"/>
    </row>
    <row r="176" spans="2:8" ht="30" customHeight="1" x14ac:dyDescent="0.2">
      <c r="B176" s="359" t="s">
        <v>382</v>
      </c>
      <c r="C176" s="360"/>
      <c r="D176" s="360"/>
      <c r="E176" s="360"/>
      <c r="F176" s="361"/>
      <c r="G176" s="316" t="s">
        <v>3</v>
      </c>
      <c r="H176" s="168"/>
    </row>
    <row r="177" spans="2:8" ht="24.75" customHeight="1" x14ac:dyDescent="0.2">
      <c r="B177" s="359" t="s">
        <v>383</v>
      </c>
      <c r="C177" s="360"/>
      <c r="D177" s="360"/>
      <c r="E177" s="360"/>
      <c r="F177" s="361"/>
      <c r="G177" s="316" t="s">
        <v>3</v>
      </c>
      <c r="H177" s="168"/>
    </row>
    <row r="178" spans="2:8" ht="24.75" customHeight="1" x14ac:dyDescent="0.2">
      <c r="B178" s="359" t="s">
        <v>621</v>
      </c>
      <c r="C178" s="360"/>
      <c r="D178" s="360"/>
      <c r="E178" s="360"/>
      <c r="F178" s="361"/>
      <c r="G178" s="316" t="s">
        <v>3</v>
      </c>
      <c r="H178" s="168"/>
    </row>
    <row r="179" spans="2:8" ht="24.75" customHeight="1" x14ac:dyDescent="0.2">
      <c r="B179" s="359" t="s">
        <v>384</v>
      </c>
      <c r="C179" s="360"/>
      <c r="D179" s="360"/>
      <c r="E179" s="360"/>
      <c r="F179" s="361"/>
      <c r="G179" s="316" t="s">
        <v>3</v>
      </c>
      <c r="H179" s="168"/>
    </row>
    <row r="180" spans="2:8" ht="25.9" customHeight="1" x14ac:dyDescent="0.2">
      <c r="B180" s="359" t="s">
        <v>693</v>
      </c>
      <c r="C180" s="360"/>
      <c r="D180" s="360"/>
      <c r="E180" s="360"/>
      <c r="F180" s="361"/>
      <c r="G180" s="316" t="s">
        <v>3</v>
      </c>
      <c r="H180" s="168"/>
    </row>
    <row r="181" spans="2:8" ht="28.15" customHeight="1" x14ac:dyDescent="0.2">
      <c r="B181" s="359" t="s">
        <v>693</v>
      </c>
      <c r="C181" s="360"/>
      <c r="D181" s="360"/>
      <c r="E181" s="360"/>
      <c r="F181" s="361"/>
      <c r="G181" s="316" t="s">
        <v>3</v>
      </c>
      <c r="H181" s="168"/>
    </row>
    <row r="182" spans="2:8" ht="43.5" customHeight="1" x14ac:dyDescent="0.2">
      <c r="B182" s="480" t="s">
        <v>685</v>
      </c>
      <c r="C182" s="481"/>
      <c r="D182" s="481"/>
      <c r="E182" s="481"/>
      <c r="F182" s="481"/>
      <c r="G182" s="481"/>
      <c r="H182" s="481"/>
    </row>
    <row r="183" spans="2:8" ht="64.150000000000006" customHeight="1" x14ac:dyDescent="0.2">
      <c r="B183" s="98" t="s">
        <v>461</v>
      </c>
      <c r="C183" s="240" t="s">
        <v>3</v>
      </c>
      <c r="D183" s="200"/>
      <c r="E183" s="387" t="s">
        <v>264</v>
      </c>
      <c r="F183" s="388"/>
      <c r="G183" s="240" t="s">
        <v>3</v>
      </c>
      <c r="H183" s="1"/>
    </row>
    <row r="184" spans="2:8" ht="63.6" customHeight="1" x14ac:dyDescent="0.2">
      <c r="B184" s="98" t="s">
        <v>256</v>
      </c>
      <c r="C184" s="240" t="s">
        <v>3</v>
      </c>
      <c r="D184" s="200"/>
      <c r="E184" s="400" t="s">
        <v>265</v>
      </c>
      <c r="F184" s="401"/>
      <c r="G184" s="240" t="s">
        <v>3</v>
      </c>
      <c r="H184" s="1"/>
    </row>
    <row r="185" spans="2:8" ht="106.5" customHeight="1" x14ac:dyDescent="0.2">
      <c r="B185" s="98" t="s">
        <v>257</v>
      </c>
      <c r="C185" s="240" t="s">
        <v>3</v>
      </c>
      <c r="D185" s="200"/>
      <c r="E185" s="389" t="s">
        <v>266</v>
      </c>
      <c r="F185" s="390"/>
      <c r="G185" s="240" t="s">
        <v>3</v>
      </c>
      <c r="H185" s="1"/>
    </row>
    <row r="186" spans="2:8" ht="136.15" customHeight="1" x14ac:dyDescent="0.2">
      <c r="B186" s="98" t="s">
        <v>258</v>
      </c>
      <c r="C186" s="240" t="s">
        <v>3</v>
      </c>
      <c r="D186" s="200"/>
      <c r="E186" s="400" t="s">
        <v>267</v>
      </c>
      <c r="F186" s="401"/>
      <c r="G186" s="240" t="s">
        <v>3</v>
      </c>
      <c r="H186" s="1"/>
    </row>
    <row r="187" spans="2:8" ht="82.15" customHeight="1" x14ac:dyDescent="0.2">
      <c r="B187" s="98" t="s">
        <v>259</v>
      </c>
      <c r="C187" s="240" t="s">
        <v>3</v>
      </c>
      <c r="D187" s="200"/>
      <c r="E187" s="389" t="s">
        <v>268</v>
      </c>
      <c r="F187" s="390"/>
      <c r="G187" s="240" t="s">
        <v>3</v>
      </c>
      <c r="H187" s="1"/>
    </row>
    <row r="188" spans="2:8" ht="126.6" customHeight="1" x14ac:dyDescent="0.2">
      <c r="B188" s="98" t="s">
        <v>260</v>
      </c>
      <c r="C188" s="240" t="s">
        <v>3</v>
      </c>
      <c r="D188" s="200"/>
      <c r="E188" s="400" t="s">
        <v>269</v>
      </c>
      <c r="F188" s="401"/>
      <c r="G188" s="240" t="s">
        <v>3</v>
      </c>
      <c r="H188" s="1"/>
    </row>
    <row r="189" spans="2:8" ht="72" customHeight="1" x14ac:dyDescent="0.2">
      <c r="B189" s="98" t="s">
        <v>261</v>
      </c>
      <c r="C189" s="240" t="s">
        <v>3</v>
      </c>
      <c r="D189" s="200"/>
      <c r="E189" s="387" t="s">
        <v>270</v>
      </c>
      <c r="F189" s="388"/>
      <c r="G189" s="240" t="s">
        <v>3</v>
      </c>
      <c r="H189" s="1"/>
    </row>
    <row r="190" spans="2:8" ht="70.5" customHeight="1" x14ac:dyDescent="0.2">
      <c r="B190" s="98" t="s">
        <v>262</v>
      </c>
      <c r="C190" s="240" t="s">
        <v>3</v>
      </c>
      <c r="D190" s="200"/>
      <c r="E190" s="400" t="s">
        <v>721</v>
      </c>
      <c r="F190" s="401"/>
      <c r="G190" s="272" t="s">
        <v>3</v>
      </c>
      <c r="H190" s="1"/>
    </row>
    <row r="191" spans="2:8" ht="95.45" customHeight="1" x14ac:dyDescent="0.2">
      <c r="B191" s="98" t="s">
        <v>713</v>
      </c>
      <c r="C191" s="240" t="s">
        <v>3</v>
      </c>
      <c r="D191" s="200"/>
      <c r="E191" s="389" t="s">
        <v>729</v>
      </c>
      <c r="F191" s="390"/>
      <c r="G191" s="272" t="s">
        <v>3</v>
      </c>
      <c r="H191" s="1"/>
    </row>
    <row r="192" spans="2:8" ht="98.65" customHeight="1" x14ac:dyDescent="0.2">
      <c r="B192" s="98" t="s">
        <v>622</v>
      </c>
      <c r="C192" s="240" t="s">
        <v>3</v>
      </c>
      <c r="D192" s="200"/>
      <c r="E192" s="504" t="s">
        <v>696</v>
      </c>
      <c r="F192" s="505"/>
      <c r="G192" s="272" t="s">
        <v>3</v>
      </c>
      <c r="H192" s="1"/>
    </row>
    <row r="193" spans="2:8" ht="136.5" customHeight="1" x14ac:dyDescent="0.2">
      <c r="B193" s="98" t="s">
        <v>627</v>
      </c>
      <c r="C193" s="240" t="s">
        <v>3</v>
      </c>
      <c r="D193" s="200"/>
      <c r="E193" s="504" t="s">
        <v>598</v>
      </c>
      <c r="F193" s="505"/>
      <c r="G193" s="272" t="s">
        <v>3</v>
      </c>
      <c r="H193" s="1"/>
    </row>
    <row r="194" spans="2:8" ht="153" customHeight="1" x14ac:dyDescent="0.2">
      <c r="B194" s="98" t="s">
        <v>263</v>
      </c>
      <c r="C194" s="240" t="s">
        <v>3</v>
      </c>
      <c r="D194" s="200"/>
      <c r="E194" s="400" t="s">
        <v>599</v>
      </c>
      <c r="F194" s="401"/>
      <c r="G194" s="272" t="s">
        <v>3</v>
      </c>
      <c r="H194" s="1"/>
    </row>
    <row r="195" spans="2:8" ht="33.4" customHeight="1" x14ac:dyDescent="0.2">
      <c r="B195" s="98" t="s">
        <v>714</v>
      </c>
      <c r="C195" s="240" t="s">
        <v>3</v>
      </c>
      <c r="D195" s="200"/>
      <c r="E195" s="387" t="s">
        <v>720</v>
      </c>
      <c r="F195" s="388"/>
      <c r="G195" s="272" t="s">
        <v>3</v>
      </c>
      <c r="H195" s="1"/>
    </row>
    <row r="196" spans="2:8" ht="24.75" customHeight="1" x14ac:dyDescent="0.2">
      <c r="B196" s="231" t="s">
        <v>725</v>
      </c>
      <c r="C196" s="265" t="s">
        <v>3</v>
      </c>
      <c r="D196" s="200"/>
      <c r="E196" s="389" t="s">
        <v>694</v>
      </c>
      <c r="F196" s="390"/>
      <c r="G196" s="272" t="s">
        <v>3</v>
      </c>
      <c r="H196" s="1"/>
    </row>
    <row r="197" spans="2:8" ht="27" customHeight="1" thickBot="1" x14ac:dyDescent="0.25">
      <c r="B197" s="203" t="s">
        <v>686</v>
      </c>
      <c r="C197" s="201" t="s">
        <v>631</v>
      </c>
      <c r="D197" s="201" t="s">
        <v>632</v>
      </c>
      <c r="E197" s="201" t="s">
        <v>633</v>
      </c>
      <c r="F197" s="201" t="s">
        <v>634</v>
      </c>
      <c r="G197" s="196"/>
      <c r="H197" s="196"/>
    </row>
    <row r="198" spans="2:8" ht="27" customHeight="1" thickBot="1" x14ac:dyDescent="0.25">
      <c r="B198" s="98" t="s">
        <v>271</v>
      </c>
      <c r="C198" s="267" t="s">
        <v>20</v>
      </c>
      <c r="D198" s="307"/>
      <c r="E198" s="307" t="s">
        <v>836</v>
      </c>
      <c r="F198" s="508" t="s">
        <v>3</v>
      </c>
      <c r="G198" s="509"/>
      <c r="H198" s="1"/>
    </row>
    <row r="199" spans="2:8" ht="24.75" customHeight="1" thickBot="1" x14ac:dyDescent="0.25">
      <c r="B199" s="98" t="s">
        <v>272</v>
      </c>
      <c r="C199" s="267" t="s">
        <v>20</v>
      </c>
      <c r="D199" s="268"/>
      <c r="E199" s="307" t="s">
        <v>836</v>
      </c>
      <c r="F199" s="508" t="s">
        <v>3</v>
      </c>
      <c r="G199" s="509"/>
      <c r="H199" s="1"/>
    </row>
    <row r="200" spans="2:8" ht="24.75" customHeight="1" thickBot="1" x14ac:dyDescent="0.25">
      <c r="B200" s="98" t="s">
        <v>273</v>
      </c>
      <c r="C200" s="268" t="s">
        <v>20</v>
      </c>
      <c r="D200" s="268"/>
      <c r="E200" s="307" t="s">
        <v>836</v>
      </c>
      <c r="F200" s="508" t="s">
        <v>3</v>
      </c>
      <c r="G200" s="509"/>
      <c r="H200" s="1"/>
    </row>
    <row r="201" spans="2:8" ht="24.75" customHeight="1" thickBot="1" x14ac:dyDescent="0.25">
      <c r="B201" s="98" t="s">
        <v>274</v>
      </c>
      <c r="C201" s="268" t="s">
        <v>20</v>
      </c>
      <c r="D201" s="268"/>
      <c r="E201" s="307" t="s">
        <v>836</v>
      </c>
      <c r="F201" s="508" t="s">
        <v>3</v>
      </c>
      <c r="G201" s="509"/>
      <c r="H201" s="1"/>
    </row>
    <row r="202" spans="2:8" ht="24.75" customHeight="1" thickBot="1" x14ac:dyDescent="0.25">
      <c r="B202" s="98" t="s">
        <v>275</v>
      </c>
      <c r="C202" s="268" t="s">
        <v>20</v>
      </c>
      <c r="D202" s="268"/>
      <c r="E202" s="307" t="s">
        <v>836</v>
      </c>
      <c r="F202" s="508" t="s">
        <v>3</v>
      </c>
      <c r="G202" s="509"/>
      <c r="H202" s="1"/>
    </row>
    <row r="203" spans="2:8" ht="24.75" customHeight="1" thickBot="1" x14ac:dyDescent="0.25">
      <c r="B203" s="98" t="s">
        <v>276</v>
      </c>
      <c r="C203" s="268" t="s">
        <v>20</v>
      </c>
      <c r="D203" s="268"/>
      <c r="E203" s="307" t="s">
        <v>836</v>
      </c>
      <c r="F203" s="508" t="s">
        <v>3</v>
      </c>
      <c r="G203" s="509"/>
      <c r="H203" s="1"/>
    </row>
    <row r="204" spans="2:8" ht="25.15" customHeight="1" thickBot="1" x14ac:dyDescent="0.25">
      <c r="B204" s="98" t="s">
        <v>277</v>
      </c>
      <c r="C204" s="268" t="s">
        <v>20</v>
      </c>
      <c r="D204" s="268"/>
      <c r="E204" s="307" t="s">
        <v>836</v>
      </c>
      <c r="F204" s="508" t="s">
        <v>3</v>
      </c>
      <c r="G204" s="509"/>
      <c r="H204" s="1"/>
    </row>
    <row r="205" spans="2:8" ht="24.75" customHeight="1" thickBot="1" x14ac:dyDescent="0.25">
      <c r="B205" s="98" t="s">
        <v>635</v>
      </c>
      <c r="C205" s="268" t="s">
        <v>20</v>
      </c>
      <c r="D205" s="268"/>
      <c r="E205" s="307" t="s">
        <v>836</v>
      </c>
      <c r="F205" s="508" t="s">
        <v>3</v>
      </c>
      <c r="G205" s="509"/>
      <c r="H205" s="1"/>
    </row>
    <row r="206" spans="2:8" ht="24.75" customHeight="1" thickBot="1" x14ac:dyDescent="0.25">
      <c r="B206" s="98" t="s">
        <v>278</v>
      </c>
      <c r="C206" s="268" t="s">
        <v>20</v>
      </c>
      <c r="D206" s="268"/>
      <c r="E206" s="307" t="s">
        <v>836</v>
      </c>
      <c r="F206" s="508" t="s">
        <v>3</v>
      </c>
      <c r="G206" s="509"/>
      <c r="H206" s="1"/>
    </row>
    <row r="207" spans="2:8" ht="26.45" customHeight="1" x14ac:dyDescent="0.2">
      <c r="B207" s="98" t="s">
        <v>623</v>
      </c>
      <c r="C207" s="268" t="s">
        <v>20</v>
      </c>
      <c r="D207" s="268"/>
      <c r="E207" s="307" t="s">
        <v>836</v>
      </c>
      <c r="F207" s="508" t="s">
        <v>3</v>
      </c>
      <c r="G207" s="509"/>
      <c r="H207" s="1"/>
    </row>
    <row r="208" spans="2:8" ht="59.45" customHeight="1" thickBot="1" x14ac:dyDescent="0.25">
      <c r="B208" s="259" t="s">
        <v>687</v>
      </c>
      <c r="C208" s="254"/>
      <c r="D208" s="254"/>
      <c r="E208" s="254"/>
      <c r="F208" s="254"/>
      <c r="G208" s="254"/>
      <c r="H208" s="254"/>
    </row>
    <row r="209" spans="2:8" ht="86.65" customHeight="1" x14ac:dyDescent="0.2">
      <c r="B209" s="98" t="s">
        <v>279</v>
      </c>
      <c r="C209" s="309" t="s">
        <v>3</v>
      </c>
      <c r="D209" s="204"/>
      <c r="E209" s="387" t="s">
        <v>283</v>
      </c>
      <c r="F209" s="388"/>
      <c r="G209" s="316" t="s">
        <v>3</v>
      </c>
      <c r="H209" s="1"/>
    </row>
    <row r="210" spans="2:8" ht="56.45" customHeight="1" x14ac:dyDescent="0.2">
      <c r="B210" s="98" t="s">
        <v>624</v>
      </c>
      <c r="C210" s="316" t="s">
        <v>3</v>
      </c>
      <c r="D210" s="200"/>
      <c r="E210" s="400" t="s">
        <v>284</v>
      </c>
      <c r="F210" s="401"/>
      <c r="G210" s="316" t="s">
        <v>3</v>
      </c>
      <c r="H210" s="1"/>
    </row>
    <row r="211" spans="2:8" ht="42" customHeight="1" x14ac:dyDescent="0.2">
      <c r="B211" s="98" t="s">
        <v>280</v>
      </c>
      <c r="C211" s="316" t="s">
        <v>3</v>
      </c>
      <c r="D211" s="200"/>
      <c r="E211" s="400" t="s">
        <v>285</v>
      </c>
      <c r="F211" s="401"/>
      <c r="G211" s="316" t="s">
        <v>3</v>
      </c>
      <c r="H211" s="1"/>
    </row>
    <row r="212" spans="2:8" ht="42" customHeight="1" x14ac:dyDescent="0.2">
      <c r="B212" s="98" t="s">
        <v>281</v>
      </c>
      <c r="C212" s="316" t="s">
        <v>3</v>
      </c>
      <c r="D212" s="200"/>
      <c r="E212" s="400" t="s">
        <v>19</v>
      </c>
      <c r="F212" s="401"/>
      <c r="G212" s="309" t="s">
        <v>3</v>
      </c>
      <c r="H212" s="1"/>
    </row>
    <row r="213" spans="2:8" ht="58.15" customHeight="1" x14ac:dyDescent="0.2">
      <c r="B213" s="98" t="s">
        <v>282</v>
      </c>
      <c r="C213" s="316" t="s">
        <v>3</v>
      </c>
      <c r="D213" s="200"/>
      <c r="E213" s="400" t="s">
        <v>19</v>
      </c>
      <c r="F213" s="401"/>
      <c r="G213" s="309" t="s">
        <v>3</v>
      </c>
      <c r="H213" s="1"/>
    </row>
    <row r="214" spans="2:8" ht="42" hidden="1" customHeight="1" x14ac:dyDescent="0.2">
      <c r="B214" s="98"/>
      <c r="C214" s="309" t="s">
        <v>3</v>
      </c>
      <c r="D214" s="200"/>
      <c r="E214" s="200"/>
      <c r="F214" s="200"/>
      <c r="G214" s="309" t="s">
        <v>3</v>
      </c>
      <c r="H214" s="1"/>
    </row>
    <row r="215" spans="2:8" ht="42" hidden="1" customHeight="1" x14ac:dyDescent="0.2">
      <c r="B215" s="98"/>
      <c r="C215" s="309" t="s">
        <v>3</v>
      </c>
      <c r="D215" s="200"/>
      <c r="E215" s="200"/>
      <c r="F215" s="200"/>
      <c r="G215" s="309" t="s">
        <v>3</v>
      </c>
      <c r="H215" s="1"/>
    </row>
    <row r="216" spans="2:8" ht="42" hidden="1" customHeight="1" x14ac:dyDescent="0.2">
      <c r="B216" s="98"/>
      <c r="C216" s="309" t="s">
        <v>3</v>
      </c>
      <c r="D216" s="200"/>
      <c r="E216" s="200"/>
      <c r="F216" s="200"/>
      <c r="G216" s="309" t="s">
        <v>3</v>
      </c>
      <c r="H216" s="1"/>
    </row>
    <row r="217" spans="2:8" ht="42" hidden="1" customHeight="1" x14ac:dyDescent="0.2">
      <c r="B217" s="98"/>
      <c r="C217" s="309" t="s">
        <v>3</v>
      </c>
      <c r="D217" s="200"/>
      <c r="E217" s="200"/>
      <c r="F217" s="200"/>
      <c r="G217" s="309" t="s">
        <v>3</v>
      </c>
      <c r="H217" s="1"/>
    </row>
    <row r="218" spans="2:8" ht="5.45" hidden="1" customHeight="1" x14ac:dyDescent="0.2">
      <c r="B218" s="98"/>
      <c r="C218" s="309" t="s">
        <v>3</v>
      </c>
      <c r="D218" s="200"/>
      <c r="E218" s="200"/>
      <c r="F218" s="200"/>
      <c r="G218" s="309" t="s">
        <v>3</v>
      </c>
      <c r="H218" s="1"/>
    </row>
    <row r="219" spans="2:8" ht="54.4" customHeight="1" x14ac:dyDescent="0.2">
      <c r="B219" s="98" t="s">
        <v>19</v>
      </c>
      <c r="C219" s="309" t="s">
        <v>3</v>
      </c>
      <c r="D219" s="200"/>
      <c r="E219" s="389" t="s">
        <v>19</v>
      </c>
      <c r="F219" s="390"/>
      <c r="G219" s="309" t="s">
        <v>3</v>
      </c>
      <c r="H219" s="1"/>
    </row>
    <row r="220" spans="2:8" ht="45" customHeight="1" x14ac:dyDescent="0.2">
      <c r="B220" s="369" t="s">
        <v>688</v>
      </c>
      <c r="C220" s="369"/>
      <c r="D220" s="369"/>
      <c r="E220" s="369"/>
      <c r="F220" s="369"/>
      <c r="G220" s="369"/>
      <c r="H220" s="369"/>
    </row>
    <row r="221" spans="2:8" ht="38.25" x14ac:dyDescent="0.2">
      <c r="B221" s="228" t="s">
        <v>447</v>
      </c>
      <c r="C221" s="240" t="s">
        <v>3</v>
      </c>
      <c r="D221" s="200"/>
      <c r="E221" s="510" t="s">
        <v>464</v>
      </c>
      <c r="F221" s="388"/>
      <c r="G221" s="240" t="s">
        <v>3</v>
      </c>
      <c r="H221" s="135"/>
    </row>
    <row r="222" spans="2:8" ht="48.4" customHeight="1" x14ac:dyDescent="0.2">
      <c r="B222" s="229" t="s">
        <v>448</v>
      </c>
      <c r="C222" s="307" t="s">
        <v>836</v>
      </c>
      <c r="D222" s="200"/>
      <c r="E222" s="390" t="s">
        <v>449</v>
      </c>
      <c r="F222" s="390"/>
      <c r="G222" s="240" t="s">
        <v>3</v>
      </c>
      <c r="H222" s="135"/>
    </row>
    <row r="223" spans="2:8" ht="32.450000000000003" customHeight="1" x14ac:dyDescent="0.2">
      <c r="B223" s="134" t="s">
        <v>572</v>
      </c>
      <c r="C223" s="265" t="s">
        <v>3</v>
      </c>
      <c r="D223" s="200"/>
      <c r="E223" s="476" t="s">
        <v>693</v>
      </c>
      <c r="F223" s="477"/>
      <c r="G223" s="240" t="s">
        <v>3</v>
      </c>
      <c r="H223" s="135"/>
    </row>
    <row r="224" spans="2:8" ht="28.9" customHeight="1" x14ac:dyDescent="0.2">
      <c r="B224" s="228" t="s">
        <v>693</v>
      </c>
      <c r="C224" s="265" t="s">
        <v>3</v>
      </c>
      <c r="D224" s="200"/>
      <c r="E224" s="476" t="s">
        <v>693</v>
      </c>
      <c r="F224" s="477"/>
      <c r="G224" s="240" t="s">
        <v>3</v>
      </c>
      <c r="H224" s="135"/>
    </row>
    <row r="225" spans="2:8" ht="19.899999999999999" hidden="1" customHeight="1" x14ac:dyDescent="0.2">
      <c r="B225" s="134"/>
      <c r="C225" s="240" t="s">
        <v>3</v>
      </c>
      <c r="D225" s="200"/>
      <c r="E225" s="200"/>
      <c r="F225" s="200"/>
      <c r="G225" s="200"/>
      <c r="H225" s="135"/>
    </row>
    <row r="226" spans="2:8" ht="46.9" customHeight="1" x14ac:dyDescent="0.2">
      <c r="B226" s="256" t="s">
        <v>573</v>
      </c>
      <c r="C226" s="256"/>
      <c r="D226" s="256"/>
      <c r="E226" s="256"/>
      <c r="F226" s="256"/>
      <c r="G226" s="256"/>
      <c r="H226" s="135"/>
    </row>
    <row r="227" spans="2:8" ht="20.100000000000001" customHeight="1" x14ac:dyDescent="0.2">
      <c r="B227" s="134" t="s">
        <v>450</v>
      </c>
      <c r="C227" s="499" t="s">
        <v>20</v>
      </c>
      <c r="D227" s="499"/>
      <c r="E227" s="499"/>
      <c r="F227" s="499"/>
      <c r="G227" s="499"/>
      <c r="H227" s="135"/>
    </row>
    <row r="228" spans="2:8" ht="20.100000000000001" customHeight="1" x14ac:dyDescent="0.2">
      <c r="B228" s="228" t="s">
        <v>451</v>
      </c>
      <c r="C228" s="500" t="s">
        <v>20</v>
      </c>
      <c r="D228" s="499"/>
      <c r="E228" s="499"/>
      <c r="F228" s="499"/>
      <c r="G228" s="499"/>
      <c r="H228" s="135"/>
    </row>
    <row r="229" spans="2:8" ht="20.100000000000001" customHeight="1" x14ac:dyDescent="0.2">
      <c r="B229" s="228" t="s">
        <v>452</v>
      </c>
      <c r="C229" s="500" t="s">
        <v>20</v>
      </c>
      <c r="D229" s="499"/>
      <c r="E229" s="499"/>
      <c r="F229" s="499"/>
      <c r="G229" s="499"/>
      <c r="H229" s="135"/>
    </row>
    <row r="230" spans="2:8" ht="20.100000000000001" customHeight="1" x14ac:dyDescent="0.2">
      <c r="B230" s="134" t="s">
        <v>453</v>
      </c>
      <c r="C230" s="499" t="s">
        <v>20</v>
      </c>
      <c r="D230" s="499"/>
      <c r="E230" s="499"/>
      <c r="F230" s="499"/>
      <c r="G230" s="499"/>
      <c r="H230" s="135"/>
    </row>
    <row r="231" spans="2:8" ht="20.100000000000001" customHeight="1" x14ac:dyDescent="0.2">
      <c r="B231" s="230" t="s">
        <v>454</v>
      </c>
      <c r="C231" s="499" t="s">
        <v>20</v>
      </c>
      <c r="D231" s="499"/>
      <c r="E231" s="499"/>
      <c r="F231" s="499"/>
      <c r="G231" s="499"/>
      <c r="H231" s="135"/>
    </row>
    <row r="232" spans="2:8" ht="20.100000000000001" customHeight="1" x14ac:dyDescent="0.2">
      <c r="B232" s="229" t="s">
        <v>455</v>
      </c>
      <c r="C232" s="499" t="s">
        <v>20</v>
      </c>
      <c r="D232" s="499"/>
      <c r="E232" s="499"/>
      <c r="F232" s="499"/>
      <c r="G232" s="499"/>
      <c r="H232" s="135"/>
    </row>
    <row r="233" spans="2:8" ht="20.100000000000001" customHeight="1" x14ac:dyDescent="0.2">
      <c r="B233" s="134" t="s">
        <v>456</v>
      </c>
      <c r="C233" s="499" t="s">
        <v>20</v>
      </c>
      <c r="D233" s="499"/>
      <c r="E233" s="499"/>
      <c r="F233" s="499"/>
      <c r="G233" s="499"/>
      <c r="H233" s="135"/>
    </row>
    <row r="234" spans="2:8" ht="16.899999999999999" customHeight="1" x14ac:dyDescent="0.2">
      <c r="B234" s="230" t="s">
        <v>457</v>
      </c>
      <c r="C234" s="499" t="s">
        <v>20</v>
      </c>
      <c r="D234" s="499"/>
      <c r="E234" s="499"/>
      <c r="F234" s="499"/>
      <c r="G234" s="499"/>
      <c r="H234" s="135"/>
    </row>
    <row r="235" spans="2:8" ht="24.4" customHeight="1" x14ac:dyDescent="0.2">
      <c r="B235" s="230" t="s">
        <v>458</v>
      </c>
      <c r="C235" s="499" t="s">
        <v>20</v>
      </c>
      <c r="D235" s="499"/>
      <c r="E235" s="499"/>
      <c r="F235" s="499"/>
      <c r="G235" s="499"/>
      <c r="H235" s="135"/>
    </row>
    <row r="236" spans="2:8" ht="24.4" customHeight="1" x14ac:dyDescent="0.2">
      <c r="B236" s="196" t="s">
        <v>689</v>
      </c>
      <c r="C236" s="258" t="s">
        <v>697</v>
      </c>
      <c r="D236" s="258"/>
      <c r="E236" s="201" t="s">
        <v>630</v>
      </c>
      <c r="F236" s="201" t="s">
        <v>629</v>
      </c>
      <c r="G236" s="201" t="s">
        <v>628</v>
      </c>
      <c r="H236" s="202"/>
    </row>
    <row r="237" spans="2:8" ht="26.65" customHeight="1" x14ac:dyDescent="0.2">
      <c r="B237" s="197" t="s">
        <v>462</v>
      </c>
      <c r="C237" s="499"/>
      <c r="D237" s="499"/>
      <c r="E237" s="200" t="s">
        <v>3</v>
      </c>
      <c r="F237" s="307" t="s">
        <v>836</v>
      </c>
      <c r="G237" s="307" t="s">
        <v>836</v>
      </c>
      <c r="H237" s="135"/>
    </row>
    <row r="238" spans="2:8" ht="25.15" customHeight="1" x14ac:dyDescent="0.2">
      <c r="B238" s="134" t="s">
        <v>463</v>
      </c>
      <c r="C238" s="499"/>
      <c r="D238" s="499"/>
      <c r="E238" s="200" t="s">
        <v>3</v>
      </c>
      <c r="F238" s="307" t="s">
        <v>836</v>
      </c>
      <c r="G238" s="307" t="s">
        <v>836</v>
      </c>
      <c r="H238" s="135"/>
    </row>
    <row r="239" spans="2:8" ht="25.15" customHeight="1" x14ac:dyDescent="0.2">
      <c r="B239" s="230" t="s">
        <v>722</v>
      </c>
      <c r="C239" s="499"/>
      <c r="D239" s="499"/>
      <c r="E239" s="200" t="s">
        <v>3</v>
      </c>
      <c r="F239" s="307" t="s">
        <v>836</v>
      </c>
      <c r="G239" s="307" t="s">
        <v>836</v>
      </c>
      <c r="H239" s="135"/>
    </row>
    <row r="240" spans="2:8" ht="25.5" x14ac:dyDescent="0.2">
      <c r="B240" s="230" t="s">
        <v>537</v>
      </c>
      <c r="C240" s="499"/>
      <c r="D240" s="499"/>
      <c r="E240" s="200" t="s">
        <v>3</v>
      </c>
      <c r="F240" s="307" t="s">
        <v>836</v>
      </c>
      <c r="G240" s="307" t="s">
        <v>836</v>
      </c>
      <c r="H240" s="135"/>
    </row>
    <row r="241" spans="2:8" ht="16.5" x14ac:dyDescent="0.2">
      <c r="B241" s="260"/>
      <c r="C241" s="290"/>
      <c r="D241" s="291"/>
      <c r="E241" s="260"/>
      <c r="F241" s="260"/>
      <c r="G241" s="260"/>
      <c r="H241" s="135"/>
    </row>
    <row r="242" spans="2:8" ht="16.5" x14ac:dyDescent="0.2">
      <c r="C242" s="260"/>
    </row>
  </sheetData>
  <sheetProtection formatCells="0" formatColumns="0" formatRows="0" insertColumns="0" insertRows="0" insertHyperlinks="0" deleteColumns="0" deleteRows="0" sort="0" autoFilter="0" pivotTables="0"/>
  <protectedRanges>
    <protectedRange sqref="C81:G82 C112:G112" name="Диапазон14_1"/>
    <protectedRange sqref="C102:G111 E122 E125 E133:E139 E164:E182 D214:F219 D100:F101 F90:F99 E123:G124 G90:G101 D96:D99 C96:C101 F209:G209 F210:F213 G210:G219 G221:G224 C79:G79 E143:E147 D209:D213 C113:G119 D159:D196 F120:G122 C159:C219 C221 F159:G196 D87 C83:G85 C86:D86 E89:G89 E86:G87 F125:G147 D197:G197 C90:D95 C120:D139 D208:G208 D199:D207 C223:C225 C141:D147 D140 F198:G207 C74:G74 C77:G77" name="Диапазон13"/>
    <protectedRange sqref="H63:H64 C60:F61 C53:H53 C56:H57 C62:G63" name="Диапазон7"/>
    <protectedRange sqref="C20:G20" name="Диапазон3"/>
    <protectedRange sqref="C50:D52" name="Диапазон2"/>
    <protectedRange sqref="C12:G15 C54:H55 D198 E64:G66 C64:C66 C68:H68 C222 F237:G240 C16:H16 G58:H61 E198:E207 G70:H70 C140 C148:G158 E50:H52 G72:H72" name="Диапазон1"/>
    <protectedRange sqref="C22:G27" name="Диапазон4"/>
    <protectedRange sqref="D29" name="Диапазон5"/>
    <protectedRange sqref="C87 D70:F70 C72:F72" name="Диапазон11"/>
    <protectedRange sqref="E223:F223 D221:D223 D224:F224 F221:F222 D225:G225 C237:C241 C227:G235 D237:E240" name="Диапазон13_1"/>
    <protectedRange sqref="C70" name="Диапазон11_2"/>
    <protectedRange sqref="E88:G88" name="Диапазон13_2"/>
    <protectedRange sqref="C58:F59" name="Диапазон7_2"/>
  </protectedRanges>
  <scenarios current="0">
    <scenario name="венл" locked="1" count="1" user="Автор" comment="Автор: Автор , 18.02.2019">
      <inputCells r="H74" val="ИСТИНА"/>
    </scenario>
  </scenarios>
  <dataConsolidate/>
  <mergeCells count="188">
    <mergeCell ref="C239:D239"/>
    <mergeCell ref="C240:D240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C229:G229"/>
    <mergeCell ref="C230:G230"/>
    <mergeCell ref="C231:G231"/>
    <mergeCell ref="C232:G232"/>
    <mergeCell ref="C233:G233"/>
    <mergeCell ref="C234:G234"/>
    <mergeCell ref="C235:G235"/>
    <mergeCell ref="C237:D237"/>
    <mergeCell ref="C238:D238"/>
    <mergeCell ref="E221:F221"/>
    <mergeCell ref="E222:F222"/>
    <mergeCell ref="E223:F223"/>
    <mergeCell ref="C227:G227"/>
    <mergeCell ref="C228:G228"/>
    <mergeCell ref="G72:H72"/>
    <mergeCell ref="G71:H71"/>
    <mergeCell ref="C77:G77"/>
    <mergeCell ref="C79:G79"/>
    <mergeCell ref="C81:G81"/>
    <mergeCell ref="C82:G82"/>
    <mergeCell ref="C83:G83"/>
    <mergeCell ref="C84:G84"/>
    <mergeCell ref="C74:G74"/>
    <mergeCell ref="E100:F100"/>
    <mergeCell ref="E191:F191"/>
    <mergeCell ref="E192:F192"/>
    <mergeCell ref="E193:F193"/>
    <mergeCell ref="E194:F194"/>
    <mergeCell ref="E159:F159"/>
    <mergeCell ref="E160:F160"/>
    <mergeCell ref="E95:F95"/>
    <mergeCell ref="E96:F96"/>
    <mergeCell ref="G70:H70"/>
    <mergeCell ref="E224:F224"/>
    <mergeCell ref="E209:F209"/>
    <mergeCell ref="E210:F210"/>
    <mergeCell ref="E211:F211"/>
    <mergeCell ref="E212:F212"/>
    <mergeCell ref="E213:F213"/>
    <mergeCell ref="E219:F219"/>
    <mergeCell ref="E190:F190"/>
    <mergeCell ref="E161:F161"/>
    <mergeCell ref="E162:F162"/>
    <mergeCell ref="E163:F163"/>
    <mergeCell ref="E165:F165"/>
    <mergeCell ref="C118:G118"/>
    <mergeCell ref="B182:H182"/>
    <mergeCell ref="B179:F179"/>
    <mergeCell ref="B172:F172"/>
    <mergeCell ref="C116:G116"/>
    <mergeCell ref="C117:G117"/>
    <mergeCell ref="C119:G119"/>
    <mergeCell ref="B112:H112"/>
    <mergeCell ref="B73:H73"/>
    <mergeCell ref="B75:H75"/>
    <mergeCell ref="G86:H86"/>
    <mergeCell ref="K6:Q25"/>
    <mergeCell ref="C114:G114"/>
    <mergeCell ref="G19:H19"/>
    <mergeCell ref="G20:H20"/>
    <mergeCell ref="B21:H21"/>
    <mergeCell ref="F29:H29"/>
    <mergeCell ref="B30:H30"/>
    <mergeCell ref="G49:H49"/>
    <mergeCell ref="G50:H50"/>
    <mergeCell ref="B63:B66"/>
    <mergeCell ref="G58:H58"/>
    <mergeCell ref="G59:H59"/>
    <mergeCell ref="B62:H62"/>
    <mergeCell ref="C47:H47"/>
    <mergeCell ref="B53:B55"/>
    <mergeCell ref="B56:B57"/>
    <mergeCell ref="I64:I65"/>
    <mergeCell ref="B67:B68"/>
    <mergeCell ref="C27:H27"/>
    <mergeCell ref="B28:H28"/>
    <mergeCell ref="E56:E57"/>
    <mergeCell ref="F56:F57"/>
    <mergeCell ref="C56:D57"/>
    <mergeCell ref="B69:B70"/>
    <mergeCell ref="C9:H9"/>
    <mergeCell ref="C10:H10"/>
    <mergeCell ref="C11:H11"/>
    <mergeCell ref="G12:H12"/>
    <mergeCell ref="G13:H13"/>
    <mergeCell ref="G15:H15"/>
    <mergeCell ref="G16:H16"/>
    <mergeCell ref="G61:H61"/>
    <mergeCell ref="G69:H69"/>
    <mergeCell ref="I32:I48"/>
    <mergeCell ref="B49:B52"/>
    <mergeCell ref="C31:H45"/>
    <mergeCell ref="G46:H46"/>
    <mergeCell ref="B48:H48"/>
    <mergeCell ref="G52:H52"/>
    <mergeCell ref="B31:B47"/>
    <mergeCell ref="G51:H51"/>
    <mergeCell ref="G56:H57"/>
    <mergeCell ref="E189:F189"/>
    <mergeCell ref="B171:G171"/>
    <mergeCell ref="E126:F126"/>
    <mergeCell ref="E127:F127"/>
    <mergeCell ref="B2:C4"/>
    <mergeCell ref="B19:B20"/>
    <mergeCell ref="C19:F19"/>
    <mergeCell ref="C20:F20"/>
    <mergeCell ref="B12:B13"/>
    <mergeCell ref="B15:B16"/>
    <mergeCell ref="C25:H25"/>
    <mergeCell ref="C26:H26"/>
    <mergeCell ref="C23:H23"/>
    <mergeCell ref="C24:H24"/>
    <mergeCell ref="C22:H22"/>
    <mergeCell ref="D2:H4"/>
    <mergeCell ref="B5:H5"/>
    <mergeCell ref="B6:H6"/>
    <mergeCell ref="C7:H7"/>
    <mergeCell ref="C8:H8"/>
    <mergeCell ref="B17:B18"/>
    <mergeCell ref="C14:H14"/>
    <mergeCell ref="G60:H60"/>
    <mergeCell ref="H64:H66"/>
    <mergeCell ref="E183:F183"/>
    <mergeCell ref="B125:H125"/>
    <mergeCell ref="B146:H146"/>
    <mergeCell ref="B139:H139"/>
    <mergeCell ref="E184:F184"/>
    <mergeCell ref="E185:F185"/>
    <mergeCell ref="E186:F186"/>
    <mergeCell ref="E187:F187"/>
    <mergeCell ref="E188:F188"/>
    <mergeCell ref="B181:F181"/>
    <mergeCell ref="B220:H220"/>
    <mergeCell ref="B86:B89"/>
    <mergeCell ref="C87:C89"/>
    <mergeCell ref="D87:D89"/>
    <mergeCell ref="C113:G113"/>
    <mergeCell ref="B175:F175"/>
    <mergeCell ref="B180:F180"/>
    <mergeCell ref="E137:F137"/>
    <mergeCell ref="E128:F128"/>
    <mergeCell ref="E129:F129"/>
    <mergeCell ref="E130:F130"/>
    <mergeCell ref="E131:F131"/>
    <mergeCell ref="E132:F132"/>
    <mergeCell ref="E140:F140"/>
    <mergeCell ref="E141:F141"/>
    <mergeCell ref="E101:F101"/>
    <mergeCell ref="C115:G115"/>
    <mergeCell ref="E97:F97"/>
    <mergeCell ref="E98:F98"/>
    <mergeCell ref="E142:F142"/>
    <mergeCell ref="E195:F195"/>
    <mergeCell ref="E196:F196"/>
    <mergeCell ref="E120:F120"/>
    <mergeCell ref="B71:B72"/>
    <mergeCell ref="B173:F173"/>
    <mergeCell ref="B174:F174"/>
    <mergeCell ref="B176:F176"/>
    <mergeCell ref="B177:F177"/>
    <mergeCell ref="B178:F178"/>
    <mergeCell ref="E90:F90"/>
    <mergeCell ref="E99:F99"/>
    <mergeCell ref="E91:F91"/>
    <mergeCell ref="E93:F93"/>
    <mergeCell ref="E94:F94"/>
    <mergeCell ref="B80:H80"/>
    <mergeCell ref="B78:H78"/>
    <mergeCell ref="C85:G85"/>
    <mergeCell ref="E121:F121"/>
    <mergeCell ref="E122:F122"/>
    <mergeCell ref="E123:F123"/>
    <mergeCell ref="E124:F124"/>
    <mergeCell ref="G87:H87"/>
    <mergeCell ref="G88:H88"/>
    <mergeCell ref="G89:H89"/>
  </mergeCells>
  <conditionalFormatting sqref="C24:C27 C7 D159 C159:C160 C84:C85 C16:G16">
    <cfRule type="expression" dxfId="69" priority="265" stopIfTrue="1">
      <formula>LEFT(C7,1)="&lt;"</formula>
    </cfRule>
  </conditionalFormatting>
  <conditionalFormatting sqref="C19">
    <cfRule type="expression" dxfId="68" priority="264" stopIfTrue="1">
      <formula>LEFT(C19,1)="&lt;"</formula>
    </cfRule>
  </conditionalFormatting>
  <conditionalFormatting sqref="C20">
    <cfRule type="expression" dxfId="67" priority="262" stopIfTrue="1">
      <formula>LEFT(C20,1)="&lt;"</formula>
    </cfRule>
  </conditionalFormatting>
  <conditionalFormatting sqref="G19">
    <cfRule type="expression" dxfId="66" priority="261" stopIfTrue="1">
      <formula>LEFT(G19,1)="&lt;"</formula>
    </cfRule>
  </conditionalFormatting>
  <conditionalFormatting sqref="G20">
    <cfRule type="expression" dxfId="65" priority="260" stopIfTrue="1">
      <formula>LEFT(G20,1)="&lt;"</formula>
    </cfRule>
  </conditionalFormatting>
  <conditionalFormatting sqref="D29 F29">
    <cfRule type="expression" dxfId="64" priority="246" stopIfTrue="1">
      <formula>LEFT(D29,1)="&lt;"</formula>
    </cfRule>
  </conditionalFormatting>
  <conditionalFormatting sqref="B31">
    <cfRule type="expression" dxfId="63" priority="253" stopIfTrue="1">
      <formula>LEFT(B31,1)="&lt;"</formula>
    </cfRule>
  </conditionalFormatting>
  <conditionalFormatting sqref="C31">
    <cfRule type="expression" dxfId="62" priority="249" stopIfTrue="1">
      <formula>LEFT(C31,1)="&lt;"</formula>
    </cfRule>
  </conditionalFormatting>
  <conditionalFormatting sqref="C50:D52">
    <cfRule type="expression" dxfId="61" priority="243" stopIfTrue="1">
      <formula>LEFT(C50,1)="&lt;"</formula>
    </cfRule>
  </conditionalFormatting>
  <conditionalFormatting sqref="C81:C82">
    <cfRule type="expression" dxfId="60" priority="242" stopIfTrue="1">
      <formula>LEFT(C81,1)="&lt;"</formula>
    </cfRule>
  </conditionalFormatting>
  <conditionalFormatting sqref="C22">
    <cfRule type="expression" dxfId="59" priority="239" stopIfTrue="1">
      <formula>LEFT(C22,1)="&lt;"</formula>
    </cfRule>
  </conditionalFormatting>
  <conditionalFormatting sqref="C23">
    <cfRule type="expression" dxfId="58" priority="240" stopIfTrue="1">
      <formula>LEFT(C23,1)="&lt;"</formula>
    </cfRule>
  </conditionalFormatting>
  <conditionalFormatting sqref="C74">
    <cfRule type="expression" dxfId="57" priority="235" stopIfTrue="1">
      <formula>LEFT(C74,1)="&lt;"</formula>
    </cfRule>
  </conditionalFormatting>
  <conditionalFormatting sqref="C126:C127 C167:C170 C143:C145 C133:C136 C113:C119 C198:C207">
    <cfRule type="expression" dxfId="56" priority="210" stopIfTrue="1">
      <formula>LEFT(C113,1)="&lt;"</formula>
    </cfRule>
  </conditionalFormatting>
  <conditionalFormatting sqref="C91:C92 C94 C102:C111">
    <cfRule type="expression" dxfId="55" priority="209" stopIfTrue="1">
      <formula>LEFT(C91,1)="&lt;"</formula>
    </cfRule>
  </conditionalFormatting>
  <conditionalFormatting sqref="C83">
    <cfRule type="expression" dxfId="54" priority="208" stopIfTrue="1">
      <formula>LEFT(C83,1)="&lt;"</formula>
    </cfRule>
  </conditionalFormatting>
  <conditionalFormatting sqref="C128:C129">
    <cfRule type="expression" dxfId="53" priority="203" stopIfTrue="1">
      <formula>LEFT(C128,1)="&lt;"</formula>
    </cfRule>
  </conditionalFormatting>
  <conditionalFormatting sqref="C90">
    <cfRule type="expression" dxfId="52" priority="199" stopIfTrue="1">
      <formula>LEFT(C90,1)="&lt;"</formula>
    </cfRule>
  </conditionalFormatting>
  <conditionalFormatting sqref="C130">
    <cfRule type="expression" dxfId="51" priority="202" stopIfTrue="1">
      <formula>LEFT(C130,1)="&lt;"</formula>
    </cfRule>
  </conditionalFormatting>
  <conditionalFormatting sqref="C161:C166">
    <cfRule type="expression" dxfId="50" priority="195" stopIfTrue="1">
      <formula>LEFT(C161,1)="&lt;"</formula>
    </cfRule>
  </conditionalFormatting>
  <conditionalFormatting sqref="C93">
    <cfRule type="expression" dxfId="49" priority="198" stopIfTrue="1">
      <formula>LEFT(C93,1)="&lt;"</formula>
    </cfRule>
  </conditionalFormatting>
  <conditionalFormatting sqref="C138">
    <cfRule type="expression" dxfId="48" priority="197" stopIfTrue="1">
      <formula>LEFT(C138,1)="&lt;"</formula>
    </cfRule>
  </conditionalFormatting>
  <conditionalFormatting sqref="E15">
    <cfRule type="expression" dxfId="47" priority="186" stopIfTrue="1">
      <formula>LEFT(E15,1)="&lt;"</formula>
    </cfRule>
  </conditionalFormatting>
  <conditionalFormatting sqref="C60:F61">
    <cfRule type="expression" dxfId="46" priority="192" stopIfTrue="1">
      <formula>LEFT(C60,1)="&lt;"</formula>
    </cfRule>
  </conditionalFormatting>
  <conditionalFormatting sqref="E12">
    <cfRule type="expression" dxfId="45" priority="181" stopIfTrue="1">
      <formula>LEFT(E12,1)="&lt;"</formula>
    </cfRule>
  </conditionalFormatting>
  <conditionalFormatting sqref="G15">
    <cfRule type="expression" dxfId="44" priority="188" stopIfTrue="1">
      <formula>LEFT(G15,1)="&lt;"</formula>
    </cfRule>
  </conditionalFormatting>
  <conditionalFormatting sqref="F15">
    <cfRule type="expression" dxfId="43" priority="187" stopIfTrue="1">
      <formula>LEFT(F15,1)="&lt;"</formula>
    </cfRule>
  </conditionalFormatting>
  <conditionalFormatting sqref="D15">
    <cfRule type="expression" dxfId="42" priority="185" stopIfTrue="1">
      <formula>LEFT(D15,1)="&lt;"</formula>
    </cfRule>
  </conditionalFormatting>
  <conditionalFormatting sqref="C15">
    <cfRule type="expression" dxfId="41" priority="184" stopIfTrue="1">
      <formula>LEFT(C15,1)="&lt;"</formula>
    </cfRule>
  </conditionalFormatting>
  <conditionalFormatting sqref="C12">
    <cfRule type="expression" dxfId="40" priority="183" stopIfTrue="1">
      <formula>LEFT(C12,1)="&lt;"</formula>
    </cfRule>
  </conditionalFormatting>
  <conditionalFormatting sqref="D12">
    <cfRule type="expression" dxfId="39" priority="182" stopIfTrue="1">
      <formula>LEFT(D12,1)="&lt;"</formula>
    </cfRule>
  </conditionalFormatting>
  <conditionalFormatting sqref="F12">
    <cfRule type="expression" dxfId="38" priority="180" stopIfTrue="1">
      <formula>LEFT(F12,1)="&lt;"</formula>
    </cfRule>
  </conditionalFormatting>
  <conditionalFormatting sqref="G12">
    <cfRule type="expression" dxfId="37" priority="179" stopIfTrue="1">
      <formula>LEFT(G12,1)="&lt;"</formula>
    </cfRule>
  </conditionalFormatting>
  <conditionalFormatting sqref="C14">
    <cfRule type="expression" dxfId="36" priority="178" stopIfTrue="1">
      <formula>LEFT(C14,1)="&lt;"</formula>
    </cfRule>
  </conditionalFormatting>
  <conditionalFormatting sqref="C227:C235">
    <cfRule type="expression" dxfId="35" priority="156" stopIfTrue="1">
      <formula>LEFT(C227,1)="&lt;"</formula>
    </cfRule>
  </conditionalFormatting>
  <conditionalFormatting sqref="C47">
    <cfRule type="expression" dxfId="34" priority="143" stopIfTrue="1">
      <formula>LEFT(C47,1)="&lt;"</formula>
    </cfRule>
  </conditionalFormatting>
  <conditionalFormatting sqref="C72">
    <cfRule type="expression" dxfId="33" priority="63" stopIfTrue="1">
      <formula>LEFT(C72,1)="&lt;"</formula>
    </cfRule>
  </conditionalFormatting>
  <conditionalFormatting sqref="C8">
    <cfRule type="expression" dxfId="32" priority="45" stopIfTrue="1">
      <formula>LEFT(C8,1)="&lt;"</formula>
    </cfRule>
  </conditionalFormatting>
  <conditionalFormatting sqref="C9">
    <cfRule type="expression" dxfId="31" priority="44" stopIfTrue="1">
      <formula>LEFT(C9,1)="&lt;"</formula>
    </cfRule>
  </conditionalFormatting>
  <conditionalFormatting sqref="C10">
    <cfRule type="expression" dxfId="30" priority="43" stopIfTrue="1">
      <formula>LEFT(C10,1)="&lt;"</formula>
    </cfRule>
  </conditionalFormatting>
  <conditionalFormatting sqref="C11">
    <cfRule type="expression" dxfId="29" priority="42" stopIfTrue="1">
      <formula>LEFT(C11,1)="&lt;"</formula>
    </cfRule>
  </conditionalFormatting>
  <conditionalFormatting sqref="C70">
    <cfRule type="expression" dxfId="28" priority="41" stopIfTrue="1">
      <formula>LEFT(C70,1)="&lt;"</formula>
    </cfRule>
  </conditionalFormatting>
  <conditionalFormatting sqref="E50:G52">
    <cfRule type="expression" dxfId="27" priority="36" stopIfTrue="1">
      <formula>LEFT(E50,1)="&lt;"</formula>
    </cfRule>
  </conditionalFormatting>
  <conditionalFormatting sqref="C54:C55">
    <cfRule type="expression" dxfId="26" priority="35" stopIfTrue="1">
      <formula>LEFT(C54,1)="&lt;"</formula>
    </cfRule>
  </conditionalFormatting>
  <conditionalFormatting sqref="D54:D55">
    <cfRule type="expression" dxfId="25" priority="34" stopIfTrue="1">
      <formula>LEFT(D54,1)="&lt;"</formula>
    </cfRule>
  </conditionalFormatting>
  <conditionalFormatting sqref="E54:H55">
    <cfRule type="expression" dxfId="24" priority="33" stopIfTrue="1">
      <formula>LEFT(E54,1)="&lt;"</formula>
    </cfRule>
  </conditionalFormatting>
  <conditionalFormatting sqref="E64:G66">
    <cfRule type="expression" dxfId="23" priority="32" stopIfTrue="1">
      <formula>LEFT(E64,1)="&lt;"</formula>
    </cfRule>
  </conditionalFormatting>
  <conditionalFormatting sqref="C64:C66">
    <cfRule type="expression" dxfId="22" priority="31" stopIfTrue="1">
      <formula>LEFT(C64,1)="&lt;"</formula>
    </cfRule>
  </conditionalFormatting>
  <conditionalFormatting sqref="C68:H68">
    <cfRule type="expression" dxfId="21" priority="30" stopIfTrue="1">
      <formula>LEFT(C68,1)="&lt;"</formula>
    </cfRule>
  </conditionalFormatting>
  <conditionalFormatting sqref="C148:F158">
    <cfRule type="expression" dxfId="20" priority="14" stopIfTrue="1">
      <formula>LEFT(C148,1)="&lt;"</formula>
    </cfRule>
  </conditionalFormatting>
  <conditionalFormatting sqref="E198:E207">
    <cfRule type="expression" dxfId="19" priority="13" stopIfTrue="1">
      <formula>LEFT(E198,1)="&lt;"</formula>
    </cfRule>
  </conditionalFormatting>
  <conditionalFormatting sqref="C222">
    <cfRule type="expression" dxfId="18" priority="12" stopIfTrue="1">
      <formula>LEFT(C222,1)="&lt;"</formula>
    </cfRule>
  </conditionalFormatting>
  <conditionalFormatting sqref="F237:G240">
    <cfRule type="expression" dxfId="17" priority="11" stopIfTrue="1">
      <formula>LEFT(F237,1)="&lt;"</formula>
    </cfRule>
  </conditionalFormatting>
  <conditionalFormatting sqref="G58:G61">
    <cfRule type="expression" dxfId="16" priority="10" stopIfTrue="1">
      <formula>LEFT(G58,1)="&lt;"</formula>
    </cfRule>
  </conditionalFormatting>
  <conditionalFormatting sqref="G70">
    <cfRule type="expression" dxfId="15" priority="9" stopIfTrue="1">
      <formula>LEFT(G70,1)="&lt;"</formula>
    </cfRule>
  </conditionalFormatting>
  <conditionalFormatting sqref="G72">
    <cfRule type="expression" dxfId="14" priority="8" stopIfTrue="1">
      <formula>LEFT(G72,1)="&lt;"</formula>
    </cfRule>
  </conditionalFormatting>
  <conditionalFormatting sqref="C140">
    <cfRule type="expression" dxfId="13" priority="7" stopIfTrue="1">
      <formula>LEFT(C140,1)="&lt;"</formula>
    </cfRule>
  </conditionalFormatting>
  <conditionalFormatting sqref="G148:G158">
    <cfRule type="expression" dxfId="12" priority="6" stopIfTrue="1">
      <formula>LEFT(G148,1)="&lt;"</formula>
    </cfRule>
  </conditionalFormatting>
  <conditionalFormatting sqref="D198">
    <cfRule type="expression" dxfId="11" priority="5" stopIfTrue="1">
      <formula>LEFT(D198,1)="&lt;"</formula>
    </cfRule>
  </conditionalFormatting>
  <conditionalFormatting sqref="C58:F59">
    <cfRule type="expression" dxfId="10" priority="3" stopIfTrue="1">
      <formula>LEFT(C58,1)="&lt;"</formula>
    </cfRule>
  </conditionalFormatting>
  <conditionalFormatting sqref="C77">
    <cfRule type="expression" dxfId="9" priority="2" stopIfTrue="1">
      <formula>LEFT(C77,1)="&lt;"</formula>
    </cfRule>
  </conditionalFormatting>
  <conditionalFormatting sqref="C79">
    <cfRule type="expression" dxfId="8" priority="1" stopIfTrue="1">
      <formula>LEFT(C79,1)="&lt;"</formula>
    </cfRule>
  </conditionalFormatting>
  <conditionalFormatting sqref="C18">
    <cfRule type="expression" dxfId="7" priority="266">
      <formula>#REF!</formula>
    </cfRule>
    <cfRule type="expression" dxfId="6" priority="267">
      <formula>#REF!</formula>
    </cfRule>
  </conditionalFormatting>
  <conditionalFormatting sqref="C17:H17">
    <cfRule type="expression" dxfId="5" priority="268" stopIfTrue="1">
      <formula>#REF!</formula>
    </cfRule>
    <cfRule type="expression" dxfId="4" priority="269">
      <formula>#REF!</formula>
    </cfRule>
  </conditionalFormatting>
  <dataValidations count="23">
    <dataValidation type="list" allowBlank="1" showInputMessage="1" showErrorMessage="1" sqref="C87 G178:G179 C93:D93 C83:G83 C85:G85 C114 D72:F72 D70:F70">
      <formula1>#REF!</formula1>
    </dataValidation>
    <dataValidation type="list" allowBlank="1" showInputMessage="1" showErrorMessage="1" sqref="C15">
      <formula1>Программы1_</formula1>
    </dataValidation>
    <dataValidation type="list" allowBlank="1" showInputMessage="1" showErrorMessage="1" sqref="C133:C136 C227:C235 C167:C170 C102:C111 C143:C145 C198:C207 C90 C113">
      <formula1>"Да,Нет"</formula1>
    </dataValidation>
    <dataValidation type="list" allowBlank="1" showInputMessage="1" showErrorMessage="1" sqref="C14">
      <formula1>$R$2:$R$7</formula1>
    </dataValidation>
    <dataValidation type="textLength" allowBlank="1" showInputMessage="1" showErrorMessage="1" sqref="C10:C11">
      <formula1>50</formula1>
      <formula2>500</formula2>
    </dataValidation>
    <dataValidation type="list" allowBlank="1" showInputMessage="1" showErrorMessage="1" sqref="C81:G81 C91:D91">
      <formula1>#REF!</formula1>
    </dataValidation>
    <dataValidation type="list" allowBlank="1" showInputMessage="1" showErrorMessage="1" sqref="C138:G138 G172:G177 C77:G77 C221 C159:C166 C74:G74 E237:E240 D87 G180:G181 C137 F164 C95:C101 E164:E165 G140:G142 C141:C142 G126:G137 C131:C132 G120:G124 C120:C124 G90:G101 G159:G165 D159:D165 C223:C225 G183:G196 C183:C196 G209:G219 C209:C219 G221:G224 C79:G79">
      <formula1>#REF!</formula1>
    </dataValidation>
    <dataValidation type="list" allowBlank="1" showInputMessage="1" showErrorMessage="1" sqref="C116:C117 C119">
      <formula1>#REF!</formula1>
    </dataValidation>
    <dataValidation type="list" allowBlank="1" showInputMessage="1" showErrorMessage="1" sqref="C126:D126 C128:D129">
      <formula1>#REF!</formula1>
    </dataValidation>
    <dataValidation type="list" allowBlank="1" showInputMessage="1" showErrorMessage="1" sqref="C127:D127 C130:D130">
      <formula1>#REF!</formula1>
    </dataValidation>
    <dataValidation type="list" allowBlank="1" showInputMessage="1" showErrorMessage="1" sqref="C13:G13">
      <formula1>#REF!</formula1>
    </dataValidation>
    <dataValidation type="list" allowBlank="1" showInputMessage="1" showErrorMessage="1" sqref="C92:D92 F92">
      <formula1>#REF!</formula1>
    </dataValidation>
    <dataValidation type="list" allowBlank="1" showInputMessage="1" showErrorMessage="1" sqref="C94">
      <formula1>#REF!</formula1>
    </dataValidation>
    <dataValidation type="list" allowBlank="1" showInputMessage="1" showErrorMessage="1" sqref="D50:D52">
      <formula1>#REF!</formula1>
    </dataValidation>
    <dataValidation type="list" allowBlank="1" showInputMessage="1" showErrorMessage="1" sqref="C82:G82">
      <formula1>#REF!</formula1>
    </dataValidation>
    <dataValidation type="list" allowBlank="1" showInputMessage="1" showErrorMessage="1" sqref="F198:F207">
      <formula1>#REF!</formula1>
    </dataValidation>
    <dataValidation type="list" allowBlank="1" showInputMessage="1" showErrorMessage="1" sqref="C50:C52">
      <formula1>#REF!</formula1>
    </dataValidation>
    <dataValidation type="list" allowBlank="1" showInputMessage="1" showErrorMessage="1" sqref="B63:B66">
      <formula1>#REF!</formula1>
    </dataValidation>
    <dataValidation type="list" allowBlank="1" showInputMessage="1" showErrorMessage="1" sqref="C70">
      <formula1>#REF!</formula1>
    </dataValidation>
    <dataValidation type="list" allowBlank="1" showInputMessage="1" showErrorMessage="1" sqref="C84:G84">
      <formula1>#REF!</formula1>
    </dataValidation>
    <dataValidation type="list" allowBlank="1" showInputMessage="1" showErrorMessage="1" sqref="C7">
      <formula1>#REF!</formula1>
    </dataValidation>
    <dataValidation type="list" allowBlank="1" showInputMessage="1" showErrorMessage="1" sqref="C17:H17">
      <formula1>#REF!</formula1>
    </dataValidation>
    <dataValidation type="list" allowBlank="1" showInputMessage="1" showErrorMessage="1" sqref="D64:D66">
      <formula1>#REF!</formula1>
    </dataValidation>
  </dataValidations>
  <hyperlinks>
    <hyperlink ref="C31:G45" location="'02.2_Обьемы работ и Сроки'!Область_печати" display="УКАЗАТЬ НА ЛИСТЕ &quot;Обьемы работ и сроки&quot;"/>
    <hyperlink ref="F29:G29" location="'Шаг3-Дорожная карта'!A1" display="'Шаг3-Дорожная карта'!A1"/>
    <hyperlink ref="B241:G241" location="'02.3 Распределение обязанностей'!Область_печати" display="Дополнительные критерии указаны на вкладке "/>
    <hyperlink ref="C47:G47" location="'02.2_Обьемы работ и Сроки'!Область_печати" display="Указать на листе &quot;Обьемы работ и сроки&quot;"/>
  </hyperlinks>
  <pageMargins left="0.25" right="0.25" top="0.75" bottom="0.75" header="0.3" footer="0.3"/>
  <pageSetup paperSize="9" scale="74" fitToHeight="0" orientation="portrait" r:id="rId1"/>
  <rowBreaks count="11" manualBreakCount="11">
    <brk id="47" min="1" max="16" man="1"/>
    <brk id="52" max="16383" man="1"/>
    <brk id="74" max="16383" man="1"/>
    <brk id="79" max="16383" man="1"/>
    <brk id="109" max="16383" man="1"/>
    <brk id="137" min="1" max="16" man="1"/>
    <brk id="138" min="1" max="16" man="1"/>
    <brk id="161" min="1" max="16" man="1"/>
    <brk id="187" min="1" max="16" man="1"/>
    <brk id="194" min="1" max="16" man="1"/>
    <brk id="217" min="1" max="16" man="1"/>
  </rowBreaks>
  <cellWatches>
    <cellWatch r="B176"/>
  </cellWatch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1" r:id="rId4" name="Check Box 237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28575</xdr:colOff>
                    <xdr:row>197</xdr:row>
                    <xdr:rowOff>57150</xdr:rowOff>
                  </from>
                  <to>
                    <xdr:col>8</xdr:col>
                    <xdr:colOff>0</xdr:colOff>
                    <xdr:row>197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5" name="Check Box 238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28575</xdr:colOff>
                    <xdr:row>198</xdr:row>
                    <xdr:rowOff>38100</xdr:rowOff>
                  </from>
                  <to>
                    <xdr:col>8</xdr:col>
                    <xdr:colOff>0</xdr:colOff>
                    <xdr:row>198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6" name="Check Box 239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9525</xdr:colOff>
                    <xdr:row>199</xdr:row>
                    <xdr:rowOff>19050</xdr:rowOff>
                  </from>
                  <to>
                    <xdr:col>8</xdr:col>
                    <xdr:colOff>0</xdr:colOff>
                    <xdr:row>199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7" name="Check Box 240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9525</xdr:colOff>
                    <xdr:row>200</xdr:row>
                    <xdr:rowOff>0</xdr:rowOff>
                  </from>
                  <to>
                    <xdr:col>8</xdr:col>
                    <xdr:colOff>0</xdr:colOff>
                    <xdr:row>200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8" name="Check Box 241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28575</xdr:colOff>
                    <xdr:row>201</xdr:row>
                    <xdr:rowOff>38100</xdr:rowOff>
                  </from>
                  <to>
                    <xdr:col>8</xdr:col>
                    <xdr:colOff>0</xdr:colOff>
                    <xdr:row>201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9" name="Check Box 242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28575</xdr:colOff>
                    <xdr:row>202</xdr:row>
                    <xdr:rowOff>19050</xdr:rowOff>
                  </from>
                  <to>
                    <xdr:col>8</xdr:col>
                    <xdr:colOff>0</xdr:colOff>
                    <xdr:row>202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0" name="Check Box 243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28575</xdr:colOff>
                    <xdr:row>203</xdr:row>
                    <xdr:rowOff>28575</xdr:rowOff>
                  </from>
                  <to>
                    <xdr:col>8</xdr:col>
                    <xdr:colOff>0</xdr:colOff>
                    <xdr:row>203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1" name="Check Box 244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28575</xdr:colOff>
                    <xdr:row>204</xdr:row>
                    <xdr:rowOff>9525</xdr:rowOff>
                  </from>
                  <to>
                    <xdr:col>8</xdr:col>
                    <xdr:colOff>0</xdr:colOff>
                    <xdr:row>204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2" name="Check Box 245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9525</xdr:colOff>
                    <xdr:row>205</xdr:row>
                    <xdr:rowOff>28575</xdr:rowOff>
                  </from>
                  <to>
                    <xdr:col>8</xdr:col>
                    <xdr:colOff>0</xdr:colOff>
                    <xdr:row>205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3" name="Check Box 246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9525</xdr:colOff>
                    <xdr:row>206</xdr:row>
                    <xdr:rowOff>9525</xdr:rowOff>
                  </from>
                  <to>
                    <xdr:col>8</xdr:col>
                    <xdr:colOff>0</xdr:colOff>
                    <xdr:row>206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4" name="Check Box 271">
              <controlPr defaultSize="0" print="0" autoFill="0" autoLine="0" autoPict="0" macro="[0]!Флажок53_Щелчок" altText="">
                <anchor moveWithCells="1">
                  <from>
                    <xdr:col>7</xdr:col>
                    <xdr:colOff>9525</xdr:colOff>
                    <xdr:row>235</xdr:row>
                    <xdr:rowOff>95250</xdr:rowOff>
                  </from>
                  <to>
                    <xdr:col>8</xdr:col>
                    <xdr:colOff>0</xdr:colOff>
                    <xdr:row>236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5" name="Check Box 272">
              <controlPr defaultSize="0" print="0" autoFill="0" autoLine="0" autoPict="0" macro="[0]!Флажок53_Щелчок" altText="">
                <anchor moveWithCells="1">
                  <from>
                    <xdr:col>7</xdr:col>
                    <xdr:colOff>9525</xdr:colOff>
                    <xdr:row>237</xdr:row>
                    <xdr:rowOff>9525</xdr:rowOff>
                  </from>
                  <to>
                    <xdr:col>8</xdr:col>
                    <xdr:colOff>0</xdr:colOff>
                    <xdr:row>237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6" name="Check Box 273">
              <controlPr defaultSize="0" print="0" autoFill="0" autoLine="0" autoPict="0" macro="[0]!Флажок53_Щелчок" altText="Требуется проверить _x000a_на Техоценке (КТЧ)">
                <anchor moveWithCells="1">
                  <from>
                    <xdr:col>7</xdr:col>
                    <xdr:colOff>0</xdr:colOff>
                    <xdr:row>238</xdr:row>
                    <xdr:rowOff>85725</xdr:rowOff>
                  </from>
                  <to>
                    <xdr:col>7</xdr:col>
                    <xdr:colOff>942975</xdr:colOff>
                    <xdr:row>239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'База данных'!$A$70:$A$89</xm:f>
          </x14:formula1>
          <xm:sqref>B148:B156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5" tint="-0.249977111117893"/>
  </sheetPr>
  <dimension ref="B2:AE25"/>
  <sheetViews>
    <sheetView view="pageBreakPreview" zoomScale="70" zoomScaleNormal="100" zoomScaleSheetLayoutView="70" workbookViewId="0">
      <selection activeCell="E13" sqref="E13"/>
    </sheetView>
  </sheetViews>
  <sheetFormatPr defaultColWidth="9" defaultRowHeight="13.5" x14ac:dyDescent="0.25"/>
  <cols>
    <col min="1" max="1" width="2.140625" style="181" customWidth="1"/>
    <col min="2" max="2" width="39.5703125" style="181" customWidth="1"/>
    <col min="3" max="3" width="15.28515625" style="181" customWidth="1"/>
    <col min="4" max="4" width="31.7109375" style="181" customWidth="1"/>
    <col min="5" max="5" width="31" style="181" customWidth="1"/>
    <col min="6" max="6" width="35.28515625" style="181" customWidth="1"/>
    <col min="7" max="7" width="28.140625" style="181" customWidth="1"/>
    <col min="8" max="8" width="2.7109375" style="181" customWidth="1"/>
    <col min="9" max="21" width="9" style="181" hidden="1" customWidth="1"/>
    <col min="22" max="22" width="9" style="181" customWidth="1"/>
    <col min="23" max="16384" width="9" style="181"/>
  </cols>
  <sheetData>
    <row r="2" spans="2:31" ht="13.5" customHeight="1" x14ac:dyDescent="0.25">
      <c r="B2" s="511" t="s">
        <v>333</v>
      </c>
      <c r="C2" s="511"/>
      <c r="D2" s="511"/>
      <c r="E2" s="511"/>
      <c r="F2" s="511"/>
      <c r="G2" s="511"/>
      <c r="H2" s="511"/>
      <c r="I2" s="511"/>
      <c r="J2" s="511"/>
    </row>
    <row r="3" spans="2:31" ht="13.5" customHeight="1" x14ac:dyDescent="0.25">
      <c r="B3" s="511"/>
      <c r="C3" s="511"/>
      <c r="D3" s="511"/>
      <c r="E3" s="511"/>
      <c r="F3" s="511"/>
      <c r="G3" s="511"/>
      <c r="H3" s="511"/>
      <c r="I3" s="511"/>
      <c r="J3" s="511"/>
      <c r="N3" s="181" t="s">
        <v>60</v>
      </c>
    </row>
    <row r="4" spans="2:31" ht="13.5" customHeight="1" x14ac:dyDescent="0.25">
      <c r="B4" s="511"/>
      <c r="C4" s="511"/>
      <c r="D4" s="511"/>
      <c r="E4" s="511"/>
      <c r="F4" s="511"/>
      <c r="G4" s="511"/>
      <c r="H4" s="511"/>
      <c r="I4" s="511"/>
      <c r="J4" s="511"/>
      <c r="N4" s="181" t="s">
        <v>61</v>
      </c>
    </row>
    <row r="5" spans="2:31" ht="20.25" customHeight="1" x14ac:dyDescent="0.25">
      <c r="B5" s="511"/>
      <c r="C5" s="511"/>
      <c r="D5" s="511"/>
      <c r="E5" s="511"/>
      <c r="F5" s="511"/>
      <c r="G5" s="511"/>
      <c r="H5" s="511"/>
      <c r="I5" s="511"/>
      <c r="J5" s="511"/>
    </row>
    <row r="6" spans="2:31" ht="13.5" customHeight="1" x14ac:dyDescent="0.25">
      <c r="B6" s="511"/>
      <c r="C6" s="511"/>
      <c r="D6" s="511"/>
      <c r="E6" s="511"/>
      <c r="F6" s="511"/>
      <c r="G6" s="511"/>
      <c r="H6" s="511"/>
      <c r="I6" s="511"/>
      <c r="J6" s="511"/>
    </row>
    <row r="7" spans="2:31" ht="56.25" customHeight="1" x14ac:dyDescent="0.25">
      <c r="B7" s="182" t="s">
        <v>444</v>
      </c>
      <c r="C7" s="183" t="s">
        <v>62</v>
      </c>
      <c r="D7" s="183" t="s">
        <v>98</v>
      </c>
      <c r="E7" s="183" t="s">
        <v>399</v>
      </c>
      <c r="F7" s="183" t="s">
        <v>111</v>
      </c>
      <c r="G7" s="183" t="s">
        <v>445</v>
      </c>
      <c r="I7" s="181" t="s">
        <v>3</v>
      </c>
      <c r="N7" s="181" t="s">
        <v>443</v>
      </c>
      <c r="W7" s="512" t="s">
        <v>247</v>
      </c>
      <c r="X7" s="513"/>
      <c r="Y7" s="513"/>
      <c r="Z7" s="513"/>
      <c r="AA7" s="513"/>
      <c r="AB7" s="513"/>
      <c r="AC7" s="513"/>
      <c r="AD7" s="513"/>
      <c r="AE7" s="513"/>
    </row>
    <row r="8" spans="2:31" ht="50.1" customHeight="1" x14ac:dyDescent="0.25">
      <c r="B8" s="184" t="s">
        <v>856</v>
      </c>
      <c r="C8" s="292" t="s">
        <v>99</v>
      </c>
      <c r="D8" s="293" t="s">
        <v>100</v>
      </c>
      <c r="E8" s="178" t="s">
        <v>3</v>
      </c>
      <c r="F8" s="179" t="s">
        <v>3</v>
      </c>
      <c r="G8" s="180" t="s">
        <v>857</v>
      </c>
      <c r="I8" s="181" t="s">
        <v>99</v>
      </c>
      <c r="N8" s="181" t="s">
        <v>3</v>
      </c>
      <c r="W8" s="513"/>
      <c r="X8" s="513"/>
      <c r="Y8" s="513"/>
      <c r="Z8" s="513"/>
      <c r="AA8" s="513"/>
      <c r="AB8" s="513"/>
      <c r="AC8" s="513"/>
      <c r="AD8" s="513"/>
      <c r="AE8" s="513"/>
    </row>
    <row r="9" spans="2:31" ht="45" customHeight="1" x14ac:dyDescent="0.25">
      <c r="B9" s="184"/>
      <c r="C9" s="292"/>
      <c r="D9" s="293"/>
      <c r="E9" s="178"/>
      <c r="F9" s="179"/>
      <c r="N9" s="181" t="s">
        <v>101</v>
      </c>
    </row>
    <row r="10" spans="2:31" ht="45" customHeight="1" x14ac:dyDescent="0.25">
      <c r="N10" s="181" t="s">
        <v>102</v>
      </c>
    </row>
    <row r="11" spans="2:31" ht="45" customHeight="1" x14ac:dyDescent="0.25">
      <c r="N11" s="181" t="s">
        <v>103</v>
      </c>
    </row>
    <row r="12" spans="2:31" ht="45" customHeight="1" x14ac:dyDescent="0.25">
      <c r="N12" s="181" t="s">
        <v>418</v>
      </c>
    </row>
    <row r="13" spans="2:31" ht="45" customHeight="1" x14ac:dyDescent="0.25">
      <c r="N13" s="181" t="s">
        <v>104</v>
      </c>
    </row>
    <row r="14" spans="2:31" ht="45" customHeight="1" x14ac:dyDescent="0.25">
      <c r="N14" s="181" t="s">
        <v>105</v>
      </c>
    </row>
    <row r="15" spans="2:31" ht="45" customHeight="1" x14ac:dyDescent="0.25">
      <c r="N15" s="181" t="s">
        <v>106</v>
      </c>
    </row>
    <row r="16" spans="2:31" x14ac:dyDescent="0.25">
      <c r="N16" s="181" t="s">
        <v>107</v>
      </c>
    </row>
    <row r="17" spans="14:14" x14ac:dyDescent="0.25">
      <c r="N17" s="181" t="s">
        <v>108</v>
      </c>
    </row>
    <row r="18" spans="14:14" x14ac:dyDescent="0.25">
      <c r="N18" s="181" t="s">
        <v>417</v>
      </c>
    </row>
    <row r="19" spans="14:14" x14ac:dyDescent="0.25">
      <c r="N19" s="181" t="s">
        <v>109</v>
      </c>
    </row>
    <row r="20" spans="14:14" x14ac:dyDescent="0.25">
      <c r="N20" s="181" t="s">
        <v>109</v>
      </c>
    </row>
    <row r="25" spans="14:14" x14ac:dyDescent="0.25">
      <c r="N25" s="181" t="s">
        <v>110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C8:D9" name="Диапазон1"/>
  </protectedRanges>
  <mergeCells count="2">
    <mergeCell ref="B2:J6"/>
    <mergeCell ref="W7:AE8"/>
  </mergeCells>
  <conditionalFormatting sqref="C8:G8 C9:F9">
    <cfRule type="cellIs" dxfId="3" priority="3" stopIfTrue="1" operator="equal">
      <formula>0</formula>
    </cfRule>
  </conditionalFormatting>
  <dataValidations count="4">
    <dataValidation type="list" allowBlank="1" showInputMessage="1" showErrorMessage="1" sqref="F8:F9">
      <formula1>#REF!</formula1>
    </dataValidation>
    <dataValidation type="list" allowBlank="1" showInputMessage="1" showErrorMessage="1" sqref="C8:C9">
      <formula1>$I$7:$I$8</formula1>
    </dataValidation>
    <dataValidation type="list" allowBlank="1" showInputMessage="1" showErrorMessage="1" sqref="D8:D9">
      <formula1>$N$9:$N$20</formula1>
    </dataValidation>
    <dataValidation type="list" allowBlank="1" showInputMessage="1" showErrorMessage="1" sqref="E8:E9">
      <formula1>$N$8:$N$8</formula1>
    </dataValidation>
  </dataValidations>
  <pageMargins left="0.7" right="0.7" top="0.75" bottom="0.75" header="0.3" footer="0.3"/>
  <pageSetup paperSize="9" scale="36" orientation="portrait" r:id="rId1"/>
  <colBreaks count="1" manualBreakCount="1">
    <brk id="8" max="2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5" tint="-0.249977111117893"/>
  </sheetPr>
  <dimension ref="B1:VJ78"/>
  <sheetViews>
    <sheetView view="pageBreakPreview" topLeftCell="A6" zoomScale="55" zoomScaleNormal="85" zoomScaleSheetLayoutView="55" workbookViewId="0">
      <selection activeCell="BI27" sqref="BI27:BN27"/>
    </sheetView>
  </sheetViews>
  <sheetFormatPr defaultColWidth="9.140625" defaultRowHeight="12.75" outlineLevelRow="1" x14ac:dyDescent="0.25"/>
  <cols>
    <col min="1" max="1" width="4.7109375" style="50" customWidth="1"/>
    <col min="2" max="2" width="3.42578125" style="50" hidden="1" customWidth="1"/>
    <col min="3" max="4" width="16.42578125" style="47" customWidth="1"/>
    <col min="5" max="5" width="10.5703125" style="47" customWidth="1"/>
    <col min="6" max="6" width="18.140625" style="50" customWidth="1"/>
    <col min="7" max="77" width="2.7109375" style="50" customWidth="1"/>
    <col min="78" max="78" width="4.28515625" style="50" customWidth="1"/>
    <col min="79" max="107" width="2.7109375" style="50" customWidth="1"/>
    <col min="108" max="108" width="3.42578125" style="50" customWidth="1"/>
    <col min="109" max="582" width="2.7109375" style="50" customWidth="1"/>
    <col min="583" max="16384" width="9.140625" style="50"/>
  </cols>
  <sheetData>
    <row r="1" spans="3:582" ht="34.5" hidden="1" customHeight="1" outlineLevel="1" x14ac:dyDescent="0.25">
      <c r="F1" s="48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49"/>
    </row>
    <row r="2" spans="3:582" ht="33" hidden="1" customHeight="1" outlineLevel="1" x14ac:dyDescent="0.25">
      <c r="F2" s="48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49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3:582" ht="39.75" hidden="1" customHeight="1" outlineLevel="1" x14ac:dyDescent="0.25">
      <c r="F3" s="48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49"/>
    </row>
    <row r="4" spans="3:582" ht="35.25" hidden="1" customHeight="1" outlineLevel="1" x14ac:dyDescent="0.25">
      <c r="F4" s="48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514"/>
      <c r="U4" s="514"/>
      <c r="V4" s="514"/>
      <c r="W4" s="514"/>
      <c r="X4" s="514"/>
      <c r="Y4" s="514"/>
      <c r="Z4" s="514"/>
      <c r="AA4" s="514"/>
      <c r="AB4" s="514"/>
      <c r="AC4" s="514"/>
      <c r="AD4" s="514"/>
      <c r="AE4" s="49"/>
    </row>
    <row r="5" spans="3:582" ht="45" hidden="1" customHeight="1" outlineLevel="1" x14ac:dyDescent="0.25">
      <c r="F5" s="48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4"/>
      <c r="AB5" s="514"/>
      <c r="AC5" s="514"/>
      <c r="AD5" s="514"/>
      <c r="AE5" s="49"/>
    </row>
    <row r="6" spans="3:582" ht="20.25" customHeight="1" collapsed="1" x14ac:dyDescent="0.25">
      <c r="F6" s="48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48"/>
      <c r="Z6" s="48"/>
      <c r="AA6" s="48"/>
      <c r="AB6" s="48"/>
      <c r="AC6" s="48"/>
      <c r="AD6" s="48"/>
      <c r="AE6" s="49"/>
    </row>
    <row r="7" spans="3:582" s="54" customFormat="1" ht="35.25" customHeight="1" thickBot="1" x14ac:dyDescent="0.3">
      <c r="C7" s="597" t="s">
        <v>332</v>
      </c>
      <c r="D7" s="597"/>
      <c r="E7" s="597"/>
      <c r="F7" s="597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70"/>
      <c r="Z7" s="70"/>
      <c r="AA7" s="70"/>
      <c r="AB7" s="70"/>
      <c r="AC7" s="70"/>
      <c r="AD7" s="70"/>
      <c r="AE7" s="71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72"/>
      <c r="GY7" s="72"/>
      <c r="GZ7" s="72"/>
      <c r="HA7" s="72"/>
      <c r="HB7" s="72"/>
      <c r="HC7" s="72"/>
      <c r="HD7" s="72"/>
      <c r="HE7" s="72"/>
      <c r="HF7" s="72"/>
      <c r="HG7" s="72"/>
      <c r="HH7" s="72"/>
      <c r="HI7" s="72"/>
      <c r="HJ7" s="72"/>
      <c r="HK7" s="72"/>
      <c r="HL7" s="72"/>
      <c r="HM7" s="72"/>
      <c r="HN7" s="72"/>
      <c r="HO7" s="72"/>
      <c r="HP7" s="72"/>
      <c r="HQ7" s="72"/>
      <c r="HR7" s="72"/>
      <c r="HS7" s="72"/>
      <c r="HT7" s="72"/>
      <c r="HU7" s="72"/>
      <c r="HV7" s="72"/>
      <c r="HW7" s="72"/>
      <c r="HX7" s="72"/>
      <c r="HY7" s="72"/>
      <c r="HZ7" s="72"/>
      <c r="IA7" s="72"/>
      <c r="IB7" s="72"/>
      <c r="IC7" s="72"/>
      <c r="ID7" s="72"/>
      <c r="IE7" s="72"/>
      <c r="IF7" s="72"/>
      <c r="IG7" s="72"/>
      <c r="IH7" s="72"/>
      <c r="II7" s="72"/>
      <c r="IJ7" s="72"/>
      <c r="IK7" s="72"/>
      <c r="IL7" s="72"/>
      <c r="IM7" s="72"/>
      <c r="IN7" s="72"/>
      <c r="IO7" s="72"/>
      <c r="IP7" s="72"/>
      <c r="IQ7" s="72"/>
      <c r="IR7" s="72"/>
      <c r="IS7" s="72"/>
      <c r="IT7" s="72"/>
      <c r="IU7" s="72"/>
      <c r="IV7" s="72"/>
      <c r="IW7" s="72"/>
      <c r="IX7" s="72"/>
      <c r="IY7" s="72"/>
      <c r="IZ7" s="72"/>
      <c r="JA7" s="72"/>
      <c r="JB7" s="72"/>
      <c r="JC7" s="72"/>
      <c r="JD7" s="72"/>
      <c r="JE7" s="72"/>
      <c r="JF7" s="72"/>
      <c r="JG7" s="72"/>
      <c r="JH7" s="72"/>
      <c r="JI7" s="72"/>
      <c r="JJ7" s="72"/>
      <c r="JK7" s="72"/>
      <c r="JL7" s="72"/>
      <c r="JM7" s="72"/>
      <c r="JN7" s="72"/>
      <c r="JO7" s="72"/>
      <c r="JP7" s="72"/>
      <c r="JQ7" s="72"/>
      <c r="JR7" s="72"/>
      <c r="JS7" s="72"/>
      <c r="JT7" s="72"/>
      <c r="JU7" s="72"/>
      <c r="JV7" s="72"/>
      <c r="JW7" s="72"/>
      <c r="JX7" s="72"/>
      <c r="JY7" s="72"/>
      <c r="JZ7" s="72"/>
      <c r="KA7" s="72"/>
      <c r="KB7" s="72"/>
      <c r="KC7" s="72"/>
      <c r="KD7" s="72"/>
      <c r="KE7" s="72"/>
      <c r="KF7" s="72"/>
      <c r="KG7" s="72"/>
      <c r="KH7" s="72"/>
      <c r="KI7" s="72"/>
      <c r="KJ7" s="72"/>
      <c r="KK7" s="72"/>
      <c r="KL7" s="72"/>
      <c r="KM7" s="72"/>
      <c r="KN7" s="72"/>
      <c r="KO7" s="72"/>
      <c r="KP7" s="72"/>
      <c r="KQ7" s="72"/>
      <c r="KR7" s="72"/>
      <c r="KS7" s="72"/>
      <c r="KT7" s="72"/>
      <c r="KU7" s="72"/>
      <c r="KV7" s="72"/>
      <c r="KW7" s="72"/>
      <c r="KX7" s="72"/>
      <c r="KY7" s="72"/>
      <c r="KZ7" s="72"/>
      <c r="LA7" s="72"/>
      <c r="LB7" s="72"/>
      <c r="LC7" s="72"/>
      <c r="LD7" s="72"/>
      <c r="LE7" s="72"/>
      <c r="LF7" s="72"/>
      <c r="LG7" s="72"/>
      <c r="LH7" s="72"/>
      <c r="LI7" s="72"/>
      <c r="LJ7" s="72"/>
      <c r="LK7" s="72"/>
      <c r="LL7" s="72"/>
      <c r="LM7" s="72"/>
      <c r="LN7" s="72"/>
      <c r="LO7" s="72"/>
      <c r="LP7" s="72"/>
      <c r="LQ7" s="72"/>
      <c r="LR7" s="72"/>
      <c r="LS7" s="72"/>
      <c r="LT7" s="72"/>
      <c r="LU7" s="72"/>
      <c r="LV7" s="72"/>
      <c r="LW7" s="72"/>
      <c r="LX7" s="72"/>
      <c r="LY7" s="72"/>
      <c r="LZ7" s="72"/>
      <c r="MA7" s="72"/>
      <c r="MB7" s="72"/>
      <c r="MC7" s="72"/>
      <c r="MD7" s="72"/>
      <c r="ME7" s="72"/>
      <c r="MF7" s="72"/>
      <c r="MG7" s="72"/>
      <c r="MH7" s="72"/>
      <c r="MI7" s="72"/>
      <c r="MJ7" s="72"/>
      <c r="MK7" s="72"/>
      <c r="ML7" s="72"/>
      <c r="MM7" s="72"/>
      <c r="MN7" s="72"/>
      <c r="MO7" s="72"/>
      <c r="MP7" s="72"/>
      <c r="MQ7" s="72"/>
      <c r="MR7" s="72"/>
      <c r="MS7" s="72"/>
      <c r="MT7" s="72"/>
      <c r="MU7" s="72"/>
      <c r="MV7" s="72"/>
      <c r="MW7" s="72"/>
      <c r="MX7" s="72"/>
      <c r="MY7" s="72"/>
      <c r="MZ7" s="72"/>
      <c r="NA7" s="72"/>
      <c r="NB7" s="72"/>
      <c r="NC7" s="72"/>
      <c r="ND7" s="72"/>
      <c r="NE7" s="72"/>
      <c r="NF7" s="72"/>
      <c r="NG7" s="72"/>
      <c r="NH7" s="72"/>
      <c r="NI7" s="72"/>
      <c r="NJ7" s="72"/>
      <c r="NK7" s="72"/>
      <c r="NL7" s="72"/>
      <c r="NM7" s="72"/>
      <c r="NN7" s="72"/>
      <c r="NO7" s="72"/>
      <c r="NP7" s="72"/>
      <c r="NQ7" s="72"/>
      <c r="NR7" s="72"/>
      <c r="NS7" s="72"/>
      <c r="NT7" s="72"/>
      <c r="NU7" s="72"/>
      <c r="NV7" s="72"/>
      <c r="NW7" s="72"/>
      <c r="NX7" s="72"/>
      <c r="NY7" s="72"/>
      <c r="NZ7" s="72"/>
      <c r="OA7" s="72"/>
      <c r="OB7" s="72"/>
      <c r="OC7" s="72"/>
      <c r="OD7" s="72"/>
      <c r="OE7" s="72"/>
      <c r="OF7" s="72"/>
      <c r="OG7" s="72"/>
      <c r="OH7" s="72"/>
      <c r="OI7" s="72"/>
      <c r="OJ7" s="72"/>
      <c r="OK7" s="72"/>
      <c r="OL7" s="72"/>
      <c r="OM7" s="72"/>
      <c r="ON7" s="72"/>
      <c r="OO7" s="72"/>
      <c r="OP7" s="72"/>
      <c r="OQ7" s="72"/>
      <c r="OR7" s="72"/>
      <c r="OS7" s="72"/>
      <c r="OT7" s="72"/>
      <c r="OU7" s="72"/>
      <c r="OV7" s="72"/>
      <c r="OW7" s="72"/>
      <c r="OX7" s="72"/>
      <c r="OY7" s="72"/>
      <c r="OZ7" s="72"/>
      <c r="PA7" s="72"/>
      <c r="PB7" s="72"/>
      <c r="PC7" s="72"/>
      <c r="PD7" s="72"/>
      <c r="PE7" s="72"/>
      <c r="PF7" s="72"/>
      <c r="PG7" s="72"/>
      <c r="PH7" s="72"/>
      <c r="PI7" s="72"/>
      <c r="PJ7" s="72"/>
      <c r="PK7" s="72"/>
      <c r="PL7" s="72"/>
      <c r="PM7" s="72"/>
      <c r="PN7" s="72"/>
      <c r="PO7" s="72"/>
      <c r="PP7" s="72"/>
      <c r="PQ7" s="72"/>
      <c r="PR7" s="72"/>
      <c r="PS7" s="72"/>
      <c r="PT7" s="72"/>
      <c r="PU7" s="72"/>
      <c r="PV7" s="72"/>
      <c r="PW7" s="72"/>
      <c r="PX7" s="72"/>
      <c r="PY7" s="72"/>
      <c r="PZ7" s="72"/>
      <c r="QA7" s="72"/>
      <c r="QB7" s="72"/>
      <c r="QC7" s="72"/>
      <c r="QD7" s="72"/>
      <c r="QE7" s="72"/>
      <c r="QF7" s="72"/>
      <c r="QG7" s="72"/>
      <c r="QH7" s="72"/>
      <c r="QI7" s="72"/>
      <c r="QJ7" s="72"/>
      <c r="QK7" s="72"/>
      <c r="QL7" s="72"/>
      <c r="QM7" s="72"/>
      <c r="QN7" s="72"/>
      <c r="QO7" s="72"/>
      <c r="QP7" s="72"/>
      <c r="QQ7" s="72"/>
      <c r="QR7" s="72"/>
      <c r="QS7" s="72"/>
      <c r="QT7" s="72"/>
      <c r="QU7" s="72"/>
      <c r="QV7" s="72"/>
      <c r="QW7" s="72"/>
      <c r="QX7" s="72"/>
      <c r="QY7" s="72"/>
      <c r="QZ7" s="72"/>
      <c r="RA7" s="72"/>
      <c r="RB7" s="72"/>
      <c r="RC7" s="72"/>
      <c r="RD7" s="72"/>
      <c r="RE7" s="72"/>
      <c r="RF7" s="72"/>
      <c r="RG7" s="72"/>
      <c r="RH7" s="72"/>
      <c r="RI7" s="72"/>
      <c r="RJ7" s="72"/>
      <c r="RK7" s="72"/>
      <c r="RL7" s="72"/>
      <c r="RM7" s="72"/>
      <c r="RN7" s="72"/>
      <c r="RO7" s="72"/>
      <c r="RP7" s="72"/>
      <c r="RQ7" s="72"/>
      <c r="RR7" s="72"/>
      <c r="RS7" s="72"/>
      <c r="RT7" s="72"/>
      <c r="RU7" s="72"/>
      <c r="RV7" s="72"/>
      <c r="RW7" s="72"/>
      <c r="RX7" s="72"/>
      <c r="RY7" s="72"/>
      <c r="RZ7" s="72"/>
      <c r="SA7" s="72"/>
      <c r="SB7" s="72"/>
      <c r="SC7" s="72"/>
      <c r="SD7" s="72"/>
      <c r="SE7" s="72"/>
      <c r="SF7" s="72"/>
      <c r="SG7" s="72"/>
      <c r="SH7" s="72"/>
      <c r="SI7" s="72"/>
      <c r="SJ7" s="72"/>
      <c r="SK7" s="72"/>
      <c r="SL7" s="72"/>
      <c r="SM7" s="72"/>
      <c r="SN7" s="72"/>
      <c r="SO7" s="72"/>
      <c r="SP7" s="72"/>
      <c r="SQ7" s="72"/>
      <c r="SR7" s="72"/>
      <c r="SS7" s="72"/>
      <c r="ST7" s="72"/>
      <c r="SU7" s="72"/>
      <c r="SV7" s="72"/>
      <c r="SW7" s="72"/>
      <c r="SX7" s="72"/>
      <c r="SY7" s="72"/>
      <c r="SZ7" s="72"/>
      <c r="TA7" s="72"/>
      <c r="TB7" s="72"/>
      <c r="TC7" s="72"/>
      <c r="TD7" s="72"/>
      <c r="TE7" s="72"/>
      <c r="TF7" s="72"/>
      <c r="TG7" s="72"/>
      <c r="TH7" s="72"/>
      <c r="TI7" s="72"/>
      <c r="TJ7" s="72"/>
      <c r="TK7" s="72"/>
      <c r="TL7" s="72"/>
      <c r="TM7" s="72"/>
      <c r="TN7" s="72"/>
      <c r="TO7" s="72"/>
      <c r="TP7" s="72"/>
      <c r="TQ7" s="72"/>
      <c r="TR7" s="72"/>
      <c r="TS7" s="72"/>
      <c r="TT7" s="72"/>
      <c r="TU7" s="72"/>
      <c r="TV7" s="72"/>
      <c r="TW7" s="72"/>
      <c r="TX7" s="72"/>
      <c r="TY7" s="72"/>
      <c r="TZ7" s="72"/>
      <c r="UA7" s="72"/>
      <c r="UB7" s="72"/>
      <c r="UC7" s="72"/>
      <c r="UD7" s="72"/>
      <c r="UE7" s="72"/>
      <c r="UF7" s="72"/>
      <c r="UG7" s="72"/>
      <c r="UH7" s="72"/>
      <c r="UI7" s="72"/>
      <c r="UJ7" s="72"/>
      <c r="UK7" s="72"/>
      <c r="UL7" s="72"/>
      <c r="UM7" s="72"/>
      <c r="UN7" s="72"/>
      <c r="UO7" s="72"/>
      <c r="UP7" s="72"/>
      <c r="UQ7" s="72"/>
      <c r="UR7" s="72"/>
      <c r="US7" s="72"/>
      <c r="UT7" s="72"/>
      <c r="UU7" s="72"/>
      <c r="UV7" s="72"/>
      <c r="UW7" s="72"/>
      <c r="UX7" s="72"/>
      <c r="UY7" s="72"/>
      <c r="UZ7" s="72"/>
      <c r="VA7" s="72"/>
      <c r="VB7" s="72"/>
      <c r="VC7" s="72"/>
      <c r="VD7" s="72"/>
      <c r="VE7" s="72"/>
      <c r="VF7" s="72"/>
      <c r="VG7" s="72"/>
      <c r="VH7" s="72"/>
      <c r="VI7" s="72"/>
      <c r="VJ7" s="72"/>
    </row>
    <row r="8" spans="3:582" s="54" customFormat="1" ht="17.25" customHeight="1" x14ac:dyDescent="0.25">
      <c r="C8" s="597"/>
      <c r="D8" s="597"/>
      <c r="E8" s="597"/>
      <c r="F8" s="597"/>
      <c r="G8" s="515">
        <v>2019</v>
      </c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E8" s="516"/>
      <c r="AF8" s="516"/>
      <c r="AG8" s="516"/>
      <c r="AH8" s="516"/>
      <c r="AI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  <c r="BP8" s="516"/>
      <c r="BQ8" s="516"/>
      <c r="BR8" s="516"/>
      <c r="BS8" s="516"/>
      <c r="BT8" s="516"/>
      <c r="BU8" s="516"/>
      <c r="BV8" s="516"/>
      <c r="BW8" s="516"/>
      <c r="BX8" s="516"/>
      <c r="BY8" s="516"/>
      <c r="BZ8" s="517"/>
      <c r="CA8" s="529" t="s">
        <v>66</v>
      </c>
      <c r="CB8" s="530"/>
      <c r="CC8" s="530"/>
      <c r="CD8" s="530"/>
      <c r="CE8" s="530"/>
      <c r="CF8" s="530"/>
      <c r="CG8" s="530"/>
      <c r="CH8" s="530"/>
      <c r="CI8" s="530"/>
      <c r="CJ8" s="530"/>
      <c r="CK8" s="530"/>
      <c r="CL8" s="530"/>
      <c r="CM8" s="530"/>
      <c r="CN8" s="530"/>
      <c r="CO8" s="530"/>
      <c r="CP8" s="530"/>
      <c r="CQ8" s="530"/>
      <c r="CR8" s="530"/>
      <c r="CS8" s="530"/>
      <c r="CT8" s="530"/>
      <c r="CU8" s="530"/>
      <c r="CV8" s="530"/>
      <c r="CW8" s="530"/>
      <c r="CX8" s="530"/>
      <c r="CY8" s="530"/>
      <c r="CZ8" s="530"/>
      <c r="DA8" s="530"/>
      <c r="DB8" s="530"/>
      <c r="DC8" s="530"/>
      <c r="DD8" s="530"/>
      <c r="DE8" s="530"/>
      <c r="DF8" s="530"/>
      <c r="DG8" s="530"/>
      <c r="DH8" s="530"/>
      <c r="DI8" s="530"/>
      <c r="DJ8" s="530"/>
      <c r="DK8" s="530"/>
      <c r="DL8" s="530"/>
      <c r="DM8" s="530"/>
      <c r="DN8" s="530"/>
      <c r="DO8" s="530"/>
      <c r="DP8" s="530"/>
      <c r="DQ8" s="530"/>
      <c r="DR8" s="530"/>
      <c r="DS8" s="530"/>
      <c r="DT8" s="530"/>
      <c r="DU8" s="530"/>
      <c r="DV8" s="530"/>
      <c r="DW8" s="530"/>
      <c r="DX8" s="530"/>
      <c r="DY8" s="530"/>
      <c r="DZ8" s="530"/>
      <c r="EA8" s="530"/>
      <c r="EB8" s="530"/>
      <c r="EC8" s="530"/>
      <c r="ED8" s="530"/>
      <c r="EE8" s="530"/>
      <c r="EF8" s="530"/>
      <c r="EG8" s="530"/>
      <c r="EH8" s="530"/>
      <c r="EI8" s="530"/>
      <c r="EJ8" s="530"/>
      <c r="EK8" s="530"/>
      <c r="EL8" s="530"/>
      <c r="EM8" s="530"/>
      <c r="EN8" s="530"/>
      <c r="EO8" s="530"/>
      <c r="EP8" s="530"/>
      <c r="EQ8" s="530"/>
      <c r="ER8" s="530"/>
      <c r="ES8" s="530"/>
      <c r="ET8" s="531"/>
      <c r="EU8" s="529" t="s">
        <v>67</v>
      </c>
      <c r="EV8" s="530"/>
      <c r="EW8" s="530"/>
      <c r="EX8" s="530"/>
      <c r="EY8" s="530"/>
      <c r="EZ8" s="530"/>
      <c r="FA8" s="530"/>
      <c r="FB8" s="530"/>
      <c r="FC8" s="530"/>
      <c r="FD8" s="530"/>
      <c r="FE8" s="530"/>
      <c r="FF8" s="530"/>
      <c r="FG8" s="530"/>
      <c r="FH8" s="530"/>
      <c r="FI8" s="530"/>
      <c r="FJ8" s="530"/>
      <c r="FK8" s="530"/>
      <c r="FL8" s="530"/>
      <c r="FM8" s="530"/>
      <c r="FN8" s="530"/>
      <c r="FO8" s="530"/>
      <c r="FP8" s="530"/>
      <c r="FQ8" s="530"/>
      <c r="FR8" s="530"/>
      <c r="FS8" s="530"/>
      <c r="FT8" s="530"/>
      <c r="FU8" s="530"/>
      <c r="FV8" s="530"/>
      <c r="FW8" s="530"/>
      <c r="FX8" s="530"/>
      <c r="FY8" s="530"/>
      <c r="FZ8" s="530"/>
      <c r="GA8" s="530"/>
      <c r="GB8" s="530"/>
      <c r="GC8" s="530"/>
      <c r="GD8" s="530"/>
      <c r="GE8" s="530"/>
      <c r="GF8" s="530"/>
      <c r="GG8" s="530"/>
      <c r="GH8" s="530"/>
      <c r="GI8" s="530"/>
      <c r="GJ8" s="530"/>
      <c r="GK8" s="530"/>
      <c r="GL8" s="530"/>
      <c r="GM8" s="530"/>
      <c r="GN8" s="530"/>
      <c r="GO8" s="530"/>
      <c r="GP8" s="530"/>
      <c r="GQ8" s="530"/>
      <c r="GR8" s="530"/>
      <c r="GS8" s="530"/>
      <c r="GT8" s="530"/>
      <c r="GU8" s="530"/>
      <c r="GV8" s="530"/>
      <c r="GW8" s="530"/>
      <c r="GX8" s="530"/>
      <c r="GY8" s="530"/>
      <c r="GZ8" s="530"/>
      <c r="HA8" s="530"/>
      <c r="HB8" s="530"/>
      <c r="HC8" s="530"/>
      <c r="HD8" s="530"/>
      <c r="HE8" s="530"/>
      <c r="HF8" s="530"/>
      <c r="HG8" s="530"/>
      <c r="HH8" s="530"/>
      <c r="HI8" s="530"/>
      <c r="HJ8" s="530"/>
      <c r="HK8" s="530"/>
      <c r="HL8" s="530"/>
      <c r="HM8" s="530"/>
      <c r="HN8" s="531"/>
      <c r="HO8" s="529" t="s">
        <v>68</v>
      </c>
      <c r="HP8" s="530"/>
      <c r="HQ8" s="530"/>
      <c r="HR8" s="530"/>
      <c r="HS8" s="530"/>
      <c r="HT8" s="530"/>
      <c r="HU8" s="530"/>
      <c r="HV8" s="530"/>
      <c r="HW8" s="530"/>
      <c r="HX8" s="530"/>
      <c r="HY8" s="530"/>
      <c r="HZ8" s="530"/>
      <c r="IA8" s="530"/>
      <c r="IB8" s="530"/>
      <c r="IC8" s="530"/>
      <c r="ID8" s="530"/>
      <c r="IE8" s="530"/>
      <c r="IF8" s="530"/>
      <c r="IG8" s="530"/>
      <c r="IH8" s="530"/>
      <c r="II8" s="530"/>
      <c r="IJ8" s="530"/>
      <c r="IK8" s="530"/>
      <c r="IL8" s="530"/>
      <c r="IM8" s="530"/>
      <c r="IN8" s="530"/>
      <c r="IO8" s="530"/>
      <c r="IP8" s="530"/>
      <c r="IQ8" s="530"/>
      <c r="IR8" s="530"/>
      <c r="IS8" s="530"/>
      <c r="IT8" s="530"/>
      <c r="IU8" s="530"/>
      <c r="IV8" s="530"/>
      <c r="IW8" s="530"/>
      <c r="IX8" s="530"/>
      <c r="IY8" s="530"/>
      <c r="IZ8" s="530"/>
      <c r="JA8" s="530"/>
      <c r="JB8" s="530"/>
      <c r="JC8" s="530"/>
      <c r="JD8" s="530"/>
      <c r="JE8" s="530"/>
      <c r="JF8" s="530"/>
      <c r="JG8" s="530"/>
      <c r="JH8" s="530"/>
      <c r="JI8" s="530"/>
      <c r="JJ8" s="530"/>
      <c r="JK8" s="530"/>
      <c r="JL8" s="530"/>
      <c r="JM8" s="530"/>
      <c r="JN8" s="530"/>
      <c r="JO8" s="530"/>
      <c r="JP8" s="530"/>
      <c r="JQ8" s="530"/>
      <c r="JR8" s="530"/>
      <c r="JS8" s="530"/>
      <c r="JT8" s="530"/>
      <c r="JU8" s="530"/>
      <c r="JV8" s="530"/>
      <c r="JW8" s="530"/>
      <c r="JX8" s="530"/>
      <c r="JY8" s="530"/>
      <c r="JZ8" s="530"/>
      <c r="KA8" s="530"/>
      <c r="KB8" s="530"/>
      <c r="KC8" s="530"/>
      <c r="KD8" s="530"/>
      <c r="KE8" s="530"/>
      <c r="KF8" s="530"/>
      <c r="KG8" s="530"/>
      <c r="KH8" s="531"/>
      <c r="KI8" s="529" t="s">
        <v>69</v>
      </c>
      <c r="KJ8" s="530"/>
      <c r="KK8" s="530"/>
      <c r="KL8" s="530"/>
      <c r="KM8" s="530"/>
      <c r="KN8" s="530"/>
      <c r="KO8" s="530"/>
      <c r="KP8" s="530"/>
      <c r="KQ8" s="530"/>
      <c r="KR8" s="530"/>
      <c r="KS8" s="530"/>
      <c r="KT8" s="530"/>
      <c r="KU8" s="530"/>
      <c r="KV8" s="530"/>
      <c r="KW8" s="530"/>
      <c r="KX8" s="530"/>
      <c r="KY8" s="530"/>
      <c r="KZ8" s="530"/>
      <c r="LA8" s="530"/>
      <c r="LB8" s="530"/>
      <c r="LC8" s="530"/>
      <c r="LD8" s="530"/>
      <c r="LE8" s="530"/>
      <c r="LF8" s="530"/>
      <c r="LG8" s="530"/>
      <c r="LH8" s="530"/>
      <c r="LI8" s="530"/>
      <c r="LJ8" s="530"/>
      <c r="LK8" s="530"/>
      <c r="LL8" s="530"/>
      <c r="LM8" s="530"/>
      <c r="LN8" s="530"/>
      <c r="LO8" s="530"/>
      <c r="LP8" s="530"/>
      <c r="LQ8" s="530"/>
      <c r="LR8" s="530"/>
      <c r="LS8" s="530"/>
      <c r="LT8" s="530"/>
      <c r="LU8" s="530"/>
      <c r="LV8" s="530"/>
      <c r="LW8" s="530"/>
      <c r="LX8" s="530"/>
      <c r="LY8" s="530"/>
      <c r="LZ8" s="530"/>
      <c r="MA8" s="530"/>
      <c r="MB8" s="530"/>
      <c r="MC8" s="530"/>
      <c r="MD8" s="530"/>
      <c r="ME8" s="530"/>
      <c r="MF8" s="530"/>
      <c r="MG8" s="530"/>
      <c r="MH8" s="530"/>
      <c r="MI8" s="530"/>
      <c r="MJ8" s="530"/>
      <c r="MK8" s="530"/>
      <c r="ML8" s="530"/>
      <c r="MM8" s="530"/>
      <c r="MN8" s="530"/>
      <c r="MO8" s="530"/>
      <c r="MP8" s="530"/>
      <c r="MQ8" s="530"/>
      <c r="MR8" s="530"/>
      <c r="MS8" s="530"/>
      <c r="MT8" s="530"/>
      <c r="MU8" s="530"/>
      <c r="MV8" s="530"/>
      <c r="MW8" s="530"/>
      <c r="MX8" s="530"/>
      <c r="MY8" s="530"/>
      <c r="MZ8" s="530"/>
      <c r="NA8" s="530"/>
      <c r="NB8" s="531"/>
      <c r="NC8" s="529" t="s">
        <v>70</v>
      </c>
      <c r="ND8" s="530"/>
      <c r="NE8" s="530"/>
      <c r="NF8" s="530"/>
      <c r="NG8" s="530"/>
      <c r="NH8" s="530"/>
      <c r="NI8" s="530"/>
      <c r="NJ8" s="530"/>
      <c r="NK8" s="530"/>
      <c r="NL8" s="530"/>
      <c r="NM8" s="530"/>
      <c r="NN8" s="530"/>
      <c r="NO8" s="530"/>
      <c r="NP8" s="530"/>
      <c r="NQ8" s="530"/>
      <c r="NR8" s="530"/>
      <c r="NS8" s="530"/>
      <c r="NT8" s="530"/>
      <c r="NU8" s="530"/>
      <c r="NV8" s="530"/>
      <c r="NW8" s="530"/>
      <c r="NX8" s="530"/>
      <c r="NY8" s="530"/>
      <c r="NZ8" s="530"/>
      <c r="OA8" s="530"/>
      <c r="OB8" s="530"/>
      <c r="OC8" s="530"/>
      <c r="OD8" s="530"/>
      <c r="OE8" s="530"/>
      <c r="OF8" s="530"/>
      <c r="OG8" s="530"/>
      <c r="OH8" s="530"/>
      <c r="OI8" s="530"/>
      <c r="OJ8" s="530"/>
      <c r="OK8" s="530"/>
      <c r="OL8" s="530"/>
      <c r="OM8" s="530"/>
      <c r="ON8" s="530"/>
      <c r="OO8" s="530"/>
      <c r="OP8" s="530"/>
      <c r="OQ8" s="530"/>
      <c r="OR8" s="530"/>
      <c r="OS8" s="530"/>
      <c r="OT8" s="530"/>
      <c r="OU8" s="530"/>
      <c r="OV8" s="530"/>
      <c r="OW8" s="530"/>
      <c r="OX8" s="530"/>
      <c r="OY8" s="530"/>
      <c r="OZ8" s="530"/>
      <c r="PA8" s="530"/>
      <c r="PB8" s="530"/>
      <c r="PC8" s="530"/>
      <c r="PD8" s="530"/>
      <c r="PE8" s="530"/>
      <c r="PF8" s="530"/>
      <c r="PG8" s="530"/>
      <c r="PH8" s="530"/>
      <c r="PI8" s="530"/>
      <c r="PJ8" s="530"/>
      <c r="PK8" s="530"/>
      <c r="PL8" s="530"/>
      <c r="PM8" s="530"/>
      <c r="PN8" s="530"/>
      <c r="PO8" s="530"/>
      <c r="PP8" s="530"/>
      <c r="PQ8" s="530"/>
      <c r="PR8" s="530"/>
      <c r="PS8" s="530"/>
      <c r="PT8" s="530"/>
      <c r="PU8" s="530"/>
      <c r="PV8" s="531"/>
      <c r="PW8" s="529" t="s">
        <v>71</v>
      </c>
      <c r="PX8" s="530"/>
      <c r="PY8" s="530"/>
      <c r="PZ8" s="530"/>
      <c r="QA8" s="530"/>
      <c r="QB8" s="530"/>
      <c r="QC8" s="530"/>
      <c r="QD8" s="530"/>
      <c r="QE8" s="530"/>
      <c r="QF8" s="530"/>
      <c r="QG8" s="530"/>
      <c r="QH8" s="530"/>
      <c r="QI8" s="530"/>
      <c r="QJ8" s="530"/>
      <c r="QK8" s="530"/>
      <c r="QL8" s="530"/>
      <c r="QM8" s="530"/>
      <c r="QN8" s="530"/>
      <c r="QO8" s="530"/>
      <c r="QP8" s="530"/>
      <c r="QQ8" s="530"/>
      <c r="QR8" s="530"/>
      <c r="QS8" s="530"/>
      <c r="QT8" s="530"/>
      <c r="QU8" s="530"/>
      <c r="QV8" s="530"/>
      <c r="QW8" s="530"/>
      <c r="QX8" s="530"/>
      <c r="QY8" s="530"/>
      <c r="QZ8" s="530"/>
      <c r="RA8" s="530"/>
      <c r="RB8" s="530"/>
      <c r="RC8" s="530"/>
      <c r="RD8" s="530"/>
      <c r="RE8" s="530"/>
      <c r="RF8" s="530"/>
      <c r="RG8" s="530"/>
      <c r="RH8" s="530"/>
      <c r="RI8" s="530"/>
      <c r="RJ8" s="530"/>
      <c r="RK8" s="530"/>
      <c r="RL8" s="530"/>
      <c r="RM8" s="530"/>
      <c r="RN8" s="530"/>
      <c r="RO8" s="530"/>
      <c r="RP8" s="530"/>
      <c r="RQ8" s="530"/>
      <c r="RR8" s="530"/>
      <c r="RS8" s="530"/>
      <c r="RT8" s="530"/>
      <c r="RU8" s="530"/>
      <c r="RV8" s="530"/>
      <c r="RW8" s="530"/>
      <c r="RX8" s="530"/>
      <c r="RY8" s="530"/>
      <c r="RZ8" s="530"/>
      <c r="SA8" s="530"/>
      <c r="SB8" s="530"/>
      <c r="SC8" s="530"/>
      <c r="SD8" s="530"/>
      <c r="SE8" s="530"/>
      <c r="SF8" s="530"/>
      <c r="SG8" s="530"/>
      <c r="SH8" s="530"/>
      <c r="SI8" s="530"/>
      <c r="SJ8" s="530"/>
      <c r="SK8" s="530"/>
      <c r="SL8" s="530"/>
      <c r="SM8" s="530"/>
      <c r="SN8" s="530"/>
      <c r="SO8" s="530"/>
      <c r="SP8" s="531"/>
      <c r="SQ8" s="529" t="s">
        <v>72</v>
      </c>
      <c r="SR8" s="530"/>
      <c r="SS8" s="530"/>
      <c r="ST8" s="530"/>
      <c r="SU8" s="530"/>
      <c r="SV8" s="530"/>
      <c r="SW8" s="530"/>
      <c r="SX8" s="530"/>
      <c r="SY8" s="530"/>
      <c r="SZ8" s="530"/>
      <c r="TA8" s="530"/>
      <c r="TB8" s="530"/>
      <c r="TC8" s="530"/>
      <c r="TD8" s="530"/>
      <c r="TE8" s="530"/>
      <c r="TF8" s="530"/>
      <c r="TG8" s="530"/>
      <c r="TH8" s="530"/>
      <c r="TI8" s="530"/>
      <c r="TJ8" s="530"/>
      <c r="TK8" s="530"/>
      <c r="TL8" s="530"/>
      <c r="TM8" s="530"/>
      <c r="TN8" s="530"/>
      <c r="TO8" s="530"/>
      <c r="TP8" s="530"/>
      <c r="TQ8" s="530"/>
      <c r="TR8" s="530"/>
      <c r="TS8" s="530"/>
      <c r="TT8" s="530"/>
      <c r="TU8" s="530"/>
      <c r="TV8" s="530"/>
      <c r="TW8" s="530"/>
      <c r="TX8" s="530"/>
      <c r="TY8" s="530"/>
      <c r="TZ8" s="530"/>
      <c r="UA8" s="530"/>
      <c r="UB8" s="530"/>
      <c r="UC8" s="530"/>
      <c r="UD8" s="530"/>
      <c r="UE8" s="530"/>
      <c r="UF8" s="530"/>
      <c r="UG8" s="530"/>
      <c r="UH8" s="530"/>
      <c r="UI8" s="530"/>
      <c r="UJ8" s="530"/>
      <c r="UK8" s="530"/>
      <c r="UL8" s="530"/>
      <c r="UM8" s="530"/>
      <c r="UN8" s="530"/>
      <c r="UO8" s="530"/>
      <c r="UP8" s="530"/>
      <c r="UQ8" s="530"/>
      <c r="UR8" s="530"/>
      <c r="US8" s="530"/>
      <c r="UT8" s="530"/>
      <c r="UU8" s="530"/>
      <c r="UV8" s="530"/>
      <c r="UW8" s="530"/>
      <c r="UX8" s="530"/>
      <c r="UY8" s="530"/>
      <c r="UZ8" s="530"/>
      <c r="VA8" s="530"/>
      <c r="VB8" s="530"/>
      <c r="VC8" s="530"/>
      <c r="VD8" s="530"/>
      <c r="VE8" s="530"/>
      <c r="VF8" s="530"/>
      <c r="VG8" s="530"/>
      <c r="VH8" s="530"/>
      <c r="VI8" s="530"/>
      <c r="VJ8" s="531"/>
    </row>
    <row r="9" spans="3:582" s="54" customFormat="1" ht="18.75" customHeight="1" x14ac:dyDescent="0.25">
      <c r="C9" s="597"/>
      <c r="D9" s="597"/>
      <c r="E9" s="597"/>
      <c r="F9" s="597"/>
      <c r="G9" s="518"/>
      <c r="H9" s="519"/>
      <c r="I9" s="519"/>
      <c r="J9" s="519"/>
      <c r="K9" s="519"/>
      <c r="L9" s="519"/>
      <c r="M9" s="519"/>
      <c r="N9" s="519"/>
      <c r="O9" s="519"/>
      <c r="P9" s="519"/>
      <c r="Q9" s="519"/>
      <c r="R9" s="519"/>
      <c r="S9" s="519"/>
      <c r="T9" s="519"/>
      <c r="U9" s="519"/>
      <c r="V9" s="519"/>
      <c r="W9" s="519"/>
      <c r="X9" s="519"/>
      <c r="Y9" s="519"/>
      <c r="Z9" s="519"/>
      <c r="AA9" s="519"/>
      <c r="AB9" s="519"/>
      <c r="AC9" s="519"/>
      <c r="AD9" s="519"/>
      <c r="AE9" s="519"/>
      <c r="AF9" s="519"/>
      <c r="AG9" s="519"/>
      <c r="AH9" s="519"/>
      <c r="AI9" s="519"/>
      <c r="AJ9" s="519"/>
      <c r="AK9" s="519"/>
      <c r="AL9" s="519"/>
      <c r="AM9" s="519"/>
      <c r="AN9" s="519"/>
      <c r="AO9" s="519"/>
      <c r="AP9" s="519"/>
      <c r="AQ9" s="519"/>
      <c r="AR9" s="519"/>
      <c r="AS9" s="519"/>
      <c r="AT9" s="519"/>
      <c r="AU9" s="519"/>
      <c r="AV9" s="519"/>
      <c r="AW9" s="519"/>
      <c r="AX9" s="519"/>
      <c r="AY9" s="519"/>
      <c r="AZ9" s="519"/>
      <c r="BA9" s="519"/>
      <c r="BB9" s="519"/>
      <c r="BC9" s="519"/>
      <c r="BD9" s="519"/>
      <c r="BE9" s="519"/>
      <c r="BF9" s="519"/>
      <c r="BG9" s="519"/>
      <c r="BH9" s="519"/>
      <c r="BI9" s="519"/>
      <c r="BJ9" s="519"/>
      <c r="BK9" s="519"/>
      <c r="BL9" s="519"/>
      <c r="BM9" s="519"/>
      <c r="BN9" s="519"/>
      <c r="BO9" s="519"/>
      <c r="BP9" s="519"/>
      <c r="BQ9" s="519"/>
      <c r="BR9" s="519"/>
      <c r="BS9" s="519"/>
      <c r="BT9" s="519"/>
      <c r="BU9" s="519"/>
      <c r="BV9" s="519"/>
      <c r="BW9" s="519"/>
      <c r="BX9" s="519"/>
      <c r="BY9" s="519"/>
      <c r="BZ9" s="520"/>
      <c r="CA9" s="532"/>
      <c r="CB9" s="533"/>
      <c r="CC9" s="533"/>
      <c r="CD9" s="533"/>
      <c r="CE9" s="533"/>
      <c r="CF9" s="533"/>
      <c r="CG9" s="533"/>
      <c r="CH9" s="533"/>
      <c r="CI9" s="533"/>
      <c r="CJ9" s="533"/>
      <c r="CK9" s="533"/>
      <c r="CL9" s="533"/>
      <c r="CM9" s="533"/>
      <c r="CN9" s="533"/>
      <c r="CO9" s="533"/>
      <c r="CP9" s="533"/>
      <c r="CQ9" s="533"/>
      <c r="CR9" s="533"/>
      <c r="CS9" s="533"/>
      <c r="CT9" s="533"/>
      <c r="CU9" s="533"/>
      <c r="CV9" s="533"/>
      <c r="CW9" s="533"/>
      <c r="CX9" s="533"/>
      <c r="CY9" s="533"/>
      <c r="CZ9" s="533"/>
      <c r="DA9" s="533"/>
      <c r="DB9" s="533"/>
      <c r="DC9" s="533"/>
      <c r="DD9" s="533"/>
      <c r="DE9" s="533"/>
      <c r="DF9" s="533"/>
      <c r="DG9" s="533"/>
      <c r="DH9" s="533"/>
      <c r="DI9" s="533"/>
      <c r="DJ9" s="533"/>
      <c r="DK9" s="533"/>
      <c r="DL9" s="533"/>
      <c r="DM9" s="533"/>
      <c r="DN9" s="533"/>
      <c r="DO9" s="533"/>
      <c r="DP9" s="533"/>
      <c r="DQ9" s="533"/>
      <c r="DR9" s="533"/>
      <c r="DS9" s="533"/>
      <c r="DT9" s="533"/>
      <c r="DU9" s="533"/>
      <c r="DV9" s="533"/>
      <c r="DW9" s="533"/>
      <c r="DX9" s="533"/>
      <c r="DY9" s="533"/>
      <c r="DZ9" s="533"/>
      <c r="EA9" s="533"/>
      <c r="EB9" s="533"/>
      <c r="EC9" s="533"/>
      <c r="ED9" s="533"/>
      <c r="EE9" s="533"/>
      <c r="EF9" s="533"/>
      <c r="EG9" s="533"/>
      <c r="EH9" s="533"/>
      <c r="EI9" s="533"/>
      <c r="EJ9" s="533"/>
      <c r="EK9" s="533"/>
      <c r="EL9" s="533"/>
      <c r="EM9" s="533"/>
      <c r="EN9" s="533"/>
      <c r="EO9" s="533"/>
      <c r="EP9" s="533"/>
      <c r="EQ9" s="533"/>
      <c r="ER9" s="533"/>
      <c r="ES9" s="533"/>
      <c r="ET9" s="534"/>
      <c r="EU9" s="532"/>
      <c r="EV9" s="533"/>
      <c r="EW9" s="533"/>
      <c r="EX9" s="533"/>
      <c r="EY9" s="533"/>
      <c r="EZ9" s="533"/>
      <c r="FA9" s="533"/>
      <c r="FB9" s="533"/>
      <c r="FC9" s="533"/>
      <c r="FD9" s="533"/>
      <c r="FE9" s="533"/>
      <c r="FF9" s="533"/>
      <c r="FG9" s="533"/>
      <c r="FH9" s="533"/>
      <c r="FI9" s="533"/>
      <c r="FJ9" s="533"/>
      <c r="FK9" s="533"/>
      <c r="FL9" s="533"/>
      <c r="FM9" s="533"/>
      <c r="FN9" s="533"/>
      <c r="FO9" s="533"/>
      <c r="FP9" s="533"/>
      <c r="FQ9" s="533"/>
      <c r="FR9" s="533"/>
      <c r="FS9" s="533"/>
      <c r="FT9" s="533"/>
      <c r="FU9" s="533"/>
      <c r="FV9" s="533"/>
      <c r="FW9" s="533"/>
      <c r="FX9" s="533"/>
      <c r="FY9" s="533"/>
      <c r="FZ9" s="533"/>
      <c r="GA9" s="533"/>
      <c r="GB9" s="533"/>
      <c r="GC9" s="533"/>
      <c r="GD9" s="533"/>
      <c r="GE9" s="533"/>
      <c r="GF9" s="533"/>
      <c r="GG9" s="533"/>
      <c r="GH9" s="533"/>
      <c r="GI9" s="533"/>
      <c r="GJ9" s="533"/>
      <c r="GK9" s="533"/>
      <c r="GL9" s="533"/>
      <c r="GM9" s="533"/>
      <c r="GN9" s="533"/>
      <c r="GO9" s="533"/>
      <c r="GP9" s="533"/>
      <c r="GQ9" s="533"/>
      <c r="GR9" s="533"/>
      <c r="GS9" s="533"/>
      <c r="GT9" s="533"/>
      <c r="GU9" s="533"/>
      <c r="GV9" s="533"/>
      <c r="GW9" s="533"/>
      <c r="GX9" s="533"/>
      <c r="GY9" s="533"/>
      <c r="GZ9" s="533"/>
      <c r="HA9" s="533"/>
      <c r="HB9" s="533"/>
      <c r="HC9" s="533"/>
      <c r="HD9" s="533"/>
      <c r="HE9" s="533"/>
      <c r="HF9" s="533"/>
      <c r="HG9" s="533"/>
      <c r="HH9" s="533"/>
      <c r="HI9" s="533"/>
      <c r="HJ9" s="533"/>
      <c r="HK9" s="533"/>
      <c r="HL9" s="533"/>
      <c r="HM9" s="533"/>
      <c r="HN9" s="534"/>
      <c r="HO9" s="532"/>
      <c r="HP9" s="533"/>
      <c r="HQ9" s="533"/>
      <c r="HR9" s="533"/>
      <c r="HS9" s="533"/>
      <c r="HT9" s="533"/>
      <c r="HU9" s="533"/>
      <c r="HV9" s="533"/>
      <c r="HW9" s="533"/>
      <c r="HX9" s="533"/>
      <c r="HY9" s="533"/>
      <c r="HZ9" s="533"/>
      <c r="IA9" s="533"/>
      <c r="IB9" s="533"/>
      <c r="IC9" s="533"/>
      <c r="ID9" s="533"/>
      <c r="IE9" s="533"/>
      <c r="IF9" s="533"/>
      <c r="IG9" s="533"/>
      <c r="IH9" s="533"/>
      <c r="II9" s="533"/>
      <c r="IJ9" s="533"/>
      <c r="IK9" s="533"/>
      <c r="IL9" s="533"/>
      <c r="IM9" s="533"/>
      <c r="IN9" s="533"/>
      <c r="IO9" s="533"/>
      <c r="IP9" s="533"/>
      <c r="IQ9" s="533"/>
      <c r="IR9" s="533"/>
      <c r="IS9" s="533"/>
      <c r="IT9" s="533"/>
      <c r="IU9" s="533"/>
      <c r="IV9" s="533"/>
      <c r="IW9" s="533"/>
      <c r="IX9" s="533"/>
      <c r="IY9" s="533"/>
      <c r="IZ9" s="533"/>
      <c r="JA9" s="533"/>
      <c r="JB9" s="533"/>
      <c r="JC9" s="533"/>
      <c r="JD9" s="533"/>
      <c r="JE9" s="533"/>
      <c r="JF9" s="533"/>
      <c r="JG9" s="533"/>
      <c r="JH9" s="533"/>
      <c r="JI9" s="533"/>
      <c r="JJ9" s="533"/>
      <c r="JK9" s="533"/>
      <c r="JL9" s="533"/>
      <c r="JM9" s="533"/>
      <c r="JN9" s="533"/>
      <c r="JO9" s="533"/>
      <c r="JP9" s="533"/>
      <c r="JQ9" s="533"/>
      <c r="JR9" s="533"/>
      <c r="JS9" s="533"/>
      <c r="JT9" s="533"/>
      <c r="JU9" s="533"/>
      <c r="JV9" s="533"/>
      <c r="JW9" s="533"/>
      <c r="JX9" s="533"/>
      <c r="JY9" s="533"/>
      <c r="JZ9" s="533"/>
      <c r="KA9" s="533"/>
      <c r="KB9" s="533"/>
      <c r="KC9" s="533"/>
      <c r="KD9" s="533"/>
      <c r="KE9" s="533"/>
      <c r="KF9" s="533"/>
      <c r="KG9" s="533"/>
      <c r="KH9" s="534"/>
      <c r="KI9" s="532"/>
      <c r="KJ9" s="533"/>
      <c r="KK9" s="533"/>
      <c r="KL9" s="533"/>
      <c r="KM9" s="533"/>
      <c r="KN9" s="533"/>
      <c r="KO9" s="533"/>
      <c r="KP9" s="533"/>
      <c r="KQ9" s="533"/>
      <c r="KR9" s="533"/>
      <c r="KS9" s="533"/>
      <c r="KT9" s="533"/>
      <c r="KU9" s="533"/>
      <c r="KV9" s="533"/>
      <c r="KW9" s="533"/>
      <c r="KX9" s="533"/>
      <c r="KY9" s="533"/>
      <c r="KZ9" s="533"/>
      <c r="LA9" s="533"/>
      <c r="LB9" s="533"/>
      <c r="LC9" s="533"/>
      <c r="LD9" s="533"/>
      <c r="LE9" s="533"/>
      <c r="LF9" s="533"/>
      <c r="LG9" s="533"/>
      <c r="LH9" s="533"/>
      <c r="LI9" s="533"/>
      <c r="LJ9" s="533"/>
      <c r="LK9" s="533"/>
      <c r="LL9" s="533"/>
      <c r="LM9" s="533"/>
      <c r="LN9" s="533"/>
      <c r="LO9" s="533"/>
      <c r="LP9" s="533"/>
      <c r="LQ9" s="533"/>
      <c r="LR9" s="533"/>
      <c r="LS9" s="533"/>
      <c r="LT9" s="533"/>
      <c r="LU9" s="533"/>
      <c r="LV9" s="533"/>
      <c r="LW9" s="533"/>
      <c r="LX9" s="533"/>
      <c r="LY9" s="533"/>
      <c r="LZ9" s="533"/>
      <c r="MA9" s="533"/>
      <c r="MB9" s="533"/>
      <c r="MC9" s="533"/>
      <c r="MD9" s="533"/>
      <c r="ME9" s="533"/>
      <c r="MF9" s="533"/>
      <c r="MG9" s="533"/>
      <c r="MH9" s="533"/>
      <c r="MI9" s="533"/>
      <c r="MJ9" s="533"/>
      <c r="MK9" s="533"/>
      <c r="ML9" s="533"/>
      <c r="MM9" s="533"/>
      <c r="MN9" s="533"/>
      <c r="MO9" s="533"/>
      <c r="MP9" s="533"/>
      <c r="MQ9" s="533"/>
      <c r="MR9" s="533"/>
      <c r="MS9" s="533"/>
      <c r="MT9" s="533"/>
      <c r="MU9" s="533"/>
      <c r="MV9" s="533"/>
      <c r="MW9" s="533"/>
      <c r="MX9" s="533"/>
      <c r="MY9" s="533"/>
      <c r="MZ9" s="533"/>
      <c r="NA9" s="533"/>
      <c r="NB9" s="534"/>
      <c r="NC9" s="532"/>
      <c r="ND9" s="533"/>
      <c r="NE9" s="533"/>
      <c r="NF9" s="533"/>
      <c r="NG9" s="533"/>
      <c r="NH9" s="533"/>
      <c r="NI9" s="533"/>
      <c r="NJ9" s="533"/>
      <c r="NK9" s="533"/>
      <c r="NL9" s="533"/>
      <c r="NM9" s="533"/>
      <c r="NN9" s="533"/>
      <c r="NO9" s="533"/>
      <c r="NP9" s="533"/>
      <c r="NQ9" s="533"/>
      <c r="NR9" s="533"/>
      <c r="NS9" s="533"/>
      <c r="NT9" s="533"/>
      <c r="NU9" s="533"/>
      <c r="NV9" s="533"/>
      <c r="NW9" s="533"/>
      <c r="NX9" s="533"/>
      <c r="NY9" s="533"/>
      <c r="NZ9" s="533"/>
      <c r="OA9" s="533"/>
      <c r="OB9" s="533"/>
      <c r="OC9" s="533"/>
      <c r="OD9" s="533"/>
      <c r="OE9" s="533"/>
      <c r="OF9" s="533"/>
      <c r="OG9" s="533"/>
      <c r="OH9" s="533"/>
      <c r="OI9" s="533"/>
      <c r="OJ9" s="533"/>
      <c r="OK9" s="533"/>
      <c r="OL9" s="533"/>
      <c r="OM9" s="533"/>
      <c r="ON9" s="533"/>
      <c r="OO9" s="533"/>
      <c r="OP9" s="533"/>
      <c r="OQ9" s="533"/>
      <c r="OR9" s="533"/>
      <c r="OS9" s="533"/>
      <c r="OT9" s="533"/>
      <c r="OU9" s="533"/>
      <c r="OV9" s="533"/>
      <c r="OW9" s="533"/>
      <c r="OX9" s="533"/>
      <c r="OY9" s="533"/>
      <c r="OZ9" s="533"/>
      <c r="PA9" s="533"/>
      <c r="PB9" s="533"/>
      <c r="PC9" s="533"/>
      <c r="PD9" s="533"/>
      <c r="PE9" s="533"/>
      <c r="PF9" s="533"/>
      <c r="PG9" s="533"/>
      <c r="PH9" s="533"/>
      <c r="PI9" s="533"/>
      <c r="PJ9" s="533"/>
      <c r="PK9" s="533"/>
      <c r="PL9" s="533"/>
      <c r="PM9" s="533"/>
      <c r="PN9" s="533"/>
      <c r="PO9" s="533"/>
      <c r="PP9" s="533"/>
      <c r="PQ9" s="533"/>
      <c r="PR9" s="533"/>
      <c r="PS9" s="533"/>
      <c r="PT9" s="533"/>
      <c r="PU9" s="533"/>
      <c r="PV9" s="534"/>
      <c r="PW9" s="532"/>
      <c r="PX9" s="533"/>
      <c r="PY9" s="533"/>
      <c r="PZ9" s="533"/>
      <c r="QA9" s="533"/>
      <c r="QB9" s="533"/>
      <c r="QC9" s="533"/>
      <c r="QD9" s="533"/>
      <c r="QE9" s="533"/>
      <c r="QF9" s="533"/>
      <c r="QG9" s="533"/>
      <c r="QH9" s="533"/>
      <c r="QI9" s="533"/>
      <c r="QJ9" s="533"/>
      <c r="QK9" s="533"/>
      <c r="QL9" s="533"/>
      <c r="QM9" s="533"/>
      <c r="QN9" s="533"/>
      <c r="QO9" s="533"/>
      <c r="QP9" s="533"/>
      <c r="QQ9" s="533"/>
      <c r="QR9" s="533"/>
      <c r="QS9" s="533"/>
      <c r="QT9" s="533"/>
      <c r="QU9" s="533"/>
      <c r="QV9" s="533"/>
      <c r="QW9" s="533"/>
      <c r="QX9" s="533"/>
      <c r="QY9" s="533"/>
      <c r="QZ9" s="533"/>
      <c r="RA9" s="533"/>
      <c r="RB9" s="533"/>
      <c r="RC9" s="533"/>
      <c r="RD9" s="533"/>
      <c r="RE9" s="533"/>
      <c r="RF9" s="533"/>
      <c r="RG9" s="533"/>
      <c r="RH9" s="533"/>
      <c r="RI9" s="533"/>
      <c r="RJ9" s="533"/>
      <c r="RK9" s="533"/>
      <c r="RL9" s="533"/>
      <c r="RM9" s="533"/>
      <c r="RN9" s="533"/>
      <c r="RO9" s="533"/>
      <c r="RP9" s="533"/>
      <c r="RQ9" s="533"/>
      <c r="RR9" s="533"/>
      <c r="RS9" s="533"/>
      <c r="RT9" s="533"/>
      <c r="RU9" s="533"/>
      <c r="RV9" s="533"/>
      <c r="RW9" s="533"/>
      <c r="RX9" s="533"/>
      <c r="RY9" s="533"/>
      <c r="RZ9" s="533"/>
      <c r="SA9" s="533"/>
      <c r="SB9" s="533"/>
      <c r="SC9" s="533"/>
      <c r="SD9" s="533"/>
      <c r="SE9" s="533"/>
      <c r="SF9" s="533"/>
      <c r="SG9" s="533"/>
      <c r="SH9" s="533"/>
      <c r="SI9" s="533"/>
      <c r="SJ9" s="533"/>
      <c r="SK9" s="533"/>
      <c r="SL9" s="533"/>
      <c r="SM9" s="533"/>
      <c r="SN9" s="533"/>
      <c r="SO9" s="533"/>
      <c r="SP9" s="534"/>
      <c r="SQ9" s="532"/>
      <c r="SR9" s="533"/>
      <c r="SS9" s="533"/>
      <c r="ST9" s="533"/>
      <c r="SU9" s="533"/>
      <c r="SV9" s="533"/>
      <c r="SW9" s="533"/>
      <c r="SX9" s="533"/>
      <c r="SY9" s="533"/>
      <c r="SZ9" s="533"/>
      <c r="TA9" s="533"/>
      <c r="TB9" s="533"/>
      <c r="TC9" s="533"/>
      <c r="TD9" s="533"/>
      <c r="TE9" s="533"/>
      <c r="TF9" s="533"/>
      <c r="TG9" s="533"/>
      <c r="TH9" s="533"/>
      <c r="TI9" s="533"/>
      <c r="TJ9" s="533"/>
      <c r="TK9" s="533"/>
      <c r="TL9" s="533"/>
      <c r="TM9" s="533"/>
      <c r="TN9" s="533"/>
      <c r="TO9" s="533"/>
      <c r="TP9" s="533"/>
      <c r="TQ9" s="533"/>
      <c r="TR9" s="533"/>
      <c r="TS9" s="533"/>
      <c r="TT9" s="533"/>
      <c r="TU9" s="533"/>
      <c r="TV9" s="533"/>
      <c r="TW9" s="533"/>
      <c r="TX9" s="533"/>
      <c r="TY9" s="533"/>
      <c r="TZ9" s="533"/>
      <c r="UA9" s="533"/>
      <c r="UB9" s="533"/>
      <c r="UC9" s="533"/>
      <c r="UD9" s="533"/>
      <c r="UE9" s="533"/>
      <c r="UF9" s="533"/>
      <c r="UG9" s="533"/>
      <c r="UH9" s="533"/>
      <c r="UI9" s="533"/>
      <c r="UJ9" s="533"/>
      <c r="UK9" s="533"/>
      <c r="UL9" s="533"/>
      <c r="UM9" s="533"/>
      <c r="UN9" s="533"/>
      <c r="UO9" s="533"/>
      <c r="UP9" s="533"/>
      <c r="UQ9" s="533"/>
      <c r="UR9" s="533"/>
      <c r="US9" s="533"/>
      <c r="UT9" s="533"/>
      <c r="UU9" s="533"/>
      <c r="UV9" s="533"/>
      <c r="UW9" s="533"/>
      <c r="UX9" s="533"/>
      <c r="UY9" s="533"/>
      <c r="UZ9" s="533"/>
      <c r="VA9" s="533"/>
      <c r="VB9" s="533"/>
      <c r="VC9" s="533"/>
      <c r="VD9" s="533"/>
      <c r="VE9" s="533"/>
      <c r="VF9" s="533"/>
      <c r="VG9" s="533"/>
      <c r="VH9" s="533"/>
      <c r="VI9" s="533"/>
      <c r="VJ9" s="534"/>
    </row>
    <row r="10" spans="3:582" s="55" customFormat="1" ht="18.75" customHeight="1" thickBot="1" x14ac:dyDescent="0.3">
      <c r="C10" s="598"/>
      <c r="D10" s="598"/>
      <c r="E10" s="598"/>
      <c r="F10" s="598"/>
      <c r="G10" s="521"/>
      <c r="H10" s="522"/>
      <c r="I10" s="522"/>
      <c r="J10" s="522"/>
      <c r="K10" s="522"/>
      <c r="L10" s="522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  <c r="AA10" s="522"/>
      <c r="AB10" s="522"/>
      <c r="AC10" s="522"/>
      <c r="AD10" s="522"/>
      <c r="AE10" s="522"/>
      <c r="AF10" s="522"/>
      <c r="AG10" s="522"/>
      <c r="AH10" s="522"/>
      <c r="AI10" s="522"/>
      <c r="AJ10" s="522"/>
      <c r="AK10" s="522"/>
      <c r="AL10" s="522"/>
      <c r="AM10" s="522"/>
      <c r="AN10" s="522"/>
      <c r="AO10" s="522"/>
      <c r="AP10" s="522"/>
      <c r="AQ10" s="522"/>
      <c r="AR10" s="522"/>
      <c r="AS10" s="522"/>
      <c r="AT10" s="522"/>
      <c r="AU10" s="522"/>
      <c r="AV10" s="522"/>
      <c r="AW10" s="522"/>
      <c r="AX10" s="522"/>
      <c r="AY10" s="522"/>
      <c r="AZ10" s="522"/>
      <c r="BA10" s="522"/>
      <c r="BB10" s="522"/>
      <c r="BC10" s="522"/>
      <c r="BD10" s="522"/>
      <c r="BE10" s="522"/>
      <c r="BF10" s="522"/>
      <c r="BG10" s="522"/>
      <c r="BH10" s="522"/>
      <c r="BI10" s="522"/>
      <c r="BJ10" s="522"/>
      <c r="BK10" s="522"/>
      <c r="BL10" s="522"/>
      <c r="BM10" s="522"/>
      <c r="BN10" s="522"/>
      <c r="BO10" s="522"/>
      <c r="BP10" s="522"/>
      <c r="BQ10" s="522"/>
      <c r="BR10" s="522"/>
      <c r="BS10" s="522"/>
      <c r="BT10" s="522"/>
      <c r="BU10" s="522"/>
      <c r="BV10" s="522"/>
      <c r="BW10" s="522"/>
      <c r="BX10" s="522"/>
      <c r="BY10" s="522"/>
      <c r="BZ10" s="523"/>
      <c r="CA10" s="535"/>
      <c r="CB10" s="536"/>
      <c r="CC10" s="536"/>
      <c r="CD10" s="536"/>
      <c r="CE10" s="536"/>
      <c r="CF10" s="536"/>
      <c r="CG10" s="536"/>
      <c r="CH10" s="536"/>
      <c r="CI10" s="536"/>
      <c r="CJ10" s="536"/>
      <c r="CK10" s="536"/>
      <c r="CL10" s="536"/>
      <c r="CM10" s="536"/>
      <c r="CN10" s="536"/>
      <c r="CO10" s="536"/>
      <c r="CP10" s="536"/>
      <c r="CQ10" s="536"/>
      <c r="CR10" s="536"/>
      <c r="CS10" s="536"/>
      <c r="CT10" s="536"/>
      <c r="CU10" s="536"/>
      <c r="CV10" s="536"/>
      <c r="CW10" s="536"/>
      <c r="CX10" s="536"/>
      <c r="CY10" s="536"/>
      <c r="CZ10" s="536"/>
      <c r="DA10" s="536"/>
      <c r="DB10" s="536"/>
      <c r="DC10" s="536"/>
      <c r="DD10" s="536"/>
      <c r="DE10" s="536"/>
      <c r="DF10" s="536"/>
      <c r="DG10" s="536"/>
      <c r="DH10" s="536"/>
      <c r="DI10" s="536"/>
      <c r="DJ10" s="536"/>
      <c r="DK10" s="536"/>
      <c r="DL10" s="536"/>
      <c r="DM10" s="536"/>
      <c r="DN10" s="536"/>
      <c r="DO10" s="536"/>
      <c r="DP10" s="536"/>
      <c r="DQ10" s="536"/>
      <c r="DR10" s="536"/>
      <c r="DS10" s="536"/>
      <c r="DT10" s="536"/>
      <c r="DU10" s="536"/>
      <c r="DV10" s="536"/>
      <c r="DW10" s="536"/>
      <c r="DX10" s="536"/>
      <c r="DY10" s="536"/>
      <c r="DZ10" s="536"/>
      <c r="EA10" s="536"/>
      <c r="EB10" s="536"/>
      <c r="EC10" s="536"/>
      <c r="ED10" s="536"/>
      <c r="EE10" s="536"/>
      <c r="EF10" s="536"/>
      <c r="EG10" s="536"/>
      <c r="EH10" s="536"/>
      <c r="EI10" s="536"/>
      <c r="EJ10" s="536"/>
      <c r="EK10" s="536"/>
      <c r="EL10" s="536"/>
      <c r="EM10" s="536"/>
      <c r="EN10" s="536"/>
      <c r="EO10" s="536"/>
      <c r="EP10" s="536"/>
      <c r="EQ10" s="536"/>
      <c r="ER10" s="536"/>
      <c r="ES10" s="536"/>
      <c r="ET10" s="537"/>
      <c r="EU10" s="535"/>
      <c r="EV10" s="536"/>
      <c r="EW10" s="536"/>
      <c r="EX10" s="536"/>
      <c r="EY10" s="536"/>
      <c r="EZ10" s="536"/>
      <c r="FA10" s="536"/>
      <c r="FB10" s="536"/>
      <c r="FC10" s="536"/>
      <c r="FD10" s="536"/>
      <c r="FE10" s="536"/>
      <c r="FF10" s="536"/>
      <c r="FG10" s="536"/>
      <c r="FH10" s="536"/>
      <c r="FI10" s="536"/>
      <c r="FJ10" s="536"/>
      <c r="FK10" s="536"/>
      <c r="FL10" s="536"/>
      <c r="FM10" s="536"/>
      <c r="FN10" s="536"/>
      <c r="FO10" s="536"/>
      <c r="FP10" s="536"/>
      <c r="FQ10" s="536"/>
      <c r="FR10" s="536"/>
      <c r="FS10" s="536"/>
      <c r="FT10" s="536"/>
      <c r="FU10" s="536"/>
      <c r="FV10" s="536"/>
      <c r="FW10" s="536"/>
      <c r="FX10" s="536"/>
      <c r="FY10" s="536"/>
      <c r="FZ10" s="536"/>
      <c r="GA10" s="536"/>
      <c r="GB10" s="536"/>
      <c r="GC10" s="536"/>
      <c r="GD10" s="536"/>
      <c r="GE10" s="536"/>
      <c r="GF10" s="536"/>
      <c r="GG10" s="536"/>
      <c r="GH10" s="536"/>
      <c r="GI10" s="536"/>
      <c r="GJ10" s="536"/>
      <c r="GK10" s="536"/>
      <c r="GL10" s="536"/>
      <c r="GM10" s="536"/>
      <c r="GN10" s="536"/>
      <c r="GO10" s="536"/>
      <c r="GP10" s="536"/>
      <c r="GQ10" s="536"/>
      <c r="GR10" s="536"/>
      <c r="GS10" s="536"/>
      <c r="GT10" s="536"/>
      <c r="GU10" s="536"/>
      <c r="GV10" s="536"/>
      <c r="GW10" s="536"/>
      <c r="GX10" s="536"/>
      <c r="GY10" s="536"/>
      <c r="GZ10" s="536"/>
      <c r="HA10" s="536"/>
      <c r="HB10" s="536"/>
      <c r="HC10" s="536"/>
      <c r="HD10" s="536"/>
      <c r="HE10" s="536"/>
      <c r="HF10" s="536"/>
      <c r="HG10" s="536"/>
      <c r="HH10" s="536"/>
      <c r="HI10" s="536"/>
      <c r="HJ10" s="536"/>
      <c r="HK10" s="536"/>
      <c r="HL10" s="536"/>
      <c r="HM10" s="536"/>
      <c r="HN10" s="537"/>
      <c r="HO10" s="535"/>
      <c r="HP10" s="536"/>
      <c r="HQ10" s="536"/>
      <c r="HR10" s="536"/>
      <c r="HS10" s="536"/>
      <c r="HT10" s="536"/>
      <c r="HU10" s="536"/>
      <c r="HV10" s="536"/>
      <c r="HW10" s="536"/>
      <c r="HX10" s="536"/>
      <c r="HY10" s="536"/>
      <c r="HZ10" s="536"/>
      <c r="IA10" s="536"/>
      <c r="IB10" s="536"/>
      <c r="IC10" s="536"/>
      <c r="ID10" s="536"/>
      <c r="IE10" s="536"/>
      <c r="IF10" s="536"/>
      <c r="IG10" s="536"/>
      <c r="IH10" s="536"/>
      <c r="II10" s="536"/>
      <c r="IJ10" s="536"/>
      <c r="IK10" s="536"/>
      <c r="IL10" s="536"/>
      <c r="IM10" s="536"/>
      <c r="IN10" s="536"/>
      <c r="IO10" s="536"/>
      <c r="IP10" s="536"/>
      <c r="IQ10" s="536"/>
      <c r="IR10" s="536"/>
      <c r="IS10" s="536"/>
      <c r="IT10" s="536"/>
      <c r="IU10" s="536"/>
      <c r="IV10" s="536"/>
      <c r="IW10" s="536"/>
      <c r="IX10" s="536"/>
      <c r="IY10" s="536"/>
      <c r="IZ10" s="536"/>
      <c r="JA10" s="536"/>
      <c r="JB10" s="536"/>
      <c r="JC10" s="536"/>
      <c r="JD10" s="536"/>
      <c r="JE10" s="536"/>
      <c r="JF10" s="536"/>
      <c r="JG10" s="536"/>
      <c r="JH10" s="536"/>
      <c r="JI10" s="536"/>
      <c r="JJ10" s="536"/>
      <c r="JK10" s="536"/>
      <c r="JL10" s="536"/>
      <c r="JM10" s="536"/>
      <c r="JN10" s="536"/>
      <c r="JO10" s="536"/>
      <c r="JP10" s="536"/>
      <c r="JQ10" s="536"/>
      <c r="JR10" s="536"/>
      <c r="JS10" s="536"/>
      <c r="JT10" s="536"/>
      <c r="JU10" s="536"/>
      <c r="JV10" s="536"/>
      <c r="JW10" s="536"/>
      <c r="JX10" s="536"/>
      <c r="JY10" s="536"/>
      <c r="JZ10" s="536"/>
      <c r="KA10" s="536"/>
      <c r="KB10" s="536"/>
      <c r="KC10" s="536"/>
      <c r="KD10" s="536"/>
      <c r="KE10" s="536"/>
      <c r="KF10" s="536"/>
      <c r="KG10" s="536"/>
      <c r="KH10" s="537"/>
      <c r="KI10" s="535"/>
      <c r="KJ10" s="536"/>
      <c r="KK10" s="536"/>
      <c r="KL10" s="536"/>
      <c r="KM10" s="536"/>
      <c r="KN10" s="536"/>
      <c r="KO10" s="536"/>
      <c r="KP10" s="536"/>
      <c r="KQ10" s="536"/>
      <c r="KR10" s="536"/>
      <c r="KS10" s="536"/>
      <c r="KT10" s="536"/>
      <c r="KU10" s="536"/>
      <c r="KV10" s="536"/>
      <c r="KW10" s="536"/>
      <c r="KX10" s="536"/>
      <c r="KY10" s="536"/>
      <c r="KZ10" s="536"/>
      <c r="LA10" s="536"/>
      <c r="LB10" s="536"/>
      <c r="LC10" s="536"/>
      <c r="LD10" s="536"/>
      <c r="LE10" s="536"/>
      <c r="LF10" s="536"/>
      <c r="LG10" s="536"/>
      <c r="LH10" s="536"/>
      <c r="LI10" s="536"/>
      <c r="LJ10" s="536"/>
      <c r="LK10" s="536"/>
      <c r="LL10" s="536"/>
      <c r="LM10" s="536"/>
      <c r="LN10" s="536"/>
      <c r="LO10" s="536"/>
      <c r="LP10" s="536"/>
      <c r="LQ10" s="536"/>
      <c r="LR10" s="536"/>
      <c r="LS10" s="536"/>
      <c r="LT10" s="536"/>
      <c r="LU10" s="536"/>
      <c r="LV10" s="536"/>
      <c r="LW10" s="536"/>
      <c r="LX10" s="536"/>
      <c r="LY10" s="536"/>
      <c r="LZ10" s="536"/>
      <c r="MA10" s="536"/>
      <c r="MB10" s="536"/>
      <c r="MC10" s="536"/>
      <c r="MD10" s="536"/>
      <c r="ME10" s="536"/>
      <c r="MF10" s="536"/>
      <c r="MG10" s="536"/>
      <c r="MH10" s="536"/>
      <c r="MI10" s="536"/>
      <c r="MJ10" s="536"/>
      <c r="MK10" s="536"/>
      <c r="ML10" s="536"/>
      <c r="MM10" s="536"/>
      <c r="MN10" s="536"/>
      <c r="MO10" s="536"/>
      <c r="MP10" s="536"/>
      <c r="MQ10" s="536"/>
      <c r="MR10" s="536"/>
      <c r="MS10" s="536"/>
      <c r="MT10" s="536"/>
      <c r="MU10" s="536"/>
      <c r="MV10" s="536"/>
      <c r="MW10" s="536"/>
      <c r="MX10" s="536"/>
      <c r="MY10" s="536"/>
      <c r="MZ10" s="536"/>
      <c r="NA10" s="536"/>
      <c r="NB10" s="537"/>
      <c r="NC10" s="535"/>
      <c r="ND10" s="536"/>
      <c r="NE10" s="536"/>
      <c r="NF10" s="536"/>
      <c r="NG10" s="536"/>
      <c r="NH10" s="536"/>
      <c r="NI10" s="536"/>
      <c r="NJ10" s="536"/>
      <c r="NK10" s="536"/>
      <c r="NL10" s="536"/>
      <c r="NM10" s="536"/>
      <c r="NN10" s="536"/>
      <c r="NO10" s="536"/>
      <c r="NP10" s="536"/>
      <c r="NQ10" s="536"/>
      <c r="NR10" s="536"/>
      <c r="NS10" s="536"/>
      <c r="NT10" s="536"/>
      <c r="NU10" s="536"/>
      <c r="NV10" s="536"/>
      <c r="NW10" s="536"/>
      <c r="NX10" s="536"/>
      <c r="NY10" s="536"/>
      <c r="NZ10" s="536"/>
      <c r="OA10" s="536"/>
      <c r="OB10" s="536"/>
      <c r="OC10" s="536"/>
      <c r="OD10" s="536"/>
      <c r="OE10" s="536"/>
      <c r="OF10" s="536"/>
      <c r="OG10" s="536"/>
      <c r="OH10" s="536"/>
      <c r="OI10" s="536"/>
      <c r="OJ10" s="536"/>
      <c r="OK10" s="536"/>
      <c r="OL10" s="536"/>
      <c r="OM10" s="536"/>
      <c r="ON10" s="536"/>
      <c r="OO10" s="536"/>
      <c r="OP10" s="536"/>
      <c r="OQ10" s="536"/>
      <c r="OR10" s="536"/>
      <c r="OS10" s="536"/>
      <c r="OT10" s="536"/>
      <c r="OU10" s="536"/>
      <c r="OV10" s="536"/>
      <c r="OW10" s="536"/>
      <c r="OX10" s="536"/>
      <c r="OY10" s="536"/>
      <c r="OZ10" s="536"/>
      <c r="PA10" s="536"/>
      <c r="PB10" s="536"/>
      <c r="PC10" s="536"/>
      <c r="PD10" s="536"/>
      <c r="PE10" s="536"/>
      <c r="PF10" s="536"/>
      <c r="PG10" s="536"/>
      <c r="PH10" s="536"/>
      <c r="PI10" s="536"/>
      <c r="PJ10" s="536"/>
      <c r="PK10" s="536"/>
      <c r="PL10" s="536"/>
      <c r="PM10" s="536"/>
      <c r="PN10" s="536"/>
      <c r="PO10" s="536"/>
      <c r="PP10" s="536"/>
      <c r="PQ10" s="536"/>
      <c r="PR10" s="536"/>
      <c r="PS10" s="536"/>
      <c r="PT10" s="536"/>
      <c r="PU10" s="536"/>
      <c r="PV10" s="537"/>
      <c r="PW10" s="535"/>
      <c r="PX10" s="536"/>
      <c r="PY10" s="536"/>
      <c r="PZ10" s="536"/>
      <c r="QA10" s="536"/>
      <c r="QB10" s="536"/>
      <c r="QC10" s="536"/>
      <c r="QD10" s="536"/>
      <c r="QE10" s="536"/>
      <c r="QF10" s="536"/>
      <c r="QG10" s="536"/>
      <c r="QH10" s="536"/>
      <c r="QI10" s="536"/>
      <c r="QJ10" s="536"/>
      <c r="QK10" s="536"/>
      <c r="QL10" s="536"/>
      <c r="QM10" s="536"/>
      <c r="QN10" s="536"/>
      <c r="QO10" s="536"/>
      <c r="QP10" s="536"/>
      <c r="QQ10" s="536"/>
      <c r="QR10" s="536"/>
      <c r="QS10" s="536"/>
      <c r="QT10" s="536"/>
      <c r="QU10" s="536"/>
      <c r="QV10" s="536"/>
      <c r="QW10" s="536"/>
      <c r="QX10" s="536"/>
      <c r="QY10" s="536"/>
      <c r="QZ10" s="536"/>
      <c r="RA10" s="536"/>
      <c r="RB10" s="536"/>
      <c r="RC10" s="536"/>
      <c r="RD10" s="536"/>
      <c r="RE10" s="536"/>
      <c r="RF10" s="536"/>
      <c r="RG10" s="536"/>
      <c r="RH10" s="536"/>
      <c r="RI10" s="536"/>
      <c r="RJ10" s="536"/>
      <c r="RK10" s="536"/>
      <c r="RL10" s="536"/>
      <c r="RM10" s="536"/>
      <c r="RN10" s="536"/>
      <c r="RO10" s="536"/>
      <c r="RP10" s="536"/>
      <c r="RQ10" s="536"/>
      <c r="RR10" s="536"/>
      <c r="RS10" s="536"/>
      <c r="RT10" s="536"/>
      <c r="RU10" s="536"/>
      <c r="RV10" s="536"/>
      <c r="RW10" s="536"/>
      <c r="RX10" s="536"/>
      <c r="RY10" s="536"/>
      <c r="RZ10" s="536"/>
      <c r="SA10" s="536"/>
      <c r="SB10" s="536"/>
      <c r="SC10" s="536"/>
      <c r="SD10" s="536"/>
      <c r="SE10" s="536"/>
      <c r="SF10" s="536"/>
      <c r="SG10" s="536"/>
      <c r="SH10" s="536"/>
      <c r="SI10" s="536"/>
      <c r="SJ10" s="536"/>
      <c r="SK10" s="536"/>
      <c r="SL10" s="536"/>
      <c r="SM10" s="536"/>
      <c r="SN10" s="536"/>
      <c r="SO10" s="536"/>
      <c r="SP10" s="537"/>
      <c r="SQ10" s="535"/>
      <c r="SR10" s="536"/>
      <c r="SS10" s="536"/>
      <c r="ST10" s="536"/>
      <c r="SU10" s="536"/>
      <c r="SV10" s="536"/>
      <c r="SW10" s="536"/>
      <c r="SX10" s="536"/>
      <c r="SY10" s="536"/>
      <c r="SZ10" s="536"/>
      <c r="TA10" s="536"/>
      <c r="TB10" s="536"/>
      <c r="TC10" s="536"/>
      <c r="TD10" s="536"/>
      <c r="TE10" s="536"/>
      <c r="TF10" s="536"/>
      <c r="TG10" s="536"/>
      <c r="TH10" s="536"/>
      <c r="TI10" s="536"/>
      <c r="TJ10" s="536"/>
      <c r="TK10" s="536"/>
      <c r="TL10" s="536"/>
      <c r="TM10" s="536"/>
      <c r="TN10" s="536"/>
      <c r="TO10" s="536"/>
      <c r="TP10" s="536"/>
      <c r="TQ10" s="536"/>
      <c r="TR10" s="536"/>
      <c r="TS10" s="536"/>
      <c r="TT10" s="536"/>
      <c r="TU10" s="536"/>
      <c r="TV10" s="536"/>
      <c r="TW10" s="536"/>
      <c r="TX10" s="536"/>
      <c r="TY10" s="536"/>
      <c r="TZ10" s="536"/>
      <c r="UA10" s="536"/>
      <c r="UB10" s="536"/>
      <c r="UC10" s="536"/>
      <c r="UD10" s="536"/>
      <c r="UE10" s="536"/>
      <c r="UF10" s="536"/>
      <c r="UG10" s="536"/>
      <c r="UH10" s="536"/>
      <c r="UI10" s="536"/>
      <c r="UJ10" s="536"/>
      <c r="UK10" s="536"/>
      <c r="UL10" s="536"/>
      <c r="UM10" s="536"/>
      <c r="UN10" s="536"/>
      <c r="UO10" s="536"/>
      <c r="UP10" s="536"/>
      <c r="UQ10" s="536"/>
      <c r="UR10" s="536"/>
      <c r="US10" s="536"/>
      <c r="UT10" s="536"/>
      <c r="UU10" s="536"/>
      <c r="UV10" s="536"/>
      <c r="UW10" s="536"/>
      <c r="UX10" s="536"/>
      <c r="UY10" s="536"/>
      <c r="UZ10" s="536"/>
      <c r="VA10" s="536"/>
      <c r="VB10" s="536"/>
      <c r="VC10" s="536"/>
      <c r="VD10" s="536"/>
      <c r="VE10" s="536"/>
      <c r="VF10" s="536"/>
      <c r="VG10" s="536"/>
      <c r="VH10" s="536"/>
      <c r="VI10" s="536"/>
      <c r="VJ10" s="537"/>
    </row>
    <row r="11" spans="3:582" s="53" customFormat="1" ht="26.25" customHeight="1" thickBot="1" x14ac:dyDescent="0.3">
      <c r="C11" s="111" t="s">
        <v>73</v>
      </c>
      <c r="D11" s="111" t="s">
        <v>74</v>
      </c>
      <c r="E11" s="111" t="s">
        <v>75</v>
      </c>
      <c r="F11" s="111" t="s">
        <v>76</v>
      </c>
      <c r="G11" s="528" t="s">
        <v>77</v>
      </c>
      <c r="H11" s="525"/>
      <c r="I11" s="525"/>
      <c r="J11" s="525"/>
      <c r="K11" s="525"/>
      <c r="L11" s="526"/>
      <c r="M11" s="524" t="s">
        <v>78</v>
      </c>
      <c r="N11" s="525"/>
      <c r="O11" s="525"/>
      <c r="P11" s="525"/>
      <c r="Q11" s="525"/>
      <c r="R11" s="526"/>
      <c r="S11" s="524" t="s">
        <v>79</v>
      </c>
      <c r="T11" s="525"/>
      <c r="U11" s="525"/>
      <c r="V11" s="525"/>
      <c r="W11" s="525"/>
      <c r="X11" s="526"/>
      <c r="Y11" s="525" t="s">
        <v>80</v>
      </c>
      <c r="Z11" s="525"/>
      <c r="AA11" s="525"/>
      <c r="AB11" s="525"/>
      <c r="AC11" s="525"/>
      <c r="AD11" s="525"/>
      <c r="AE11" s="524" t="s">
        <v>81</v>
      </c>
      <c r="AF11" s="525"/>
      <c r="AG11" s="525"/>
      <c r="AH11" s="525"/>
      <c r="AI11" s="525"/>
      <c r="AJ11" s="526"/>
      <c r="AK11" s="525" t="s">
        <v>82</v>
      </c>
      <c r="AL11" s="525"/>
      <c r="AM11" s="525"/>
      <c r="AN11" s="525"/>
      <c r="AO11" s="525"/>
      <c r="AP11" s="525"/>
      <c r="AQ11" s="524" t="s">
        <v>83</v>
      </c>
      <c r="AR11" s="525"/>
      <c r="AS11" s="525"/>
      <c r="AT11" s="525"/>
      <c r="AU11" s="525"/>
      <c r="AV11" s="526"/>
      <c r="AW11" s="525" t="s">
        <v>84</v>
      </c>
      <c r="AX11" s="525"/>
      <c r="AY11" s="525"/>
      <c r="AZ11" s="525"/>
      <c r="BA11" s="525"/>
      <c r="BB11" s="525"/>
      <c r="BC11" s="524" t="s">
        <v>85</v>
      </c>
      <c r="BD11" s="525"/>
      <c r="BE11" s="525"/>
      <c r="BF11" s="525"/>
      <c r="BG11" s="525"/>
      <c r="BH11" s="526"/>
      <c r="BI11" s="524" t="s">
        <v>86</v>
      </c>
      <c r="BJ11" s="525"/>
      <c r="BK11" s="525"/>
      <c r="BL11" s="525"/>
      <c r="BM11" s="525"/>
      <c r="BN11" s="526"/>
      <c r="BO11" s="525" t="s">
        <v>87</v>
      </c>
      <c r="BP11" s="525"/>
      <c r="BQ11" s="525"/>
      <c r="BR11" s="525"/>
      <c r="BS11" s="525"/>
      <c r="BT11" s="525"/>
      <c r="BU11" s="524" t="s">
        <v>88</v>
      </c>
      <c r="BV11" s="525"/>
      <c r="BW11" s="525"/>
      <c r="BX11" s="525"/>
      <c r="BY11" s="525"/>
      <c r="BZ11" s="527"/>
      <c r="CA11" s="528" t="s">
        <v>77</v>
      </c>
      <c r="CB11" s="525"/>
      <c r="CC11" s="525"/>
      <c r="CD11" s="525"/>
      <c r="CE11" s="525"/>
      <c r="CF11" s="526"/>
      <c r="CG11" s="524" t="s">
        <v>78</v>
      </c>
      <c r="CH11" s="525"/>
      <c r="CI11" s="525"/>
      <c r="CJ11" s="525"/>
      <c r="CK11" s="525"/>
      <c r="CL11" s="526"/>
      <c r="CM11" s="524" t="s">
        <v>79</v>
      </c>
      <c r="CN11" s="525"/>
      <c r="CO11" s="525"/>
      <c r="CP11" s="525"/>
      <c r="CQ11" s="525"/>
      <c r="CR11" s="526"/>
      <c r="CS11" s="525" t="s">
        <v>80</v>
      </c>
      <c r="CT11" s="525"/>
      <c r="CU11" s="525"/>
      <c r="CV11" s="525"/>
      <c r="CW11" s="525"/>
      <c r="CX11" s="525"/>
      <c r="CY11" s="524" t="s">
        <v>81</v>
      </c>
      <c r="CZ11" s="525"/>
      <c r="DA11" s="525"/>
      <c r="DB11" s="525"/>
      <c r="DC11" s="525"/>
      <c r="DD11" s="526"/>
      <c r="DE11" s="525" t="s">
        <v>82</v>
      </c>
      <c r="DF11" s="525"/>
      <c r="DG11" s="525"/>
      <c r="DH11" s="525"/>
      <c r="DI11" s="525"/>
      <c r="DJ11" s="525"/>
      <c r="DK11" s="524" t="s">
        <v>83</v>
      </c>
      <c r="DL11" s="525"/>
      <c r="DM11" s="525"/>
      <c r="DN11" s="525"/>
      <c r="DO11" s="525"/>
      <c r="DP11" s="526"/>
      <c r="DQ11" s="525" t="s">
        <v>84</v>
      </c>
      <c r="DR11" s="525"/>
      <c r="DS11" s="525"/>
      <c r="DT11" s="525"/>
      <c r="DU11" s="525"/>
      <c r="DV11" s="525"/>
      <c r="DW11" s="524" t="s">
        <v>85</v>
      </c>
      <c r="DX11" s="525"/>
      <c r="DY11" s="525"/>
      <c r="DZ11" s="525"/>
      <c r="EA11" s="525"/>
      <c r="EB11" s="526"/>
      <c r="EC11" s="524" t="s">
        <v>86</v>
      </c>
      <c r="ED11" s="525"/>
      <c r="EE11" s="525"/>
      <c r="EF11" s="525"/>
      <c r="EG11" s="525"/>
      <c r="EH11" s="526"/>
      <c r="EI11" s="525" t="s">
        <v>87</v>
      </c>
      <c r="EJ11" s="525"/>
      <c r="EK11" s="525"/>
      <c r="EL11" s="525"/>
      <c r="EM11" s="525"/>
      <c r="EN11" s="525"/>
      <c r="EO11" s="524" t="s">
        <v>88</v>
      </c>
      <c r="EP11" s="525"/>
      <c r="EQ11" s="525"/>
      <c r="ER11" s="525"/>
      <c r="ES11" s="525"/>
      <c r="ET11" s="527"/>
      <c r="EU11" s="528" t="s">
        <v>77</v>
      </c>
      <c r="EV11" s="525"/>
      <c r="EW11" s="525"/>
      <c r="EX11" s="525"/>
      <c r="EY11" s="525"/>
      <c r="EZ11" s="526"/>
      <c r="FA11" s="524" t="s">
        <v>78</v>
      </c>
      <c r="FB11" s="525"/>
      <c r="FC11" s="525"/>
      <c r="FD11" s="525"/>
      <c r="FE11" s="525"/>
      <c r="FF11" s="526"/>
      <c r="FG11" s="524" t="s">
        <v>79</v>
      </c>
      <c r="FH11" s="525"/>
      <c r="FI11" s="525"/>
      <c r="FJ11" s="525"/>
      <c r="FK11" s="525"/>
      <c r="FL11" s="526"/>
      <c r="FM11" s="525" t="s">
        <v>80</v>
      </c>
      <c r="FN11" s="525"/>
      <c r="FO11" s="525"/>
      <c r="FP11" s="525"/>
      <c r="FQ11" s="525"/>
      <c r="FR11" s="525"/>
      <c r="FS11" s="524" t="s">
        <v>81</v>
      </c>
      <c r="FT11" s="525"/>
      <c r="FU11" s="525"/>
      <c r="FV11" s="525"/>
      <c r="FW11" s="525"/>
      <c r="FX11" s="526"/>
      <c r="FY11" s="525" t="s">
        <v>82</v>
      </c>
      <c r="FZ11" s="525"/>
      <c r="GA11" s="525"/>
      <c r="GB11" s="525"/>
      <c r="GC11" s="525"/>
      <c r="GD11" s="525"/>
      <c r="GE11" s="524" t="s">
        <v>83</v>
      </c>
      <c r="GF11" s="525"/>
      <c r="GG11" s="525"/>
      <c r="GH11" s="525"/>
      <c r="GI11" s="525"/>
      <c r="GJ11" s="526"/>
      <c r="GK11" s="525" t="s">
        <v>84</v>
      </c>
      <c r="GL11" s="525"/>
      <c r="GM11" s="525"/>
      <c r="GN11" s="525"/>
      <c r="GO11" s="525"/>
      <c r="GP11" s="525"/>
      <c r="GQ11" s="524" t="s">
        <v>85</v>
      </c>
      <c r="GR11" s="525"/>
      <c r="GS11" s="525"/>
      <c r="GT11" s="525"/>
      <c r="GU11" s="525"/>
      <c r="GV11" s="526"/>
      <c r="GW11" s="524" t="s">
        <v>86</v>
      </c>
      <c r="GX11" s="525"/>
      <c r="GY11" s="525"/>
      <c r="GZ11" s="525"/>
      <c r="HA11" s="525"/>
      <c r="HB11" s="526"/>
      <c r="HC11" s="525" t="s">
        <v>87</v>
      </c>
      <c r="HD11" s="525"/>
      <c r="HE11" s="525"/>
      <c r="HF11" s="525"/>
      <c r="HG11" s="525"/>
      <c r="HH11" s="525"/>
      <c r="HI11" s="524" t="s">
        <v>88</v>
      </c>
      <c r="HJ11" s="525"/>
      <c r="HK11" s="525"/>
      <c r="HL11" s="525"/>
      <c r="HM11" s="525"/>
      <c r="HN11" s="527"/>
      <c r="HO11" s="528" t="s">
        <v>77</v>
      </c>
      <c r="HP11" s="525"/>
      <c r="HQ11" s="525"/>
      <c r="HR11" s="525"/>
      <c r="HS11" s="525"/>
      <c r="HT11" s="526"/>
      <c r="HU11" s="524" t="s">
        <v>78</v>
      </c>
      <c r="HV11" s="525"/>
      <c r="HW11" s="525"/>
      <c r="HX11" s="525"/>
      <c r="HY11" s="525"/>
      <c r="HZ11" s="526"/>
      <c r="IA11" s="524" t="s">
        <v>79</v>
      </c>
      <c r="IB11" s="525"/>
      <c r="IC11" s="525"/>
      <c r="ID11" s="525"/>
      <c r="IE11" s="525"/>
      <c r="IF11" s="526"/>
      <c r="IG11" s="525" t="s">
        <v>80</v>
      </c>
      <c r="IH11" s="525"/>
      <c r="II11" s="525"/>
      <c r="IJ11" s="525"/>
      <c r="IK11" s="525"/>
      <c r="IL11" s="525"/>
      <c r="IM11" s="524" t="s">
        <v>81</v>
      </c>
      <c r="IN11" s="525"/>
      <c r="IO11" s="525"/>
      <c r="IP11" s="525"/>
      <c r="IQ11" s="525"/>
      <c r="IR11" s="526"/>
      <c r="IS11" s="525" t="s">
        <v>82</v>
      </c>
      <c r="IT11" s="525"/>
      <c r="IU11" s="525"/>
      <c r="IV11" s="525"/>
      <c r="IW11" s="525"/>
      <c r="IX11" s="525"/>
      <c r="IY11" s="524" t="s">
        <v>83</v>
      </c>
      <c r="IZ11" s="525"/>
      <c r="JA11" s="525"/>
      <c r="JB11" s="525"/>
      <c r="JC11" s="525"/>
      <c r="JD11" s="526"/>
      <c r="JE11" s="525" t="s">
        <v>84</v>
      </c>
      <c r="JF11" s="525"/>
      <c r="JG11" s="525"/>
      <c r="JH11" s="525"/>
      <c r="JI11" s="525"/>
      <c r="JJ11" s="525"/>
      <c r="JK11" s="524" t="s">
        <v>85</v>
      </c>
      <c r="JL11" s="525"/>
      <c r="JM11" s="525"/>
      <c r="JN11" s="525"/>
      <c r="JO11" s="525"/>
      <c r="JP11" s="526"/>
      <c r="JQ11" s="524" t="s">
        <v>86</v>
      </c>
      <c r="JR11" s="525"/>
      <c r="JS11" s="525"/>
      <c r="JT11" s="525"/>
      <c r="JU11" s="525"/>
      <c r="JV11" s="526"/>
      <c r="JW11" s="525" t="s">
        <v>87</v>
      </c>
      <c r="JX11" s="525"/>
      <c r="JY11" s="525"/>
      <c r="JZ11" s="525"/>
      <c r="KA11" s="525"/>
      <c r="KB11" s="525"/>
      <c r="KC11" s="524" t="s">
        <v>88</v>
      </c>
      <c r="KD11" s="525"/>
      <c r="KE11" s="525"/>
      <c r="KF11" s="525"/>
      <c r="KG11" s="525"/>
      <c r="KH11" s="527"/>
      <c r="KI11" s="528" t="s">
        <v>77</v>
      </c>
      <c r="KJ11" s="525"/>
      <c r="KK11" s="525"/>
      <c r="KL11" s="525"/>
      <c r="KM11" s="525"/>
      <c r="KN11" s="526"/>
      <c r="KO11" s="524" t="s">
        <v>78</v>
      </c>
      <c r="KP11" s="525"/>
      <c r="KQ11" s="525"/>
      <c r="KR11" s="525"/>
      <c r="KS11" s="525"/>
      <c r="KT11" s="526"/>
      <c r="KU11" s="524" t="s">
        <v>79</v>
      </c>
      <c r="KV11" s="525"/>
      <c r="KW11" s="525"/>
      <c r="KX11" s="525"/>
      <c r="KY11" s="525"/>
      <c r="KZ11" s="526"/>
      <c r="LA11" s="525" t="s">
        <v>80</v>
      </c>
      <c r="LB11" s="525"/>
      <c r="LC11" s="525"/>
      <c r="LD11" s="525"/>
      <c r="LE11" s="525"/>
      <c r="LF11" s="525"/>
      <c r="LG11" s="524" t="s">
        <v>81</v>
      </c>
      <c r="LH11" s="525"/>
      <c r="LI11" s="525"/>
      <c r="LJ11" s="525"/>
      <c r="LK11" s="525"/>
      <c r="LL11" s="526"/>
      <c r="LM11" s="525" t="s">
        <v>82</v>
      </c>
      <c r="LN11" s="525"/>
      <c r="LO11" s="525"/>
      <c r="LP11" s="525"/>
      <c r="LQ11" s="525"/>
      <c r="LR11" s="525"/>
      <c r="LS11" s="524" t="s">
        <v>83</v>
      </c>
      <c r="LT11" s="525"/>
      <c r="LU11" s="525"/>
      <c r="LV11" s="525"/>
      <c r="LW11" s="525"/>
      <c r="LX11" s="526"/>
      <c r="LY11" s="525" t="s">
        <v>84</v>
      </c>
      <c r="LZ11" s="525"/>
      <c r="MA11" s="525"/>
      <c r="MB11" s="525"/>
      <c r="MC11" s="525"/>
      <c r="MD11" s="525"/>
      <c r="ME11" s="524" t="s">
        <v>85</v>
      </c>
      <c r="MF11" s="525"/>
      <c r="MG11" s="525"/>
      <c r="MH11" s="525"/>
      <c r="MI11" s="525"/>
      <c r="MJ11" s="526"/>
      <c r="MK11" s="524" t="s">
        <v>86</v>
      </c>
      <c r="ML11" s="525"/>
      <c r="MM11" s="525"/>
      <c r="MN11" s="525"/>
      <c r="MO11" s="525"/>
      <c r="MP11" s="526"/>
      <c r="MQ11" s="525" t="s">
        <v>87</v>
      </c>
      <c r="MR11" s="525"/>
      <c r="MS11" s="525"/>
      <c r="MT11" s="525"/>
      <c r="MU11" s="525"/>
      <c r="MV11" s="525"/>
      <c r="MW11" s="524" t="s">
        <v>88</v>
      </c>
      <c r="MX11" s="525"/>
      <c r="MY11" s="525"/>
      <c r="MZ11" s="525"/>
      <c r="NA11" s="525"/>
      <c r="NB11" s="527"/>
      <c r="NC11" s="528" t="s">
        <v>77</v>
      </c>
      <c r="ND11" s="525"/>
      <c r="NE11" s="525"/>
      <c r="NF11" s="525"/>
      <c r="NG11" s="525"/>
      <c r="NH11" s="526"/>
      <c r="NI11" s="524" t="s">
        <v>78</v>
      </c>
      <c r="NJ11" s="525"/>
      <c r="NK11" s="525"/>
      <c r="NL11" s="525"/>
      <c r="NM11" s="525"/>
      <c r="NN11" s="526"/>
      <c r="NO11" s="524" t="s">
        <v>79</v>
      </c>
      <c r="NP11" s="525"/>
      <c r="NQ11" s="525"/>
      <c r="NR11" s="525"/>
      <c r="NS11" s="525"/>
      <c r="NT11" s="526"/>
      <c r="NU11" s="525" t="s">
        <v>80</v>
      </c>
      <c r="NV11" s="525"/>
      <c r="NW11" s="525"/>
      <c r="NX11" s="525"/>
      <c r="NY11" s="525"/>
      <c r="NZ11" s="525"/>
      <c r="OA11" s="524" t="s">
        <v>81</v>
      </c>
      <c r="OB11" s="525"/>
      <c r="OC11" s="525"/>
      <c r="OD11" s="525"/>
      <c r="OE11" s="525"/>
      <c r="OF11" s="526"/>
      <c r="OG11" s="525" t="s">
        <v>82</v>
      </c>
      <c r="OH11" s="525"/>
      <c r="OI11" s="525"/>
      <c r="OJ11" s="525"/>
      <c r="OK11" s="525"/>
      <c r="OL11" s="525"/>
      <c r="OM11" s="524" t="s">
        <v>83</v>
      </c>
      <c r="ON11" s="525"/>
      <c r="OO11" s="525"/>
      <c r="OP11" s="525"/>
      <c r="OQ11" s="525"/>
      <c r="OR11" s="526"/>
      <c r="OS11" s="525" t="s">
        <v>84</v>
      </c>
      <c r="OT11" s="525"/>
      <c r="OU11" s="525"/>
      <c r="OV11" s="525"/>
      <c r="OW11" s="525"/>
      <c r="OX11" s="525"/>
      <c r="OY11" s="524" t="s">
        <v>85</v>
      </c>
      <c r="OZ11" s="525"/>
      <c r="PA11" s="525"/>
      <c r="PB11" s="525"/>
      <c r="PC11" s="525"/>
      <c r="PD11" s="526"/>
      <c r="PE11" s="524" t="s">
        <v>86</v>
      </c>
      <c r="PF11" s="525"/>
      <c r="PG11" s="525"/>
      <c r="PH11" s="525"/>
      <c r="PI11" s="525"/>
      <c r="PJ11" s="526"/>
      <c r="PK11" s="525" t="s">
        <v>87</v>
      </c>
      <c r="PL11" s="525"/>
      <c r="PM11" s="525"/>
      <c r="PN11" s="525"/>
      <c r="PO11" s="525"/>
      <c r="PP11" s="525"/>
      <c r="PQ11" s="524" t="s">
        <v>88</v>
      </c>
      <c r="PR11" s="525"/>
      <c r="PS11" s="525"/>
      <c r="PT11" s="525"/>
      <c r="PU11" s="525"/>
      <c r="PV11" s="527"/>
      <c r="PW11" s="528" t="s">
        <v>77</v>
      </c>
      <c r="PX11" s="525"/>
      <c r="PY11" s="525"/>
      <c r="PZ11" s="525"/>
      <c r="QA11" s="525"/>
      <c r="QB11" s="526"/>
      <c r="QC11" s="524" t="s">
        <v>78</v>
      </c>
      <c r="QD11" s="525"/>
      <c r="QE11" s="525"/>
      <c r="QF11" s="525"/>
      <c r="QG11" s="525"/>
      <c r="QH11" s="526"/>
      <c r="QI11" s="524" t="s">
        <v>79</v>
      </c>
      <c r="QJ11" s="525"/>
      <c r="QK11" s="525"/>
      <c r="QL11" s="525"/>
      <c r="QM11" s="525"/>
      <c r="QN11" s="526"/>
      <c r="QO11" s="525" t="s">
        <v>80</v>
      </c>
      <c r="QP11" s="525"/>
      <c r="QQ11" s="525"/>
      <c r="QR11" s="525"/>
      <c r="QS11" s="525"/>
      <c r="QT11" s="525"/>
      <c r="QU11" s="524" t="s">
        <v>81</v>
      </c>
      <c r="QV11" s="525"/>
      <c r="QW11" s="525"/>
      <c r="QX11" s="525"/>
      <c r="QY11" s="525"/>
      <c r="QZ11" s="526"/>
      <c r="RA11" s="525" t="s">
        <v>82</v>
      </c>
      <c r="RB11" s="525"/>
      <c r="RC11" s="525"/>
      <c r="RD11" s="525"/>
      <c r="RE11" s="525"/>
      <c r="RF11" s="525"/>
      <c r="RG11" s="524" t="s">
        <v>83</v>
      </c>
      <c r="RH11" s="525"/>
      <c r="RI11" s="525"/>
      <c r="RJ11" s="525"/>
      <c r="RK11" s="525"/>
      <c r="RL11" s="526"/>
      <c r="RM11" s="525" t="s">
        <v>84</v>
      </c>
      <c r="RN11" s="525"/>
      <c r="RO11" s="525"/>
      <c r="RP11" s="525"/>
      <c r="RQ11" s="525"/>
      <c r="RR11" s="525"/>
      <c r="RS11" s="524" t="s">
        <v>85</v>
      </c>
      <c r="RT11" s="525"/>
      <c r="RU11" s="525"/>
      <c r="RV11" s="525"/>
      <c r="RW11" s="525"/>
      <c r="RX11" s="526"/>
      <c r="RY11" s="524" t="s">
        <v>86</v>
      </c>
      <c r="RZ11" s="525"/>
      <c r="SA11" s="525"/>
      <c r="SB11" s="525"/>
      <c r="SC11" s="525"/>
      <c r="SD11" s="526"/>
      <c r="SE11" s="525" t="s">
        <v>87</v>
      </c>
      <c r="SF11" s="525"/>
      <c r="SG11" s="525"/>
      <c r="SH11" s="525"/>
      <c r="SI11" s="525"/>
      <c r="SJ11" s="525"/>
      <c r="SK11" s="524" t="s">
        <v>88</v>
      </c>
      <c r="SL11" s="525"/>
      <c r="SM11" s="525"/>
      <c r="SN11" s="525"/>
      <c r="SO11" s="525"/>
      <c r="SP11" s="527"/>
      <c r="SQ11" s="528" t="s">
        <v>77</v>
      </c>
      <c r="SR11" s="525"/>
      <c r="SS11" s="525"/>
      <c r="ST11" s="525"/>
      <c r="SU11" s="525"/>
      <c r="SV11" s="526"/>
      <c r="SW11" s="524" t="s">
        <v>78</v>
      </c>
      <c r="SX11" s="525"/>
      <c r="SY11" s="525"/>
      <c r="SZ11" s="525"/>
      <c r="TA11" s="525"/>
      <c r="TB11" s="526"/>
      <c r="TC11" s="524" t="s">
        <v>79</v>
      </c>
      <c r="TD11" s="525"/>
      <c r="TE11" s="525"/>
      <c r="TF11" s="525"/>
      <c r="TG11" s="525"/>
      <c r="TH11" s="526"/>
      <c r="TI11" s="525" t="s">
        <v>80</v>
      </c>
      <c r="TJ11" s="525"/>
      <c r="TK11" s="525"/>
      <c r="TL11" s="525"/>
      <c r="TM11" s="525"/>
      <c r="TN11" s="525"/>
      <c r="TO11" s="524" t="s">
        <v>81</v>
      </c>
      <c r="TP11" s="525"/>
      <c r="TQ11" s="525"/>
      <c r="TR11" s="525"/>
      <c r="TS11" s="525"/>
      <c r="TT11" s="526"/>
      <c r="TU11" s="525" t="s">
        <v>82</v>
      </c>
      <c r="TV11" s="525"/>
      <c r="TW11" s="525"/>
      <c r="TX11" s="525"/>
      <c r="TY11" s="525"/>
      <c r="TZ11" s="525"/>
      <c r="UA11" s="524" t="s">
        <v>83</v>
      </c>
      <c r="UB11" s="525"/>
      <c r="UC11" s="525"/>
      <c r="UD11" s="525"/>
      <c r="UE11" s="525"/>
      <c r="UF11" s="526"/>
      <c r="UG11" s="525" t="s">
        <v>84</v>
      </c>
      <c r="UH11" s="525"/>
      <c r="UI11" s="525"/>
      <c r="UJ11" s="525"/>
      <c r="UK11" s="525"/>
      <c r="UL11" s="525"/>
      <c r="UM11" s="524" t="s">
        <v>85</v>
      </c>
      <c r="UN11" s="525"/>
      <c r="UO11" s="525"/>
      <c r="UP11" s="525"/>
      <c r="UQ11" s="525"/>
      <c r="UR11" s="526"/>
      <c r="US11" s="524" t="s">
        <v>86</v>
      </c>
      <c r="UT11" s="525"/>
      <c r="UU11" s="525"/>
      <c r="UV11" s="525"/>
      <c r="UW11" s="525"/>
      <c r="UX11" s="526"/>
      <c r="UY11" s="525" t="s">
        <v>87</v>
      </c>
      <c r="UZ11" s="525"/>
      <c r="VA11" s="525"/>
      <c r="VB11" s="525"/>
      <c r="VC11" s="525"/>
      <c r="VD11" s="525"/>
      <c r="VE11" s="524" t="s">
        <v>88</v>
      </c>
      <c r="VF11" s="525"/>
      <c r="VG11" s="525"/>
      <c r="VH11" s="525"/>
      <c r="VI11" s="525"/>
      <c r="VJ11" s="527"/>
    </row>
    <row r="12" spans="3:582" s="49" customFormat="1" ht="24" customHeight="1" thickBot="1" x14ac:dyDescent="0.3">
      <c r="C12" s="56"/>
      <c r="D12" s="56"/>
      <c r="E12" s="56"/>
      <c r="F12" s="57"/>
      <c r="G12" s="58">
        <v>5</v>
      </c>
      <c r="H12" s="59">
        <v>10</v>
      </c>
      <c r="I12" s="59">
        <v>15</v>
      </c>
      <c r="J12" s="59">
        <v>20</v>
      </c>
      <c r="K12" s="59">
        <v>25</v>
      </c>
      <c r="L12" s="60">
        <v>31</v>
      </c>
      <c r="M12" s="61">
        <v>5</v>
      </c>
      <c r="N12" s="59">
        <v>10</v>
      </c>
      <c r="O12" s="59">
        <v>15</v>
      </c>
      <c r="P12" s="59">
        <v>20</v>
      </c>
      <c r="Q12" s="59">
        <v>25</v>
      </c>
      <c r="R12" s="60">
        <v>28</v>
      </c>
      <c r="S12" s="61">
        <v>5</v>
      </c>
      <c r="T12" s="59">
        <v>10</v>
      </c>
      <c r="U12" s="59">
        <v>15</v>
      </c>
      <c r="V12" s="59">
        <v>20</v>
      </c>
      <c r="W12" s="59">
        <v>25</v>
      </c>
      <c r="X12" s="60">
        <v>31</v>
      </c>
      <c r="Y12" s="59">
        <v>5</v>
      </c>
      <c r="Z12" s="59">
        <v>10</v>
      </c>
      <c r="AA12" s="59">
        <v>15</v>
      </c>
      <c r="AB12" s="59">
        <v>20</v>
      </c>
      <c r="AC12" s="59">
        <v>25</v>
      </c>
      <c r="AD12" s="59">
        <v>30</v>
      </c>
      <c r="AE12" s="61">
        <v>5</v>
      </c>
      <c r="AF12" s="59">
        <v>10</v>
      </c>
      <c r="AG12" s="59">
        <v>15</v>
      </c>
      <c r="AH12" s="59">
        <v>20</v>
      </c>
      <c r="AI12" s="59">
        <v>25</v>
      </c>
      <c r="AJ12" s="60">
        <v>31</v>
      </c>
      <c r="AK12" s="59">
        <v>5</v>
      </c>
      <c r="AL12" s="59">
        <v>10</v>
      </c>
      <c r="AM12" s="59">
        <v>15</v>
      </c>
      <c r="AN12" s="59">
        <v>20</v>
      </c>
      <c r="AO12" s="59">
        <v>25</v>
      </c>
      <c r="AP12" s="59">
        <v>30</v>
      </c>
      <c r="AQ12" s="61">
        <v>5</v>
      </c>
      <c r="AR12" s="59">
        <v>10</v>
      </c>
      <c r="AS12" s="59">
        <v>15</v>
      </c>
      <c r="AT12" s="59">
        <v>20</v>
      </c>
      <c r="AU12" s="59">
        <v>25</v>
      </c>
      <c r="AV12" s="60">
        <v>31</v>
      </c>
      <c r="AW12" s="59">
        <v>5</v>
      </c>
      <c r="AX12" s="59">
        <v>10</v>
      </c>
      <c r="AY12" s="59">
        <v>15</v>
      </c>
      <c r="AZ12" s="59">
        <v>20</v>
      </c>
      <c r="BA12" s="59">
        <v>25</v>
      </c>
      <c r="BB12" s="59">
        <v>31</v>
      </c>
      <c r="BC12" s="61">
        <v>5</v>
      </c>
      <c r="BD12" s="59">
        <v>10</v>
      </c>
      <c r="BE12" s="59">
        <v>15</v>
      </c>
      <c r="BF12" s="59">
        <v>20</v>
      </c>
      <c r="BG12" s="59">
        <v>25</v>
      </c>
      <c r="BH12" s="60">
        <v>30</v>
      </c>
      <c r="BI12" s="61">
        <v>5</v>
      </c>
      <c r="BJ12" s="59">
        <v>10</v>
      </c>
      <c r="BK12" s="59">
        <v>15</v>
      </c>
      <c r="BL12" s="59">
        <v>20</v>
      </c>
      <c r="BM12" s="59">
        <v>25</v>
      </c>
      <c r="BN12" s="60">
        <v>31</v>
      </c>
      <c r="BO12" s="59">
        <v>5</v>
      </c>
      <c r="BP12" s="59">
        <v>10</v>
      </c>
      <c r="BQ12" s="59">
        <v>15</v>
      </c>
      <c r="BR12" s="59">
        <v>20</v>
      </c>
      <c r="BS12" s="59">
        <v>25</v>
      </c>
      <c r="BT12" s="59">
        <v>30</v>
      </c>
      <c r="BU12" s="61">
        <v>5</v>
      </c>
      <c r="BV12" s="59">
        <v>10</v>
      </c>
      <c r="BW12" s="59">
        <v>15</v>
      </c>
      <c r="BX12" s="59">
        <v>20</v>
      </c>
      <c r="BY12" s="59">
        <v>25</v>
      </c>
      <c r="BZ12" s="62">
        <v>31</v>
      </c>
      <c r="CA12" s="58">
        <v>5</v>
      </c>
      <c r="CB12" s="59">
        <v>10</v>
      </c>
      <c r="CC12" s="59">
        <v>15</v>
      </c>
      <c r="CD12" s="59">
        <v>20</v>
      </c>
      <c r="CE12" s="59">
        <v>25</v>
      </c>
      <c r="CF12" s="60">
        <v>31</v>
      </c>
      <c r="CG12" s="61">
        <v>5</v>
      </c>
      <c r="CH12" s="59">
        <v>10</v>
      </c>
      <c r="CI12" s="59">
        <v>15</v>
      </c>
      <c r="CJ12" s="59">
        <v>20</v>
      </c>
      <c r="CK12" s="59">
        <v>25</v>
      </c>
      <c r="CL12" s="60">
        <v>28</v>
      </c>
      <c r="CM12" s="61">
        <v>5</v>
      </c>
      <c r="CN12" s="59">
        <v>10</v>
      </c>
      <c r="CO12" s="59">
        <v>15</v>
      </c>
      <c r="CP12" s="59">
        <v>20</v>
      </c>
      <c r="CQ12" s="59">
        <v>25</v>
      </c>
      <c r="CR12" s="60">
        <v>31</v>
      </c>
      <c r="CS12" s="59">
        <v>5</v>
      </c>
      <c r="CT12" s="59">
        <v>10</v>
      </c>
      <c r="CU12" s="59">
        <v>15</v>
      </c>
      <c r="CV12" s="59">
        <v>20</v>
      </c>
      <c r="CW12" s="59">
        <v>25</v>
      </c>
      <c r="CX12" s="59">
        <v>30</v>
      </c>
      <c r="CY12" s="61">
        <v>5</v>
      </c>
      <c r="CZ12" s="59">
        <v>10</v>
      </c>
      <c r="DA12" s="59">
        <v>15</v>
      </c>
      <c r="DB12" s="59">
        <v>20</v>
      </c>
      <c r="DC12" s="59">
        <v>25</v>
      </c>
      <c r="DD12" s="60">
        <v>31</v>
      </c>
      <c r="DE12" s="59">
        <v>5</v>
      </c>
      <c r="DF12" s="59">
        <v>10</v>
      </c>
      <c r="DG12" s="59">
        <v>15</v>
      </c>
      <c r="DH12" s="59">
        <v>20</v>
      </c>
      <c r="DI12" s="59">
        <v>25</v>
      </c>
      <c r="DJ12" s="59">
        <v>30</v>
      </c>
      <c r="DK12" s="61">
        <v>5</v>
      </c>
      <c r="DL12" s="59">
        <v>10</v>
      </c>
      <c r="DM12" s="59">
        <v>15</v>
      </c>
      <c r="DN12" s="59">
        <v>20</v>
      </c>
      <c r="DO12" s="59">
        <v>25</v>
      </c>
      <c r="DP12" s="60">
        <v>31</v>
      </c>
      <c r="DQ12" s="59">
        <v>5</v>
      </c>
      <c r="DR12" s="59">
        <v>10</v>
      </c>
      <c r="DS12" s="59">
        <v>15</v>
      </c>
      <c r="DT12" s="59">
        <v>20</v>
      </c>
      <c r="DU12" s="59">
        <v>25</v>
      </c>
      <c r="DV12" s="59">
        <v>31</v>
      </c>
      <c r="DW12" s="61">
        <v>5</v>
      </c>
      <c r="DX12" s="59">
        <v>10</v>
      </c>
      <c r="DY12" s="59">
        <v>15</v>
      </c>
      <c r="DZ12" s="59">
        <v>20</v>
      </c>
      <c r="EA12" s="59">
        <v>25</v>
      </c>
      <c r="EB12" s="60">
        <v>30</v>
      </c>
      <c r="EC12" s="61">
        <v>5</v>
      </c>
      <c r="ED12" s="59">
        <v>10</v>
      </c>
      <c r="EE12" s="59">
        <v>15</v>
      </c>
      <c r="EF12" s="59">
        <v>20</v>
      </c>
      <c r="EG12" s="59">
        <v>25</v>
      </c>
      <c r="EH12" s="60">
        <v>31</v>
      </c>
      <c r="EI12" s="59">
        <v>5</v>
      </c>
      <c r="EJ12" s="59">
        <v>10</v>
      </c>
      <c r="EK12" s="59">
        <v>15</v>
      </c>
      <c r="EL12" s="59">
        <v>20</v>
      </c>
      <c r="EM12" s="59">
        <v>25</v>
      </c>
      <c r="EN12" s="59">
        <v>30</v>
      </c>
      <c r="EO12" s="61">
        <v>5</v>
      </c>
      <c r="EP12" s="59">
        <v>10</v>
      </c>
      <c r="EQ12" s="59">
        <v>15</v>
      </c>
      <c r="ER12" s="59">
        <v>20</v>
      </c>
      <c r="ES12" s="59">
        <v>25</v>
      </c>
      <c r="ET12" s="62">
        <v>31</v>
      </c>
      <c r="EU12" s="58">
        <v>5</v>
      </c>
      <c r="EV12" s="59">
        <v>10</v>
      </c>
      <c r="EW12" s="59">
        <v>15</v>
      </c>
      <c r="EX12" s="59">
        <v>20</v>
      </c>
      <c r="EY12" s="59">
        <v>25</v>
      </c>
      <c r="EZ12" s="60">
        <v>31</v>
      </c>
      <c r="FA12" s="61">
        <v>5</v>
      </c>
      <c r="FB12" s="59">
        <v>10</v>
      </c>
      <c r="FC12" s="59">
        <v>15</v>
      </c>
      <c r="FD12" s="59">
        <v>20</v>
      </c>
      <c r="FE12" s="59">
        <v>25</v>
      </c>
      <c r="FF12" s="60">
        <v>28</v>
      </c>
      <c r="FG12" s="61">
        <v>5</v>
      </c>
      <c r="FH12" s="59">
        <v>10</v>
      </c>
      <c r="FI12" s="59">
        <v>15</v>
      </c>
      <c r="FJ12" s="59">
        <v>20</v>
      </c>
      <c r="FK12" s="59">
        <v>25</v>
      </c>
      <c r="FL12" s="60">
        <v>31</v>
      </c>
      <c r="FM12" s="59">
        <v>5</v>
      </c>
      <c r="FN12" s="59">
        <v>10</v>
      </c>
      <c r="FO12" s="59">
        <v>15</v>
      </c>
      <c r="FP12" s="59">
        <v>20</v>
      </c>
      <c r="FQ12" s="59">
        <v>25</v>
      </c>
      <c r="FR12" s="59">
        <v>30</v>
      </c>
      <c r="FS12" s="61">
        <v>5</v>
      </c>
      <c r="FT12" s="59">
        <v>10</v>
      </c>
      <c r="FU12" s="59">
        <v>15</v>
      </c>
      <c r="FV12" s="59">
        <v>20</v>
      </c>
      <c r="FW12" s="59">
        <v>25</v>
      </c>
      <c r="FX12" s="60">
        <v>31</v>
      </c>
      <c r="FY12" s="59">
        <v>5</v>
      </c>
      <c r="FZ12" s="59">
        <v>10</v>
      </c>
      <c r="GA12" s="59">
        <v>15</v>
      </c>
      <c r="GB12" s="59">
        <v>20</v>
      </c>
      <c r="GC12" s="59">
        <v>25</v>
      </c>
      <c r="GD12" s="59">
        <v>30</v>
      </c>
      <c r="GE12" s="61">
        <v>5</v>
      </c>
      <c r="GF12" s="59">
        <v>10</v>
      </c>
      <c r="GG12" s="59">
        <v>15</v>
      </c>
      <c r="GH12" s="59">
        <v>20</v>
      </c>
      <c r="GI12" s="59">
        <v>25</v>
      </c>
      <c r="GJ12" s="60">
        <v>31</v>
      </c>
      <c r="GK12" s="59">
        <v>5</v>
      </c>
      <c r="GL12" s="59">
        <v>10</v>
      </c>
      <c r="GM12" s="59">
        <v>15</v>
      </c>
      <c r="GN12" s="59">
        <v>20</v>
      </c>
      <c r="GO12" s="59">
        <v>25</v>
      </c>
      <c r="GP12" s="59">
        <v>31</v>
      </c>
      <c r="GQ12" s="61">
        <v>5</v>
      </c>
      <c r="GR12" s="59">
        <v>10</v>
      </c>
      <c r="GS12" s="59">
        <v>15</v>
      </c>
      <c r="GT12" s="59">
        <v>20</v>
      </c>
      <c r="GU12" s="59">
        <v>25</v>
      </c>
      <c r="GV12" s="60">
        <v>30</v>
      </c>
      <c r="GW12" s="61">
        <v>5</v>
      </c>
      <c r="GX12" s="59">
        <v>10</v>
      </c>
      <c r="GY12" s="59">
        <v>15</v>
      </c>
      <c r="GZ12" s="59">
        <v>20</v>
      </c>
      <c r="HA12" s="59">
        <v>25</v>
      </c>
      <c r="HB12" s="60">
        <v>31</v>
      </c>
      <c r="HC12" s="59">
        <v>5</v>
      </c>
      <c r="HD12" s="59">
        <v>10</v>
      </c>
      <c r="HE12" s="59">
        <v>15</v>
      </c>
      <c r="HF12" s="59">
        <v>20</v>
      </c>
      <c r="HG12" s="59">
        <v>25</v>
      </c>
      <c r="HH12" s="59">
        <v>30</v>
      </c>
      <c r="HI12" s="61">
        <v>5</v>
      </c>
      <c r="HJ12" s="59">
        <v>10</v>
      </c>
      <c r="HK12" s="59">
        <v>15</v>
      </c>
      <c r="HL12" s="59">
        <v>20</v>
      </c>
      <c r="HM12" s="59">
        <v>25</v>
      </c>
      <c r="HN12" s="62">
        <v>31</v>
      </c>
      <c r="HO12" s="58">
        <v>5</v>
      </c>
      <c r="HP12" s="59">
        <v>10</v>
      </c>
      <c r="HQ12" s="59">
        <v>15</v>
      </c>
      <c r="HR12" s="59">
        <v>20</v>
      </c>
      <c r="HS12" s="59">
        <v>25</v>
      </c>
      <c r="HT12" s="60">
        <v>31</v>
      </c>
      <c r="HU12" s="61">
        <v>5</v>
      </c>
      <c r="HV12" s="59">
        <v>10</v>
      </c>
      <c r="HW12" s="59">
        <v>15</v>
      </c>
      <c r="HX12" s="59">
        <v>20</v>
      </c>
      <c r="HY12" s="59">
        <v>25</v>
      </c>
      <c r="HZ12" s="60">
        <v>28</v>
      </c>
      <c r="IA12" s="61">
        <v>5</v>
      </c>
      <c r="IB12" s="59">
        <v>10</v>
      </c>
      <c r="IC12" s="59">
        <v>15</v>
      </c>
      <c r="ID12" s="59">
        <v>20</v>
      </c>
      <c r="IE12" s="59">
        <v>25</v>
      </c>
      <c r="IF12" s="60">
        <v>31</v>
      </c>
      <c r="IG12" s="59">
        <v>5</v>
      </c>
      <c r="IH12" s="59">
        <v>10</v>
      </c>
      <c r="II12" s="59">
        <v>15</v>
      </c>
      <c r="IJ12" s="59">
        <v>20</v>
      </c>
      <c r="IK12" s="59">
        <v>25</v>
      </c>
      <c r="IL12" s="59">
        <v>30</v>
      </c>
      <c r="IM12" s="61">
        <v>5</v>
      </c>
      <c r="IN12" s="59">
        <v>10</v>
      </c>
      <c r="IO12" s="59">
        <v>15</v>
      </c>
      <c r="IP12" s="59">
        <v>20</v>
      </c>
      <c r="IQ12" s="59">
        <v>25</v>
      </c>
      <c r="IR12" s="60">
        <v>31</v>
      </c>
      <c r="IS12" s="59">
        <v>5</v>
      </c>
      <c r="IT12" s="59">
        <v>10</v>
      </c>
      <c r="IU12" s="59">
        <v>15</v>
      </c>
      <c r="IV12" s="59">
        <v>20</v>
      </c>
      <c r="IW12" s="59">
        <v>25</v>
      </c>
      <c r="IX12" s="59">
        <v>30</v>
      </c>
      <c r="IY12" s="61">
        <v>5</v>
      </c>
      <c r="IZ12" s="59">
        <v>10</v>
      </c>
      <c r="JA12" s="59">
        <v>15</v>
      </c>
      <c r="JB12" s="59">
        <v>20</v>
      </c>
      <c r="JC12" s="59">
        <v>25</v>
      </c>
      <c r="JD12" s="60">
        <v>31</v>
      </c>
      <c r="JE12" s="59">
        <v>5</v>
      </c>
      <c r="JF12" s="59">
        <v>10</v>
      </c>
      <c r="JG12" s="59">
        <v>15</v>
      </c>
      <c r="JH12" s="59">
        <v>20</v>
      </c>
      <c r="JI12" s="59">
        <v>25</v>
      </c>
      <c r="JJ12" s="59">
        <v>31</v>
      </c>
      <c r="JK12" s="61">
        <v>5</v>
      </c>
      <c r="JL12" s="59">
        <v>10</v>
      </c>
      <c r="JM12" s="59">
        <v>15</v>
      </c>
      <c r="JN12" s="59">
        <v>20</v>
      </c>
      <c r="JO12" s="59">
        <v>25</v>
      </c>
      <c r="JP12" s="60">
        <v>30</v>
      </c>
      <c r="JQ12" s="61">
        <v>5</v>
      </c>
      <c r="JR12" s="59">
        <v>10</v>
      </c>
      <c r="JS12" s="59">
        <v>15</v>
      </c>
      <c r="JT12" s="59">
        <v>20</v>
      </c>
      <c r="JU12" s="59">
        <v>25</v>
      </c>
      <c r="JV12" s="60">
        <v>31</v>
      </c>
      <c r="JW12" s="59">
        <v>5</v>
      </c>
      <c r="JX12" s="59">
        <v>10</v>
      </c>
      <c r="JY12" s="59">
        <v>15</v>
      </c>
      <c r="JZ12" s="59">
        <v>20</v>
      </c>
      <c r="KA12" s="59">
        <v>25</v>
      </c>
      <c r="KB12" s="59">
        <v>30</v>
      </c>
      <c r="KC12" s="61">
        <v>5</v>
      </c>
      <c r="KD12" s="59">
        <v>10</v>
      </c>
      <c r="KE12" s="59">
        <v>15</v>
      </c>
      <c r="KF12" s="59">
        <v>20</v>
      </c>
      <c r="KG12" s="59">
        <v>25</v>
      </c>
      <c r="KH12" s="62">
        <v>31</v>
      </c>
      <c r="KI12" s="58">
        <v>5</v>
      </c>
      <c r="KJ12" s="59">
        <v>10</v>
      </c>
      <c r="KK12" s="59">
        <v>15</v>
      </c>
      <c r="KL12" s="59">
        <v>20</v>
      </c>
      <c r="KM12" s="59">
        <v>25</v>
      </c>
      <c r="KN12" s="60">
        <v>31</v>
      </c>
      <c r="KO12" s="61">
        <v>5</v>
      </c>
      <c r="KP12" s="59">
        <v>10</v>
      </c>
      <c r="KQ12" s="59">
        <v>15</v>
      </c>
      <c r="KR12" s="59">
        <v>20</v>
      </c>
      <c r="KS12" s="59">
        <v>25</v>
      </c>
      <c r="KT12" s="60">
        <v>28</v>
      </c>
      <c r="KU12" s="61">
        <v>5</v>
      </c>
      <c r="KV12" s="59">
        <v>10</v>
      </c>
      <c r="KW12" s="59">
        <v>15</v>
      </c>
      <c r="KX12" s="59">
        <v>20</v>
      </c>
      <c r="KY12" s="59">
        <v>25</v>
      </c>
      <c r="KZ12" s="60">
        <v>31</v>
      </c>
      <c r="LA12" s="59">
        <v>5</v>
      </c>
      <c r="LB12" s="59">
        <v>10</v>
      </c>
      <c r="LC12" s="59">
        <v>15</v>
      </c>
      <c r="LD12" s="59">
        <v>20</v>
      </c>
      <c r="LE12" s="59">
        <v>25</v>
      </c>
      <c r="LF12" s="59">
        <v>30</v>
      </c>
      <c r="LG12" s="61">
        <v>5</v>
      </c>
      <c r="LH12" s="59">
        <v>10</v>
      </c>
      <c r="LI12" s="59">
        <v>15</v>
      </c>
      <c r="LJ12" s="59">
        <v>20</v>
      </c>
      <c r="LK12" s="59">
        <v>25</v>
      </c>
      <c r="LL12" s="60">
        <v>31</v>
      </c>
      <c r="LM12" s="59">
        <v>5</v>
      </c>
      <c r="LN12" s="59">
        <v>10</v>
      </c>
      <c r="LO12" s="59">
        <v>15</v>
      </c>
      <c r="LP12" s="59">
        <v>20</v>
      </c>
      <c r="LQ12" s="59">
        <v>25</v>
      </c>
      <c r="LR12" s="59">
        <v>30</v>
      </c>
      <c r="LS12" s="61">
        <v>5</v>
      </c>
      <c r="LT12" s="59">
        <v>10</v>
      </c>
      <c r="LU12" s="59">
        <v>15</v>
      </c>
      <c r="LV12" s="59">
        <v>20</v>
      </c>
      <c r="LW12" s="59">
        <v>25</v>
      </c>
      <c r="LX12" s="60">
        <v>31</v>
      </c>
      <c r="LY12" s="59">
        <v>5</v>
      </c>
      <c r="LZ12" s="59">
        <v>10</v>
      </c>
      <c r="MA12" s="59">
        <v>15</v>
      </c>
      <c r="MB12" s="59">
        <v>20</v>
      </c>
      <c r="MC12" s="59">
        <v>25</v>
      </c>
      <c r="MD12" s="59">
        <v>31</v>
      </c>
      <c r="ME12" s="61">
        <v>5</v>
      </c>
      <c r="MF12" s="59">
        <v>10</v>
      </c>
      <c r="MG12" s="59">
        <v>15</v>
      </c>
      <c r="MH12" s="59">
        <v>20</v>
      </c>
      <c r="MI12" s="59">
        <v>25</v>
      </c>
      <c r="MJ12" s="60">
        <v>30</v>
      </c>
      <c r="MK12" s="61">
        <v>5</v>
      </c>
      <c r="ML12" s="59">
        <v>10</v>
      </c>
      <c r="MM12" s="59">
        <v>15</v>
      </c>
      <c r="MN12" s="59">
        <v>20</v>
      </c>
      <c r="MO12" s="59">
        <v>25</v>
      </c>
      <c r="MP12" s="60">
        <v>31</v>
      </c>
      <c r="MQ12" s="59">
        <v>5</v>
      </c>
      <c r="MR12" s="59">
        <v>10</v>
      </c>
      <c r="MS12" s="59">
        <v>15</v>
      </c>
      <c r="MT12" s="59">
        <v>20</v>
      </c>
      <c r="MU12" s="59">
        <v>25</v>
      </c>
      <c r="MV12" s="59">
        <v>30</v>
      </c>
      <c r="MW12" s="61">
        <v>5</v>
      </c>
      <c r="MX12" s="59">
        <v>10</v>
      </c>
      <c r="MY12" s="59">
        <v>15</v>
      </c>
      <c r="MZ12" s="59">
        <v>20</v>
      </c>
      <c r="NA12" s="59">
        <v>25</v>
      </c>
      <c r="NB12" s="62">
        <v>31</v>
      </c>
      <c r="NC12" s="58">
        <v>5</v>
      </c>
      <c r="ND12" s="59">
        <v>10</v>
      </c>
      <c r="NE12" s="59">
        <v>15</v>
      </c>
      <c r="NF12" s="59">
        <v>20</v>
      </c>
      <c r="NG12" s="59">
        <v>25</v>
      </c>
      <c r="NH12" s="60">
        <v>31</v>
      </c>
      <c r="NI12" s="61">
        <v>5</v>
      </c>
      <c r="NJ12" s="59">
        <v>10</v>
      </c>
      <c r="NK12" s="59">
        <v>15</v>
      </c>
      <c r="NL12" s="59">
        <v>20</v>
      </c>
      <c r="NM12" s="59">
        <v>25</v>
      </c>
      <c r="NN12" s="60">
        <v>28</v>
      </c>
      <c r="NO12" s="61">
        <v>5</v>
      </c>
      <c r="NP12" s="59">
        <v>10</v>
      </c>
      <c r="NQ12" s="59">
        <v>15</v>
      </c>
      <c r="NR12" s="59">
        <v>20</v>
      </c>
      <c r="NS12" s="59">
        <v>25</v>
      </c>
      <c r="NT12" s="60">
        <v>31</v>
      </c>
      <c r="NU12" s="59">
        <v>5</v>
      </c>
      <c r="NV12" s="59">
        <v>10</v>
      </c>
      <c r="NW12" s="59">
        <v>15</v>
      </c>
      <c r="NX12" s="59">
        <v>20</v>
      </c>
      <c r="NY12" s="59">
        <v>25</v>
      </c>
      <c r="NZ12" s="59">
        <v>30</v>
      </c>
      <c r="OA12" s="61">
        <v>5</v>
      </c>
      <c r="OB12" s="59">
        <v>10</v>
      </c>
      <c r="OC12" s="59">
        <v>15</v>
      </c>
      <c r="OD12" s="59">
        <v>20</v>
      </c>
      <c r="OE12" s="59">
        <v>25</v>
      </c>
      <c r="OF12" s="60">
        <v>31</v>
      </c>
      <c r="OG12" s="59">
        <v>5</v>
      </c>
      <c r="OH12" s="59">
        <v>10</v>
      </c>
      <c r="OI12" s="59">
        <v>15</v>
      </c>
      <c r="OJ12" s="59">
        <v>20</v>
      </c>
      <c r="OK12" s="59">
        <v>25</v>
      </c>
      <c r="OL12" s="59">
        <v>30</v>
      </c>
      <c r="OM12" s="61">
        <v>5</v>
      </c>
      <c r="ON12" s="59">
        <v>10</v>
      </c>
      <c r="OO12" s="59">
        <v>15</v>
      </c>
      <c r="OP12" s="59">
        <v>20</v>
      </c>
      <c r="OQ12" s="59">
        <v>25</v>
      </c>
      <c r="OR12" s="60">
        <v>31</v>
      </c>
      <c r="OS12" s="59">
        <v>5</v>
      </c>
      <c r="OT12" s="59">
        <v>10</v>
      </c>
      <c r="OU12" s="59">
        <v>15</v>
      </c>
      <c r="OV12" s="59">
        <v>20</v>
      </c>
      <c r="OW12" s="59">
        <v>25</v>
      </c>
      <c r="OX12" s="59">
        <v>31</v>
      </c>
      <c r="OY12" s="61">
        <v>5</v>
      </c>
      <c r="OZ12" s="59">
        <v>10</v>
      </c>
      <c r="PA12" s="59">
        <v>15</v>
      </c>
      <c r="PB12" s="59">
        <v>20</v>
      </c>
      <c r="PC12" s="59">
        <v>25</v>
      </c>
      <c r="PD12" s="60">
        <v>30</v>
      </c>
      <c r="PE12" s="61">
        <v>5</v>
      </c>
      <c r="PF12" s="59">
        <v>10</v>
      </c>
      <c r="PG12" s="59">
        <v>15</v>
      </c>
      <c r="PH12" s="59">
        <v>20</v>
      </c>
      <c r="PI12" s="59">
        <v>25</v>
      </c>
      <c r="PJ12" s="60">
        <v>31</v>
      </c>
      <c r="PK12" s="59">
        <v>5</v>
      </c>
      <c r="PL12" s="59">
        <v>10</v>
      </c>
      <c r="PM12" s="59">
        <v>15</v>
      </c>
      <c r="PN12" s="59">
        <v>20</v>
      </c>
      <c r="PO12" s="59">
        <v>25</v>
      </c>
      <c r="PP12" s="59">
        <v>30</v>
      </c>
      <c r="PQ12" s="61">
        <v>5</v>
      </c>
      <c r="PR12" s="59">
        <v>10</v>
      </c>
      <c r="PS12" s="59">
        <v>15</v>
      </c>
      <c r="PT12" s="59">
        <v>20</v>
      </c>
      <c r="PU12" s="59">
        <v>25</v>
      </c>
      <c r="PV12" s="62">
        <v>31</v>
      </c>
      <c r="PW12" s="58">
        <v>5</v>
      </c>
      <c r="PX12" s="59">
        <v>10</v>
      </c>
      <c r="PY12" s="59">
        <v>15</v>
      </c>
      <c r="PZ12" s="59">
        <v>20</v>
      </c>
      <c r="QA12" s="59">
        <v>25</v>
      </c>
      <c r="QB12" s="60">
        <v>31</v>
      </c>
      <c r="QC12" s="61">
        <v>5</v>
      </c>
      <c r="QD12" s="59">
        <v>10</v>
      </c>
      <c r="QE12" s="59">
        <v>15</v>
      </c>
      <c r="QF12" s="59">
        <v>20</v>
      </c>
      <c r="QG12" s="59">
        <v>25</v>
      </c>
      <c r="QH12" s="60">
        <v>28</v>
      </c>
      <c r="QI12" s="61">
        <v>5</v>
      </c>
      <c r="QJ12" s="59">
        <v>10</v>
      </c>
      <c r="QK12" s="59">
        <v>15</v>
      </c>
      <c r="QL12" s="59">
        <v>20</v>
      </c>
      <c r="QM12" s="59">
        <v>25</v>
      </c>
      <c r="QN12" s="60">
        <v>31</v>
      </c>
      <c r="QO12" s="59">
        <v>5</v>
      </c>
      <c r="QP12" s="59">
        <v>10</v>
      </c>
      <c r="QQ12" s="59">
        <v>15</v>
      </c>
      <c r="QR12" s="59">
        <v>20</v>
      </c>
      <c r="QS12" s="59">
        <v>25</v>
      </c>
      <c r="QT12" s="59">
        <v>30</v>
      </c>
      <c r="QU12" s="61">
        <v>5</v>
      </c>
      <c r="QV12" s="59">
        <v>10</v>
      </c>
      <c r="QW12" s="59">
        <v>15</v>
      </c>
      <c r="QX12" s="59">
        <v>20</v>
      </c>
      <c r="QY12" s="59">
        <v>25</v>
      </c>
      <c r="QZ12" s="60">
        <v>31</v>
      </c>
      <c r="RA12" s="59">
        <v>5</v>
      </c>
      <c r="RB12" s="59">
        <v>10</v>
      </c>
      <c r="RC12" s="59">
        <v>15</v>
      </c>
      <c r="RD12" s="59">
        <v>20</v>
      </c>
      <c r="RE12" s="59">
        <v>25</v>
      </c>
      <c r="RF12" s="59">
        <v>30</v>
      </c>
      <c r="RG12" s="61">
        <v>5</v>
      </c>
      <c r="RH12" s="59">
        <v>10</v>
      </c>
      <c r="RI12" s="59">
        <v>15</v>
      </c>
      <c r="RJ12" s="59">
        <v>20</v>
      </c>
      <c r="RK12" s="59">
        <v>25</v>
      </c>
      <c r="RL12" s="60">
        <v>31</v>
      </c>
      <c r="RM12" s="59">
        <v>5</v>
      </c>
      <c r="RN12" s="59">
        <v>10</v>
      </c>
      <c r="RO12" s="59">
        <v>15</v>
      </c>
      <c r="RP12" s="59">
        <v>20</v>
      </c>
      <c r="RQ12" s="59">
        <v>25</v>
      </c>
      <c r="RR12" s="59">
        <v>31</v>
      </c>
      <c r="RS12" s="61">
        <v>5</v>
      </c>
      <c r="RT12" s="59">
        <v>10</v>
      </c>
      <c r="RU12" s="59">
        <v>15</v>
      </c>
      <c r="RV12" s="59">
        <v>20</v>
      </c>
      <c r="RW12" s="59">
        <v>25</v>
      </c>
      <c r="RX12" s="60">
        <v>30</v>
      </c>
      <c r="RY12" s="61">
        <v>5</v>
      </c>
      <c r="RZ12" s="59">
        <v>10</v>
      </c>
      <c r="SA12" s="59">
        <v>15</v>
      </c>
      <c r="SB12" s="59">
        <v>20</v>
      </c>
      <c r="SC12" s="59">
        <v>25</v>
      </c>
      <c r="SD12" s="60">
        <v>31</v>
      </c>
      <c r="SE12" s="59">
        <v>5</v>
      </c>
      <c r="SF12" s="59">
        <v>10</v>
      </c>
      <c r="SG12" s="59">
        <v>15</v>
      </c>
      <c r="SH12" s="59">
        <v>20</v>
      </c>
      <c r="SI12" s="59">
        <v>25</v>
      </c>
      <c r="SJ12" s="59">
        <v>30</v>
      </c>
      <c r="SK12" s="61">
        <v>5</v>
      </c>
      <c r="SL12" s="59">
        <v>10</v>
      </c>
      <c r="SM12" s="59">
        <v>15</v>
      </c>
      <c r="SN12" s="59">
        <v>20</v>
      </c>
      <c r="SO12" s="59">
        <v>25</v>
      </c>
      <c r="SP12" s="62">
        <v>31</v>
      </c>
      <c r="SQ12" s="58">
        <v>5</v>
      </c>
      <c r="SR12" s="59">
        <v>10</v>
      </c>
      <c r="SS12" s="59">
        <v>15</v>
      </c>
      <c r="ST12" s="59">
        <v>20</v>
      </c>
      <c r="SU12" s="59">
        <v>25</v>
      </c>
      <c r="SV12" s="60">
        <v>31</v>
      </c>
      <c r="SW12" s="61">
        <v>5</v>
      </c>
      <c r="SX12" s="59">
        <v>10</v>
      </c>
      <c r="SY12" s="59">
        <v>15</v>
      </c>
      <c r="SZ12" s="59">
        <v>20</v>
      </c>
      <c r="TA12" s="59">
        <v>25</v>
      </c>
      <c r="TB12" s="60">
        <v>28</v>
      </c>
      <c r="TC12" s="61">
        <v>5</v>
      </c>
      <c r="TD12" s="59">
        <v>10</v>
      </c>
      <c r="TE12" s="59">
        <v>15</v>
      </c>
      <c r="TF12" s="59">
        <v>20</v>
      </c>
      <c r="TG12" s="59">
        <v>25</v>
      </c>
      <c r="TH12" s="60">
        <v>31</v>
      </c>
      <c r="TI12" s="59">
        <v>5</v>
      </c>
      <c r="TJ12" s="59">
        <v>10</v>
      </c>
      <c r="TK12" s="59">
        <v>15</v>
      </c>
      <c r="TL12" s="59">
        <v>20</v>
      </c>
      <c r="TM12" s="59">
        <v>25</v>
      </c>
      <c r="TN12" s="59">
        <v>30</v>
      </c>
      <c r="TO12" s="61">
        <v>5</v>
      </c>
      <c r="TP12" s="59">
        <v>10</v>
      </c>
      <c r="TQ12" s="59">
        <v>15</v>
      </c>
      <c r="TR12" s="59">
        <v>20</v>
      </c>
      <c r="TS12" s="59">
        <v>25</v>
      </c>
      <c r="TT12" s="60">
        <v>31</v>
      </c>
      <c r="TU12" s="59">
        <v>5</v>
      </c>
      <c r="TV12" s="59">
        <v>10</v>
      </c>
      <c r="TW12" s="59">
        <v>15</v>
      </c>
      <c r="TX12" s="59">
        <v>20</v>
      </c>
      <c r="TY12" s="59">
        <v>25</v>
      </c>
      <c r="TZ12" s="59">
        <v>30</v>
      </c>
      <c r="UA12" s="61">
        <v>5</v>
      </c>
      <c r="UB12" s="59">
        <v>10</v>
      </c>
      <c r="UC12" s="59">
        <v>15</v>
      </c>
      <c r="UD12" s="59">
        <v>20</v>
      </c>
      <c r="UE12" s="59">
        <v>25</v>
      </c>
      <c r="UF12" s="60">
        <v>31</v>
      </c>
      <c r="UG12" s="59">
        <v>5</v>
      </c>
      <c r="UH12" s="59">
        <v>10</v>
      </c>
      <c r="UI12" s="59">
        <v>15</v>
      </c>
      <c r="UJ12" s="59">
        <v>20</v>
      </c>
      <c r="UK12" s="59">
        <v>25</v>
      </c>
      <c r="UL12" s="59">
        <v>31</v>
      </c>
      <c r="UM12" s="61">
        <v>5</v>
      </c>
      <c r="UN12" s="59">
        <v>10</v>
      </c>
      <c r="UO12" s="59">
        <v>15</v>
      </c>
      <c r="UP12" s="59">
        <v>20</v>
      </c>
      <c r="UQ12" s="59">
        <v>25</v>
      </c>
      <c r="UR12" s="60">
        <v>30</v>
      </c>
      <c r="US12" s="61">
        <v>5</v>
      </c>
      <c r="UT12" s="59">
        <v>10</v>
      </c>
      <c r="UU12" s="59">
        <v>15</v>
      </c>
      <c r="UV12" s="59">
        <v>20</v>
      </c>
      <c r="UW12" s="59">
        <v>25</v>
      </c>
      <c r="UX12" s="60">
        <v>31</v>
      </c>
      <c r="UY12" s="59">
        <v>5</v>
      </c>
      <c r="UZ12" s="59">
        <v>10</v>
      </c>
      <c r="VA12" s="59">
        <v>15</v>
      </c>
      <c r="VB12" s="59">
        <v>20</v>
      </c>
      <c r="VC12" s="59">
        <v>25</v>
      </c>
      <c r="VD12" s="59">
        <v>30</v>
      </c>
      <c r="VE12" s="61">
        <v>5</v>
      </c>
      <c r="VF12" s="59">
        <v>10</v>
      </c>
      <c r="VG12" s="59">
        <v>15</v>
      </c>
      <c r="VH12" s="59">
        <v>20</v>
      </c>
      <c r="VI12" s="59">
        <v>25</v>
      </c>
      <c r="VJ12" s="62">
        <v>31</v>
      </c>
    </row>
    <row r="13" spans="3:582" s="52" customFormat="1" ht="16.5" customHeight="1" x14ac:dyDescent="0.25">
      <c r="C13" s="538"/>
      <c r="D13" s="540">
        <v>1</v>
      </c>
      <c r="E13" s="540"/>
      <c r="F13" s="543"/>
      <c r="G13" s="545"/>
      <c r="H13" s="546"/>
      <c r="I13" s="546"/>
      <c r="J13" s="546"/>
      <c r="K13" s="546"/>
      <c r="L13" s="547"/>
      <c r="M13" s="548"/>
      <c r="N13" s="546"/>
      <c r="O13" s="546"/>
      <c r="P13" s="546"/>
      <c r="Q13" s="546"/>
      <c r="R13" s="547"/>
      <c r="S13" s="548"/>
      <c r="T13" s="546"/>
      <c r="U13" s="546"/>
      <c r="V13" s="546"/>
      <c r="W13" s="546"/>
      <c r="X13" s="547"/>
      <c r="Y13" s="548"/>
      <c r="Z13" s="546"/>
      <c r="AA13" s="546"/>
      <c r="AB13" s="546"/>
      <c r="AC13" s="546"/>
      <c r="AD13" s="547"/>
      <c r="AE13" s="548"/>
      <c r="AF13" s="546"/>
      <c r="AG13" s="546"/>
      <c r="AH13" s="546"/>
      <c r="AI13" s="546"/>
      <c r="AJ13" s="547"/>
      <c r="AK13" s="548"/>
      <c r="AL13" s="546"/>
      <c r="AM13" s="546"/>
      <c r="AN13" s="546"/>
      <c r="AO13" s="546"/>
      <c r="AP13" s="547"/>
      <c r="AQ13" s="548"/>
      <c r="AR13" s="546"/>
      <c r="AS13" s="546"/>
      <c r="AT13" s="546"/>
      <c r="AU13" s="546"/>
      <c r="AV13" s="547"/>
      <c r="AW13" s="548"/>
      <c r="AX13" s="546"/>
      <c r="AY13" s="546"/>
      <c r="AZ13" s="546"/>
      <c r="BA13" s="546"/>
      <c r="BB13" s="547"/>
      <c r="BC13" s="548"/>
      <c r="BD13" s="546"/>
      <c r="BE13" s="546"/>
      <c r="BF13" s="546"/>
      <c r="BG13" s="546"/>
      <c r="BH13" s="547"/>
      <c r="BI13" s="548"/>
      <c r="BJ13" s="546"/>
      <c r="BK13" s="546"/>
      <c r="BL13" s="546"/>
      <c r="BM13" s="546"/>
      <c r="BN13" s="547"/>
      <c r="BO13" s="548"/>
      <c r="BP13" s="546"/>
      <c r="BQ13" s="546"/>
      <c r="BR13" s="546"/>
      <c r="BS13" s="546"/>
      <c r="BT13" s="547"/>
      <c r="BU13" s="548"/>
      <c r="BV13" s="546"/>
      <c r="BW13" s="546"/>
      <c r="BX13" s="546"/>
      <c r="BY13" s="546"/>
      <c r="BZ13" s="549"/>
      <c r="CA13" s="545"/>
      <c r="CB13" s="546"/>
      <c r="CC13" s="546"/>
      <c r="CD13" s="546"/>
      <c r="CE13" s="546"/>
      <c r="CF13" s="547"/>
      <c r="CG13" s="548"/>
      <c r="CH13" s="546"/>
      <c r="CI13" s="546"/>
      <c r="CJ13" s="546"/>
      <c r="CK13" s="546"/>
      <c r="CL13" s="547"/>
      <c r="CM13" s="548"/>
      <c r="CN13" s="546"/>
      <c r="CO13" s="546"/>
      <c r="CP13" s="546"/>
      <c r="CQ13" s="546"/>
      <c r="CR13" s="547"/>
      <c r="CS13" s="548"/>
      <c r="CT13" s="546"/>
      <c r="CU13" s="546"/>
      <c r="CV13" s="546"/>
      <c r="CW13" s="546"/>
      <c r="CX13" s="547"/>
      <c r="CY13" s="548"/>
      <c r="CZ13" s="546"/>
      <c r="DA13" s="546"/>
      <c r="DB13" s="546"/>
      <c r="DC13" s="546"/>
      <c r="DD13" s="547"/>
      <c r="DE13" s="548"/>
      <c r="DF13" s="546"/>
      <c r="DG13" s="546"/>
      <c r="DH13" s="546"/>
      <c r="DI13" s="546"/>
      <c r="DJ13" s="547"/>
      <c r="DK13" s="548"/>
      <c r="DL13" s="546"/>
      <c r="DM13" s="546"/>
      <c r="DN13" s="546"/>
      <c r="DO13" s="546"/>
      <c r="DP13" s="547"/>
      <c r="DQ13" s="548"/>
      <c r="DR13" s="546"/>
      <c r="DS13" s="546"/>
      <c r="DT13" s="546"/>
      <c r="DU13" s="546"/>
      <c r="DV13" s="547"/>
      <c r="DW13" s="548"/>
      <c r="DX13" s="546"/>
      <c r="DY13" s="546"/>
      <c r="DZ13" s="546"/>
      <c r="EA13" s="546"/>
      <c r="EB13" s="547"/>
      <c r="EC13" s="548"/>
      <c r="ED13" s="546"/>
      <c r="EE13" s="546"/>
      <c r="EF13" s="546"/>
      <c r="EG13" s="546"/>
      <c r="EH13" s="547"/>
      <c r="EI13" s="548"/>
      <c r="EJ13" s="546"/>
      <c r="EK13" s="546"/>
      <c r="EL13" s="546"/>
      <c r="EM13" s="546"/>
      <c r="EN13" s="547"/>
      <c r="EO13" s="548"/>
      <c r="EP13" s="546"/>
      <c r="EQ13" s="546"/>
      <c r="ER13" s="546"/>
      <c r="ES13" s="546"/>
      <c r="ET13" s="549"/>
      <c r="EU13" s="545"/>
      <c r="EV13" s="546"/>
      <c r="EW13" s="546"/>
      <c r="EX13" s="546"/>
      <c r="EY13" s="546"/>
      <c r="EZ13" s="547"/>
      <c r="FA13" s="548"/>
      <c r="FB13" s="546"/>
      <c r="FC13" s="546"/>
      <c r="FD13" s="546"/>
      <c r="FE13" s="546"/>
      <c r="FF13" s="547"/>
      <c r="FG13" s="548"/>
      <c r="FH13" s="546"/>
      <c r="FI13" s="546"/>
      <c r="FJ13" s="546"/>
      <c r="FK13" s="546"/>
      <c r="FL13" s="547"/>
      <c r="FM13" s="548"/>
      <c r="FN13" s="546"/>
      <c r="FO13" s="546"/>
      <c r="FP13" s="546"/>
      <c r="FQ13" s="546"/>
      <c r="FR13" s="547"/>
      <c r="FS13" s="548"/>
      <c r="FT13" s="546"/>
      <c r="FU13" s="546"/>
      <c r="FV13" s="546"/>
      <c r="FW13" s="546"/>
      <c r="FX13" s="547"/>
      <c r="FY13" s="548"/>
      <c r="FZ13" s="546"/>
      <c r="GA13" s="546"/>
      <c r="GB13" s="546"/>
      <c r="GC13" s="546"/>
      <c r="GD13" s="547"/>
      <c r="GE13" s="548"/>
      <c r="GF13" s="546"/>
      <c r="GG13" s="546"/>
      <c r="GH13" s="546"/>
      <c r="GI13" s="546"/>
      <c r="GJ13" s="547"/>
      <c r="GK13" s="548"/>
      <c r="GL13" s="546"/>
      <c r="GM13" s="546"/>
      <c r="GN13" s="546"/>
      <c r="GO13" s="546"/>
      <c r="GP13" s="547"/>
      <c r="GQ13" s="548"/>
      <c r="GR13" s="546"/>
      <c r="GS13" s="546"/>
      <c r="GT13" s="546"/>
      <c r="GU13" s="546"/>
      <c r="GV13" s="547"/>
      <c r="GW13" s="548"/>
      <c r="GX13" s="546"/>
      <c r="GY13" s="546"/>
      <c r="GZ13" s="546"/>
      <c r="HA13" s="546"/>
      <c r="HB13" s="547"/>
      <c r="HC13" s="548"/>
      <c r="HD13" s="546"/>
      <c r="HE13" s="546"/>
      <c r="HF13" s="546"/>
      <c r="HG13" s="546"/>
      <c r="HH13" s="547"/>
      <c r="HI13" s="548"/>
      <c r="HJ13" s="546"/>
      <c r="HK13" s="546"/>
      <c r="HL13" s="546"/>
      <c r="HM13" s="546"/>
      <c r="HN13" s="549"/>
      <c r="HO13" s="545"/>
      <c r="HP13" s="546"/>
      <c r="HQ13" s="546"/>
      <c r="HR13" s="546"/>
      <c r="HS13" s="546"/>
      <c r="HT13" s="547"/>
      <c r="HU13" s="548"/>
      <c r="HV13" s="546"/>
      <c r="HW13" s="546"/>
      <c r="HX13" s="546"/>
      <c r="HY13" s="546"/>
      <c r="HZ13" s="547"/>
      <c r="IA13" s="548"/>
      <c r="IB13" s="546"/>
      <c r="IC13" s="546"/>
      <c r="ID13" s="546"/>
      <c r="IE13" s="546"/>
      <c r="IF13" s="547"/>
      <c r="IG13" s="548"/>
      <c r="IH13" s="546"/>
      <c r="II13" s="546"/>
      <c r="IJ13" s="546"/>
      <c r="IK13" s="546"/>
      <c r="IL13" s="547"/>
      <c r="IM13" s="548"/>
      <c r="IN13" s="546"/>
      <c r="IO13" s="546"/>
      <c r="IP13" s="546"/>
      <c r="IQ13" s="546"/>
      <c r="IR13" s="547"/>
      <c r="IS13" s="548"/>
      <c r="IT13" s="546"/>
      <c r="IU13" s="546"/>
      <c r="IV13" s="546"/>
      <c r="IW13" s="546"/>
      <c r="IX13" s="547"/>
      <c r="IY13" s="548"/>
      <c r="IZ13" s="546"/>
      <c r="JA13" s="546"/>
      <c r="JB13" s="546"/>
      <c r="JC13" s="546"/>
      <c r="JD13" s="547"/>
      <c r="JE13" s="548"/>
      <c r="JF13" s="546"/>
      <c r="JG13" s="546"/>
      <c r="JH13" s="546"/>
      <c r="JI13" s="546"/>
      <c r="JJ13" s="547"/>
      <c r="JK13" s="548"/>
      <c r="JL13" s="546"/>
      <c r="JM13" s="546"/>
      <c r="JN13" s="546"/>
      <c r="JO13" s="546"/>
      <c r="JP13" s="547"/>
      <c r="JQ13" s="548"/>
      <c r="JR13" s="546"/>
      <c r="JS13" s="546"/>
      <c r="JT13" s="546"/>
      <c r="JU13" s="546"/>
      <c r="JV13" s="547"/>
      <c r="JW13" s="548"/>
      <c r="JX13" s="546"/>
      <c r="JY13" s="546"/>
      <c r="JZ13" s="546"/>
      <c r="KA13" s="546"/>
      <c r="KB13" s="547"/>
      <c r="KC13" s="548"/>
      <c r="KD13" s="546"/>
      <c r="KE13" s="546"/>
      <c r="KF13" s="546"/>
      <c r="KG13" s="546"/>
      <c r="KH13" s="549"/>
      <c r="KI13" s="545"/>
      <c r="KJ13" s="546"/>
      <c r="KK13" s="546"/>
      <c r="KL13" s="546"/>
      <c r="KM13" s="546"/>
      <c r="KN13" s="547"/>
      <c r="KO13" s="548"/>
      <c r="KP13" s="546"/>
      <c r="KQ13" s="546"/>
      <c r="KR13" s="546"/>
      <c r="KS13" s="546"/>
      <c r="KT13" s="547"/>
      <c r="KU13" s="548"/>
      <c r="KV13" s="546"/>
      <c r="KW13" s="546"/>
      <c r="KX13" s="546"/>
      <c r="KY13" s="546"/>
      <c r="KZ13" s="547"/>
      <c r="LA13" s="548"/>
      <c r="LB13" s="546"/>
      <c r="LC13" s="546"/>
      <c r="LD13" s="546"/>
      <c r="LE13" s="546"/>
      <c r="LF13" s="547"/>
      <c r="LG13" s="548"/>
      <c r="LH13" s="546"/>
      <c r="LI13" s="546"/>
      <c r="LJ13" s="546"/>
      <c r="LK13" s="546"/>
      <c r="LL13" s="547"/>
      <c r="LM13" s="548"/>
      <c r="LN13" s="546"/>
      <c r="LO13" s="546"/>
      <c r="LP13" s="546"/>
      <c r="LQ13" s="546"/>
      <c r="LR13" s="547"/>
      <c r="LS13" s="548"/>
      <c r="LT13" s="546"/>
      <c r="LU13" s="546"/>
      <c r="LV13" s="546"/>
      <c r="LW13" s="546"/>
      <c r="LX13" s="547"/>
      <c r="LY13" s="548"/>
      <c r="LZ13" s="546"/>
      <c r="MA13" s="546"/>
      <c r="MB13" s="546"/>
      <c r="MC13" s="546"/>
      <c r="MD13" s="547"/>
      <c r="ME13" s="548"/>
      <c r="MF13" s="546"/>
      <c r="MG13" s="546"/>
      <c r="MH13" s="546"/>
      <c r="MI13" s="546"/>
      <c r="MJ13" s="547"/>
      <c r="MK13" s="548"/>
      <c r="ML13" s="546"/>
      <c r="MM13" s="546"/>
      <c r="MN13" s="546"/>
      <c r="MO13" s="546"/>
      <c r="MP13" s="547"/>
      <c r="MQ13" s="548"/>
      <c r="MR13" s="546"/>
      <c r="MS13" s="546"/>
      <c r="MT13" s="546"/>
      <c r="MU13" s="546"/>
      <c r="MV13" s="547"/>
      <c r="MW13" s="548"/>
      <c r="MX13" s="546"/>
      <c r="MY13" s="546"/>
      <c r="MZ13" s="546"/>
      <c r="NA13" s="546"/>
      <c r="NB13" s="549"/>
      <c r="NC13" s="545"/>
      <c r="ND13" s="546"/>
      <c r="NE13" s="546"/>
      <c r="NF13" s="546"/>
      <c r="NG13" s="546"/>
      <c r="NH13" s="547"/>
      <c r="NI13" s="548"/>
      <c r="NJ13" s="546"/>
      <c r="NK13" s="546"/>
      <c r="NL13" s="546"/>
      <c r="NM13" s="546"/>
      <c r="NN13" s="547"/>
      <c r="NO13" s="548"/>
      <c r="NP13" s="546"/>
      <c r="NQ13" s="546"/>
      <c r="NR13" s="546"/>
      <c r="NS13" s="546"/>
      <c r="NT13" s="547"/>
      <c r="NU13" s="548"/>
      <c r="NV13" s="546"/>
      <c r="NW13" s="546"/>
      <c r="NX13" s="546"/>
      <c r="NY13" s="546"/>
      <c r="NZ13" s="547"/>
      <c r="OA13" s="548"/>
      <c r="OB13" s="546"/>
      <c r="OC13" s="546"/>
      <c r="OD13" s="546"/>
      <c r="OE13" s="546"/>
      <c r="OF13" s="547"/>
      <c r="OG13" s="548"/>
      <c r="OH13" s="546"/>
      <c r="OI13" s="546"/>
      <c r="OJ13" s="546"/>
      <c r="OK13" s="546"/>
      <c r="OL13" s="547"/>
      <c r="OM13" s="548"/>
      <c r="ON13" s="546"/>
      <c r="OO13" s="546"/>
      <c r="OP13" s="546"/>
      <c r="OQ13" s="546"/>
      <c r="OR13" s="547"/>
      <c r="OS13" s="548"/>
      <c r="OT13" s="546"/>
      <c r="OU13" s="546"/>
      <c r="OV13" s="546"/>
      <c r="OW13" s="546"/>
      <c r="OX13" s="547"/>
      <c r="OY13" s="548"/>
      <c r="OZ13" s="546"/>
      <c r="PA13" s="546"/>
      <c r="PB13" s="546"/>
      <c r="PC13" s="546"/>
      <c r="PD13" s="547"/>
      <c r="PE13" s="548"/>
      <c r="PF13" s="546"/>
      <c r="PG13" s="546"/>
      <c r="PH13" s="546"/>
      <c r="PI13" s="546"/>
      <c r="PJ13" s="547"/>
      <c r="PK13" s="548"/>
      <c r="PL13" s="546"/>
      <c r="PM13" s="546"/>
      <c r="PN13" s="546"/>
      <c r="PO13" s="546"/>
      <c r="PP13" s="547"/>
      <c r="PQ13" s="548"/>
      <c r="PR13" s="546"/>
      <c r="PS13" s="546"/>
      <c r="PT13" s="546"/>
      <c r="PU13" s="546"/>
      <c r="PV13" s="549"/>
      <c r="PW13" s="545"/>
      <c r="PX13" s="546"/>
      <c r="PY13" s="546"/>
      <c r="PZ13" s="546"/>
      <c r="QA13" s="546"/>
      <c r="QB13" s="547"/>
      <c r="QC13" s="548"/>
      <c r="QD13" s="546"/>
      <c r="QE13" s="546"/>
      <c r="QF13" s="546"/>
      <c r="QG13" s="546"/>
      <c r="QH13" s="547"/>
      <c r="QI13" s="548"/>
      <c r="QJ13" s="546"/>
      <c r="QK13" s="546"/>
      <c r="QL13" s="546"/>
      <c r="QM13" s="546"/>
      <c r="QN13" s="547"/>
      <c r="QO13" s="548"/>
      <c r="QP13" s="546"/>
      <c r="QQ13" s="546"/>
      <c r="QR13" s="546"/>
      <c r="QS13" s="546"/>
      <c r="QT13" s="547"/>
      <c r="QU13" s="548"/>
      <c r="QV13" s="546"/>
      <c r="QW13" s="546"/>
      <c r="QX13" s="546"/>
      <c r="QY13" s="546"/>
      <c r="QZ13" s="547"/>
      <c r="RA13" s="548"/>
      <c r="RB13" s="546"/>
      <c r="RC13" s="546"/>
      <c r="RD13" s="546"/>
      <c r="RE13" s="546"/>
      <c r="RF13" s="547"/>
      <c r="RG13" s="548"/>
      <c r="RH13" s="546"/>
      <c r="RI13" s="546"/>
      <c r="RJ13" s="546"/>
      <c r="RK13" s="546"/>
      <c r="RL13" s="547"/>
      <c r="RM13" s="548"/>
      <c r="RN13" s="546"/>
      <c r="RO13" s="546"/>
      <c r="RP13" s="546"/>
      <c r="RQ13" s="546"/>
      <c r="RR13" s="547"/>
      <c r="RS13" s="548"/>
      <c r="RT13" s="546"/>
      <c r="RU13" s="546"/>
      <c r="RV13" s="546"/>
      <c r="RW13" s="546"/>
      <c r="RX13" s="547"/>
      <c r="RY13" s="548"/>
      <c r="RZ13" s="546"/>
      <c r="SA13" s="546"/>
      <c r="SB13" s="546"/>
      <c r="SC13" s="546"/>
      <c r="SD13" s="547"/>
      <c r="SE13" s="548"/>
      <c r="SF13" s="546"/>
      <c r="SG13" s="546"/>
      <c r="SH13" s="546"/>
      <c r="SI13" s="546"/>
      <c r="SJ13" s="547"/>
      <c r="SK13" s="548"/>
      <c r="SL13" s="546"/>
      <c r="SM13" s="546"/>
      <c r="SN13" s="546"/>
      <c r="SO13" s="546"/>
      <c r="SP13" s="549"/>
      <c r="SQ13" s="545"/>
      <c r="SR13" s="546"/>
      <c r="SS13" s="546"/>
      <c r="ST13" s="546"/>
      <c r="SU13" s="546"/>
      <c r="SV13" s="547"/>
      <c r="SW13" s="548"/>
      <c r="SX13" s="546"/>
      <c r="SY13" s="546"/>
      <c r="SZ13" s="546"/>
      <c r="TA13" s="546"/>
      <c r="TB13" s="547"/>
      <c r="TC13" s="548"/>
      <c r="TD13" s="546"/>
      <c r="TE13" s="546"/>
      <c r="TF13" s="546"/>
      <c r="TG13" s="546"/>
      <c r="TH13" s="547"/>
      <c r="TI13" s="548"/>
      <c r="TJ13" s="546"/>
      <c r="TK13" s="546"/>
      <c r="TL13" s="546"/>
      <c r="TM13" s="546"/>
      <c r="TN13" s="547"/>
      <c r="TO13" s="548"/>
      <c r="TP13" s="546"/>
      <c r="TQ13" s="546"/>
      <c r="TR13" s="546"/>
      <c r="TS13" s="546"/>
      <c r="TT13" s="547"/>
      <c r="TU13" s="548"/>
      <c r="TV13" s="546"/>
      <c r="TW13" s="546"/>
      <c r="TX13" s="546"/>
      <c r="TY13" s="546"/>
      <c r="TZ13" s="547"/>
      <c r="UA13" s="548"/>
      <c r="UB13" s="546"/>
      <c r="UC13" s="546"/>
      <c r="UD13" s="546"/>
      <c r="UE13" s="546"/>
      <c r="UF13" s="547"/>
      <c r="UG13" s="548"/>
      <c r="UH13" s="546"/>
      <c r="UI13" s="546"/>
      <c r="UJ13" s="546"/>
      <c r="UK13" s="546"/>
      <c r="UL13" s="547"/>
      <c r="UM13" s="548"/>
      <c r="UN13" s="546"/>
      <c r="UO13" s="546"/>
      <c r="UP13" s="546"/>
      <c r="UQ13" s="546"/>
      <c r="UR13" s="547"/>
      <c r="US13" s="548"/>
      <c r="UT13" s="546"/>
      <c r="UU13" s="546"/>
      <c r="UV13" s="546"/>
      <c r="UW13" s="546"/>
      <c r="UX13" s="547"/>
      <c r="UY13" s="548"/>
      <c r="UZ13" s="546"/>
      <c r="VA13" s="546"/>
      <c r="VB13" s="546"/>
      <c r="VC13" s="546"/>
      <c r="VD13" s="547"/>
      <c r="VE13" s="548"/>
      <c r="VF13" s="546"/>
      <c r="VG13" s="546"/>
      <c r="VH13" s="546"/>
      <c r="VI13" s="546"/>
      <c r="VJ13" s="549"/>
    </row>
    <row r="14" spans="3:582" s="52" customFormat="1" ht="19.5" customHeight="1" x14ac:dyDescent="0.25">
      <c r="C14" s="538"/>
      <c r="D14" s="541"/>
      <c r="E14" s="541"/>
      <c r="F14" s="543"/>
      <c r="G14" s="273"/>
      <c r="H14" s="273"/>
      <c r="I14" s="273"/>
      <c r="J14" s="273"/>
      <c r="K14" s="273"/>
      <c r="L14" s="274"/>
      <c r="M14" s="273"/>
      <c r="N14" s="273"/>
      <c r="O14" s="273"/>
      <c r="P14" s="273"/>
      <c r="Q14" s="273"/>
      <c r="R14" s="274"/>
      <c r="S14" s="273"/>
      <c r="T14" s="273"/>
      <c r="U14" s="273"/>
      <c r="V14" s="273"/>
      <c r="W14" s="273"/>
      <c r="X14" s="274"/>
      <c r="Y14" s="275"/>
      <c r="Z14" s="273"/>
      <c r="AA14" s="273"/>
      <c r="AB14" s="273"/>
      <c r="AC14" s="273"/>
      <c r="AD14" s="273"/>
      <c r="AE14" s="275"/>
      <c r="AF14" s="273"/>
      <c r="AG14" s="273"/>
      <c r="AH14" s="273"/>
      <c r="AI14" s="273"/>
      <c r="AJ14" s="274"/>
      <c r="AK14" s="273"/>
      <c r="AL14" s="273"/>
      <c r="AM14" s="273"/>
      <c r="AN14" s="273"/>
      <c r="AO14" s="273"/>
      <c r="AP14" s="273"/>
      <c r="AQ14" s="275"/>
      <c r="AR14" s="273"/>
      <c r="AS14" s="273"/>
      <c r="AT14" s="273"/>
      <c r="AU14" s="273"/>
      <c r="AV14" s="273"/>
      <c r="AW14" s="275"/>
      <c r="AX14" s="273"/>
      <c r="AY14" s="273"/>
      <c r="AZ14" s="273"/>
      <c r="BA14" s="273"/>
      <c r="BB14" s="273"/>
      <c r="BC14" s="275"/>
      <c r="BD14" s="273"/>
      <c r="BE14" s="273"/>
      <c r="BF14" s="273"/>
      <c r="BG14" s="273"/>
      <c r="BH14" s="274"/>
      <c r="BI14" s="273"/>
      <c r="BJ14" s="273"/>
      <c r="BK14" s="273"/>
      <c r="BL14" s="273"/>
      <c r="BM14" s="273"/>
      <c r="BN14" s="274"/>
      <c r="BO14" s="273"/>
      <c r="BP14" s="273"/>
      <c r="BQ14" s="273"/>
      <c r="BR14" s="273"/>
      <c r="BS14" s="273"/>
      <c r="BT14" s="273"/>
      <c r="BU14" s="275"/>
      <c r="BV14" s="273"/>
      <c r="BW14" s="273"/>
      <c r="BX14" s="273"/>
      <c r="BY14" s="273"/>
      <c r="BZ14" s="276"/>
      <c r="CA14" s="277"/>
      <c r="CB14" s="273"/>
      <c r="CC14" s="273"/>
      <c r="CD14" s="273"/>
      <c r="CE14" s="273"/>
      <c r="CF14" s="274"/>
      <c r="CG14" s="275"/>
      <c r="CH14" s="273"/>
      <c r="CI14" s="273"/>
      <c r="CJ14" s="273"/>
      <c r="CK14" s="273"/>
      <c r="CL14" s="274"/>
      <c r="CM14" s="275"/>
      <c r="CN14" s="273"/>
      <c r="CO14" s="273"/>
      <c r="CP14" s="273"/>
      <c r="CQ14" s="273"/>
      <c r="CR14" s="274"/>
      <c r="CS14" s="273"/>
      <c r="CT14" s="273"/>
      <c r="CU14" s="273"/>
      <c r="CV14" s="273"/>
      <c r="CW14" s="273"/>
      <c r="CX14" s="273"/>
      <c r="CY14" s="275"/>
      <c r="CZ14" s="273"/>
      <c r="DA14" s="273"/>
      <c r="DB14" s="273"/>
      <c r="DC14" s="273"/>
      <c r="DD14" s="274"/>
      <c r="DE14" s="273"/>
      <c r="DF14" s="273"/>
      <c r="DG14" s="273"/>
      <c r="DH14" s="273"/>
      <c r="DI14" s="273"/>
      <c r="DJ14" s="273"/>
      <c r="DK14" s="275"/>
      <c r="DL14" s="273"/>
      <c r="DM14" s="273"/>
      <c r="DN14" s="273"/>
      <c r="DO14" s="273"/>
      <c r="DP14" s="274"/>
      <c r="DQ14" s="273"/>
      <c r="DR14" s="273"/>
      <c r="DS14" s="273"/>
      <c r="DT14" s="273"/>
      <c r="DU14" s="273"/>
      <c r="DV14" s="273"/>
      <c r="DW14" s="275"/>
      <c r="DX14" s="273"/>
      <c r="DY14" s="273"/>
      <c r="DZ14" s="273"/>
      <c r="EA14" s="273"/>
      <c r="EB14" s="274"/>
      <c r="EC14" s="275"/>
      <c r="ED14" s="273"/>
      <c r="EE14" s="273"/>
      <c r="EF14" s="273"/>
      <c r="EG14" s="273"/>
      <c r="EH14" s="274"/>
      <c r="EI14" s="273"/>
      <c r="EJ14" s="273"/>
      <c r="EK14" s="273"/>
      <c r="EL14" s="273"/>
      <c r="EM14" s="273"/>
      <c r="EN14" s="273"/>
      <c r="EO14" s="275"/>
      <c r="EP14" s="273"/>
      <c r="EQ14" s="273"/>
      <c r="ER14" s="273"/>
      <c r="ES14" s="273"/>
      <c r="ET14" s="276"/>
      <c r="EU14" s="277"/>
      <c r="EV14" s="273"/>
      <c r="EW14" s="273"/>
      <c r="EX14" s="273"/>
      <c r="EY14" s="273"/>
      <c r="EZ14" s="274"/>
      <c r="FA14" s="275"/>
      <c r="FB14" s="273"/>
      <c r="FC14" s="273"/>
      <c r="FD14" s="273"/>
      <c r="FE14" s="273"/>
      <c r="FF14" s="274"/>
      <c r="FG14" s="275"/>
      <c r="FH14" s="273"/>
      <c r="FI14" s="273"/>
      <c r="FJ14" s="273"/>
      <c r="FK14" s="273"/>
      <c r="FL14" s="274"/>
      <c r="FM14" s="273"/>
      <c r="FN14" s="273"/>
      <c r="FO14" s="273"/>
      <c r="FP14" s="273"/>
      <c r="FQ14" s="273"/>
      <c r="FR14" s="273"/>
      <c r="FS14" s="275"/>
      <c r="FT14" s="273"/>
      <c r="FU14" s="273"/>
      <c r="FV14" s="273"/>
      <c r="FW14" s="273"/>
      <c r="FX14" s="274"/>
      <c r="FY14" s="273"/>
      <c r="FZ14" s="273"/>
      <c r="GA14" s="273"/>
      <c r="GB14" s="273"/>
      <c r="GC14" s="273"/>
      <c r="GD14" s="273"/>
      <c r="GE14" s="275"/>
      <c r="GF14" s="273"/>
      <c r="GG14" s="273"/>
      <c r="GH14" s="273"/>
      <c r="GI14" s="273"/>
      <c r="GJ14" s="274"/>
      <c r="GK14" s="273"/>
      <c r="GL14" s="273"/>
      <c r="GM14" s="273"/>
      <c r="GN14" s="273"/>
      <c r="GO14" s="273"/>
      <c r="GP14" s="273"/>
      <c r="GQ14" s="275"/>
      <c r="GR14" s="273"/>
      <c r="GS14" s="273"/>
      <c r="GT14" s="273"/>
      <c r="GU14" s="273"/>
      <c r="GV14" s="274"/>
      <c r="GW14" s="275"/>
      <c r="GX14" s="273"/>
      <c r="GY14" s="273"/>
      <c r="GZ14" s="273"/>
      <c r="HA14" s="273"/>
      <c r="HB14" s="274"/>
      <c r="HC14" s="273"/>
      <c r="HD14" s="273"/>
      <c r="HE14" s="273"/>
      <c r="HF14" s="273"/>
      <c r="HG14" s="273"/>
      <c r="HH14" s="273"/>
      <c r="HI14" s="275"/>
      <c r="HJ14" s="273"/>
      <c r="HK14" s="273"/>
      <c r="HL14" s="273"/>
      <c r="HM14" s="273"/>
      <c r="HN14" s="276"/>
      <c r="HO14" s="277"/>
      <c r="HP14" s="273"/>
      <c r="HQ14" s="273"/>
      <c r="HR14" s="273"/>
      <c r="HS14" s="273"/>
      <c r="HT14" s="274"/>
      <c r="HU14" s="275"/>
      <c r="HV14" s="273"/>
      <c r="HW14" s="273"/>
      <c r="HX14" s="273"/>
      <c r="HY14" s="273"/>
      <c r="HZ14" s="274"/>
      <c r="IA14" s="275"/>
      <c r="IB14" s="273"/>
      <c r="IC14" s="273"/>
      <c r="ID14" s="273"/>
      <c r="IE14" s="273"/>
      <c r="IF14" s="274"/>
      <c r="IG14" s="273"/>
      <c r="IH14" s="273"/>
      <c r="II14" s="273"/>
      <c r="IJ14" s="273"/>
      <c r="IK14" s="273"/>
      <c r="IL14" s="273"/>
      <c r="IM14" s="275"/>
      <c r="IN14" s="273"/>
      <c r="IO14" s="273"/>
      <c r="IP14" s="273"/>
      <c r="IQ14" s="273"/>
      <c r="IR14" s="274"/>
      <c r="IS14" s="273"/>
      <c r="IT14" s="273"/>
      <c r="IU14" s="273"/>
      <c r="IV14" s="273"/>
      <c r="IW14" s="273"/>
      <c r="IX14" s="273"/>
      <c r="IY14" s="275"/>
      <c r="IZ14" s="273"/>
      <c r="JA14" s="273"/>
      <c r="JB14" s="273"/>
      <c r="JC14" s="273"/>
      <c r="JD14" s="274"/>
      <c r="JE14" s="273"/>
      <c r="JF14" s="273"/>
      <c r="JG14" s="273"/>
      <c r="JH14" s="273"/>
      <c r="JI14" s="273"/>
      <c r="JJ14" s="273"/>
      <c r="JK14" s="275"/>
      <c r="JL14" s="273"/>
      <c r="JM14" s="273"/>
      <c r="JN14" s="273"/>
      <c r="JO14" s="273"/>
      <c r="JP14" s="274"/>
      <c r="JQ14" s="275"/>
      <c r="JR14" s="273"/>
      <c r="JS14" s="273"/>
      <c r="JT14" s="273"/>
      <c r="JU14" s="273"/>
      <c r="JV14" s="274"/>
      <c r="JW14" s="273"/>
      <c r="JX14" s="273"/>
      <c r="JY14" s="273"/>
      <c r="JZ14" s="273"/>
      <c r="KA14" s="273"/>
      <c r="KB14" s="273"/>
      <c r="KC14" s="275"/>
      <c r="KD14" s="273"/>
      <c r="KE14" s="273"/>
      <c r="KF14" s="273"/>
      <c r="KG14" s="273"/>
      <c r="KH14" s="276"/>
      <c r="KI14" s="277"/>
      <c r="KJ14" s="273"/>
      <c r="KK14" s="273"/>
      <c r="KL14" s="273"/>
      <c r="KM14" s="273"/>
      <c r="KN14" s="274"/>
      <c r="KO14" s="275"/>
      <c r="KP14" s="273"/>
      <c r="KQ14" s="273"/>
      <c r="KR14" s="273"/>
      <c r="KS14" s="273"/>
      <c r="KT14" s="274"/>
      <c r="KU14" s="275"/>
      <c r="KV14" s="273"/>
      <c r="KW14" s="273"/>
      <c r="KX14" s="273"/>
      <c r="KY14" s="273"/>
      <c r="KZ14" s="274"/>
      <c r="LA14" s="273"/>
      <c r="LB14" s="273"/>
      <c r="LC14" s="273"/>
      <c r="LD14" s="273"/>
      <c r="LE14" s="273"/>
      <c r="LF14" s="273"/>
      <c r="LG14" s="275"/>
      <c r="LH14" s="273"/>
      <c r="LI14" s="273"/>
      <c r="LJ14" s="273"/>
      <c r="LK14" s="273"/>
      <c r="LL14" s="274"/>
      <c r="LM14" s="273"/>
      <c r="LN14" s="273"/>
      <c r="LO14" s="273"/>
      <c r="LP14" s="273"/>
      <c r="LQ14" s="273"/>
      <c r="LR14" s="273"/>
      <c r="LS14" s="275"/>
      <c r="LT14" s="273"/>
      <c r="LU14" s="273"/>
      <c r="LV14" s="273"/>
      <c r="LW14" s="273"/>
      <c r="LX14" s="274"/>
      <c r="LY14" s="273"/>
      <c r="LZ14" s="273"/>
      <c r="MA14" s="273"/>
      <c r="MB14" s="273"/>
      <c r="MC14" s="273"/>
      <c r="MD14" s="273"/>
      <c r="ME14" s="275"/>
      <c r="MF14" s="273"/>
      <c r="MG14" s="273"/>
      <c r="MH14" s="273"/>
      <c r="MI14" s="273"/>
      <c r="MJ14" s="274"/>
      <c r="MK14" s="275"/>
      <c r="ML14" s="273"/>
      <c r="MM14" s="273"/>
      <c r="MN14" s="273"/>
      <c r="MO14" s="273"/>
      <c r="MP14" s="274"/>
      <c r="MQ14" s="273"/>
      <c r="MR14" s="273"/>
      <c r="MS14" s="273"/>
      <c r="MT14" s="273"/>
      <c r="MU14" s="273"/>
      <c r="MV14" s="273"/>
      <c r="MW14" s="275"/>
      <c r="MX14" s="273"/>
      <c r="MY14" s="273"/>
      <c r="MZ14" s="273"/>
      <c r="NA14" s="273"/>
      <c r="NB14" s="276"/>
      <c r="NC14" s="277"/>
      <c r="ND14" s="273"/>
      <c r="NE14" s="273"/>
      <c r="NF14" s="273"/>
      <c r="NG14" s="273"/>
      <c r="NH14" s="274"/>
      <c r="NI14" s="275"/>
      <c r="NJ14" s="273"/>
      <c r="NK14" s="273"/>
      <c r="NL14" s="273"/>
      <c r="NM14" s="273"/>
      <c r="NN14" s="274"/>
      <c r="NO14" s="275"/>
      <c r="NP14" s="273"/>
      <c r="NQ14" s="273"/>
      <c r="NR14" s="273"/>
      <c r="NS14" s="273"/>
      <c r="NT14" s="274"/>
      <c r="NU14" s="273"/>
      <c r="NV14" s="273"/>
      <c r="NW14" s="273"/>
      <c r="NX14" s="273"/>
      <c r="NY14" s="273"/>
      <c r="NZ14" s="273"/>
      <c r="OA14" s="275"/>
      <c r="OB14" s="273"/>
      <c r="OC14" s="273"/>
      <c r="OD14" s="273"/>
      <c r="OE14" s="273"/>
      <c r="OF14" s="274"/>
      <c r="OG14" s="273"/>
      <c r="OH14" s="273"/>
      <c r="OI14" s="273"/>
      <c r="OJ14" s="273"/>
      <c r="OK14" s="273"/>
      <c r="OL14" s="273"/>
      <c r="OM14" s="275"/>
      <c r="ON14" s="273"/>
      <c r="OO14" s="273"/>
      <c r="OP14" s="273"/>
      <c r="OQ14" s="273"/>
      <c r="OR14" s="274"/>
      <c r="OS14" s="273"/>
      <c r="OT14" s="273"/>
      <c r="OU14" s="273"/>
      <c r="OV14" s="273"/>
      <c r="OW14" s="273"/>
      <c r="OX14" s="273"/>
      <c r="OY14" s="275"/>
      <c r="OZ14" s="273"/>
      <c r="PA14" s="273"/>
      <c r="PB14" s="273"/>
      <c r="PC14" s="273"/>
      <c r="PD14" s="274"/>
      <c r="PE14" s="275"/>
      <c r="PF14" s="273"/>
      <c r="PG14" s="273"/>
      <c r="PH14" s="273"/>
      <c r="PI14" s="273"/>
      <c r="PJ14" s="274"/>
      <c r="PK14" s="273"/>
      <c r="PL14" s="273"/>
      <c r="PM14" s="273"/>
      <c r="PN14" s="273"/>
      <c r="PO14" s="273"/>
      <c r="PP14" s="273"/>
      <c r="PQ14" s="275"/>
      <c r="PR14" s="273"/>
      <c r="PS14" s="273"/>
      <c r="PT14" s="273"/>
      <c r="PU14" s="273"/>
      <c r="PV14" s="276"/>
      <c r="PW14" s="277"/>
      <c r="PX14" s="273"/>
      <c r="PY14" s="273"/>
      <c r="PZ14" s="273"/>
      <c r="QA14" s="273"/>
      <c r="QB14" s="274"/>
      <c r="QC14" s="275"/>
      <c r="QD14" s="273"/>
      <c r="QE14" s="273"/>
      <c r="QF14" s="273"/>
      <c r="QG14" s="273"/>
      <c r="QH14" s="274"/>
      <c r="QI14" s="275"/>
      <c r="QJ14" s="273"/>
      <c r="QK14" s="273"/>
      <c r="QL14" s="273"/>
      <c r="QM14" s="273"/>
      <c r="QN14" s="274"/>
      <c r="QO14" s="273"/>
      <c r="QP14" s="273"/>
      <c r="QQ14" s="273"/>
      <c r="QR14" s="273"/>
      <c r="QS14" s="273"/>
      <c r="QT14" s="273"/>
      <c r="QU14" s="275"/>
      <c r="QV14" s="273"/>
      <c r="QW14" s="273"/>
      <c r="QX14" s="273"/>
      <c r="QY14" s="273"/>
      <c r="QZ14" s="274"/>
      <c r="RA14" s="273"/>
      <c r="RB14" s="273"/>
      <c r="RC14" s="273"/>
      <c r="RD14" s="273"/>
      <c r="RE14" s="273"/>
      <c r="RF14" s="273"/>
      <c r="RG14" s="275"/>
      <c r="RH14" s="273"/>
      <c r="RI14" s="273"/>
      <c r="RJ14" s="273"/>
      <c r="RK14" s="273"/>
      <c r="RL14" s="274"/>
      <c r="RM14" s="273"/>
      <c r="RN14" s="273"/>
      <c r="RO14" s="273"/>
      <c r="RP14" s="273"/>
      <c r="RQ14" s="273"/>
      <c r="RR14" s="273"/>
      <c r="RS14" s="275"/>
      <c r="RT14" s="273"/>
      <c r="RU14" s="273"/>
      <c r="RV14" s="273"/>
      <c r="RW14" s="273"/>
      <c r="RX14" s="274"/>
      <c r="RY14" s="275"/>
      <c r="RZ14" s="273"/>
      <c r="SA14" s="273"/>
      <c r="SB14" s="273"/>
      <c r="SC14" s="273"/>
      <c r="SD14" s="274"/>
      <c r="SE14" s="273"/>
      <c r="SF14" s="273"/>
      <c r="SG14" s="273"/>
      <c r="SH14" s="273"/>
      <c r="SI14" s="273"/>
      <c r="SJ14" s="273"/>
      <c r="SK14" s="275"/>
      <c r="SL14" s="273"/>
      <c r="SM14" s="273"/>
      <c r="SN14" s="273"/>
      <c r="SO14" s="273"/>
      <c r="SP14" s="276"/>
      <c r="SQ14" s="277"/>
      <c r="SR14" s="273"/>
      <c r="SS14" s="273"/>
      <c r="ST14" s="273"/>
      <c r="SU14" s="273"/>
      <c r="SV14" s="274"/>
      <c r="SW14" s="275"/>
      <c r="SX14" s="273"/>
      <c r="SY14" s="273"/>
      <c r="SZ14" s="273"/>
      <c r="TA14" s="273"/>
      <c r="TB14" s="274"/>
      <c r="TC14" s="275"/>
      <c r="TD14" s="273"/>
      <c r="TE14" s="273"/>
      <c r="TF14" s="273"/>
      <c r="TG14" s="273"/>
      <c r="TH14" s="274"/>
      <c r="TI14" s="273"/>
      <c r="TJ14" s="273"/>
      <c r="TK14" s="273"/>
      <c r="TL14" s="273"/>
      <c r="TM14" s="273"/>
      <c r="TN14" s="273"/>
      <c r="TO14" s="275"/>
      <c r="TP14" s="273"/>
      <c r="TQ14" s="273"/>
      <c r="TR14" s="273"/>
      <c r="TS14" s="273"/>
      <c r="TT14" s="274"/>
      <c r="TU14" s="273"/>
      <c r="TV14" s="273"/>
      <c r="TW14" s="273"/>
      <c r="TX14" s="273"/>
      <c r="TY14" s="273"/>
      <c r="TZ14" s="273"/>
      <c r="UA14" s="275"/>
      <c r="UB14" s="273"/>
      <c r="UC14" s="273"/>
      <c r="UD14" s="273"/>
      <c r="UE14" s="273"/>
      <c r="UF14" s="274"/>
      <c r="UG14" s="273"/>
      <c r="UH14" s="273"/>
      <c r="UI14" s="273"/>
      <c r="UJ14" s="273"/>
      <c r="UK14" s="273"/>
      <c r="UL14" s="273"/>
      <c r="UM14" s="275"/>
      <c r="UN14" s="273"/>
      <c r="UO14" s="273"/>
      <c r="UP14" s="273"/>
      <c r="UQ14" s="273"/>
      <c r="UR14" s="274"/>
      <c r="US14" s="275"/>
      <c r="UT14" s="273"/>
      <c r="UU14" s="273"/>
      <c r="UV14" s="273"/>
      <c r="UW14" s="273"/>
      <c r="UX14" s="274"/>
      <c r="UY14" s="273"/>
      <c r="UZ14" s="273"/>
      <c r="VA14" s="273"/>
      <c r="VB14" s="273"/>
      <c r="VC14" s="273"/>
      <c r="VD14" s="273"/>
      <c r="VE14" s="275"/>
      <c r="VF14" s="273"/>
      <c r="VG14" s="273"/>
      <c r="VH14" s="273"/>
      <c r="VI14" s="273"/>
      <c r="VJ14" s="276"/>
    </row>
    <row r="15" spans="3:582" s="52" customFormat="1" ht="57" customHeight="1" thickBot="1" x14ac:dyDescent="0.3">
      <c r="C15" s="539"/>
      <c r="D15" s="542"/>
      <c r="E15" s="542"/>
      <c r="F15" s="544"/>
      <c r="G15" s="558"/>
      <c r="H15" s="554"/>
      <c r="I15" s="554"/>
      <c r="J15" s="554"/>
      <c r="K15" s="554"/>
      <c r="L15" s="559"/>
      <c r="M15" s="560"/>
      <c r="N15" s="561"/>
      <c r="O15" s="561"/>
      <c r="P15" s="561"/>
      <c r="Q15" s="561"/>
      <c r="R15" s="562"/>
      <c r="S15" s="553"/>
      <c r="T15" s="554"/>
      <c r="U15" s="554"/>
      <c r="V15" s="554"/>
      <c r="W15" s="554"/>
      <c r="X15" s="559"/>
      <c r="Y15" s="553"/>
      <c r="Z15" s="554"/>
      <c r="AA15" s="554"/>
      <c r="AB15" s="554"/>
      <c r="AC15" s="554"/>
      <c r="AD15" s="559"/>
      <c r="AE15" s="553"/>
      <c r="AF15" s="554"/>
      <c r="AG15" s="554"/>
      <c r="AH15" s="554"/>
      <c r="AI15" s="554"/>
      <c r="AJ15" s="559"/>
      <c r="AK15" s="553"/>
      <c r="AL15" s="554"/>
      <c r="AM15" s="554"/>
      <c r="AN15" s="554"/>
      <c r="AO15" s="554"/>
      <c r="AP15" s="559"/>
      <c r="AQ15" s="553"/>
      <c r="AR15" s="554"/>
      <c r="AS15" s="554"/>
      <c r="AT15" s="554"/>
      <c r="AU15" s="554"/>
      <c r="AV15" s="554"/>
      <c r="AW15" s="550"/>
      <c r="AX15" s="551"/>
      <c r="AY15" s="551"/>
      <c r="AZ15" s="551"/>
      <c r="BA15" s="551"/>
      <c r="BB15" s="552"/>
      <c r="BC15" s="550"/>
      <c r="BD15" s="551"/>
      <c r="BE15" s="551"/>
      <c r="BF15" s="551"/>
      <c r="BG15" s="551"/>
      <c r="BH15" s="552"/>
      <c r="BI15" s="550"/>
      <c r="BJ15" s="551"/>
      <c r="BK15" s="551"/>
      <c r="BL15" s="551"/>
      <c r="BM15" s="551"/>
      <c r="BN15" s="552"/>
      <c r="BO15" s="551"/>
      <c r="BP15" s="551"/>
      <c r="BQ15" s="551"/>
      <c r="BR15" s="551"/>
      <c r="BS15" s="551"/>
      <c r="BT15" s="551"/>
      <c r="BU15" s="553"/>
      <c r="BV15" s="554"/>
      <c r="BW15" s="554"/>
      <c r="BX15" s="554"/>
      <c r="BY15" s="554"/>
      <c r="BZ15" s="554"/>
      <c r="CA15" s="555"/>
      <c r="CB15" s="556"/>
      <c r="CC15" s="556"/>
      <c r="CD15" s="556"/>
      <c r="CE15" s="556"/>
      <c r="CF15" s="557"/>
      <c r="CG15" s="563"/>
      <c r="CH15" s="556"/>
      <c r="CI15" s="556"/>
      <c r="CJ15" s="556"/>
      <c r="CK15" s="556"/>
      <c r="CL15" s="557"/>
      <c r="CM15" s="563"/>
      <c r="CN15" s="556"/>
      <c r="CO15" s="556"/>
      <c r="CP15" s="556"/>
      <c r="CQ15" s="556"/>
      <c r="CR15" s="557"/>
      <c r="CS15" s="564"/>
      <c r="CT15" s="564"/>
      <c r="CU15" s="564"/>
      <c r="CV15" s="564"/>
      <c r="CW15" s="564"/>
      <c r="CX15" s="564"/>
      <c r="CY15" s="565"/>
      <c r="CZ15" s="566"/>
      <c r="DA15" s="566"/>
      <c r="DB15" s="566"/>
      <c r="DC15" s="566"/>
      <c r="DD15" s="567"/>
      <c r="DE15" s="556"/>
      <c r="DF15" s="556"/>
      <c r="DG15" s="556"/>
      <c r="DH15" s="556"/>
      <c r="DI15" s="556"/>
      <c r="DJ15" s="556"/>
      <c r="DK15" s="568"/>
      <c r="DL15" s="569"/>
      <c r="DM15" s="569"/>
      <c r="DN15" s="569"/>
      <c r="DO15" s="569"/>
      <c r="DP15" s="570"/>
      <c r="DQ15" s="556"/>
      <c r="DR15" s="556"/>
      <c r="DS15" s="556"/>
      <c r="DT15" s="556"/>
      <c r="DU15" s="556"/>
      <c r="DV15" s="556"/>
      <c r="DW15" s="563"/>
      <c r="DX15" s="556"/>
      <c r="DY15" s="556"/>
      <c r="DZ15" s="556"/>
      <c r="EA15" s="556"/>
      <c r="EB15" s="557"/>
      <c r="EC15" s="563"/>
      <c r="ED15" s="556"/>
      <c r="EE15" s="556"/>
      <c r="EF15" s="556"/>
      <c r="EG15" s="556"/>
      <c r="EH15" s="557"/>
      <c r="EI15" s="556"/>
      <c r="EJ15" s="556"/>
      <c r="EK15" s="556"/>
      <c r="EL15" s="556"/>
      <c r="EM15" s="556"/>
      <c r="EN15" s="556"/>
      <c r="EO15" s="563"/>
      <c r="EP15" s="556"/>
      <c r="EQ15" s="556"/>
      <c r="ER15" s="556"/>
      <c r="ES15" s="556"/>
      <c r="ET15" s="571"/>
      <c r="EU15" s="555"/>
      <c r="EV15" s="556"/>
      <c r="EW15" s="556"/>
      <c r="EX15" s="556"/>
      <c r="EY15" s="556"/>
      <c r="EZ15" s="557"/>
      <c r="FA15" s="563"/>
      <c r="FB15" s="556"/>
      <c r="FC15" s="556"/>
      <c r="FD15" s="556"/>
      <c r="FE15" s="556"/>
      <c r="FF15" s="557"/>
      <c r="FG15" s="563"/>
      <c r="FH15" s="556"/>
      <c r="FI15" s="556"/>
      <c r="FJ15" s="556"/>
      <c r="FK15" s="556"/>
      <c r="FL15" s="557"/>
      <c r="FM15" s="564"/>
      <c r="FN15" s="564"/>
      <c r="FO15" s="564"/>
      <c r="FP15" s="564"/>
      <c r="FQ15" s="564"/>
      <c r="FR15" s="564"/>
      <c r="FS15" s="565"/>
      <c r="FT15" s="566"/>
      <c r="FU15" s="566"/>
      <c r="FV15" s="566"/>
      <c r="FW15" s="566"/>
      <c r="FX15" s="567"/>
      <c r="FY15" s="556"/>
      <c r="FZ15" s="556"/>
      <c r="GA15" s="556"/>
      <c r="GB15" s="556"/>
      <c r="GC15" s="556"/>
      <c r="GD15" s="556"/>
      <c r="GE15" s="568"/>
      <c r="GF15" s="569"/>
      <c r="GG15" s="569"/>
      <c r="GH15" s="569"/>
      <c r="GI15" s="569"/>
      <c r="GJ15" s="570"/>
      <c r="GK15" s="556"/>
      <c r="GL15" s="556"/>
      <c r="GM15" s="556"/>
      <c r="GN15" s="556"/>
      <c r="GO15" s="556"/>
      <c r="GP15" s="556"/>
      <c r="GQ15" s="563"/>
      <c r="GR15" s="556"/>
      <c r="GS15" s="556"/>
      <c r="GT15" s="556"/>
      <c r="GU15" s="556"/>
      <c r="GV15" s="557"/>
      <c r="GW15" s="563"/>
      <c r="GX15" s="556"/>
      <c r="GY15" s="556"/>
      <c r="GZ15" s="556"/>
      <c r="HA15" s="556"/>
      <c r="HB15" s="557"/>
      <c r="HC15" s="556"/>
      <c r="HD15" s="556"/>
      <c r="HE15" s="556"/>
      <c r="HF15" s="556"/>
      <c r="HG15" s="556"/>
      <c r="HH15" s="556"/>
      <c r="HI15" s="563"/>
      <c r="HJ15" s="556"/>
      <c r="HK15" s="556"/>
      <c r="HL15" s="556"/>
      <c r="HM15" s="556"/>
      <c r="HN15" s="571"/>
      <c r="HO15" s="555"/>
      <c r="HP15" s="556"/>
      <c r="HQ15" s="556"/>
      <c r="HR15" s="556"/>
      <c r="HS15" s="556"/>
      <c r="HT15" s="557"/>
      <c r="HU15" s="563"/>
      <c r="HV15" s="556"/>
      <c r="HW15" s="556"/>
      <c r="HX15" s="556"/>
      <c r="HY15" s="556"/>
      <c r="HZ15" s="557"/>
      <c r="IA15" s="563"/>
      <c r="IB15" s="556"/>
      <c r="IC15" s="556"/>
      <c r="ID15" s="556"/>
      <c r="IE15" s="556"/>
      <c r="IF15" s="557"/>
      <c r="IG15" s="564"/>
      <c r="IH15" s="564"/>
      <c r="II15" s="564"/>
      <c r="IJ15" s="564"/>
      <c r="IK15" s="564"/>
      <c r="IL15" s="564"/>
      <c r="IM15" s="565"/>
      <c r="IN15" s="566"/>
      <c r="IO15" s="566"/>
      <c r="IP15" s="566"/>
      <c r="IQ15" s="566"/>
      <c r="IR15" s="567"/>
      <c r="IS15" s="556"/>
      <c r="IT15" s="556"/>
      <c r="IU15" s="556"/>
      <c r="IV15" s="556"/>
      <c r="IW15" s="556"/>
      <c r="IX15" s="556"/>
      <c r="IY15" s="568"/>
      <c r="IZ15" s="569"/>
      <c r="JA15" s="569"/>
      <c r="JB15" s="569"/>
      <c r="JC15" s="569"/>
      <c r="JD15" s="570"/>
      <c r="JE15" s="556"/>
      <c r="JF15" s="556"/>
      <c r="JG15" s="556"/>
      <c r="JH15" s="556"/>
      <c r="JI15" s="556"/>
      <c r="JJ15" s="556"/>
      <c r="JK15" s="563"/>
      <c r="JL15" s="556"/>
      <c r="JM15" s="556"/>
      <c r="JN15" s="556"/>
      <c r="JO15" s="556"/>
      <c r="JP15" s="557"/>
      <c r="JQ15" s="563"/>
      <c r="JR15" s="556"/>
      <c r="JS15" s="556"/>
      <c r="JT15" s="556"/>
      <c r="JU15" s="556"/>
      <c r="JV15" s="557"/>
      <c r="JW15" s="556"/>
      <c r="JX15" s="556"/>
      <c r="JY15" s="556"/>
      <c r="JZ15" s="556"/>
      <c r="KA15" s="556"/>
      <c r="KB15" s="556"/>
      <c r="KC15" s="563"/>
      <c r="KD15" s="556"/>
      <c r="KE15" s="556"/>
      <c r="KF15" s="556"/>
      <c r="KG15" s="556"/>
      <c r="KH15" s="571"/>
      <c r="KI15" s="555"/>
      <c r="KJ15" s="556"/>
      <c r="KK15" s="556"/>
      <c r="KL15" s="556"/>
      <c r="KM15" s="556"/>
      <c r="KN15" s="557"/>
      <c r="KO15" s="563"/>
      <c r="KP15" s="556"/>
      <c r="KQ15" s="556"/>
      <c r="KR15" s="556"/>
      <c r="KS15" s="556"/>
      <c r="KT15" s="557"/>
      <c r="KU15" s="563"/>
      <c r="KV15" s="556"/>
      <c r="KW15" s="556"/>
      <c r="KX15" s="556"/>
      <c r="KY15" s="556"/>
      <c r="KZ15" s="557"/>
      <c r="LA15" s="564"/>
      <c r="LB15" s="564"/>
      <c r="LC15" s="564"/>
      <c r="LD15" s="564"/>
      <c r="LE15" s="564"/>
      <c r="LF15" s="564"/>
      <c r="LG15" s="565"/>
      <c r="LH15" s="566"/>
      <c r="LI15" s="566"/>
      <c r="LJ15" s="566"/>
      <c r="LK15" s="566"/>
      <c r="LL15" s="567"/>
      <c r="LM15" s="556"/>
      <c r="LN15" s="556"/>
      <c r="LO15" s="556"/>
      <c r="LP15" s="556"/>
      <c r="LQ15" s="556"/>
      <c r="LR15" s="556"/>
      <c r="LS15" s="568"/>
      <c r="LT15" s="569"/>
      <c r="LU15" s="569"/>
      <c r="LV15" s="569"/>
      <c r="LW15" s="569"/>
      <c r="LX15" s="570"/>
      <c r="LY15" s="556"/>
      <c r="LZ15" s="556"/>
      <c r="MA15" s="556"/>
      <c r="MB15" s="556"/>
      <c r="MC15" s="556"/>
      <c r="MD15" s="556"/>
      <c r="ME15" s="563"/>
      <c r="MF15" s="556"/>
      <c r="MG15" s="556"/>
      <c r="MH15" s="556"/>
      <c r="MI15" s="556"/>
      <c r="MJ15" s="557"/>
      <c r="MK15" s="563"/>
      <c r="ML15" s="556"/>
      <c r="MM15" s="556"/>
      <c r="MN15" s="556"/>
      <c r="MO15" s="556"/>
      <c r="MP15" s="557"/>
      <c r="MQ15" s="556"/>
      <c r="MR15" s="556"/>
      <c r="MS15" s="556"/>
      <c r="MT15" s="556"/>
      <c r="MU15" s="556"/>
      <c r="MV15" s="556"/>
      <c r="MW15" s="563"/>
      <c r="MX15" s="556"/>
      <c r="MY15" s="556"/>
      <c r="MZ15" s="556"/>
      <c r="NA15" s="556"/>
      <c r="NB15" s="571"/>
      <c r="NC15" s="555"/>
      <c r="ND15" s="556"/>
      <c r="NE15" s="556"/>
      <c r="NF15" s="556"/>
      <c r="NG15" s="556"/>
      <c r="NH15" s="557"/>
      <c r="NI15" s="563"/>
      <c r="NJ15" s="556"/>
      <c r="NK15" s="556"/>
      <c r="NL15" s="556"/>
      <c r="NM15" s="556"/>
      <c r="NN15" s="557"/>
      <c r="NO15" s="563"/>
      <c r="NP15" s="556"/>
      <c r="NQ15" s="556"/>
      <c r="NR15" s="556"/>
      <c r="NS15" s="556"/>
      <c r="NT15" s="557"/>
      <c r="NU15" s="564"/>
      <c r="NV15" s="564"/>
      <c r="NW15" s="564"/>
      <c r="NX15" s="564"/>
      <c r="NY15" s="564"/>
      <c r="NZ15" s="564"/>
      <c r="OA15" s="565"/>
      <c r="OB15" s="566"/>
      <c r="OC15" s="566"/>
      <c r="OD15" s="566"/>
      <c r="OE15" s="566"/>
      <c r="OF15" s="567"/>
      <c r="OG15" s="556"/>
      <c r="OH15" s="556"/>
      <c r="OI15" s="556"/>
      <c r="OJ15" s="556"/>
      <c r="OK15" s="556"/>
      <c r="OL15" s="556"/>
      <c r="OM15" s="568"/>
      <c r="ON15" s="569"/>
      <c r="OO15" s="569"/>
      <c r="OP15" s="569"/>
      <c r="OQ15" s="569"/>
      <c r="OR15" s="570"/>
      <c r="OS15" s="556"/>
      <c r="OT15" s="556"/>
      <c r="OU15" s="556"/>
      <c r="OV15" s="556"/>
      <c r="OW15" s="556"/>
      <c r="OX15" s="556"/>
      <c r="OY15" s="563"/>
      <c r="OZ15" s="556"/>
      <c r="PA15" s="556"/>
      <c r="PB15" s="556"/>
      <c r="PC15" s="556"/>
      <c r="PD15" s="557"/>
      <c r="PE15" s="563"/>
      <c r="PF15" s="556"/>
      <c r="PG15" s="556"/>
      <c r="PH15" s="556"/>
      <c r="PI15" s="556"/>
      <c r="PJ15" s="557"/>
      <c r="PK15" s="556"/>
      <c r="PL15" s="556"/>
      <c r="PM15" s="556"/>
      <c r="PN15" s="556"/>
      <c r="PO15" s="556"/>
      <c r="PP15" s="556"/>
      <c r="PQ15" s="563"/>
      <c r="PR15" s="556"/>
      <c r="PS15" s="556"/>
      <c r="PT15" s="556"/>
      <c r="PU15" s="556"/>
      <c r="PV15" s="571"/>
      <c r="PW15" s="555"/>
      <c r="PX15" s="556"/>
      <c r="PY15" s="556"/>
      <c r="PZ15" s="556"/>
      <c r="QA15" s="556"/>
      <c r="QB15" s="557"/>
      <c r="QC15" s="563"/>
      <c r="QD15" s="556"/>
      <c r="QE15" s="556"/>
      <c r="QF15" s="556"/>
      <c r="QG15" s="556"/>
      <c r="QH15" s="557"/>
      <c r="QI15" s="563"/>
      <c r="QJ15" s="556"/>
      <c r="QK15" s="556"/>
      <c r="QL15" s="556"/>
      <c r="QM15" s="556"/>
      <c r="QN15" s="557"/>
      <c r="QO15" s="564"/>
      <c r="QP15" s="564"/>
      <c r="QQ15" s="564"/>
      <c r="QR15" s="564"/>
      <c r="QS15" s="564"/>
      <c r="QT15" s="564"/>
      <c r="QU15" s="565"/>
      <c r="QV15" s="566"/>
      <c r="QW15" s="566"/>
      <c r="QX15" s="566"/>
      <c r="QY15" s="566"/>
      <c r="QZ15" s="567"/>
      <c r="RA15" s="556"/>
      <c r="RB15" s="556"/>
      <c r="RC15" s="556"/>
      <c r="RD15" s="556"/>
      <c r="RE15" s="556"/>
      <c r="RF15" s="556"/>
      <c r="RG15" s="568"/>
      <c r="RH15" s="569"/>
      <c r="RI15" s="569"/>
      <c r="RJ15" s="569"/>
      <c r="RK15" s="569"/>
      <c r="RL15" s="570"/>
      <c r="RM15" s="556"/>
      <c r="RN15" s="556"/>
      <c r="RO15" s="556"/>
      <c r="RP15" s="556"/>
      <c r="RQ15" s="556"/>
      <c r="RR15" s="556"/>
      <c r="RS15" s="563"/>
      <c r="RT15" s="556"/>
      <c r="RU15" s="556"/>
      <c r="RV15" s="556"/>
      <c r="RW15" s="556"/>
      <c r="RX15" s="557"/>
      <c r="RY15" s="563"/>
      <c r="RZ15" s="556"/>
      <c r="SA15" s="556"/>
      <c r="SB15" s="556"/>
      <c r="SC15" s="556"/>
      <c r="SD15" s="557"/>
      <c r="SE15" s="556"/>
      <c r="SF15" s="556"/>
      <c r="SG15" s="556"/>
      <c r="SH15" s="556"/>
      <c r="SI15" s="556"/>
      <c r="SJ15" s="556"/>
      <c r="SK15" s="563"/>
      <c r="SL15" s="556"/>
      <c r="SM15" s="556"/>
      <c r="SN15" s="556"/>
      <c r="SO15" s="556"/>
      <c r="SP15" s="571"/>
      <c r="SQ15" s="555"/>
      <c r="SR15" s="556"/>
      <c r="SS15" s="556"/>
      <c r="ST15" s="556"/>
      <c r="SU15" s="556"/>
      <c r="SV15" s="557"/>
      <c r="SW15" s="563"/>
      <c r="SX15" s="556"/>
      <c r="SY15" s="556"/>
      <c r="SZ15" s="556"/>
      <c r="TA15" s="556"/>
      <c r="TB15" s="557"/>
      <c r="TC15" s="563"/>
      <c r="TD15" s="556"/>
      <c r="TE15" s="556"/>
      <c r="TF15" s="556"/>
      <c r="TG15" s="556"/>
      <c r="TH15" s="557"/>
      <c r="TI15" s="564"/>
      <c r="TJ15" s="564"/>
      <c r="TK15" s="564"/>
      <c r="TL15" s="564"/>
      <c r="TM15" s="564"/>
      <c r="TN15" s="564"/>
      <c r="TO15" s="565"/>
      <c r="TP15" s="566"/>
      <c r="TQ15" s="566"/>
      <c r="TR15" s="566"/>
      <c r="TS15" s="566"/>
      <c r="TT15" s="567"/>
      <c r="TU15" s="556"/>
      <c r="TV15" s="556"/>
      <c r="TW15" s="556"/>
      <c r="TX15" s="556"/>
      <c r="TY15" s="556"/>
      <c r="TZ15" s="556"/>
      <c r="UA15" s="568"/>
      <c r="UB15" s="569"/>
      <c r="UC15" s="569"/>
      <c r="UD15" s="569"/>
      <c r="UE15" s="569"/>
      <c r="UF15" s="570"/>
      <c r="UG15" s="556"/>
      <c r="UH15" s="556"/>
      <c r="UI15" s="556"/>
      <c r="UJ15" s="556"/>
      <c r="UK15" s="556"/>
      <c r="UL15" s="556"/>
      <c r="UM15" s="563"/>
      <c r="UN15" s="556"/>
      <c r="UO15" s="556"/>
      <c r="UP15" s="556"/>
      <c r="UQ15" s="556"/>
      <c r="UR15" s="557"/>
      <c r="US15" s="563"/>
      <c r="UT15" s="556"/>
      <c r="UU15" s="556"/>
      <c r="UV15" s="556"/>
      <c r="UW15" s="556"/>
      <c r="UX15" s="557"/>
      <c r="UY15" s="556"/>
      <c r="UZ15" s="556"/>
      <c r="VA15" s="556"/>
      <c r="VB15" s="556"/>
      <c r="VC15" s="556"/>
      <c r="VD15" s="556"/>
      <c r="VE15" s="563"/>
      <c r="VF15" s="556"/>
      <c r="VG15" s="556"/>
      <c r="VH15" s="556"/>
      <c r="VI15" s="556"/>
      <c r="VJ15" s="571"/>
    </row>
    <row r="16" spans="3:582" s="52" customFormat="1" ht="15.75" customHeight="1" x14ac:dyDescent="0.25">
      <c r="C16" s="538"/>
      <c r="D16" s="540">
        <v>1</v>
      </c>
      <c r="E16" s="540"/>
      <c r="F16" s="543"/>
      <c r="G16" s="545"/>
      <c r="H16" s="546"/>
      <c r="I16" s="546"/>
      <c r="J16" s="546"/>
      <c r="K16" s="546"/>
      <c r="L16" s="547"/>
      <c r="M16" s="548"/>
      <c r="N16" s="546"/>
      <c r="O16" s="546"/>
      <c r="P16" s="546"/>
      <c r="Q16" s="546"/>
      <c r="R16" s="547"/>
      <c r="S16" s="548"/>
      <c r="T16" s="546"/>
      <c r="U16" s="546"/>
      <c r="V16" s="546"/>
      <c r="W16" s="546"/>
      <c r="X16" s="547"/>
      <c r="Y16" s="546"/>
      <c r="Z16" s="546"/>
      <c r="AA16" s="546"/>
      <c r="AB16" s="546"/>
      <c r="AC16" s="546"/>
      <c r="AD16" s="546"/>
      <c r="AE16" s="548"/>
      <c r="AF16" s="546"/>
      <c r="AG16" s="546"/>
      <c r="AH16" s="546"/>
      <c r="AI16" s="546"/>
      <c r="AJ16" s="547"/>
      <c r="AK16" s="546"/>
      <c r="AL16" s="546"/>
      <c r="AM16" s="546"/>
      <c r="AN16" s="546"/>
      <c r="AO16" s="546"/>
      <c r="AP16" s="546"/>
      <c r="AQ16" s="548"/>
      <c r="AR16" s="546"/>
      <c r="AS16" s="546"/>
      <c r="AT16" s="546"/>
      <c r="AU16" s="546"/>
      <c r="AV16" s="547"/>
      <c r="AW16" s="546"/>
      <c r="AX16" s="546"/>
      <c r="AY16" s="546"/>
      <c r="AZ16" s="546"/>
      <c r="BA16" s="546"/>
      <c r="BB16" s="546"/>
      <c r="BC16" s="548"/>
      <c r="BD16" s="546"/>
      <c r="BE16" s="546"/>
      <c r="BF16" s="546"/>
      <c r="BG16" s="546"/>
      <c r="BH16" s="547"/>
      <c r="BI16" s="548"/>
      <c r="BJ16" s="546"/>
      <c r="BK16" s="546"/>
      <c r="BL16" s="546"/>
      <c r="BM16" s="546"/>
      <c r="BN16" s="547"/>
      <c r="BO16" s="546"/>
      <c r="BP16" s="546"/>
      <c r="BQ16" s="546"/>
      <c r="BR16" s="546"/>
      <c r="BS16" s="546"/>
      <c r="BT16" s="546"/>
      <c r="BU16" s="548"/>
      <c r="BV16" s="546"/>
      <c r="BW16" s="546"/>
      <c r="BX16" s="546"/>
      <c r="BY16" s="546"/>
      <c r="BZ16" s="549"/>
      <c r="CA16" s="545"/>
      <c r="CB16" s="546"/>
      <c r="CC16" s="546"/>
      <c r="CD16" s="546"/>
      <c r="CE16" s="546"/>
      <c r="CF16" s="547"/>
      <c r="CG16" s="548"/>
      <c r="CH16" s="546"/>
      <c r="CI16" s="546"/>
      <c r="CJ16" s="546"/>
      <c r="CK16" s="546"/>
      <c r="CL16" s="547"/>
      <c r="CM16" s="548"/>
      <c r="CN16" s="546"/>
      <c r="CO16" s="546"/>
      <c r="CP16" s="546"/>
      <c r="CQ16" s="546"/>
      <c r="CR16" s="547"/>
      <c r="CS16" s="546"/>
      <c r="CT16" s="546"/>
      <c r="CU16" s="546"/>
      <c r="CV16" s="546"/>
      <c r="CW16" s="546"/>
      <c r="CX16" s="546"/>
      <c r="CY16" s="548"/>
      <c r="CZ16" s="546"/>
      <c r="DA16" s="546"/>
      <c r="DB16" s="546"/>
      <c r="DC16" s="546"/>
      <c r="DD16" s="547"/>
      <c r="DE16" s="546"/>
      <c r="DF16" s="546"/>
      <c r="DG16" s="546"/>
      <c r="DH16" s="546"/>
      <c r="DI16" s="546"/>
      <c r="DJ16" s="546"/>
      <c r="DK16" s="548"/>
      <c r="DL16" s="546"/>
      <c r="DM16" s="546"/>
      <c r="DN16" s="546"/>
      <c r="DO16" s="546"/>
      <c r="DP16" s="547"/>
      <c r="DQ16" s="546"/>
      <c r="DR16" s="546"/>
      <c r="DS16" s="546"/>
      <c r="DT16" s="546"/>
      <c r="DU16" s="546"/>
      <c r="DV16" s="546"/>
      <c r="DW16" s="548"/>
      <c r="DX16" s="546"/>
      <c r="DY16" s="546"/>
      <c r="DZ16" s="546"/>
      <c r="EA16" s="546"/>
      <c r="EB16" s="547"/>
      <c r="EC16" s="548"/>
      <c r="ED16" s="546"/>
      <c r="EE16" s="546"/>
      <c r="EF16" s="546"/>
      <c r="EG16" s="546"/>
      <c r="EH16" s="547"/>
      <c r="EI16" s="546"/>
      <c r="EJ16" s="546"/>
      <c r="EK16" s="546"/>
      <c r="EL16" s="546"/>
      <c r="EM16" s="546"/>
      <c r="EN16" s="546"/>
      <c r="EO16" s="548"/>
      <c r="EP16" s="546"/>
      <c r="EQ16" s="546"/>
      <c r="ER16" s="546"/>
      <c r="ES16" s="546"/>
      <c r="ET16" s="549"/>
      <c r="EU16" s="545"/>
      <c r="EV16" s="546"/>
      <c r="EW16" s="546"/>
      <c r="EX16" s="546"/>
      <c r="EY16" s="546"/>
      <c r="EZ16" s="547"/>
      <c r="FA16" s="548"/>
      <c r="FB16" s="546"/>
      <c r="FC16" s="546"/>
      <c r="FD16" s="546"/>
      <c r="FE16" s="546"/>
      <c r="FF16" s="547"/>
      <c r="FG16" s="548"/>
      <c r="FH16" s="546"/>
      <c r="FI16" s="546"/>
      <c r="FJ16" s="546"/>
      <c r="FK16" s="546"/>
      <c r="FL16" s="547"/>
      <c r="FM16" s="546"/>
      <c r="FN16" s="546"/>
      <c r="FO16" s="546"/>
      <c r="FP16" s="546"/>
      <c r="FQ16" s="546"/>
      <c r="FR16" s="546"/>
      <c r="FS16" s="548"/>
      <c r="FT16" s="546"/>
      <c r="FU16" s="546"/>
      <c r="FV16" s="546"/>
      <c r="FW16" s="546"/>
      <c r="FX16" s="547"/>
      <c r="FY16" s="546"/>
      <c r="FZ16" s="546"/>
      <c r="GA16" s="546"/>
      <c r="GB16" s="546"/>
      <c r="GC16" s="546"/>
      <c r="GD16" s="546"/>
      <c r="GE16" s="548"/>
      <c r="GF16" s="546"/>
      <c r="GG16" s="546"/>
      <c r="GH16" s="546"/>
      <c r="GI16" s="546"/>
      <c r="GJ16" s="547"/>
      <c r="GK16" s="546"/>
      <c r="GL16" s="546"/>
      <c r="GM16" s="546"/>
      <c r="GN16" s="546"/>
      <c r="GO16" s="546"/>
      <c r="GP16" s="546"/>
      <c r="GQ16" s="548"/>
      <c r="GR16" s="546"/>
      <c r="GS16" s="546"/>
      <c r="GT16" s="546"/>
      <c r="GU16" s="546"/>
      <c r="GV16" s="547"/>
      <c r="GW16" s="548"/>
      <c r="GX16" s="546"/>
      <c r="GY16" s="546"/>
      <c r="GZ16" s="546"/>
      <c r="HA16" s="546"/>
      <c r="HB16" s="547"/>
      <c r="HC16" s="546"/>
      <c r="HD16" s="546"/>
      <c r="HE16" s="546"/>
      <c r="HF16" s="546"/>
      <c r="HG16" s="546"/>
      <c r="HH16" s="546"/>
      <c r="HI16" s="548"/>
      <c r="HJ16" s="546"/>
      <c r="HK16" s="546"/>
      <c r="HL16" s="546"/>
      <c r="HM16" s="546"/>
      <c r="HN16" s="549"/>
      <c r="HO16" s="545"/>
      <c r="HP16" s="546"/>
      <c r="HQ16" s="546"/>
      <c r="HR16" s="546"/>
      <c r="HS16" s="546"/>
      <c r="HT16" s="547"/>
      <c r="HU16" s="548"/>
      <c r="HV16" s="546"/>
      <c r="HW16" s="546"/>
      <c r="HX16" s="546"/>
      <c r="HY16" s="546"/>
      <c r="HZ16" s="547"/>
      <c r="IA16" s="548"/>
      <c r="IB16" s="546"/>
      <c r="IC16" s="546"/>
      <c r="ID16" s="546"/>
      <c r="IE16" s="546"/>
      <c r="IF16" s="547"/>
      <c r="IG16" s="546"/>
      <c r="IH16" s="546"/>
      <c r="II16" s="546"/>
      <c r="IJ16" s="546"/>
      <c r="IK16" s="546"/>
      <c r="IL16" s="546"/>
      <c r="IM16" s="548"/>
      <c r="IN16" s="546"/>
      <c r="IO16" s="546"/>
      <c r="IP16" s="546"/>
      <c r="IQ16" s="546"/>
      <c r="IR16" s="547"/>
      <c r="IS16" s="546"/>
      <c r="IT16" s="546"/>
      <c r="IU16" s="546"/>
      <c r="IV16" s="546"/>
      <c r="IW16" s="546"/>
      <c r="IX16" s="546"/>
      <c r="IY16" s="548"/>
      <c r="IZ16" s="546"/>
      <c r="JA16" s="546"/>
      <c r="JB16" s="546"/>
      <c r="JC16" s="546"/>
      <c r="JD16" s="547"/>
      <c r="JE16" s="546"/>
      <c r="JF16" s="546"/>
      <c r="JG16" s="546"/>
      <c r="JH16" s="546"/>
      <c r="JI16" s="546"/>
      <c r="JJ16" s="546"/>
      <c r="JK16" s="548"/>
      <c r="JL16" s="546"/>
      <c r="JM16" s="546"/>
      <c r="JN16" s="546"/>
      <c r="JO16" s="546"/>
      <c r="JP16" s="547"/>
      <c r="JQ16" s="548"/>
      <c r="JR16" s="546"/>
      <c r="JS16" s="546"/>
      <c r="JT16" s="546"/>
      <c r="JU16" s="546"/>
      <c r="JV16" s="547"/>
      <c r="JW16" s="546"/>
      <c r="JX16" s="546"/>
      <c r="JY16" s="546"/>
      <c r="JZ16" s="546"/>
      <c r="KA16" s="546"/>
      <c r="KB16" s="546"/>
      <c r="KC16" s="548"/>
      <c r="KD16" s="546"/>
      <c r="KE16" s="546"/>
      <c r="KF16" s="546"/>
      <c r="KG16" s="546"/>
      <c r="KH16" s="549"/>
      <c r="KI16" s="545"/>
      <c r="KJ16" s="546"/>
      <c r="KK16" s="546"/>
      <c r="KL16" s="546"/>
      <c r="KM16" s="546"/>
      <c r="KN16" s="547"/>
      <c r="KO16" s="548"/>
      <c r="KP16" s="546"/>
      <c r="KQ16" s="546"/>
      <c r="KR16" s="546"/>
      <c r="KS16" s="546"/>
      <c r="KT16" s="547"/>
      <c r="KU16" s="548"/>
      <c r="KV16" s="546"/>
      <c r="KW16" s="546"/>
      <c r="KX16" s="546"/>
      <c r="KY16" s="546"/>
      <c r="KZ16" s="547"/>
      <c r="LA16" s="546"/>
      <c r="LB16" s="546"/>
      <c r="LC16" s="546"/>
      <c r="LD16" s="546"/>
      <c r="LE16" s="546"/>
      <c r="LF16" s="546"/>
      <c r="LG16" s="548"/>
      <c r="LH16" s="546"/>
      <c r="LI16" s="546"/>
      <c r="LJ16" s="546"/>
      <c r="LK16" s="546"/>
      <c r="LL16" s="547"/>
      <c r="LM16" s="546"/>
      <c r="LN16" s="546"/>
      <c r="LO16" s="546"/>
      <c r="LP16" s="546"/>
      <c r="LQ16" s="546"/>
      <c r="LR16" s="546"/>
      <c r="LS16" s="548"/>
      <c r="LT16" s="546"/>
      <c r="LU16" s="546"/>
      <c r="LV16" s="546"/>
      <c r="LW16" s="546"/>
      <c r="LX16" s="547"/>
      <c r="LY16" s="546"/>
      <c r="LZ16" s="546"/>
      <c r="MA16" s="546"/>
      <c r="MB16" s="546"/>
      <c r="MC16" s="546"/>
      <c r="MD16" s="546"/>
      <c r="ME16" s="548"/>
      <c r="MF16" s="546"/>
      <c r="MG16" s="546"/>
      <c r="MH16" s="546"/>
      <c r="MI16" s="546"/>
      <c r="MJ16" s="547"/>
      <c r="MK16" s="548"/>
      <c r="ML16" s="546"/>
      <c r="MM16" s="546"/>
      <c r="MN16" s="546"/>
      <c r="MO16" s="546"/>
      <c r="MP16" s="547"/>
      <c r="MQ16" s="546"/>
      <c r="MR16" s="546"/>
      <c r="MS16" s="546"/>
      <c r="MT16" s="546"/>
      <c r="MU16" s="546"/>
      <c r="MV16" s="546"/>
      <c r="MW16" s="548"/>
      <c r="MX16" s="546"/>
      <c r="MY16" s="546"/>
      <c r="MZ16" s="546"/>
      <c r="NA16" s="546"/>
      <c r="NB16" s="549"/>
      <c r="NC16" s="545"/>
      <c r="ND16" s="546"/>
      <c r="NE16" s="546"/>
      <c r="NF16" s="546"/>
      <c r="NG16" s="546"/>
      <c r="NH16" s="547"/>
      <c r="NI16" s="548"/>
      <c r="NJ16" s="546"/>
      <c r="NK16" s="546"/>
      <c r="NL16" s="546"/>
      <c r="NM16" s="546"/>
      <c r="NN16" s="547"/>
      <c r="NO16" s="548"/>
      <c r="NP16" s="546"/>
      <c r="NQ16" s="546"/>
      <c r="NR16" s="546"/>
      <c r="NS16" s="546"/>
      <c r="NT16" s="547"/>
      <c r="NU16" s="546"/>
      <c r="NV16" s="546"/>
      <c r="NW16" s="546"/>
      <c r="NX16" s="546"/>
      <c r="NY16" s="546"/>
      <c r="NZ16" s="546"/>
      <c r="OA16" s="548"/>
      <c r="OB16" s="546"/>
      <c r="OC16" s="546"/>
      <c r="OD16" s="546"/>
      <c r="OE16" s="546"/>
      <c r="OF16" s="547"/>
      <c r="OG16" s="546"/>
      <c r="OH16" s="546"/>
      <c r="OI16" s="546"/>
      <c r="OJ16" s="546"/>
      <c r="OK16" s="546"/>
      <c r="OL16" s="546"/>
      <c r="OM16" s="548"/>
      <c r="ON16" s="546"/>
      <c r="OO16" s="546"/>
      <c r="OP16" s="546"/>
      <c r="OQ16" s="546"/>
      <c r="OR16" s="547"/>
      <c r="OS16" s="546"/>
      <c r="OT16" s="546"/>
      <c r="OU16" s="546"/>
      <c r="OV16" s="546"/>
      <c r="OW16" s="546"/>
      <c r="OX16" s="546"/>
      <c r="OY16" s="548"/>
      <c r="OZ16" s="546"/>
      <c r="PA16" s="546"/>
      <c r="PB16" s="546"/>
      <c r="PC16" s="546"/>
      <c r="PD16" s="547"/>
      <c r="PE16" s="548"/>
      <c r="PF16" s="546"/>
      <c r="PG16" s="546"/>
      <c r="PH16" s="546"/>
      <c r="PI16" s="546"/>
      <c r="PJ16" s="547"/>
      <c r="PK16" s="546"/>
      <c r="PL16" s="546"/>
      <c r="PM16" s="546"/>
      <c r="PN16" s="546"/>
      <c r="PO16" s="546"/>
      <c r="PP16" s="546"/>
      <c r="PQ16" s="548"/>
      <c r="PR16" s="546"/>
      <c r="PS16" s="546"/>
      <c r="PT16" s="546"/>
      <c r="PU16" s="546"/>
      <c r="PV16" s="549"/>
      <c r="PW16" s="545"/>
      <c r="PX16" s="546"/>
      <c r="PY16" s="546"/>
      <c r="PZ16" s="546"/>
      <c r="QA16" s="546"/>
      <c r="QB16" s="547"/>
      <c r="QC16" s="548"/>
      <c r="QD16" s="546"/>
      <c r="QE16" s="546"/>
      <c r="QF16" s="546"/>
      <c r="QG16" s="546"/>
      <c r="QH16" s="547"/>
      <c r="QI16" s="548"/>
      <c r="QJ16" s="546"/>
      <c r="QK16" s="546"/>
      <c r="QL16" s="546"/>
      <c r="QM16" s="546"/>
      <c r="QN16" s="547"/>
      <c r="QO16" s="546"/>
      <c r="QP16" s="546"/>
      <c r="QQ16" s="546"/>
      <c r="QR16" s="546"/>
      <c r="QS16" s="546"/>
      <c r="QT16" s="546"/>
      <c r="QU16" s="548"/>
      <c r="QV16" s="546"/>
      <c r="QW16" s="546"/>
      <c r="QX16" s="546"/>
      <c r="QY16" s="546"/>
      <c r="QZ16" s="547"/>
      <c r="RA16" s="546"/>
      <c r="RB16" s="546"/>
      <c r="RC16" s="546"/>
      <c r="RD16" s="546"/>
      <c r="RE16" s="546"/>
      <c r="RF16" s="546"/>
      <c r="RG16" s="548"/>
      <c r="RH16" s="546"/>
      <c r="RI16" s="546"/>
      <c r="RJ16" s="546"/>
      <c r="RK16" s="546"/>
      <c r="RL16" s="547"/>
      <c r="RM16" s="546"/>
      <c r="RN16" s="546"/>
      <c r="RO16" s="546"/>
      <c r="RP16" s="546"/>
      <c r="RQ16" s="546"/>
      <c r="RR16" s="546"/>
      <c r="RS16" s="548"/>
      <c r="RT16" s="546"/>
      <c r="RU16" s="546"/>
      <c r="RV16" s="546"/>
      <c r="RW16" s="546"/>
      <c r="RX16" s="547"/>
      <c r="RY16" s="548"/>
      <c r="RZ16" s="546"/>
      <c r="SA16" s="546"/>
      <c r="SB16" s="546"/>
      <c r="SC16" s="546"/>
      <c r="SD16" s="547"/>
      <c r="SE16" s="546"/>
      <c r="SF16" s="546"/>
      <c r="SG16" s="546"/>
      <c r="SH16" s="546"/>
      <c r="SI16" s="546"/>
      <c r="SJ16" s="546"/>
      <c r="SK16" s="548"/>
      <c r="SL16" s="546"/>
      <c r="SM16" s="546"/>
      <c r="SN16" s="546"/>
      <c r="SO16" s="546"/>
      <c r="SP16" s="549"/>
      <c r="SQ16" s="545"/>
      <c r="SR16" s="546"/>
      <c r="SS16" s="546"/>
      <c r="ST16" s="546"/>
      <c r="SU16" s="546"/>
      <c r="SV16" s="547"/>
      <c r="SW16" s="548"/>
      <c r="SX16" s="546"/>
      <c r="SY16" s="546"/>
      <c r="SZ16" s="546"/>
      <c r="TA16" s="546"/>
      <c r="TB16" s="547"/>
      <c r="TC16" s="548"/>
      <c r="TD16" s="546"/>
      <c r="TE16" s="546"/>
      <c r="TF16" s="546"/>
      <c r="TG16" s="546"/>
      <c r="TH16" s="547"/>
      <c r="TI16" s="546"/>
      <c r="TJ16" s="546"/>
      <c r="TK16" s="546"/>
      <c r="TL16" s="546"/>
      <c r="TM16" s="546"/>
      <c r="TN16" s="546"/>
      <c r="TO16" s="548"/>
      <c r="TP16" s="546"/>
      <c r="TQ16" s="546"/>
      <c r="TR16" s="546"/>
      <c r="TS16" s="546"/>
      <c r="TT16" s="547"/>
      <c r="TU16" s="546"/>
      <c r="TV16" s="546"/>
      <c r="TW16" s="546"/>
      <c r="TX16" s="546"/>
      <c r="TY16" s="546"/>
      <c r="TZ16" s="546"/>
      <c r="UA16" s="548"/>
      <c r="UB16" s="546"/>
      <c r="UC16" s="546"/>
      <c r="UD16" s="546"/>
      <c r="UE16" s="546"/>
      <c r="UF16" s="547"/>
      <c r="UG16" s="546"/>
      <c r="UH16" s="546"/>
      <c r="UI16" s="546"/>
      <c r="UJ16" s="546"/>
      <c r="UK16" s="546"/>
      <c r="UL16" s="546"/>
      <c r="UM16" s="548"/>
      <c r="UN16" s="546"/>
      <c r="UO16" s="546"/>
      <c r="UP16" s="546"/>
      <c r="UQ16" s="546"/>
      <c r="UR16" s="547"/>
      <c r="US16" s="548"/>
      <c r="UT16" s="546"/>
      <c r="UU16" s="546"/>
      <c r="UV16" s="546"/>
      <c r="UW16" s="546"/>
      <c r="UX16" s="547"/>
      <c r="UY16" s="546"/>
      <c r="UZ16" s="546"/>
      <c r="VA16" s="546"/>
      <c r="VB16" s="546"/>
      <c r="VC16" s="546"/>
      <c r="VD16" s="546"/>
      <c r="VE16" s="548"/>
      <c r="VF16" s="546"/>
      <c r="VG16" s="546"/>
      <c r="VH16" s="546"/>
      <c r="VI16" s="546"/>
      <c r="VJ16" s="549"/>
    </row>
    <row r="17" spans="3:582" s="52" customFormat="1" ht="19.5" customHeight="1" x14ac:dyDescent="0.25">
      <c r="C17" s="538"/>
      <c r="D17" s="541"/>
      <c r="E17" s="541"/>
      <c r="F17" s="543"/>
      <c r="G17" s="277"/>
      <c r="H17" s="273"/>
      <c r="I17" s="273"/>
      <c r="J17" s="273"/>
      <c r="K17" s="273"/>
      <c r="L17" s="274"/>
      <c r="M17" s="275"/>
      <c r="N17" s="273"/>
      <c r="O17" s="273"/>
      <c r="P17" s="273"/>
      <c r="Q17" s="273"/>
      <c r="R17" s="274"/>
      <c r="S17" s="275"/>
      <c r="T17" s="273"/>
      <c r="U17" s="273"/>
      <c r="V17" s="273"/>
      <c r="W17" s="273"/>
      <c r="X17" s="274"/>
      <c r="Y17" s="275"/>
      <c r="Z17" s="273"/>
      <c r="AA17" s="273"/>
      <c r="AB17" s="273"/>
      <c r="AC17" s="273"/>
      <c r="AD17" s="273"/>
      <c r="AE17" s="275"/>
      <c r="AF17" s="273"/>
      <c r="AG17" s="273"/>
      <c r="AH17" s="273"/>
      <c r="AI17" s="273"/>
      <c r="AJ17" s="274"/>
      <c r="AK17" s="273"/>
      <c r="AL17" s="273"/>
      <c r="AM17" s="273"/>
      <c r="AN17" s="273"/>
      <c r="AO17" s="273"/>
      <c r="AP17" s="273"/>
      <c r="AQ17" s="275"/>
      <c r="AR17" s="273"/>
      <c r="AS17" s="273"/>
      <c r="AT17" s="273"/>
      <c r="AU17" s="273"/>
      <c r="AV17" s="274"/>
      <c r="AW17" s="273"/>
      <c r="AX17" s="273"/>
      <c r="AY17" s="273"/>
      <c r="AZ17" s="273"/>
      <c r="BA17" s="273"/>
      <c r="BB17" s="273"/>
      <c r="BC17" s="275"/>
      <c r="BD17" s="273"/>
      <c r="BE17" s="273"/>
      <c r="BF17" s="273"/>
      <c r="BG17" s="273"/>
      <c r="BH17" s="274"/>
      <c r="BI17" s="275"/>
      <c r="BJ17" s="273"/>
      <c r="BK17" s="273"/>
      <c r="BL17" s="273"/>
      <c r="BM17" s="273"/>
      <c r="BN17" s="274"/>
      <c r="BO17" s="273"/>
      <c r="BP17" s="273"/>
      <c r="BQ17" s="273"/>
      <c r="BR17" s="273"/>
      <c r="BS17" s="273"/>
      <c r="BT17" s="274"/>
      <c r="BU17" s="278"/>
      <c r="BV17" s="278"/>
      <c r="BW17" s="278"/>
      <c r="BX17" s="278"/>
      <c r="BY17" s="278"/>
      <c r="BZ17" s="279"/>
      <c r="CA17" s="280"/>
      <c r="CB17" s="278"/>
      <c r="CC17" s="278"/>
      <c r="CD17" s="278"/>
      <c r="CE17" s="278"/>
      <c r="CF17" s="278"/>
      <c r="CG17" s="281"/>
      <c r="CH17" s="278"/>
      <c r="CI17" s="278"/>
      <c r="CJ17" s="278"/>
      <c r="CK17" s="278"/>
      <c r="CL17" s="278"/>
      <c r="CM17" s="281"/>
      <c r="CN17" s="278"/>
      <c r="CO17" s="278"/>
      <c r="CP17" s="278"/>
      <c r="CQ17" s="278"/>
      <c r="CR17" s="278"/>
      <c r="CS17" s="281"/>
      <c r="CT17" s="278"/>
      <c r="CU17" s="278"/>
      <c r="CV17" s="278"/>
      <c r="CW17" s="278"/>
      <c r="CX17" s="278"/>
      <c r="CY17" s="281"/>
      <c r="CZ17" s="278"/>
      <c r="DA17" s="278"/>
      <c r="DB17" s="278"/>
      <c r="DC17" s="278"/>
      <c r="DD17" s="282"/>
      <c r="DE17" s="278"/>
      <c r="DF17" s="278"/>
      <c r="DG17" s="278"/>
      <c r="DH17" s="278"/>
      <c r="DI17" s="278"/>
      <c r="DJ17" s="282"/>
      <c r="DK17" s="278"/>
      <c r="DL17" s="278"/>
      <c r="DM17" s="278"/>
      <c r="DN17" s="278"/>
      <c r="DO17" s="278"/>
      <c r="DP17" s="278"/>
      <c r="DQ17" s="281"/>
      <c r="DR17" s="278"/>
      <c r="DS17" s="278"/>
      <c r="DT17" s="278"/>
      <c r="DU17" s="278"/>
      <c r="DV17" s="278"/>
      <c r="DW17" s="281"/>
      <c r="DX17" s="278"/>
      <c r="DY17" s="278"/>
      <c r="DZ17" s="278"/>
      <c r="EA17" s="278"/>
      <c r="EB17" s="278"/>
      <c r="EC17" s="281"/>
      <c r="ED17" s="278"/>
      <c r="EE17" s="278"/>
      <c r="EF17" s="278"/>
      <c r="EG17" s="278"/>
      <c r="EH17" s="278"/>
      <c r="EI17" s="281"/>
      <c r="EJ17" s="278"/>
      <c r="EK17" s="278"/>
      <c r="EL17" s="278"/>
      <c r="EM17" s="278"/>
      <c r="EN17" s="282"/>
      <c r="EO17" s="278"/>
      <c r="EP17" s="278"/>
      <c r="EQ17" s="278"/>
      <c r="ER17" s="278"/>
      <c r="ES17" s="278"/>
      <c r="ET17" s="278"/>
      <c r="EU17" s="281"/>
      <c r="EV17" s="278"/>
      <c r="EW17" s="278"/>
      <c r="EX17" s="278"/>
      <c r="EY17" s="278"/>
      <c r="EZ17" s="282"/>
      <c r="FA17" s="281"/>
      <c r="FB17" s="278"/>
      <c r="FC17" s="278"/>
      <c r="FD17" s="278"/>
      <c r="FE17" s="278"/>
      <c r="FF17" s="282"/>
      <c r="FG17" s="281"/>
      <c r="FH17" s="278"/>
      <c r="FI17" s="278"/>
      <c r="FJ17" s="278"/>
      <c r="FK17" s="278"/>
      <c r="FL17" s="282"/>
      <c r="FM17" s="281"/>
      <c r="FN17" s="278"/>
      <c r="FO17" s="278"/>
      <c r="FP17" s="278"/>
      <c r="FQ17" s="278"/>
      <c r="FR17" s="278"/>
      <c r="FS17" s="275"/>
      <c r="FT17" s="273"/>
      <c r="FU17" s="273"/>
      <c r="FV17" s="273"/>
      <c r="FW17" s="273"/>
      <c r="FX17" s="274"/>
      <c r="FY17" s="273"/>
      <c r="FZ17" s="273"/>
      <c r="GA17" s="273"/>
      <c r="GB17" s="273"/>
      <c r="GC17" s="273"/>
      <c r="GD17" s="273"/>
      <c r="GE17" s="275"/>
      <c r="GF17" s="273"/>
      <c r="GG17" s="273"/>
      <c r="GH17" s="273"/>
      <c r="GI17" s="273"/>
      <c r="GJ17" s="274"/>
      <c r="GK17" s="273"/>
      <c r="GL17" s="273"/>
      <c r="GM17" s="273"/>
      <c r="GN17" s="273"/>
      <c r="GO17" s="273"/>
      <c r="GP17" s="273"/>
      <c r="GQ17" s="275"/>
      <c r="GR17" s="273"/>
      <c r="GS17" s="273"/>
      <c r="GT17" s="273"/>
      <c r="GU17" s="273"/>
      <c r="GV17" s="274"/>
      <c r="GW17" s="275"/>
      <c r="GX17" s="273"/>
      <c r="GY17" s="273"/>
      <c r="GZ17" s="273"/>
      <c r="HA17" s="273"/>
      <c r="HB17" s="274"/>
      <c r="HC17" s="273"/>
      <c r="HD17" s="273"/>
      <c r="HE17" s="273"/>
      <c r="HF17" s="273"/>
      <c r="HG17" s="273"/>
      <c r="HH17" s="273"/>
      <c r="HI17" s="275"/>
      <c r="HJ17" s="273"/>
      <c r="HK17" s="273"/>
      <c r="HL17" s="273"/>
      <c r="HM17" s="273"/>
      <c r="HN17" s="276"/>
      <c r="HO17" s="273"/>
      <c r="HP17" s="273"/>
      <c r="HQ17" s="273"/>
      <c r="HR17" s="273"/>
      <c r="HS17" s="273"/>
      <c r="HT17" s="274"/>
      <c r="HU17" s="275"/>
      <c r="HV17" s="273"/>
      <c r="HW17" s="273"/>
      <c r="HX17" s="273"/>
      <c r="HY17" s="273"/>
      <c r="HZ17" s="274"/>
      <c r="IA17" s="275"/>
      <c r="IB17" s="273"/>
      <c r="IC17" s="273"/>
      <c r="ID17" s="273"/>
      <c r="IE17" s="273"/>
      <c r="IF17" s="274"/>
      <c r="IG17" s="275"/>
      <c r="IH17" s="273"/>
      <c r="II17" s="273"/>
      <c r="IJ17" s="273"/>
      <c r="IK17" s="273"/>
      <c r="IL17" s="273"/>
      <c r="IM17" s="275"/>
      <c r="IN17" s="273"/>
      <c r="IO17" s="273"/>
      <c r="IP17" s="273"/>
      <c r="IQ17" s="273"/>
      <c r="IR17" s="274"/>
      <c r="IS17" s="273"/>
      <c r="IT17" s="273"/>
      <c r="IU17" s="273"/>
      <c r="IV17" s="273"/>
      <c r="IW17" s="273"/>
      <c r="IX17" s="273"/>
      <c r="IY17" s="275"/>
      <c r="IZ17" s="273"/>
      <c r="JA17" s="273"/>
      <c r="JB17" s="273"/>
      <c r="JC17" s="273"/>
      <c r="JD17" s="274"/>
      <c r="JE17" s="273"/>
      <c r="JF17" s="273"/>
      <c r="JG17" s="273"/>
      <c r="JH17" s="273"/>
      <c r="JI17" s="273"/>
      <c r="JJ17" s="273"/>
      <c r="JK17" s="275"/>
      <c r="JL17" s="273"/>
      <c r="JM17" s="273"/>
      <c r="JN17" s="273"/>
      <c r="JO17" s="273"/>
      <c r="JP17" s="274"/>
      <c r="JQ17" s="275"/>
      <c r="JR17" s="273"/>
      <c r="JS17" s="273"/>
      <c r="JT17" s="273"/>
      <c r="JU17" s="273"/>
      <c r="JV17" s="274"/>
      <c r="JW17" s="273"/>
      <c r="JX17" s="273"/>
      <c r="JY17" s="273"/>
      <c r="JZ17" s="273"/>
      <c r="KA17" s="273"/>
      <c r="KB17" s="273"/>
      <c r="KC17" s="275"/>
      <c r="KD17" s="273"/>
      <c r="KE17" s="273"/>
      <c r="KF17" s="273"/>
      <c r="KG17" s="273"/>
      <c r="KH17" s="276"/>
      <c r="KI17" s="273"/>
      <c r="KJ17" s="273"/>
      <c r="KK17" s="273"/>
      <c r="KL17" s="273"/>
      <c r="KM17" s="273"/>
      <c r="KN17" s="274"/>
      <c r="KO17" s="275"/>
      <c r="KP17" s="273"/>
      <c r="KQ17" s="273"/>
      <c r="KR17" s="273"/>
      <c r="KS17" s="273"/>
      <c r="KT17" s="274"/>
      <c r="KU17" s="275"/>
      <c r="KV17" s="273"/>
      <c r="KW17" s="273"/>
      <c r="KX17" s="273"/>
      <c r="KY17" s="273"/>
      <c r="KZ17" s="274"/>
      <c r="LA17" s="275"/>
      <c r="LB17" s="273"/>
      <c r="LC17" s="273"/>
      <c r="LD17" s="273"/>
      <c r="LE17" s="273"/>
      <c r="LF17" s="273"/>
      <c r="LG17" s="275"/>
      <c r="LH17" s="273"/>
      <c r="LI17" s="273"/>
      <c r="LJ17" s="273"/>
      <c r="LK17" s="273"/>
      <c r="LL17" s="274"/>
      <c r="LM17" s="273"/>
      <c r="LN17" s="273"/>
      <c r="LO17" s="273"/>
      <c r="LP17" s="273"/>
      <c r="LQ17" s="273"/>
      <c r="LR17" s="273"/>
      <c r="LS17" s="275"/>
      <c r="LT17" s="273"/>
      <c r="LU17" s="273"/>
      <c r="LV17" s="273"/>
      <c r="LW17" s="273"/>
      <c r="LX17" s="274"/>
      <c r="LY17" s="273"/>
      <c r="LZ17" s="273"/>
      <c r="MA17" s="273"/>
      <c r="MB17" s="273"/>
      <c r="MC17" s="273"/>
      <c r="MD17" s="273"/>
      <c r="ME17" s="275"/>
      <c r="MF17" s="273"/>
      <c r="MG17" s="273"/>
      <c r="MH17" s="273"/>
      <c r="MI17" s="273"/>
      <c r="MJ17" s="274"/>
      <c r="MK17" s="275"/>
      <c r="ML17" s="273"/>
      <c r="MM17" s="273"/>
      <c r="MN17" s="273"/>
      <c r="MO17" s="273"/>
      <c r="MP17" s="274"/>
      <c r="MQ17" s="273"/>
      <c r="MR17" s="273"/>
      <c r="MS17" s="273"/>
      <c r="MT17" s="273"/>
      <c r="MU17" s="273"/>
      <c r="MV17" s="273"/>
      <c r="MW17" s="275"/>
      <c r="MX17" s="273"/>
      <c r="MY17" s="273"/>
      <c r="MZ17" s="273"/>
      <c r="NA17" s="273"/>
      <c r="NB17" s="276"/>
      <c r="NC17" s="273"/>
      <c r="ND17" s="273"/>
      <c r="NE17" s="273"/>
      <c r="NF17" s="273"/>
      <c r="NG17" s="273"/>
      <c r="NH17" s="274"/>
      <c r="NI17" s="275"/>
      <c r="NJ17" s="273"/>
      <c r="NK17" s="273"/>
      <c r="NL17" s="273"/>
      <c r="NM17" s="273"/>
      <c r="NN17" s="274"/>
      <c r="NO17" s="275"/>
      <c r="NP17" s="273"/>
      <c r="NQ17" s="273"/>
      <c r="NR17" s="273"/>
      <c r="NS17" s="273"/>
      <c r="NT17" s="274"/>
      <c r="NU17" s="275"/>
      <c r="NV17" s="273"/>
      <c r="NW17" s="273"/>
      <c r="NX17" s="273"/>
      <c r="NY17" s="273"/>
      <c r="NZ17" s="273"/>
      <c r="OA17" s="275"/>
      <c r="OB17" s="273"/>
      <c r="OC17" s="273"/>
      <c r="OD17" s="273"/>
      <c r="OE17" s="273"/>
      <c r="OF17" s="274"/>
      <c r="OG17" s="273"/>
      <c r="OH17" s="273"/>
      <c r="OI17" s="273"/>
      <c r="OJ17" s="273"/>
      <c r="OK17" s="273"/>
      <c r="OL17" s="273"/>
      <c r="OM17" s="275"/>
      <c r="ON17" s="273"/>
      <c r="OO17" s="273"/>
      <c r="OP17" s="273"/>
      <c r="OQ17" s="273"/>
      <c r="OR17" s="274"/>
      <c r="OS17" s="273"/>
      <c r="OT17" s="273"/>
      <c r="OU17" s="273"/>
      <c r="OV17" s="273"/>
      <c r="OW17" s="273"/>
      <c r="OX17" s="273"/>
      <c r="OY17" s="275"/>
      <c r="OZ17" s="273"/>
      <c r="PA17" s="273"/>
      <c r="PB17" s="273"/>
      <c r="PC17" s="273"/>
      <c r="PD17" s="274"/>
      <c r="PE17" s="275"/>
      <c r="PF17" s="273"/>
      <c r="PG17" s="273"/>
      <c r="PH17" s="273"/>
      <c r="PI17" s="273"/>
      <c r="PJ17" s="274"/>
      <c r="PK17" s="273"/>
      <c r="PL17" s="273"/>
      <c r="PM17" s="273"/>
      <c r="PN17" s="273"/>
      <c r="PO17" s="273"/>
      <c r="PP17" s="273"/>
      <c r="PQ17" s="275"/>
      <c r="PR17" s="273"/>
      <c r="PS17" s="273"/>
      <c r="PT17" s="273"/>
      <c r="PU17" s="273"/>
      <c r="PV17" s="276"/>
      <c r="PW17" s="273"/>
      <c r="PX17" s="273"/>
      <c r="PY17" s="273"/>
      <c r="PZ17" s="273"/>
      <c r="QA17" s="273"/>
      <c r="QB17" s="274"/>
      <c r="QC17" s="275"/>
      <c r="QD17" s="273"/>
      <c r="QE17" s="273"/>
      <c r="QF17" s="273"/>
      <c r="QG17" s="273"/>
      <c r="QH17" s="274"/>
      <c r="QI17" s="275"/>
      <c r="QJ17" s="273"/>
      <c r="QK17" s="273"/>
      <c r="QL17" s="273"/>
      <c r="QM17" s="273"/>
      <c r="QN17" s="274"/>
      <c r="QO17" s="275"/>
      <c r="QP17" s="273"/>
      <c r="QQ17" s="273"/>
      <c r="QR17" s="273"/>
      <c r="QS17" s="273"/>
      <c r="QT17" s="273"/>
      <c r="QU17" s="275"/>
      <c r="QV17" s="273"/>
      <c r="QW17" s="273"/>
      <c r="QX17" s="273"/>
      <c r="QY17" s="273"/>
      <c r="QZ17" s="274"/>
      <c r="RA17" s="273"/>
      <c r="RB17" s="273"/>
      <c r="RC17" s="273"/>
      <c r="RD17" s="273"/>
      <c r="RE17" s="273"/>
      <c r="RF17" s="273"/>
      <c r="RG17" s="275"/>
      <c r="RH17" s="273"/>
      <c r="RI17" s="273"/>
      <c r="RJ17" s="273"/>
      <c r="RK17" s="273"/>
      <c r="RL17" s="274"/>
      <c r="RM17" s="273"/>
      <c r="RN17" s="273"/>
      <c r="RO17" s="273"/>
      <c r="RP17" s="273"/>
      <c r="RQ17" s="273"/>
      <c r="RR17" s="273"/>
      <c r="RS17" s="275"/>
      <c r="RT17" s="273"/>
      <c r="RU17" s="273"/>
      <c r="RV17" s="273"/>
      <c r="RW17" s="273"/>
      <c r="RX17" s="274"/>
      <c r="RY17" s="275"/>
      <c r="RZ17" s="273"/>
      <c r="SA17" s="273"/>
      <c r="SB17" s="273"/>
      <c r="SC17" s="273"/>
      <c r="SD17" s="274"/>
      <c r="SE17" s="273"/>
      <c r="SF17" s="273"/>
      <c r="SG17" s="273"/>
      <c r="SH17" s="273"/>
      <c r="SI17" s="273"/>
      <c r="SJ17" s="273"/>
      <c r="SK17" s="275"/>
      <c r="SL17" s="273"/>
      <c r="SM17" s="273"/>
      <c r="SN17" s="273"/>
      <c r="SO17" s="273"/>
      <c r="SP17" s="276"/>
      <c r="SQ17" s="273"/>
      <c r="SR17" s="273"/>
      <c r="SS17" s="273"/>
      <c r="ST17" s="273"/>
      <c r="SU17" s="273"/>
      <c r="SV17" s="274"/>
      <c r="SW17" s="275"/>
      <c r="SX17" s="273"/>
      <c r="SY17" s="273"/>
      <c r="SZ17" s="273"/>
      <c r="TA17" s="273"/>
      <c r="TB17" s="274"/>
      <c r="TC17" s="275"/>
      <c r="TD17" s="273"/>
      <c r="TE17" s="273"/>
      <c r="TF17" s="273"/>
      <c r="TG17" s="273"/>
      <c r="TH17" s="274"/>
      <c r="TI17" s="275"/>
      <c r="TJ17" s="273"/>
      <c r="TK17" s="273"/>
      <c r="TL17" s="273"/>
      <c r="TM17" s="273"/>
      <c r="TN17" s="273"/>
      <c r="TO17" s="275"/>
      <c r="TP17" s="273"/>
      <c r="TQ17" s="273"/>
      <c r="TR17" s="273"/>
      <c r="TS17" s="273"/>
      <c r="TT17" s="274"/>
      <c r="TU17" s="273"/>
      <c r="TV17" s="273"/>
      <c r="TW17" s="273"/>
      <c r="TX17" s="273"/>
      <c r="TY17" s="273"/>
      <c r="TZ17" s="273"/>
      <c r="UA17" s="275"/>
      <c r="UB17" s="273"/>
      <c r="UC17" s="273"/>
      <c r="UD17" s="273"/>
      <c r="UE17" s="273"/>
      <c r="UF17" s="274"/>
      <c r="UG17" s="273"/>
      <c r="UH17" s="273"/>
      <c r="UI17" s="273"/>
      <c r="UJ17" s="273"/>
      <c r="UK17" s="273"/>
      <c r="UL17" s="273"/>
      <c r="UM17" s="275"/>
      <c r="UN17" s="273"/>
      <c r="UO17" s="273"/>
      <c r="UP17" s="273"/>
      <c r="UQ17" s="273"/>
      <c r="UR17" s="274"/>
      <c r="US17" s="275"/>
      <c r="UT17" s="273"/>
      <c r="UU17" s="273"/>
      <c r="UV17" s="273"/>
      <c r="UW17" s="273"/>
      <c r="UX17" s="274"/>
      <c r="UY17" s="273"/>
      <c r="UZ17" s="273"/>
      <c r="VA17" s="273"/>
      <c r="VB17" s="273"/>
      <c r="VC17" s="273"/>
      <c r="VD17" s="273"/>
      <c r="VE17" s="275"/>
      <c r="VF17" s="273"/>
      <c r="VG17" s="273"/>
      <c r="VH17" s="273"/>
      <c r="VI17" s="273"/>
      <c r="VJ17" s="276"/>
    </row>
    <row r="18" spans="3:582" s="52" customFormat="1" ht="57.75" customHeight="1" thickBot="1" x14ac:dyDescent="0.3">
      <c r="C18" s="539"/>
      <c r="D18" s="542"/>
      <c r="E18" s="542"/>
      <c r="F18" s="544"/>
      <c r="G18" s="555"/>
      <c r="H18" s="556"/>
      <c r="I18" s="556"/>
      <c r="J18" s="556"/>
      <c r="K18" s="556"/>
      <c r="L18" s="557"/>
      <c r="M18" s="563"/>
      <c r="N18" s="556"/>
      <c r="O18" s="556"/>
      <c r="P18" s="556"/>
      <c r="Q18" s="556"/>
      <c r="R18" s="557"/>
      <c r="S18" s="563"/>
      <c r="T18" s="556"/>
      <c r="U18" s="556"/>
      <c r="V18" s="556"/>
      <c r="W18" s="556"/>
      <c r="X18" s="557"/>
      <c r="Y18" s="564"/>
      <c r="Z18" s="564"/>
      <c r="AA18" s="564"/>
      <c r="AB18" s="564"/>
      <c r="AC18" s="564"/>
      <c r="AD18" s="564"/>
      <c r="AE18" s="565"/>
      <c r="AF18" s="566"/>
      <c r="AG18" s="566"/>
      <c r="AH18" s="566"/>
      <c r="AI18" s="566"/>
      <c r="AJ18" s="567"/>
      <c r="AK18" s="556"/>
      <c r="AL18" s="556"/>
      <c r="AM18" s="556"/>
      <c r="AN18" s="556"/>
      <c r="AO18" s="556"/>
      <c r="AP18" s="556"/>
      <c r="AQ18" s="568"/>
      <c r="AR18" s="569"/>
      <c r="AS18" s="569"/>
      <c r="AT18" s="569"/>
      <c r="AU18" s="569"/>
      <c r="AV18" s="570"/>
      <c r="AW18" s="556"/>
      <c r="AX18" s="556"/>
      <c r="AY18" s="556"/>
      <c r="AZ18" s="556"/>
      <c r="BA18" s="556"/>
      <c r="BB18" s="556"/>
      <c r="BC18" s="563"/>
      <c r="BD18" s="556"/>
      <c r="BE18" s="556"/>
      <c r="BF18" s="556"/>
      <c r="BG18" s="556"/>
      <c r="BH18" s="557"/>
      <c r="BI18" s="563"/>
      <c r="BJ18" s="556"/>
      <c r="BK18" s="556"/>
      <c r="BL18" s="556"/>
      <c r="BM18" s="556"/>
      <c r="BN18" s="557"/>
      <c r="BO18" s="556"/>
      <c r="BP18" s="556"/>
      <c r="BQ18" s="556"/>
      <c r="BR18" s="556"/>
      <c r="BS18" s="556"/>
      <c r="BT18" s="556"/>
      <c r="BU18" s="572"/>
      <c r="BV18" s="573"/>
      <c r="BW18" s="573"/>
      <c r="BX18" s="573"/>
      <c r="BY18" s="573"/>
      <c r="BZ18" s="573"/>
      <c r="CA18" s="574"/>
      <c r="CB18" s="573"/>
      <c r="CC18" s="573"/>
      <c r="CD18" s="573"/>
      <c r="CE18" s="573"/>
      <c r="CF18" s="575"/>
      <c r="CG18" s="576"/>
      <c r="CH18" s="577"/>
      <c r="CI18" s="577"/>
      <c r="CJ18" s="577"/>
      <c r="CK18" s="577"/>
      <c r="CL18" s="578"/>
      <c r="CM18" s="576"/>
      <c r="CN18" s="577"/>
      <c r="CO18" s="577"/>
      <c r="CP18" s="577"/>
      <c r="CQ18" s="577"/>
      <c r="CR18" s="578"/>
      <c r="CS18" s="579"/>
      <c r="CT18" s="579"/>
      <c r="CU18" s="579"/>
      <c r="CV18" s="579"/>
      <c r="CW18" s="579"/>
      <c r="CX18" s="579"/>
      <c r="CY18" s="572"/>
      <c r="CZ18" s="573"/>
      <c r="DA18" s="573"/>
      <c r="DB18" s="573"/>
      <c r="DC18" s="573"/>
      <c r="DD18" s="573"/>
      <c r="DE18" s="576"/>
      <c r="DF18" s="577"/>
      <c r="DG18" s="577"/>
      <c r="DH18" s="577"/>
      <c r="DI18" s="577"/>
      <c r="DJ18" s="578"/>
      <c r="DK18" s="581"/>
      <c r="DL18" s="582"/>
      <c r="DM18" s="582"/>
      <c r="DN18" s="582"/>
      <c r="DO18" s="582"/>
      <c r="DP18" s="583"/>
      <c r="DQ18" s="577"/>
      <c r="DR18" s="577"/>
      <c r="DS18" s="577"/>
      <c r="DT18" s="577"/>
      <c r="DU18" s="577"/>
      <c r="DV18" s="577"/>
      <c r="DW18" s="576"/>
      <c r="DX18" s="577"/>
      <c r="DY18" s="577"/>
      <c r="DZ18" s="577"/>
      <c r="EA18" s="577"/>
      <c r="EB18" s="578"/>
      <c r="EC18" s="576"/>
      <c r="ED18" s="577"/>
      <c r="EE18" s="577"/>
      <c r="EF18" s="577"/>
      <c r="EG18" s="577"/>
      <c r="EH18" s="578"/>
      <c r="EI18" s="577"/>
      <c r="EJ18" s="577"/>
      <c r="EK18" s="577"/>
      <c r="EL18" s="577"/>
      <c r="EM18" s="577"/>
      <c r="EN18" s="577"/>
      <c r="EO18" s="576"/>
      <c r="EP18" s="577"/>
      <c r="EQ18" s="577"/>
      <c r="ER18" s="577"/>
      <c r="ES18" s="577"/>
      <c r="ET18" s="580"/>
      <c r="EU18" s="572"/>
      <c r="EV18" s="573"/>
      <c r="EW18" s="573"/>
      <c r="EX18" s="573"/>
      <c r="EY18" s="573"/>
      <c r="EZ18" s="573"/>
      <c r="FA18" s="576"/>
      <c r="FB18" s="577"/>
      <c r="FC18" s="577"/>
      <c r="FD18" s="577"/>
      <c r="FE18" s="577"/>
      <c r="FF18" s="578"/>
      <c r="FG18" s="576"/>
      <c r="FH18" s="577"/>
      <c r="FI18" s="577"/>
      <c r="FJ18" s="577"/>
      <c r="FK18" s="577"/>
      <c r="FL18" s="578"/>
      <c r="FM18" s="579"/>
      <c r="FN18" s="579"/>
      <c r="FO18" s="579"/>
      <c r="FP18" s="579"/>
      <c r="FQ18" s="579"/>
      <c r="FR18" s="579"/>
      <c r="FS18" s="565"/>
      <c r="FT18" s="566"/>
      <c r="FU18" s="566"/>
      <c r="FV18" s="566"/>
      <c r="FW18" s="566"/>
      <c r="FX18" s="567"/>
      <c r="FY18" s="556"/>
      <c r="FZ18" s="556"/>
      <c r="GA18" s="556"/>
      <c r="GB18" s="556"/>
      <c r="GC18" s="556"/>
      <c r="GD18" s="556"/>
      <c r="GE18" s="568"/>
      <c r="GF18" s="569"/>
      <c r="GG18" s="569"/>
      <c r="GH18" s="569"/>
      <c r="GI18" s="569"/>
      <c r="GJ18" s="570"/>
      <c r="GK18" s="556"/>
      <c r="GL18" s="556"/>
      <c r="GM18" s="556"/>
      <c r="GN18" s="556"/>
      <c r="GO18" s="556"/>
      <c r="GP18" s="556"/>
      <c r="GQ18" s="563"/>
      <c r="GR18" s="556"/>
      <c r="GS18" s="556"/>
      <c r="GT18" s="556"/>
      <c r="GU18" s="556"/>
      <c r="GV18" s="557"/>
      <c r="GW18" s="563"/>
      <c r="GX18" s="556"/>
      <c r="GY18" s="556"/>
      <c r="GZ18" s="556"/>
      <c r="HA18" s="556"/>
      <c r="HB18" s="557"/>
      <c r="HC18" s="556"/>
      <c r="HD18" s="556"/>
      <c r="HE18" s="556"/>
      <c r="HF18" s="556"/>
      <c r="HG18" s="556"/>
      <c r="HH18" s="556"/>
      <c r="HI18" s="563"/>
      <c r="HJ18" s="556"/>
      <c r="HK18" s="556"/>
      <c r="HL18" s="556"/>
      <c r="HM18" s="556"/>
      <c r="HN18" s="571"/>
      <c r="HO18" s="565"/>
      <c r="HP18" s="566"/>
      <c r="HQ18" s="566"/>
      <c r="HR18" s="566"/>
      <c r="HS18" s="566"/>
      <c r="HT18" s="566"/>
      <c r="HU18" s="563"/>
      <c r="HV18" s="556"/>
      <c r="HW18" s="556"/>
      <c r="HX18" s="556"/>
      <c r="HY18" s="556"/>
      <c r="HZ18" s="557"/>
      <c r="IA18" s="563"/>
      <c r="IB18" s="556"/>
      <c r="IC18" s="556"/>
      <c r="ID18" s="556"/>
      <c r="IE18" s="556"/>
      <c r="IF18" s="557"/>
      <c r="IG18" s="564"/>
      <c r="IH18" s="564"/>
      <c r="II18" s="564"/>
      <c r="IJ18" s="564"/>
      <c r="IK18" s="564"/>
      <c r="IL18" s="564"/>
      <c r="IM18" s="565"/>
      <c r="IN18" s="566"/>
      <c r="IO18" s="566"/>
      <c r="IP18" s="566"/>
      <c r="IQ18" s="566"/>
      <c r="IR18" s="567"/>
      <c r="IS18" s="556"/>
      <c r="IT18" s="556"/>
      <c r="IU18" s="556"/>
      <c r="IV18" s="556"/>
      <c r="IW18" s="556"/>
      <c r="IX18" s="556"/>
      <c r="IY18" s="568"/>
      <c r="IZ18" s="569"/>
      <c r="JA18" s="569"/>
      <c r="JB18" s="569"/>
      <c r="JC18" s="569"/>
      <c r="JD18" s="570"/>
      <c r="JE18" s="556"/>
      <c r="JF18" s="556"/>
      <c r="JG18" s="556"/>
      <c r="JH18" s="556"/>
      <c r="JI18" s="556"/>
      <c r="JJ18" s="556"/>
      <c r="JK18" s="563"/>
      <c r="JL18" s="556"/>
      <c r="JM18" s="556"/>
      <c r="JN18" s="556"/>
      <c r="JO18" s="556"/>
      <c r="JP18" s="557"/>
      <c r="JQ18" s="563"/>
      <c r="JR18" s="556"/>
      <c r="JS18" s="556"/>
      <c r="JT18" s="556"/>
      <c r="JU18" s="556"/>
      <c r="JV18" s="557"/>
      <c r="JW18" s="556"/>
      <c r="JX18" s="556"/>
      <c r="JY18" s="556"/>
      <c r="JZ18" s="556"/>
      <c r="KA18" s="556"/>
      <c r="KB18" s="556"/>
      <c r="KC18" s="563"/>
      <c r="KD18" s="556"/>
      <c r="KE18" s="556"/>
      <c r="KF18" s="556"/>
      <c r="KG18" s="556"/>
      <c r="KH18" s="571"/>
      <c r="KI18" s="565"/>
      <c r="KJ18" s="566"/>
      <c r="KK18" s="566"/>
      <c r="KL18" s="566"/>
      <c r="KM18" s="566"/>
      <c r="KN18" s="566"/>
      <c r="KO18" s="563"/>
      <c r="KP18" s="556"/>
      <c r="KQ18" s="556"/>
      <c r="KR18" s="556"/>
      <c r="KS18" s="556"/>
      <c r="KT18" s="557"/>
      <c r="KU18" s="563"/>
      <c r="KV18" s="556"/>
      <c r="KW18" s="556"/>
      <c r="KX18" s="556"/>
      <c r="KY18" s="556"/>
      <c r="KZ18" s="557"/>
      <c r="LA18" s="564"/>
      <c r="LB18" s="564"/>
      <c r="LC18" s="564"/>
      <c r="LD18" s="564"/>
      <c r="LE18" s="564"/>
      <c r="LF18" s="564"/>
      <c r="LG18" s="565"/>
      <c r="LH18" s="566"/>
      <c r="LI18" s="566"/>
      <c r="LJ18" s="566"/>
      <c r="LK18" s="566"/>
      <c r="LL18" s="567"/>
      <c r="LM18" s="556"/>
      <c r="LN18" s="556"/>
      <c r="LO18" s="556"/>
      <c r="LP18" s="556"/>
      <c r="LQ18" s="556"/>
      <c r="LR18" s="556"/>
      <c r="LS18" s="568"/>
      <c r="LT18" s="569"/>
      <c r="LU18" s="569"/>
      <c r="LV18" s="569"/>
      <c r="LW18" s="569"/>
      <c r="LX18" s="570"/>
      <c r="LY18" s="556"/>
      <c r="LZ18" s="556"/>
      <c r="MA18" s="556"/>
      <c r="MB18" s="556"/>
      <c r="MC18" s="556"/>
      <c r="MD18" s="556"/>
      <c r="ME18" s="563"/>
      <c r="MF18" s="556"/>
      <c r="MG18" s="556"/>
      <c r="MH18" s="556"/>
      <c r="MI18" s="556"/>
      <c r="MJ18" s="557"/>
      <c r="MK18" s="563"/>
      <c r="ML18" s="556"/>
      <c r="MM18" s="556"/>
      <c r="MN18" s="556"/>
      <c r="MO18" s="556"/>
      <c r="MP18" s="557"/>
      <c r="MQ18" s="556"/>
      <c r="MR18" s="556"/>
      <c r="MS18" s="556"/>
      <c r="MT18" s="556"/>
      <c r="MU18" s="556"/>
      <c r="MV18" s="556"/>
      <c r="MW18" s="563"/>
      <c r="MX18" s="556"/>
      <c r="MY18" s="556"/>
      <c r="MZ18" s="556"/>
      <c r="NA18" s="556"/>
      <c r="NB18" s="571"/>
      <c r="NC18" s="565"/>
      <c r="ND18" s="566"/>
      <c r="NE18" s="566"/>
      <c r="NF18" s="566"/>
      <c r="NG18" s="566"/>
      <c r="NH18" s="566"/>
      <c r="NI18" s="563"/>
      <c r="NJ18" s="556"/>
      <c r="NK18" s="556"/>
      <c r="NL18" s="556"/>
      <c r="NM18" s="556"/>
      <c r="NN18" s="557"/>
      <c r="NO18" s="563"/>
      <c r="NP18" s="556"/>
      <c r="NQ18" s="556"/>
      <c r="NR18" s="556"/>
      <c r="NS18" s="556"/>
      <c r="NT18" s="557"/>
      <c r="NU18" s="564"/>
      <c r="NV18" s="564"/>
      <c r="NW18" s="564"/>
      <c r="NX18" s="564"/>
      <c r="NY18" s="564"/>
      <c r="NZ18" s="564"/>
      <c r="OA18" s="565"/>
      <c r="OB18" s="566"/>
      <c r="OC18" s="566"/>
      <c r="OD18" s="566"/>
      <c r="OE18" s="566"/>
      <c r="OF18" s="567"/>
      <c r="OG18" s="556"/>
      <c r="OH18" s="556"/>
      <c r="OI18" s="556"/>
      <c r="OJ18" s="556"/>
      <c r="OK18" s="556"/>
      <c r="OL18" s="556"/>
      <c r="OM18" s="568"/>
      <c r="ON18" s="569"/>
      <c r="OO18" s="569"/>
      <c r="OP18" s="569"/>
      <c r="OQ18" s="569"/>
      <c r="OR18" s="570"/>
      <c r="OS18" s="556"/>
      <c r="OT18" s="556"/>
      <c r="OU18" s="556"/>
      <c r="OV18" s="556"/>
      <c r="OW18" s="556"/>
      <c r="OX18" s="556"/>
      <c r="OY18" s="563"/>
      <c r="OZ18" s="556"/>
      <c r="PA18" s="556"/>
      <c r="PB18" s="556"/>
      <c r="PC18" s="556"/>
      <c r="PD18" s="557"/>
      <c r="PE18" s="563"/>
      <c r="PF18" s="556"/>
      <c r="PG18" s="556"/>
      <c r="PH18" s="556"/>
      <c r="PI18" s="556"/>
      <c r="PJ18" s="557"/>
      <c r="PK18" s="556"/>
      <c r="PL18" s="556"/>
      <c r="PM18" s="556"/>
      <c r="PN18" s="556"/>
      <c r="PO18" s="556"/>
      <c r="PP18" s="556"/>
      <c r="PQ18" s="563"/>
      <c r="PR18" s="556"/>
      <c r="PS18" s="556"/>
      <c r="PT18" s="556"/>
      <c r="PU18" s="556"/>
      <c r="PV18" s="571"/>
      <c r="PW18" s="565"/>
      <c r="PX18" s="566"/>
      <c r="PY18" s="566"/>
      <c r="PZ18" s="566"/>
      <c r="QA18" s="566"/>
      <c r="QB18" s="566"/>
      <c r="QC18" s="563"/>
      <c r="QD18" s="556"/>
      <c r="QE18" s="556"/>
      <c r="QF18" s="556"/>
      <c r="QG18" s="556"/>
      <c r="QH18" s="557"/>
      <c r="QI18" s="563"/>
      <c r="QJ18" s="556"/>
      <c r="QK18" s="556"/>
      <c r="QL18" s="556"/>
      <c r="QM18" s="556"/>
      <c r="QN18" s="557"/>
      <c r="QO18" s="564"/>
      <c r="QP18" s="564"/>
      <c r="QQ18" s="564"/>
      <c r="QR18" s="564"/>
      <c r="QS18" s="564"/>
      <c r="QT18" s="564"/>
      <c r="QU18" s="565"/>
      <c r="QV18" s="566"/>
      <c r="QW18" s="566"/>
      <c r="QX18" s="566"/>
      <c r="QY18" s="566"/>
      <c r="QZ18" s="567"/>
      <c r="RA18" s="556"/>
      <c r="RB18" s="556"/>
      <c r="RC18" s="556"/>
      <c r="RD18" s="556"/>
      <c r="RE18" s="556"/>
      <c r="RF18" s="556"/>
      <c r="RG18" s="568"/>
      <c r="RH18" s="569"/>
      <c r="RI18" s="569"/>
      <c r="RJ18" s="569"/>
      <c r="RK18" s="569"/>
      <c r="RL18" s="570"/>
      <c r="RM18" s="556"/>
      <c r="RN18" s="556"/>
      <c r="RO18" s="556"/>
      <c r="RP18" s="556"/>
      <c r="RQ18" s="556"/>
      <c r="RR18" s="556"/>
      <c r="RS18" s="563"/>
      <c r="RT18" s="556"/>
      <c r="RU18" s="556"/>
      <c r="RV18" s="556"/>
      <c r="RW18" s="556"/>
      <c r="RX18" s="557"/>
      <c r="RY18" s="563"/>
      <c r="RZ18" s="556"/>
      <c r="SA18" s="556"/>
      <c r="SB18" s="556"/>
      <c r="SC18" s="556"/>
      <c r="SD18" s="557"/>
      <c r="SE18" s="556"/>
      <c r="SF18" s="556"/>
      <c r="SG18" s="556"/>
      <c r="SH18" s="556"/>
      <c r="SI18" s="556"/>
      <c r="SJ18" s="556"/>
      <c r="SK18" s="563"/>
      <c r="SL18" s="556"/>
      <c r="SM18" s="556"/>
      <c r="SN18" s="556"/>
      <c r="SO18" s="556"/>
      <c r="SP18" s="571"/>
      <c r="SQ18" s="565"/>
      <c r="SR18" s="566"/>
      <c r="SS18" s="566"/>
      <c r="ST18" s="566"/>
      <c r="SU18" s="566"/>
      <c r="SV18" s="566"/>
      <c r="SW18" s="563"/>
      <c r="SX18" s="556"/>
      <c r="SY18" s="556"/>
      <c r="SZ18" s="556"/>
      <c r="TA18" s="556"/>
      <c r="TB18" s="557"/>
      <c r="TC18" s="563"/>
      <c r="TD18" s="556"/>
      <c r="TE18" s="556"/>
      <c r="TF18" s="556"/>
      <c r="TG18" s="556"/>
      <c r="TH18" s="557"/>
      <c r="TI18" s="564"/>
      <c r="TJ18" s="564"/>
      <c r="TK18" s="564"/>
      <c r="TL18" s="564"/>
      <c r="TM18" s="564"/>
      <c r="TN18" s="564"/>
      <c r="TO18" s="565"/>
      <c r="TP18" s="566"/>
      <c r="TQ18" s="566"/>
      <c r="TR18" s="566"/>
      <c r="TS18" s="566"/>
      <c r="TT18" s="567"/>
      <c r="TU18" s="556"/>
      <c r="TV18" s="556"/>
      <c r="TW18" s="556"/>
      <c r="TX18" s="556"/>
      <c r="TY18" s="556"/>
      <c r="TZ18" s="556"/>
      <c r="UA18" s="568"/>
      <c r="UB18" s="569"/>
      <c r="UC18" s="569"/>
      <c r="UD18" s="569"/>
      <c r="UE18" s="569"/>
      <c r="UF18" s="570"/>
      <c r="UG18" s="556"/>
      <c r="UH18" s="556"/>
      <c r="UI18" s="556"/>
      <c r="UJ18" s="556"/>
      <c r="UK18" s="556"/>
      <c r="UL18" s="556"/>
      <c r="UM18" s="563"/>
      <c r="UN18" s="556"/>
      <c r="UO18" s="556"/>
      <c r="UP18" s="556"/>
      <c r="UQ18" s="556"/>
      <c r="UR18" s="557"/>
      <c r="US18" s="563"/>
      <c r="UT18" s="556"/>
      <c r="UU18" s="556"/>
      <c r="UV18" s="556"/>
      <c r="UW18" s="556"/>
      <c r="UX18" s="557"/>
      <c r="UY18" s="556"/>
      <c r="UZ18" s="556"/>
      <c r="VA18" s="556"/>
      <c r="VB18" s="556"/>
      <c r="VC18" s="556"/>
      <c r="VD18" s="556"/>
      <c r="VE18" s="563"/>
      <c r="VF18" s="556"/>
      <c r="VG18" s="556"/>
      <c r="VH18" s="556"/>
      <c r="VI18" s="556"/>
      <c r="VJ18" s="571"/>
    </row>
    <row r="19" spans="3:582" s="52" customFormat="1" ht="15" customHeight="1" x14ac:dyDescent="0.25">
      <c r="C19" s="538"/>
      <c r="D19" s="540">
        <v>1</v>
      </c>
      <c r="E19" s="540"/>
      <c r="F19" s="543"/>
      <c r="G19" s="545"/>
      <c r="H19" s="546"/>
      <c r="I19" s="546"/>
      <c r="J19" s="546"/>
      <c r="K19" s="546"/>
      <c r="L19" s="547"/>
      <c r="M19" s="548"/>
      <c r="N19" s="546"/>
      <c r="O19" s="546"/>
      <c r="P19" s="546"/>
      <c r="Q19" s="546"/>
      <c r="R19" s="547"/>
      <c r="S19" s="548"/>
      <c r="T19" s="546"/>
      <c r="U19" s="546"/>
      <c r="V19" s="546"/>
      <c r="W19" s="546"/>
      <c r="X19" s="547"/>
      <c r="Y19" s="546"/>
      <c r="Z19" s="546"/>
      <c r="AA19" s="546"/>
      <c r="AB19" s="546"/>
      <c r="AC19" s="546"/>
      <c r="AD19" s="546"/>
      <c r="AE19" s="548"/>
      <c r="AF19" s="546"/>
      <c r="AG19" s="546"/>
      <c r="AH19" s="546"/>
      <c r="AI19" s="546"/>
      <c r="AJ19" s="547"/>
      <c r="AK19" s="546"/>
      <c r="AL19" s="546"/>
      <c r="AM19" s="546"/>
      <c r="AN19" s="546"/>
      <c r="AO19" s="546"/>
      <c r="AP19" s="546"/>
      <c r="AQ19" s="548"/>
      <c r="AR19" s="546"/>
      <c r="AS19" s="546"/>
      <c r="AT19" s="546"/>
      <c r="AU19" s="546"/>
      <c r="AV19" s="547"/>
      <c r="AW19" s="546"/>
      <c r="AX19" s="546"/>
      <c r="AY19" s="546"/>
      <c r="AZ19" s="546"/>
      <c r="BA19" s="546"/>
      <c r="BB19" s="546"/>
      <c r="BC19" s="548"/>
      <c r="BD19" s="546"/>
      <c r="BE19" s="546"/>
      <c r="BF19" s="546"/>
      <c r="BG19" s="546"/>
      <c r="BH19" s="547"/>
      <c r="BI19" s="548"/>
      <c r="BJ19" s="546"/>
      <c r="BK19" s="546"/>
      <c r="BL19" s="546"/>
      <c r="BM19" s="546"/>
      <c r="BN19" s="547"/>
      <c r="BO19" s="546"/>
      <c r="BP19" s="546"/>
      <c r="BQ19" s="546"/>
      <c r="BR19" s="546"/>
      <c r="BS19" s="546"/>
      <c r="BT19" s="546"/>
      <c r="BU19" s="548"/>
      <c r="BV19" s="546"/>
      <c r="BW19" s="546"/>
      <c r="BX19" s="546"/>
      <c r="BY19" s="546"/>
      <c r="BZ19" s="549"/>
      <c r="CA19" s="545"/>
      <c r="CB19" s="546"/>
      <c r="CC19" s="546"/>
      <c r="CD19" s="546"/>
      <c r="CE19" s="546"/>
      <c r="CF19" s="547"/>
      <c r="CG19" s="548"/>
      <c r="CH19" s="546"/>
      <c r="CI19" s="546"/>
      <c r="CJ19" s="546"/>
      <c r="CK19" s="546"/>
      <c r="CL19" s="547"/>
      <c r="CM19" s="548"/>
      <c r="CN19" s="546"/>
      <c r="CO19" s="546"/>
      <c r="CP19" s="546"/>
      <c r="CQ19" s="546"/>
      <c r="CR19" s="547"/>
      <c r="CS19" s="546"/>
      <c r="CT19" s="546"/>
      <c r="CU19" s="546"/>
      <c r="CV19" s="546"/>
      <c r="CW19" s="546"/>
      <c r="CX19" s="546"/>
      <c r="CY19" s="548"/>
      <c r="CZ19" s="546"/>
      <c r="DA19" s="546"/>
      <c r="DB19" s="546"/>
      <c r="DC19" s="546"/>
      <c r="DD19" s="547"/>
      <c r="DE19" s="546"/>
      <c r="DF19" s="546"/>
      <c r="DG19" s="546"/>
      <c r="DH19" s="546"/>
      <c r="DI19" s="546"/>
      <c r="DJ19" s="546"/>
      <c r="DK19" s="548"/>
      <c r="DL19" s="546"/>
      <c r="DM19" s="546"/>
      <c r="DN19" s="546"/>
      <c r="DO19" s="546"/>
      <c r="DP19" s="547"/>
      <c r="DQ19" s="546"/>
      <c r="DR19" s="546"/>
      <c r="DS19" s="546"/>
      <c r="DT19" s="546"/>
      <c r="DU19" s="546"/>
      <c r="DV19" s="546"/>
      <c r="DW19" s="548"/>
      <c r="DX19" s="546"/>
      <c r="DY19" s="546"/>
      <c r="DZ19" s="546"/>
      <c r="EA19" s="546"/>
      <c r="EB19" s="547"/>
      <c r="EC19" s="548"/>
      <c r="ED19" s="546"/>
      <c r="EE19" s="546"/>
      <c r="EF19" s="546"/>
      <c r="EG19" s="546"/>
      <c r="EH19" s="547"/>
      <c r="EI19" s="546"/>
      <c r="EJ19" s="546"/>
      <c r="EK19" s="546"/>
      <c r="EL19" s="546"/>
      <c r="EM19" s="546"/>
      <c r="EN19" s="546"/>
      <c r="EO19" s="548"/>
      <c r="EP19" s="546"/>
      <c r="EQ19" s="546"/>
      <c r="ER19" s="546"/>
      <c r="ES19" s="546"/>
      <c r="ET19" s="549"/>
      <c r="EU19" s="545"/>
      <c r="EV19" s="546"/>
      <c r="EW19" s="546"/>
      <c r="EX19" s="546"/>
      <c r="EY19" s="546"/>
      <c r="EZ19" s="547"/>
      <c r="FA19" s="548"/>
      <c r="FB19" s="546"/>
      <c r="FC19" s="546"/>
      <c r="FD19" s="546"/>
      <c r="FE19" s="546"/>
      <c r="FF19" s="547"/>
      <c r="FG19" s="548"/>
      <c r="FH19" s="546"/>
      <c r="FI19" s="546"/>
      <c r="FJ19" s="546"/>
      <c r="FK19" s="546"/>
      <c r="FL19" s="547"/>
      <c r="FM19" s="546"/>
      <c r="FN19" s="546"/>
      <c r="FO19" s="546"/>
      <c r="FP19" s="546"/>
      <c r="FQ19" s="546"/>
      <c r="FR19" s="546"/>
      <c r="FS19" s="548"/>
      <c r="FT19" s="546"/>
      <c r="FU19" s="546"/>
      <c r="FV19" s="546"/>
      <c r="FW19" s="546"/>
      <c r="FX19" s="547"/>
      <c r="FY19" s="546"/>
      <c r="FZ19" s="546"/>
      <c r="GA19" s="546"/>
      <c r="GB19" s="546"/>
      <c r="GC19" s="546"/>
      <c r="GD19" s="546"/>
      <c r="GE19" s="548"/>
      <c r="GF19" s="546"/>
      <c r="GG19" s="546"/>
      <c r="GH19" s="546"/>
      <c r="GI19" s="546"/>
      <c r="GJ19" s="547"/>
      <c r="GK19" s="546"/>
      <c r="GL19" s="546"/>
      <c r="GM19" s="546"/>
      <c r="GN19" s="546"/>
      <c r="GO19" s="546"/>
      <c r="GP19" s="546"/>
      <c r="GQ19" s="548"/>
      <c r="GR19" s="546"/>
      <c r="GS19" s="546"/>
      <c r="GT19" s="546"/>
      <c r="GU19" s="546"/>
      <c r="GV19" s="547"/>
      <c r="GW19" s="548"/>
      <c r="GX19" s="546"/>
      <c r="GY19" s="546"/>
      <c r="GZ19" s="546"/>
      <c r="HA19" s="546"/>
      <c r="HB19" s="547"/>
      <c r="HC19" s="546"/>
      <c r="HD19" s="546"/>
      <c r="HE19" s="546"/>
      <c r="HF19" s="546"/>
      <c r="HG19" s="546"/>
      <c r="HH19" s="546"/>
      <c r="HI19" s="548"/>
      <c r="HJ19" s="546"/>
      <c r="HK19" s="546"/>
      <c r="HL19" s="546"/>
      <c r="HM19" s="546"/>
      <c r="HN19" s="549"/>
      <c r="HO19" s="545"/>
      <c r="HP19" s="546"/>
      <c r="HQ19" s="546"/>
      <c r="HR19" s="546"/>
      <c r="HS19" s="546"/>
      <c r="HT19" s="547"/>
      <c r="HU19" s="548"/>
      <c r="HV19" s="546"/>
      <c r="HW19" s="546"/>
      <c r="HX19" s="546"/>
      <c r="HY19" s="546"/>
      <c r="HZ19" s="547"/>
      <c r="IA19" s="548"/>
      <c r="IB19" s="546"/>
      <c r="IC19" s="546"/>
      <c r="ID19" s="546"/>
      <c r="IE19" s="546"/>
      <c r="IF19" s="547"/>
      <c r="IG19" s="546"/>
      <c r="IH19" s="546"/>
      <c r="II19" s="546"/>
      <c r="IJ19" s="546"/>
      <c r="IK19" s="546"/>
      <c r="IL19" s="546"/>
      <c r="IM19" s="548"/>
      <c r="IN19" s="546"/>
      <c r="IO19" s="546"/>
      <c r="IP19" s="546"/>
      <c r="IQ19" s="546"/>
      <c r="IR19" s="547"/>
      <c r="IS19" s="546"/>
      <c r="IT19" s="546"/>
      <c r="IU19" s="546"/>
      <c r="IV19" s="546"/>
      <c r="IW19" s="546"/>
      <c r="IX19" s="546"/>
      <c r="IY19" s="548"/>
      <c r="IZ19" s="546"/>
      <c r="JA19" s="546"/>
      <c r="JB19" s="546"/>
      <c r="JC19" s="546"/>
      <c r="JD19" s="547"/>
      <c r="JE19" s="546"/>
      <c r="JF19" s="546"/>
      <c r="JG19" s="546"/>
      <c r="JH19" s="546"/>
      <c r="JI19" s="546"/>
      <c r="JJ19" s="546"/>
      <c r="JK19" s="548"/>
      <c r="JL19" s="546"/>
      <c r="JM19" s="546"/>
      <c r="JN19" s="546"/>
      <c r="JO19" s="546"/>
      <c r="JP19" s="547"/>
      <c r="JQ19" s="548"/>
      <c r="JR19" s="546"/>
      <c r="JS19" s="546"/>
      <c r="JT19" s="546"/>
      <c r="JU19" s="546"/>
      <c r="JV19" s="547"/>
      <c r="JW19" s="546"/>
      <c r="JX19" s="546"/>
      <c r="JY19" s="546"/>
      <c r="JZ19" s="546"/>
      <c r="KA19" s="546"/>
      <c r="KB19" s="546"/>
      <c r="KC19" s="548"/>
      <c r="KD19" s="546"/>
      <c r="KE19" s="546"/>
      <c r="KF19" s="546"/>
      <c r="KG19" s="546"/>
      <c r="KH19" s="549"/>
      <c r="KI19" s="545"/>
      <c r="KJ19" s="546"/>
      <c r="KK19" s="546"/>
      <c r="KL19" s="546"/>
      <c r="KM19" s="546"/>
      <c r="KN19" s="547"/>
      <c r="KO19" s="548"/>
      <c r="KP19" s="546"/>
      <c r="KQ19" s="546"/>
      <c r="KR19" s="546"/>
      <c r="KS19" s="546"/>
      <c r="KT19" s="547"/>
      <c r="KU19" s="548"/>
      <c r="KV19" s="546"/>
      <c r="KW19" s="546"/>
      <c r="KX19" s="546"/>
      <c r="KY19" s="546"/>
      <c r="KZ19" s="547"/>
      <c r="LA19" s="546"/>
      <c r="LB19" s="546"/>
      <c r="LC19" s="546"/>
      <c r="LD19" s="546"/>
      <c r="LE19" s="546"/>
      <c r="LF19" s="546"/>
      <c r="LG19" s="548"/>
      <c r="LH19" s="546"/>
      <c r="LI19" s="546"/>
      <c r="LJ19" s="546"/>
      <c r="LK19" s="546"/>
      <c r="LL19" s="547"/>
      <c r="LM19" s="546"/>
      <c r="LN19" s="546"/>
      <c r="LO19" s="546"/>
      <c r="LP19" s="546"/>
      <c r="LQ19" s="546"/>
      <c r="LR19" s="546"/>
      <c r="LS19" s="548"/>
      <c r="LT19" s="546"/>
      <c r="LU19" s="546"/>
      <c r="LV19" s="546"/>
      <c r="LW19" s="546"/>
      <c r="LX19" s="547"/>
      <c r="LY19" s="546"/>
      <c r="LZ19" s="546"/>
      <c r="MA19" s="546"/>
      <c r="MB19" s="546"/>
      <c r="MC19" s="546"/>
      <c r="MD19" s="546"/>
      <c r="ME19" s="548"/>
      <c r="MF19" s="546"/>
      <c r="MG19" s="546"/>
      <c r="MH19" s="546"/>
      <c r="MI19" s="546"/>
      <c r="MJ19" s="547"/>
      <c r="MK19" s="548"/>
      <c r="ML19" s="546"/>
      <c r="MM19" s="546"/>
      <c r="MN19" s="546"/>
      <c r="MO19" s="546"/>
      <c r="MP19" s="547"/>
      <c r="MQ19" s="546"/>
      <c r="MR19" s="546"/>
      <c r="MS19" s="546"/>
      <c r="MT19" s="546"/>
      <c r="MU19" s="546"/>
      <c r="MV19" s="546"/>
      <c r="MW19" s="548"/>
      <c r="MX19" s="546"/>
      <c r="MY19" s="546"/>
      <c r="MZ19" s="546"/>
      <c r="NA19" s="546"/>
      <c r="NB19" s="549"/>
      <c r="NC19" s="545"/>
      <c r="ND19" s="546"/>
      <c r="NE19" s="546"/>
      <c r="NF19" s="546"/>
      <c r="NG19" s="546"/>
      <c r="NH19" s="547"/>
      <c r="NI19" s="548"/>
      <c r="NJ19" s="546"/>
      <c r="NK19" s="546"/>
      <c r="NL19" s="546"/>
      <c r="NM19" s="546"/>
      <c r="NN19" s="547"/>
      <c r="NO19" s="548"/>
      <c r="NP19" s="546"/>
      <c r="NQ19" s="546"/>
      <c r="NR19" s="546"/>
      <c r="NS19" s="546"/>
      <c r="NT19" s="547"/>
      <c r="NU19" s="546"/>
      <c r="NV19" s="546"/>
      <c r="NW19" s="546"/>
      <c r="NX19" s="546"/>
      <c r="NY19" s="546"/>
      <c r="NZ19" s="546"/>
      <c r="OA19" s="548"/>
      <c r="OB19" s="546"/>
      <c r="OC19" s="546"/>
      <c r="OD19" s="546"/>
      <c r="OE19" s="546"/>
      <c r="OF19" s="547"/>
      <c r="OG19" s="546"/>
      <c r="OH19" s="546"/>
      <c r="OI19" s="546"/>
      <c r="OJ19" s="546"/>
      <c r="OK19" s="546"/>
      <c r="OL19" s="546"/>
      <c r="OM19" s="548"/>
      <c r="ON19" s="546"/>
      <c r="OO19" s="546"/>
      <c r="OP19" s="546"/>
      <c r="OQ19" s="546"/>
      <c r="OR19" s="547"/>
      <c r="OS19" s="546"/>
      <c r="OT19" s="546"/>
      <c r="OU19" s="546"/>
      <c r="OV19" s="546"/>
      <c r="OW19" s="546"/>
      <c r="OX19" s="546"/>
      <c r="OY19" s="548"/>
      <c r="OZ19" s="546"/>
      <c r="PA19" s="546"/>
      <c r="PB19" s="546"/>
      <c r="PC19" s="546"/>
      <c r="PD19" s="547"/>
      <c r="PE19" s="548"/>
      <c r="PF19" s="546"/>
      <c r="PG19" s="546"/>
      <c r="PH19" s="546"/>
      <c r="PI19" s="546"/>
      <c r="PJ19" s="547"/>
      <c r="PK19" s="546"/>
      <c r="PL19" s="546"/>
      <c r="PM19" s="546"/>
      <c r="PN19" s="546"/>
      <c r="PO19" s="546"/>
      <c r="PP19" s="546"/>
      <c r="PQ19" s="548"/>
      <c r="PR19" s="546"/>
      <c r="PS19" s="546"/>
      <c r="PT19" s="546"/>
      <c r="PU19" s="546"/>
      <c r="PV19" s="549"/>
      <c r="PW19" s="545"/>
      <c r="PX19" s="546"/>
      <c r="PY19" s="546"/>
      <c r="PZ19" s="546"/>
      <c r="QA19" s="546"/>
      <c r="QB19" s="547"/>
      <c r="QC19" s="548"/>
      <c r="QD19" s="546"/>
      <c r="QE19" s="546"/>
      <c r="QF19" s="546"/>
      <c r="QG19" s="546"/>
      <c r="QH19" s="547"/>
      <c r="QI19" s="548"/>
      <c r="QJ19" s="546"/>
      <c r="QK19" s="546"/>
      <c r="QL19" s="546"/>
      <c r="QM19" s="546"/>
      <c r="QN19" s="547"/>
      <c r="QO19" s="546"/>
      <c r="QP19" s="546"/>
      <c r="QQ19" s="546"/>
      <c r="QR19" s="546"/>
      <c r="QS19" s="546"/>
      <c r="QT19" s="546"/>
      <c r="QU19" s="548"/>
      <c r="QV19" s="546"/>
      <c r="QW19" s="546"/>
      <c r="QX19" s="546"/>
      <c r="QY19" s="546"/>
      <c r="QZ19" s="547"/>
      <c r="RA19" s="546"/>
      <c r="RB19" s="546"/>
      <c r="RC19" s="546"/>
      <c r="RD19" s="546"/>
      <c r="RE19" s="546"/>
      <c r="RF19" s="546"/>
      <c r="RG19" s="548"/>
      <c r="RH19" s="546"/>
      <c r="RI19" s="546"/>
      <c r="RJ19" s="546"/>
      <c r="RK19" s="546"/>
      <c r="RL19" s="547"/>
      <c r="RM19" s="546"/>
      <c r="RN19" s="546"/>
      <c r="RO19" s="546"/>
      <c r="RP19" s="546"/>
      <c r="RQ19" s="546"/>
      <c r="RR19" s="546"/>
      <c r="RS19" s="548"/>
      <c r="RT19" s="546"/>
      <c r="RU19" s="546"/>
      <c r="RV19" s="546"/>
      <c r="RW19" s="546"/>
      <c r="RX19" s="547"/>
      <c r="RY19" s="548"/>
      <c r="RZ19" s="546"/>
      <c r="SA19" s="546"/>
      <c r="SB19" s="546"/>
      <c r="SC19" s="546"/>
      <c r="SD19" s="547"/>
      <c r="SE19" s="546"/>
      <c r="SF19" s="546"/>
      <c r="SG19" s="546"/>
      <c r="SH19" s="546"/>
      <c r="SI19" s="546"/>
      <c r="SJ19" s="546"/>
      <c r="SK19" s="548"/>
      <c r="SL19" s="546"/>
      <c r="SM19" s="546"/>
      <c r="SN19" s="546"/>
      <c r="SO19" s="546"/>
      <c r="SP19" s="549"/>
      <c r="SQ19" s="545"/>
      <c r="SR19" s="546"/>
      <c r="SS19" s="546"/>
      <c r="ST19" s="546"/>
      <c r="SU19" s="546"/>
      <c r="SV19" s="547"/>
      <c r="SW19" s="548"/>
      <c r="SX19" s="546"/>
      <c r="SY19" s="546"/>
      <c r="SZ19" s="546"/>
      <c r="TA19" s="546"/>
      <c r="TB19" s="547"/>
      <c r="TC19" s="548"/>
      <c r="TD19" s="546"/>
      <c r="TE19" s="546"/>
      <c r="TF19" s="546"/>
      <c r="TG19" s="546"/>
      <c r="TH19" s="547"/>
      <c r="TI19" s="546"/>
      <c r="TJ19" s="546"/>
      <c r="TK19" s="546"/>
      <c r="TL19" s="546"/>
      <c r="TM19" s="546"/>
      <c r="TN19" s="546"/>
      <c r="TO19" s="548"/>
      <c r="TP19" s="546"/>
      <c r="TQ19" s="546"/>
      <c r="TR19" s="546"/>
      <c r="TS19" s="546"/>
      <c r="TT19" s="547"/>
      <c r="TU19" s="546"/>
      <c r="TV19" s="546"/>
      <c r="TW19" s="546"/>
      <c r="TX19" s="546"/>
      <c r="TY19" s="546"/>
      <c r="TZ19" s="546"/>
      <c r="UA19" s="548"/>
      <c r="UB19" s="546"/>
      <c r="UC19" s="546"/>
      <c r="UD19" s="546"/>
      <c r="UE19" s="546"/>
      <c r="UF19" s="547"/>
      <c r="UG19" s="546"/>
      <c r="UH19" s="546"/>
      <c r="UI19" s="546"/>
      <c r="UJ19" s="546"/>
      <c r="UK19" s="546"/>
      <c r="UL19" s="546"/>
      <c r="UM19" s="548"/>
      <c r="UN19" s="546"/>
      <c r="UO19" s="546"/>
      <c r="UP19" s="546"/>
      <c r="UQ19" s="546"/>
      <c r="UR19" s="547"/>
      <c r="US19" s="548"/>
      <c r="UT19" s="546"/>
      <c r="UU19" s="546"/>
      <c r="UV19" s="546"/>
      <c r="UW19" s="546"/>
      <c r="UX19" s="547"/>
      <c r="UY19" s="546"/>
      <c r="UZ19" s="546"/>
      <c r="VA19" s="546"/>
      <c r="VB19" s="546"/>
      <c r="VC19" s="546"/>
      <c r="VD19" s="546"/>
      <c r="VE19" s="548"/>
      <c r="VF19" s="546"/>
      <c r="VG19" s="546"/>
      <c r="VH19" s="546"/>
      <c r="VI19" s="546"/>
      <c r="VJ19" s="549"/>
    </row>
    <row r="20" spans="3:582" s="52" customFormat="1" ht="19.5" customHeight="1" x14ac:dyDescent="0.25">
      <c r="C20" s="538"/>
      <c r="D20" s="541"/>
      <c r="E20" s="541"/>
      <c r="F20" s="543"/>
      <c r="G20" s="277"/>
      <c r="H20" s="273"/>
      <c r="I20" s="273"/>
      <c r="J20" s="273"/>
      <c r="K20" s="273"/>
      <c r="L20" s="274"/>
      <c r="M20" s="275"/>
      <c r="N20" s="273"/>
      <c r="O20" s="273"/>
      <c r="P20" s="273"/>
      <c r="Q20" s="273"/>
      <c r="R20" s="274"/>
      <c r="S20" s="275"/>
      <c r="T20" s="273"/>
      <c r="U20" s="273"/>
      <c r="V20" s="273"/>
      <c r="W20" s="273"/>
      <c r="X20" s="274"/>
      <c r="Y20" s="275"/>
      <c r="Z20" s="273"/>
      <c r="AA20" s="273"/>
      <c r="AB20" s="273"/>
      <c r="AC20" s="273"/>
      <c r="AD20" s="273"/>
      <c r="AE20" s="275"/>
      <c r="AF20" s="273"/>
      <c r="AG20" s="273"/>
      <c r="AH20" s="273"/>
      <c r="AI20" s="273"/>
      <c r="AJ20" s="274"/>
      <c r="AK20" s="273"/>
      <c r="AL20" s="273"/>
      <c r="AM20" s="273"/>
      <c r="AN20" s="273"/>
      <c r="AO20" s="273"/>
      <c r="AP20" s="273"/>
      <c r="AQ20" s="275"/>
      <c r="AR20" s="273"/>
      <c r="AS20" s="273"/>
      <c r="AT20" s="273"/>
      <c r="AU20" s="273"/>
      <c r="AV20" s="274"/>
      <c r="AW20" s="273"/>
      <c r="AX20" s="273"/>
      <c r="AY20" s="273"/>
      <c r="AZ20" s="273"/>
      <c r="BA20" s="273"/>
      <c r="BB20" s="273"/>
      <c r="BC20" s="275"/>
      <c r="BD20" s="273"/>
      <c r="BE20" s="273"/>
      <c r="BF20" s="273"/>
      <c r="BG20" s="273"/>
      <c r="BH20" s="274"/>
      <c r="BI20" s="275"/>
      <c r="BJ20" s="273"/>
      <c r="BK20" s="273"/>
      <c r="BL20" s="273"/>
      <c r="BM20" s="273"/>
      <c r="BN20" s="274"/>
      <c r="BO20" s="273"/>
      <c r="BP20" s="273"/>
      <c r="BQ20" s="273"/>
      <c r="BR20" s="273"/>
      <c r="BS20" s="273"/>
      <c r="BT20" s="274"/>
      <c r="BU20" s="273"/>
      <c r="BV20" s="273"/>
      <c r="BW20" s="273"/>
      <c r="BX20" s="273"/>
      <c r="BY20" s="273"/>
      <c r="BZ20" s="276"/>
      <c r="CA20" s="277"/>
      <c r="CB20" s="273"/>
      <c r="CC20" s="273"/>
      <c r="CD20" s="273"/>
      <c r="CE20" s="273"/>
      <c r="CF20" s="274"/>
      <c r="CG20" s="275"/>
      <c r="CH20" s="273"/>
      <c r="CI20" s="273"/>
      <c r="CJ20" s="273"/>
      <c r="CK20" s="273"/>
      <c r="CL20" s="274"/>
      <c r="CM20" s="275"/>
      <c r="CN20" s="273"/>
      <c r="CO20" s="273"/>
      <c r="CP20" s="273"/>
      <c r="CQ20" s="273"/>
      <c r="CR20" s="274"/>
      <c r="CS20" s="275"/>
      <c r="CT20" s="273"/>
      <c r="CU20" s="273"/>
      <c r="CV20" s="273"/>
      <c r="CW20" s="273"/>
      <c r="CX20" s="273"/>
      <c r="CY20" s="275"/>
      <c r="CZ20" s="273"/>
      <c r="DA20" s="273"/>
      <c r="DB20" s="273"/>
      <c r="DC20" s="273"/>
      <c r="DD20" s="274"/>
      <c r="DE20" s="273"/>
      <c r="DF20" s="273"/>
      <c r="DG20" s="273"/>
      <c r="DH20" s="273"/>
      <c r="DI20" s="273"/>
      <c r="DJ20" s="273"/>
      <c r="DK20" s="275"/>
      <c r="DL20" s="273"/>
      <c r="DM20" s="273"/>
      <c r="DN20" s="273"/>
      <c r="DO20" s="273"/>
      <c r="DP20" s="274"/>
      <c r="DQ20" s="273"/>
      <c r="DR20" s="273"/>
      <c r="DS20" s="273"/>
      <c r="DT20" s="273"/>
      <c r="DU20" s="273"/>
      <c r="DV20" s="273"/>
      <c r="DW20" s="275"/>
      <c r="DX20" s="273"/>
      <c r="DY20" s="273"/>
      <c r="DZ20" s="273"/>
      <c r="EA20" s="273"/>
      <c r="EB20" s="274"/>
      <c r="EC20" s="275"/>
      <c r="ED20" s="273"/>
      <c r="EE20" s="273"/>
      <c r="EF20" s="273"/>
      <c r="EG20" s="273"/>
      <c r="EH20" s="274"/>
      <c r="EI20" s="273"/>
      <c r="EJ20" s="273"/>
      <c r="EK20" s="273"/>
      <c r="EL20" s="273"/>
      <c r="EM20" s="273"/>
      <c r="EN20" s="274"/>
      <c r="EO20" s="273"/>
      <c r="EP20" s="273"/>
      <c r="EQ20" s="273"/>
      <c r="ER20" s="273"/>
      <c r="ES20" s="273"/>
      <c r="ET20" s="276"/>
      <c r="EU20" s="273"/>
      <c r="EV20" s="273"/>
      <c r="EW20" s="273"/>
      <c r="EX20" s="273"/>
      <c r="EY20" s="273"/>
      <c r="EZ20" s="274"/>
      <c r="FA20" s="275"/>
      <c r="FB20" s="273"/>
      <c r="FC20" s="273"/>
      <c r="FD20" s="273"/>
      <c r="FE20" s="273"/>
      <c r="FF20" s="274"/>
      <c r="FG20" s="275"/>
      <c r="FH20" s="273"/>
      <c r="FI20" s="273"/>
      <c r="FJ20" s="273"/>
      <c r="FK20" s="273"/>
      <c r="FL20" s="273"/>
      <c r="FM20" s="275"/>
      <c r="FN20" s="273"/>
      <c r="FO20" s="273"/>
      <c r="FP20" s="273"/>
      <c r="FQ20" s="273"/>
      <c r="FR20" s="273"/>
      <c r="FS20" s="275"/>
      <c r="FT20" s="273"/>
      <c r="FU20" s="273"/>
      <c r="FV20" s="273"/>
      <c r="FW20" s="273"/>
      <c r="FX20" s="273"/>
      <c r="FY20" s="275"/>
      <c r="FZ20" s="273"/>
      <c r="GA20" s="273"/>
      <c r="GB20" s="273"/>
      <c r="GC20" s="273"/>
      <c r="GD20" s="273"/>
      <c r="GE20" s="275"/>
      <c r="GF20" s="273"/>
      <c r="GG20" s="273"/>
      <c r="GH20" s="273"/>
      <c r="GI20" s="273"/>
      <c r="GJ20" s="273"/>
      <c r="GK20" s="275"/>
      <c r="GL20" s="273"/>
      <c r="GM20" s="273"/>
      <c r="GN20" s="273"/>
      <c r="GO20" s="273"/>
      <c r="GP20" s="274"/>
      <c r="GQ20" s="273"/>
      <c r="GR20" s="273"/>
      <c r="GS20" s="273"/>
      <c r="GT20" s="273"/>
      <c r="GU20" s="273"/>
      <c r="GV20" s="273"/>
      <c r="GW20" s="275"/>
      <c r="GX20" s="274"/>
      <c r="GY20" s="273"/>
      <c r="GZ20" s="273"/>
      <c r="HA20" s="273"/>
      <c r="HB20" s="273"/>
      <c r="HC20" s="275"/>
      <c r="HD20" s="273"/>
      <c r="HE20" s="273"/>
      <c r="HF20" s="273"/>
      <c r="HG20" s="273"/>
      <c r="HH20" s="273"/>
      <c r="HI20" s="275"/>
      <c r="HJ20" s="273"/>
      <c r="HK20" s="273"/>
      <c r="HL20" s="273"/>
      <c r="HM20" s="273"/>
      <c r="HN20" s="276"/>
      <c r="HO20" s="273"/>
      <c r="HP20" s="273"/>
      <c r="HQ20" s="273"/>
      <c r="HR20" s="273"/>
      <c r="HS20" s="273"/>
      <c r="HT20" s="274"/>
      <c r="HU20" s="273"/>
      <c r="HV20" s="273"/>
      <c r="HW20" s="273"/>
      <c r="HX20" s="273"/>
      <c r="HY20" s="273"/>
      <c r="HZ20" s="273"/>
      <c r="IA20" s="275"/>
      <c r="IB20" s="273"/>
      <c r="IC20" s="273"/>
      <c r="ID20" s="273"/>
      <c r="IE20" s="273"/>
      <c r="IF20" s="273"/>
      <c r="IG20" s="275"/>
      <c r="IH20" s="273"/>
      <c r="II20" s="273"/>
      <c r="IJ20" s="273"/>
      <c r="IK20" s="273"/>
      <c r="IL20" s="274"/>
      <c r="IM20" s="275"/>
      <c r="IN20" s="273"/>
      <c r="IO20" s="273"/>
      <c r="IP20" s="273"/>
      <c r="IQ20" s="273"/>
      <c r="IR20" s="274"/>
      <c r="IS20" s="273"/>
      <c r="IT20" s="273"/>
      <c r="IU20" s="273"/>
      <c r="IV20" s="273"/>
      <c r="IW20" s="273"/>
      <c r="IX20" s="273"/>
      <c r="IY20" s="275"/>
      <c r="IZ20" s="273"/>
      <c r="JA20" s="273"/>
      <c r="JB20" s="273"/>
      <c r="JC20" s="273"/>
      <c r="JD20" s="274"/>
      <c r="JE20" s="273"/>
      <c r="JF20" s="273"/>
      <c r="JG20" s="273"/>
      <c r="JH20" s="273"/>
      <c r="JI20" s="273"/>
      <c r="JJ20" s="273"/>
      <c r="JK20" s="275"/>
      <c r="JL20" s="273"/>
      <c r="JM20" s="273"/>
      <c r="JN20" s="273"/>
      <c r="JO20" s="273"/>
      <c r="JP20" s="274"/>
      <c r="JQ20" s="275"/>
      <c r="JR20" s="273"/>
      <c r="JS20" s="273"/>
      <c r="JT20" s="273"/>
      <c r="JU20" s="273"/>
      <c r="JV20" s="274"/>
      <c r="JW20" s="273"/>
      <c r="JX20" s="273"/>
      <c r="JY20" s="273"/>
      <c r="JZ20" s="273"/>
      <c r="KA20" s="273"/>
      <c r="KB20" s="273"/>
      <c r="KC20" s="275"/>
      <c r="KD20" s="273"/>
      <c r="KE20" s="273"/>
      <c r="KF20" s="273"/>
      <c r="KG20" s="273"/>
      <c r="KH20" s="276"/>
      <c r="KI20" s="273"/>
      <c r="KJ20" s="273"/>
      <c r="KK20" s="273"/>
      <c r="KL20" s="273"/>
      <c r="KM20" s="273"/>
      <c r="KN20" s="274"/>
      <c r="KO20" s="275"/>
      <c r="KP20" s="273"/>
      <c r="KQ20" s="273"/>
      <c r="KR20" s="273"/>
      <c r="KS20" s="273"/>
      <c r="KT20" s="274"/>
      <c r="KU20" s="275"/>
      <c r="KV20" s="273"/>
      <c r="KW20" s="273"/>
      <c r="KX20" s="273"/>
      <c r="KY20" s="273"/>
      <c r="KZ20" s="274"/>
      <c r="LA20" s="275"/>
      <c r="LB20" s="273"/>
      <c r="LC20" s="273"/>
      <c r="LD20" s="273"/>
      <c r="LE20" s="273"/>
      <c r="LF20" s="273"/>
      <c r="LG20" s="275"/>
      <c r="LH20" s="273"/>
      <c r="LI20" s="273"/>
      <c r="LJ20" s="273"/>
      <c r="LK20" s="273"/>
      <c r="LL20" s="274"/>
      <c r="LM20" s="273"/>
      <c r="LN20" s="273"/>
      <c r="LO20" s="273"/>
      <c r="LP20" s="273"/>
      <c r="LQ20" s="273"/>
      <c r="LR20" s="273"/>
      <c r="LS20" s="275"/>
      <c r="LT20" s="273"/>
      <c r="LU20" s="273"/>
      <c r="LV20" s="273"/>
      <c r="LW20" s="273"/>
      <c r="LX20" s="274"/>
      <c r="LY20" s="273"/>
      <c r="LZ20" s="273"/>
      <c r="MA20" s="273"/>
      <c r="MB20" s="273"/>
      <c r="MC20" s="273"/>
      <c r="MD20" s="273"/>
      <c r="ME20" s="275"/>
      <c r="MF20" s="273"/>
      <c r="MG20" s="273"/>
      <c r="MH20" s="273"/>
      <c r="MI20" s="273"/>
      <c r="MJ20" s="274"/>
      <c r="MK20" s="275"/>
      <c r="ML20" s="273"/>
      <c r="MM20" s="273"/>
      <c r="MN20" s="273"/>
      <c r="MO20" s="273"/>
      <c r="MP20" s="274"/>
      <c r="MQ20" s="273"/>
      <c r="MR20" s="273"/>
      <c r="MS20" s="273"/>
      <c r="MT20" s="273"/>
      <c r="MU20" s="273"/>
      <c r="MV20" s="273"/>
      <c r="MW20" s="275"/>
      <c r="MX20" s="273"/>
      <c r="MY20" s="273"/>
      <c r="MZ20" s="273"/>
      <c r="NA20" s="273"/>
      <c r="NB20" s="276"/>
      <c r="NC20" s="273"/>
      <c r="ND20" s="273"/>
      <c r="NE20" s="273"/>
      <c r="NF20" s="273"/>
      <c r="NG20" s="273"/>
      <c r="NH20" s="274"/>
      <c r="NI20" s="275"/>
      <c r="NJ20" s="273"/>
      <c r="NK20" s="273"/>
      <c r="NL20" s="273"/>
      <c r="NM20" s="273"/>
      <c r="NN20" s="274"/>
      <c r="NO20" s="275"/>
      <c r="NP20" s="273"/>
      <c r="NQ20" s="273"/>
      <c r="NR20" s="273"/>
      <c r="NS20" s="273"/>
      <c r="NT20" s="274"/>
      <c r="NU20" s="275"/>
      <c r="NV20" s="273"/>
      <c r="NW20" s="273"/>
      <c r="NX20" s="273"/>
      <c r="NY20" s="273"/>
      <c r="NZ20" s="273"/>
      <c r="OA20" s="275"/>
      <c r="OB20" s="273"/>
      <c r="OC20" s="273"/>
      <c r="OD20" s="273"/>
      <c r="OE20" s="273"/>
      <c r="OF20" s="274"/>
      <c r="OG20" s="273"/>
      <c r="OH20" s="273"/>
      <c r="OI20" s="273"/>
      <c r="OJ20" s="273"/>
      <c r="OK20" s="273"/>
      <c r="OL20" s="273"/>
      <c r="OM20" s="275"/>
      <c r="ON20" s="273"/>
      <c r="OO20" s="273"/>
      <c r="OP20" s="273"/>
      <c r="OQ20" s="273"/>
      <c r="OR20" s="274"/>
      <c r="OS20" s="273"/>
      <c r="OT20" s="273"/>
      <c r="OU20" s="273"/>
      <c r="OV20" s="273"/>
      <c r="OW20" s="273"/>
      <c r="OX20" s="273"/>
      <c r="OY20" s="275"/>
      <c r="OZ20" s="273"/>
      <c r="PA20" s="273"/>
      <c r="PB20" s="273"/>
      <c r="PC20" s="273"/>
      <c r="PD20" s="274"/>
      <c r="PE20" s="275"/>
      <c r="PF20" s="273"/>
      <c r="PG20" s="273"/>
      <c r="PH20" s="273"/>
      <c r="PI20" s="273"/>
      <c r="PJ20" s="274"/>
      <c r="PK20" s="273"/>
      <c r="PL20" s="273"/>
      <c r="PM20" s="273"/>
      <c r="PN20" s="273"/>
      <c r="PO20" s="273"/>
      <c r="PP20" s="273"/>
      <c r="PQ20" s="275"/>
      <c r="PR20" s="273"/>
      <c r="PS20" s="273"/>
      <c r="PT20" s="273"/>
      <c r="PU20" s="273"/>
      <c r="PV20" s="276"/>
      <c r="PW20" s="273"/>
      <c r="PX20" s="273"/>
      <c r="PY20" s="273"/>
      <c r="PZ20" s="273"/>
      <c r="QA20" s="273"/>
      <c r="QB20" s="274"/>
      <c r="QC20" s="275"/>
      <c r="QD20" s="273"/>
      <c r="QE20" s="273"/>
      <c r="QF20" s="273"/>
      <c r="QG20" s="273"/>
      <c r="QH20" s="274"/>
      <c r="QI20" s="275"/>
      <c r="QJ20" s="273"/>
      <c r="QK20" s="273"/>
      <c r="QL20" s="273"/>
      <c r="QM20" s="273"/>
      <c r="QN20" s="274"/>
      <c r="QO20" s="275"/>
      <c r="QP20" s="273"/>
      <c r="QQ20" s="273"/>
      <c r="QR20" s="273"/>
      <c r="QS20" s="273"/>
      <c r="QT20" s="273"/>
      <c r="QU20" s="275"/>
      <c r="QV20" s="273"/>
      <c r="QW20" s="273"/>
      <c r="QX20" s="273"/>
      <c r="QY20" s="273"/>
      <c r="QZ20" s="274"/>
      <c r="RA20" s="273"/>
      <c r="RB20" s="273"/>
      <c r="RC20" s="273"/>
      <c r="RD20" s="273"/>
      <c r="RE20" s="273"/>
      <c r="RF20" s="273"/>
      <c r="RG20" s="275"/>
      <c r="RH20" s="273"/>
      <c r="RI20" s="273"/>
      <c r="RJ20" s="273"/>
      <c r="RK20" s="273"/>
      <c r="RL20" s="274"/>
      <c r="RM20" s="273"/>
      <c r="RN20" s="273"/>
      <c r="RO20" s="273"/>
      <c r="RP20" s="273"/>
      <c r="RQ20" s="273"/>
      <c r="RR20" s="273"/>
      <c r="RS20" s="275"/>
      <c r="RT20" s="273"/>
      <c r="RU20" s="273"/>
      <c r="RV20" s="273"/>
      <c r="RW20" s="273"/>
      <c r="RX20" s="274"/>
      <c r="RY20" s="275"/>
      <c r="RZ20" s="273"/>
      <c r="SA20" s="273"/>
      <c r="SB20" s="273"/>
      <c r="SC20" s="273"/>
      <c r="SD20" s="274"/>
      <c r="SE20" s="273"/>
      <c r="SF20" s="273"/>
      <c r="SG20" s="273"/>
      <c r="SH20" s="273"/>
      <c r="SI20" s="273"/>
      <c r="SJ20" s="273"/>
      <c r="SK20" s="275"/>
      <c r="SL20" s="273"/>
      <c r="SM20" s="273"/>
      <c r="SN20" s="273"/>
      <c r="SO20" s="273"/>
      <c r="SP20" s="276"/>
      <c r="SQ20" s="273"/>
      <c r="SR20" s="273"/>
      <c r="SS20" s="273"/>
      <c r="ST20" s="273"/>
      <c r="SU20" s="273"/>
      <c r="SV20" s="274"/>
      <c r="SW20" s="275"/>
      <c r="SX20" s="273"/>
      <c r="SY20" s="273"/>
      <c r="SZ20" s="273"/>
      <c r="TA20" s="273"/>
      <c r="TB20" s="274"/>
      <c r="TC20" s="275"/>
      <c r="TD20" s="273"/>
      <c r="TE20" s="273"/>
      <c r="TF20" s="273"/>
      <c r="TG20" s="273"/>
      <c r="TH20" s="274"/>
      <c r="TI20" s="275"/>
      <c r="TJ20" s="273"/>
      <c r="TK20" s="273"/>
      <c r="TL20" s="273"/>
      <c r="TM20" s="273"/>
      <c r="TN20" s="273"/>
      <c r="TO20" s="275"/>
      <c r="TP20" s="273"/>
      <c r="TQ20" s="273"/>
      <c r="TR20" s="273"/>
      <c r="TS20" s="273"/>
      <c r="TT20" s="274"/>
      <c r="TU20" s="273"/>
      <c r="TV20" s="273"/>
      <c r="TW20" s="273"/>
      <c r="TX20" s="273"/>
      <c r="TY20" s="273"/>
      <c r="TZ20" s="273"/>
      <c r="UA20" s="275"/>
      <c r="UB20" s="273"/>
      <c r="UC20" s="273"/>
      <c r="UD20" s="273"/>
      <c r="UE20" s="273"/>
      <c r="UF20" s="274"/>
      <c r="UG20" s="273"/>
      <c r="UH20" s="273"/>
      <c r="UI20" s="273"/>
      <c r="UJ20" s="273"/>
      <c r="UK20" s="273"/>
      <c r="UL20" s="273"/>
      <c r="UM20" s="275"/>
      <c r="UN20" s="273"/>
      <c r="UO20" s="273"/>
      <c r="UP20" s="273"/>
      <c r="UQ20" s="273"/>
      <c r="UR20" s="274"/>
      <c r="US20" s="275"/>
      <c r="UT20" s="273"/>
      <c r="UU20" s="273"/>
      <c r="UV20" s="273"/>
      <c r="UW20" s="273"/>
      <c r="UX20" s="274"/>
      <c r="UY20" s="273"/>
      <c r="UZ20" s="273"/>
      <c r="VA20" s="273"/>
      <c r="VB20" s="273"/>
      <c r="VC20" s="273"/>
      <c r="VD20" s="273"/>
      <c r="VE20" s="275"/>
      <c r="VF20" s="273"/>
      <c r="VG20" s="273"/>
      <c r="VH20" s="273"/>
      <c r="VI20" s="273"/>
      <c r="VJ20" s="276"/>
    </row>
    <row r="21" spans="3:582" s="52" customFormat="1" ht="42" customHeight="1" thickBot="1" x14ac:dyDescent="0.3">
      <c r="C21" s="539"/>
      <c r="D21" s="542"/>
      <c r="E21" s="542"/>
      <c r="F21" s="544"/>
      <c r="G21" s="555"/>
      <c r="H21" s="556"/>
      <c r="I21" s="556"/>
      <c r="J21" s="556"/>
      <c r="K21" s="556"/>
      <c r="L21" s="557"/>
      <c r="M21" s="563"/>
      <c r="N21" s="556"/>
      <c r="O21" s="556"/>
      <c r="P21" s="556"/>
      <c r="Q21" s="556"/>
      <c r="R21" s="557"/>
      <c r="S21" s="563"/>
      <c r="T21" s="556"/>
      <c r="U21" s="556"/>
      <c r="V21" s="556"/>
      <c r="W21" s="556"/>
      <c r="X21" s="557"/>
      <c r="Y21" s="564"/>
      <c r="Z21" s="564"/>
      <c r="AA21" s="564"/>
      <c r="AB21" s="564"/>
      <c r="AC21" s="564"/>
      <c r="AD21" s="564"/>
      <c r="AE21" s="565"/>
      <c r="AF21" s="566"/>
      <c r="AG21" s="566"/>
      <c r="AH21" s="566"/>
      <c r="AI21" s="566"/>
      <c r="AJ21" s="567"/>
      <c r="AK21" s="556"/>
      <c r="AL21" s="556"/>
      <c r="AM21" s="556"/>
      <c r="AN21" s="556"/>
      <c r="AO21" s="556"/>
      <c r="AP21" s="556"/>
      <c r="AQ21" s="568"/>
      <c r="AR21" s="569"/>
      <c r="AS21" s="569"/>
      <c r="AT21" s="569"/>
      <c r="AU21" s="569"/>
      <c r="AV21" s="570"/>
      <c r="AW21" s="556"/>
      <c r="AX21" s="556"/>
      <c r="AY21" s="556"/>
      <c r="AZ21" s="556"/>
      <c r="BA21" s="556"/>
      <c r="BB21" s="556"/>
      <c r="BC21" s="563"/>
      <c r="BD21" s="556"/>
      <c r="BE21" s="556"/>
      <c r="BF21" s="556"/>
      <c r="BG21" s="556"/>
      <c r="BH21" s="557"/>
      <c r="BI21" s="563"/>
      <c r="BJ21" s="556"/>
      <c r="BK21" s="556"/>
      <c r="BL21" s="556"/>
      <c r="BM21" s="556"/>
      <c r="BN21" s="557"/>
      <c r="BO21" s="556"/>
      <c r="BP21" s="556"/>
      <c r="BQ21" s="556"/>
      <c r="BR21" s="556"/>
      <c r="BS21" s="556"/>
      <c r="BT21" s="556"/>
      <c r="BU21" s="565"/>
      <c r="BV21" s="566"/>
      <c r="BW21" s="566"/>
      <c r="BX21" s="566"/>
      <c r="BY21" s="566"/>
      <c r="BZ21" s="566"/>
      <c r="CA21" s="584"/>
      <c r="CB21" s="566"/>
      <c r="CC21" s="566"/>
      <c r="CD21" s="566"/>
      <c r="CE21" s="566"/>
      <c r="CF21" s="567"/>
      <c r="CG21" s="563"/>
      <c r="CH21" s="556"/>
      <c r="CI21" s="556"/>
      <c r="CJ21" s="556"/>
      <c r="CK21" s="556"/>
      <c r="CL21" s="557"/>
      <c r="CM21" s="563"/>
      <c r="CN21" s="556"/>
      <c r="CO21" s="556"/>
      <c r="CP21" s="556"/>
      <c r="CQ21" s="556"/>
      <c r="CR21" s="557"/>
      <c r="CS21" s="564"/>
      <c r="CT21" s="564"/>
      <c r="CU21" s="564"/>
      <c r="CV21" s="564"/>
      <c r="CW21" s="564"/>
      <c r="CX21" s="564"/>
      <c r="CY21" s="565"/>
      <c r="CZ21" s="566"/>
      <c r="DA21" s="566"/>
      <c r="DB21" s="566"/>
      <c r="DC21" s="566"/>
      <c r="DD21" s="566"/>
      <c r="DE21" s="563"/>
      <c r="DF21" s="556"/>
      <c r="DG21" s="556"/>
      <c r="DH21" s="556"/>
      <c r="DI21" s="556"/>
      <c r="DJ21" s="557"/>
      <c r="DK21" s="568"/>
      <c r="DL21" s="569"/>
      <c r="DM21" s="569"/>
      <c r="DN21" s="569"/>
      <c r="DO21" s="569"/>
      <c r="DP21" s="570"/>
      <c r="DQ21" s="556"/>
      <c r="DR21" s="556"/>
      <c r="DS21" s="556"/>
      <c r="DT21" s="556"/>
      <c r="DU21" s="556"/>
      <c r="DV21" s="556"/>
      <c r="DW21" s="563"/>
      <c r="DX21" s="556"/>
      <c r="DY21" s="556"/>
      <c r="DZ21" s="556"/>
      <c r="EA21" s="556"/>
      <c r="EB21" s="557"/>
      <c r="EC21" s="563"/>
      <c r="ED21" s="556"/>
      <c r="EE21" s="556"/>
      <c r="EF21" s="556"/>
      <c r="EG21" s="556"/>
      <c r="EH21" s="557"/>
      <c r="EI21" s="556"/>
      <c r="EJ21" s="556"/>
      <c r="EK21" s="556"/>
      <c r="EL21" s="556"/>
      <c r="EM21" s="556"/>
      <c r="EN21" s="556"/>
      <c r="EO21" s="563"/>
      <c r="EP21" s="556"/>
      <c r="EQ21" s="556"/>
      <c r="ER21" s="556"/>
      <c r="ES21" s="556"/>
      <c r="ET21" s="571"/>
      <c r="EU21" s="565"/>
      <c r="EV21" s="566"/>
      <c r="EW21" s="566"/>
      <c r="EX21" s="566"/>
      <c r="EY21" s="566"/>
      <c r="EZ21" s="566"/>
      <c r="FA21" s="563"/>
      <c r="FB21" s="556"/>
      <c r="FC21" s="556"/>
      <c r="FD21" s="556"/>
      <c r="FE21" s="556"/>
      <c r="FF21" s="556"/>
      <c r="FG21" s="565"/>
      <c r="FH21" s="566"/>
      <c r="FI21" s="566"/>
      <c r="FJ21" s="566"/>
      <c r="FK21" s="566"/>
      <c r="FL21" s="567"/>
      <c r="FM21" s="564"/>
      <c r="FN21" s="564"/>
      <c r="FO21" s="564"/>
      <c r="FP21" s="564"/>
      <c r="FQ21" s="564"/>
      <c r="FR21" s="564"/>
      <c r="FS21" s="565"/>
      <c r="FT21" s="566"/>
      <c r="FU21" s="566"/>
      <c r="FV21" s="566"/>
      <c r="FW21" s="566"/>
      <c r="FX21" s="567"/>
      <c r="FY21" s="556"/>
      <c r="FZ21" s="556"/>
      <c r="GA21" s="556"/>
      <c r="GB21" s="556"/>
      <c r="GC21" s="556"/>
      <c r="GD21" s="556"/>
      <c r="GE21" s="568"/>
      <c r="GF21" s="569"/>
      <c r="GG21" s="569"/>
      <c r="GH21" s="569"/>
      <c r="GI21" s="569"/>
      <c r="GJ21" s="570"/>
      <c r="GK21" s="556"/>
      <c r="GL21" s="556"/>
      <c r="GM21" s="556"/>
      <c r="GN21" s="556"/>
      <c r="GO21" s="556"/>
      <c r="GP21" s="556"/>
      <c r="GQ21" s="563"/>
      <c r="GR21" s="556"/>
      <c r="GS21" s="556"/>
      <c r="GT21" s="556"/>
      <c r="GU21" s="556"/>
      <c r="GV21" s="557"/>
      <c r="GW21" s="563"/>
      <c r="GX21" s="556"/>
      <c r="GY21" s="556"/>
      <c r="GZ21" s="556"/>
      <c r="HA21" s="556"/>
      <c r="HB21" s="557"/>
      <c r="HC21" s="556"/>
      <c r="HD21" s="556"/>
      <c r="HE21" s="556"/>
      <c r="HF21" s="556"/>
      <c r="HG21" s="556"/>
      <c r="HH21" s="556"/>
      <c r="HI21" s="563"/>
      <c r="HJ21" s="556"/>
      <c r="HK21" s="556"/>
      <c r="HL21" s="556"/>
      <c r="HM21" s="556"/>
      <c r="HN21" s="571"/>
      <c r="HO21" s="565"/>
      <c r="HP21" s="566"/>
      <c r="HQ21" s="566"/>
      <c r="HR21" s="566"/>
      <c r="HS21" s="566"/>
      <c r="HT21" s="566"/>
      <c r="HU21" s="563"/>
      <c r="HV21" s="556"/>
      <c r="HW21" s="556"/>
      <c r="HX21" s="556"/>
      <c r="HY21" s="556"/>
      <c r="HZ21" s="557"/>
      <c r="IA21" s="563"/>
      <c r="IB21" s="556"/>
      <c r="IC21" s="556"/>
      <c r="ID21" s="556"/>
      <c r="IE21" s="556"/>
      <c r="IF21" s="557"/>
      <c r="IG21" s="565"/>
      <c r="IH21" s="566"/>
      <c r="II21" s="566"/>
      <c r="IJ21" s="566"/>
      <c r="IK21" s="566"/>
      <c r="IL21" s="566"/>
      <c r="IM21" s="565"/>
      <c r="IN21" s="566"/>
      <c r="IO21" s="566"/>
      <c r="IP21" s="566"/>
      <c r="IQ21" s="566"/>
      <c r="IR21" s="567"/>
      <c r="IS21" s="556"/>
      <c r="IT21" s="556"/>
      <c r="IU21" s="556"/>
      <c r="IV21" s="556"/>
      <c r="IW21" s="556"/>
      <c r="IX21" s="556"/>
      <c r="IY21" s="568"/>
      <c r="IZ21" s="569"/>
      <c r="JA21" s="569"/>
      <c r="JB21" s="569"/>
      <c r="JC21" s="569"/>
      <c r="JD21" s="570"/>
      <c r="JE21" s="556"/>
      <c r="JF21" s="556"/>
      <c r="JG21" s="556"/>
      <c r="JH21" s="556"/>
      <c r="JI21" s="556"/>
      <c r="JJ21" s="556"/>
      <c r="JK21" s="563"/>
      <c r="JL21" s="556"/>
      <c r="JM21" s="556"/>
      <c r="JN21" s="556"/>
      <c r="JO21" s="556"/>
      <c r="JP21" s="557"/>
      <c r="JQ21" s="563"/>
      <c r="JR21" s="556"/>
      <c r="JS21" s="556"/>
      <c r="JT21" s="556"/>
      <c r="JU21" s="556"/>
      <c r="JV21" s="557"/>
      <c r="JW21" s="556"/>
      <c r="JX21" s="556"/>
      <c r="JY21" s="556"/>
      <c r="JZ21" s="556"/>
      <c r="KA21" s="556"/>
      <c r="KB21" s="556"/>
      <c r="KC21" s="563"/>
      <c r="KD21" s="556"/>
      <c r="KE21" s="556"/>
      <c r="KF21" s="556"/>
      <c r="KG21" s="556"/>
      <c r="KH21" s="571"/>
      <c r="KI21" s="565"/>
      <c r="KJ21" s="566"/>
      <c r="KK21" s="566"/>
      <c r="KL21" s="566"/>
      <c r="KM21" s="566"/>
      <c r="KN21" s="566"/>
      <c r="KO21" s="563"/>
      <c r="KP21" s="556"/>
      <c r="KQ21" s="556"/>
      <c r="KR21" s="556"/>
      <c r="KS21" s="556"/>
      <c r="KT21" s="557"/>
      <c r="KU21" s="563"/>
      <c r="KV21" s="556"/>
      <c r="KW21" s="556"/>
      <c r="KX21" s="556"/>
      <c r="KY21" s="556"/>
      <c r="KZ21" s="557"/>
      <c r="LA21" s="564"/>
      <c r="LB21" s="564"/>
      <c r="LC21" s="564"/>
      <c r="LD21" s="564"/>
      <c r="LE21" s="564"/>
      <c r="LF21" s="564"/>
      <c r="LG21" s="565"/>
      <c r="LH21" s="566"/>
      <c r="LI21" s="566"/>
      <c r="LJ21" s="566"/>
      <c r="LK21" s="566"/>
      <c r="LL21" s="567"/>
      <c r="LM21" s="556"/>
      <c r="LN21" s="556"/>
      <c r="LO21" s="556"/>
      <c r="LP21" s="556"/>
      <c r="LQ21" s="556"/>
      <c r="LR21" s="556"/>
      <c r="LS21" s="568"/>
      <c r="LT21" s="569"/>
      <c r="LU21" s="569"/>
      <c r="LV21" s="569"/>
      <c r="LW21" s="569"/>
      <c r="LX21" s="570"/>
      <c r="LY21" s="556"/>
      <c r="LZ21" s="556"/>
      <c r="MA21" s="556"/>
      <c r="MB21" s="556"/>
      <c r="MC21" s="556"/>
      <c r="MD21" s="556"/>
      <c r="ME21" s="563"/>
      <c r="MF21" s="556"/>
      <c r="MG21" s="556"/>
      <c r="MH21" s="556"/>
      <c r="MI21" s="556"/>
      <c r="MJ21" s="557"/>
      <c r="MK21" s="563"/>
      <c r="ML21" s="556"/>
      <c r="MM21" s="556"/>
      <c r="MN21" s="556"/>
      <c r="MO21" s="556"/>
      <c r="MP21" s="557"/>
      <c r="MQ21" s="556"/>
      <c r="MR21" s="556"/>
      <c r="MS21" s="556"/>
      <c r="MT21" s="556"/>
      <c r="MU21" s="556"/>
      <c r="MV21" s="556"/>
      <c r="MW21" s="563"/>
      <c r="MX21" s="556"/>
      <c r="MY21" s="556"/>
      <c r="MZ21" s="556"/>
      <c r="NA21" s="556"/>
      <c r="NB21" s="571"/>
      <c r="NC21" s="565"/>
      <c r="ND21" s="566"/>
      <c r="NE21" s="566"/>
      <c r="NF21" s="566"/>
      <c r="NG21" s="566"/>
      <c r="NH21" s="566"/>
      <c r="NI21" s="563"/>
      <c r="NJ21" s="556"/>
      <c r="NK21" s="556"/>
      <c r="NL21" s="556"/>
      <c r="NM21" s="556"/>
      <c r="NN21" s="557"/>
      <c r="NO21" s="563"/>
      <c r="NP21" s="556"/>
      <c r="NQ21" s="556"/>
      <c r="NR21" s="556"/>
      <c r="NS21" s="556"/>
      <c r="NT21" s="557"/>
      <c r="NU21" s="564"/>
      <c r="NV21" s="564"/>
      <c r="NW21" s="564"/>
      <c r="NX21" s="564"/>
      <c r="NY21" s="564"/>
      <c r="NZ21" s="564"/>
      <c r="OA21" s="565"/>
      <c r="OB21" s="566"/>
      <c r="OC21" s="566"/>
      <c r="OD21" s="566"/>
      <c r="OE21" s="566"/>
      <c r="OF21" s="567"/>
      <c r="OG21" s="556"/>
      <c r="OH21" s="556"/>
      <c r="OI21" s="556"/>
      <c r="OJ21" s="556"/>
      <c r="OK21" s="556"/>
      <c r="OL21" s="556"/>
      <c r="OM21" s="568"/>
      <c r="ON21" s="569"/>
      <c r="OO21" s="569"/>
      <c r="OP21" s="569"/>
      <c r="OQ21" s="569"/>
      <c r="OR21" s="570"/>
      <c r="OS21" s="556"/>
      <c r="OT21" s="556"/>
      <c r="OU21" s="556"/>
      <c r="OV21" s="556"/>
      <c r="OW21" s="556"/>
      <c r="OX21" s="556"/>
      <c r="OY21" s="563"/>
      <c r="OZ21" s="556"/>
      <c r="PA21" s="556"/>
      <c r="PB21" s="556"/>
      <c r="PC21" s="556"/>
      <c r="PD21" s="557"/>
      <c r="PE21" s="563"/>
      <c r="PF21" s="556"/>
      <c r="PG21" s="556"/>
      <c r="PH21" s="556"/>
      <c r="PI21" s="556"/>
      <c r="PJ21" s="557"/>
      <c r="PK21" s="556"/>
      <c r="PL21" s="556"/>
      <c r="PM21" s="556"/>
      <c r="PN21" s="556"/>
      <c r="PO21" s="556"/>
      <c r="PP21" s="556"/>
      <c r="PQ21" s="563"/>
      <c r="PR21" s="556"/>
      <c r="PS21" s="556"/>
      <c r="PT21" s="556"/>
      <c r="PU21" s="556"/>
      <c r="PV21" s="571"/>
      <c r="PW21" s="565"/>
      <c r="PX21" s="566"/>
      <c r="PY21" s="566"/>
      <c r="PZ21" s="566"/>
      <c r="QA21" s="566"/>
      <c r="QB21" s="566"/>
      <c r="QC21" s="563"/>
      <c r="QD21" s="556"/>
      <c r="QE21" s="556"/>
      <c r="QF21" s="556"/>
      <c r="QG21" s="556"/>
      <c r="QH21" s="557"/>
      <c r="QI21" s="563"/>
      <c r="QJ21" s="556"/>
      <c r="QK21" s="556"/>
      <c r="QL21" s="556"/>
      <c r="QM21" s="556"/>
      <c r="QN21" s="557"/>
      <c r="QO21" s="564"/>
      <c r="QP21" s="564"/>
      <c r="QQ21" s="564"/>
      <c r="QR21" s="564"/>
      <c r="QS21" s="564"/>
      <c r="QT21" s="564"/>
      <c r="QU21" s="565"/>
      <c r="QV21" s="566"/>
      <c r="QW21" s="566"/>
      <c r="QX21" s="566"/>
      <c r="QY21" s="566"/>
      <c r="QZ21" s="567"/>
      <c r="RA21" s="556"/>
      <c r="RB21" s="556"/>
      <c r="RC21" s="556"/>
      <c r="RD21" s="556"/>
      <c r="RE21" s="556"/>
      <c r="RF21" s="556"/>
      <c r="RG21" s="568"/>
      <c r="RH21" s="569"/>
      <c r="RI21" s="569"/>
      <c r="RJ21" s="569"/>
      <c r="RK21" s="569"/>
      <c r="RL21" s="570"/>
      <c r="RM21" s="556"/>
      <c r="RN21" s="556"/>
      <c r="RO21" s="556"/>
      <c r="RP21" s="556"/>
      <c r="RQ21" s="556"/>
      <c r="RR21" s="556"/>
      <c r="RS21" s="563"/>
      <c r="RT21" s="556"/>
      <c r="RU21" s="556"/>
      <c r="RV21" s="556"/>
      <c r="RW21" s="556"/>
      <c r="RX21" s="557"/>
      <c r="RY21" s="563"/>
      <c r="RZ21" s="556"/>
      <c r="SA21" s="556"/>
      <c r="SB21" s="556"/>
      <c r="SC21" s="556"/>
      <c r="SD21" s="557"/>
      <c r="SE21" s="556"/>
      <c r="SF21" s="556"/>
      <c r="SG21" s="556"/>
      <c r="SH21" s="556"/>
      <c r="SI21" s="556"/>
      <c r="SJ21" s="556"/>
      <c r="SK21" s="563"/>
      <c r="SL21" s="556"/>
      <c r="SM21" s="556"/>
      <c r="SN21" s="556"/>
      <c r="SO21" s="556"/>
      <c r="SP21" s="571"/>
      <c r="SQ21" s="565"/>
      <c r="SR21" s="566"/>
      <c r="SS21" s="566"/>
      <c r="ST21" s="566"/>
      <c r="SU21" s="566"/>
      <c r="SV21" s="566"/>
      <c r="SW21" s="563"/>
      <c r="SX21" s="556"/>
      <c r="SY21" s="556"/>
      <c r="SZ21" s="556"/>
      <c r="TA21" s="556"/>
      <c r="TB21" s="557"/>
      <c r="TC21" s="563"/>
      <c r="TD21" s="556"/>
      <c r="TE21" s="556"/>
      <c r="TF21" s="556"/>
      <c r="TG21" s="556"/>
      <c r="TH21" s="557"/>
      <c r="TI21" s="564"/>
      <c r="TJ21" s="564"/>
      <c r="TK21" s="564"/>
      <c r="TL21" s="564"/>
      <c r="TM21" s="564"/>
      <c r="TN21" s="564"/>
      <c r="TO21" s="565"/>
      <c r="TP21" s="566"/>
      <c r="TQ21" s="566"/>
      <c r="TR21" s="566"/>
      <c r="TS21" s="566"/>
      <c r="TT21" s="567"/>
      <c r="TU21" s="556"/>
      <c r="TV21" s="556"/>
      <c r="TW21" s="556"/>
      <c r="TX21" s="556"/>
      <c r="TY21" s="556"/>
      <c r="TZ21" s="556"/>
      <c r="UA21" s="568"/>
      <c r="UB21" s="569"/>
      <c r="UC21" s="569"/>
      <c r="UD21" s="569"/>
      <c r="UE21" s="569"/>
      <c r="UF21" s="570"/>
      <c r="UG21" s="556"/>
      <c r="UH21" s="556"/>
      <c r="UI21" s="556"/>
      <c r="UJ21" s="556"/>
      <c r="UK21" s="556"/>
      <c r="UL21" s="556"/>
      <c r="UM21" s="563"/>
      <c r="UN21" s="556"/>
      <c r="UO21" s="556"/>
      <c r="UP21" s="556"/>
      <c r="UQ21" s="556"/>
      <c r="UR21" s="557"/>
      <c r="US21" s="563"/>
      <c r="UT21" s="556"/>
      <c r="UU21" s="556"/>
      <c r="UV21" s="556"/>
      <c r="UW21" s="556"/>
      <c r="UX21" s="557"/>
      <c r="UY21" s="556"/>
      <c r="UZ21" s="556"/>
      <c r="VA21" s="556"/>
      <c r="VB21" s="556"/>
      <c r="VC21" s="556"/>
      <c r="VD21" s="556"/>
      <c r="VE21" s="563"/>
      <c r="VF21" s="556"/>
      <c r="VG21" s="556"/>
      <c r="VH21" s="556"/>
      <c r="VI21" s="556"/>
      <c r="VJ21" s="571"/>
    </row>
    <row r="22" spans="3:582" s="52" customFormat="1" ht="15.75" customHeight="1" x14ac:dyDescent="0.25">
      <c r="C22" s="538"/>
      <c r="D22" s="540">
        <v>1</v>
      </c>
      <c r="E22" s="540"/>
      <c r="F22" s="543"/>
      <c r="G22" s="545"/>
      <c r="H22" s="546"/>
      <c r="I22" s="546"/>
      <c r="J22" s="546"/>
      <c r="K22" s="546"/>
      <c r="L22" s="547"/>
      <c r="M22" s="548"/>
      <c r="N22" s="546"/>
      <c r="O22" s="546"/>
      <c r="P22" s="546"/>
      <c r="Q22" s="546"/>
      <c r="R22" s="547"/>
      <c r="S22" s="548"/>
      <c r="T22" s="546"/>
      <c r="U22" s="546"/>
      <c r="V22" s="546"/>
      <c r="W22" s="546"/>
      <c r="X22" s="547"/>
      <c r="Y22" s="546"/>
      <c r="Z22" s="546"/>
      <c r="AA22" s="546"/>
      <c r="AB22" s="546"/>
      <c r="AC22" s="546"/>
      <c r="AD22" s="546"/>
      <c r="AE22" s="548"/>
      <c r="AF22" s="546"/>
      <c r="AG22" s="546"/>
      <c r="AH22" s="546"/>
      <c r="AI22" s="546"/>
      <c r="AJ22" s="547"/>
      <c r="AK22" s="546"/>
      <c r="AL22" s="546"/>
      <c r="AM22" s="546"/>
      <c r="AN22" s="546"/>
      <c r="AO22" s="546"/>
      <c r="AP22" s="546"/>
      <c r="AQ22" s="548"/>
      <c r="AR22" s="546"/>
      <c r="AS22" s="546"/>
      <c r="AT22" s="546"/>
      <c r="AU22" s="546"/>
      <c r="AV22" s="547"/>
      <c r="AW22" s="546"/>
      <c r="AX22" s="546"/>
      <c r="AY22" s="546"/>
      <c r="AZ22" s="546"/>
      <c r="BA22" s="546"/>
      <c r="BB22" s="546"/>
      <c r="BC22" s="548"/>
      <c r="BD22" s="546"/>
      <c r="BE22" s="546"/>
      <c r="BF22" s="546"/>
      <c r="BG22" s="546"/>
      <c r="BH22" s="547"/>
      <c r="BI22" s="548"/>
      <c r="BJ22" s="546"/>
      <c r="BK22" s="546"/>
      <c r="BL22" s="546"/>
      <c r="BM22" s="546"/>
      <c r="BN22" s="547"/>
      <c r="BO22" s="546"/>
      <c r="BP22" s="546"/>
      <c r="BQ22" s="546"/>
      <c r="BR22" s="546"/>
      <c r="BS22" s="546"/>
      <c r="BT22" s="546"/>
      <c r="BU22" s="548"/>
      <c r="BV22" s="546"/>
      <c r="BW22" s="546"/>
      <c r="BX22" s="546"/>
      <c r="BY22" s="546"/>
      <c r="BZ22" s="549"/>
      <c r="CA22" s="545"/>
      <c r="CB22" s="546"/>
      <c r="CC22" s="546"/>
      <c r="CD22" s="546"/>
      <c r="CE22" s="546"/>
      <c r="CF22" s="547"/>
      <c r="CG22" s="548"/>
      <c r="CH22" s="546"/>
      <c r="CI22" s="546"/>
      <c r="CJ22" s="546"/>
      <c r="CK22" s="546"/>
      <c r="CL22" s="547"/>
      <c r="CM22" s="548"/>
      <c r="CN22" s="546"/>
      <c r="CO22" s="546"/>
      <c r="CP22" s="546"/>
      <c r="CQ22" s="546"/>
      <c r="CR22" s="547"/>
      <c r="CS22" s="546"/>
      <c r="CT22" s="546"/>
      <c r="CU22" s="546"/>
      <c r="CV22" s="546"/>
      <c r="CW22" s="546"/>
      <c r="CX22" s="546"/>
      <c r="CY22" s="548"/>
      <c r="CZ22" s="546"/>
      <c r="DA22" s="546"/>
      <c r="DB22" s="546"/>
      <c r="DC22" s="546"/>
      <c r="DD22" s="547"/>
      <c r="DE22" s="546"/>
      <c r="DF22" s="546"/>
      <c r="DG22" s="546"/>
      <c r="DH22" s="546"/>
      <c r="DI22" s="546"/>
      <c r="DJ22" s="546"/>
      <c r="DK22" s="548"/>
      <c r="DL22" s="546"/>
      <c r="DM22" s="546"/>
      <c r="DN22" s="546"/>
      <c r="DO22" s="546"/>
      <c r="DP22" s="547"/>
      <c r="DQ22" s="546"/>
      <c r="DR22" s="546"/>
      <c r="DS22" s="546"/>
      <c r="DT22" s="546"/>
      <c r="DU22" s="546"/>
      <c r="DV22" s="546"/>
      <c r="DW22" s="548"/>
      <c r="DX22" s="546"/>
      <c r="DY22" s="546"/>
      <c r="DZ22" s="546"/>
      <c r="EA22" s="546"/>
      <c r="EB22" s="547"/>
      <c r="EC22" s="548"/>
      <c r="ED22" s="546"/>
      <c r="EE22" s="546"/>
      <c r="EF22" s="546"/>
      <c r="EG22" s="546"/>
      <c r="EH22" s="547"/>
      <c r="EI22" s="546"/>
      <c r="EJ22" s="546"/>
      <c r="EK22" s="546"/>
      <c r="EL22" s="546"/>
      <c r="EM22" s="546"/>
      <c r="EN22" s="546"/>
      <c r="EO22" s="548"/>
      <c r="EP22" s="546"/>
      <c r="EQ22" s="546"/>
      <c r="ER22" s="546"/>
      <c r="ES22" s="546"/>
      <c r="ET22" s="549"/>
      <c r="EU22" s="545"/>
      <c r="EV22" s="546"/>
      <c r="EW22" s="546"/>
      <c r="EX22" s="546"/>
      <c r="EY22" s="546"/>
      <c r="EZ22" s="547"/>
      <c r="FA22" s="548"/>
      <c r="FB22" s="546"/>
      <c r="FC22" s="546"/>
      <c r="FD22" s="546"/>
      <c r="FE22" s="546"/>
      <c r="FF22" s="547"/>
      <c r="FG22" s="548"/>
      <c r="FH22" s="546"/>
      <c r="FI22" s="546"/>
      <c r="FJ22" s="546"/>
      <c r="FK22" s="546"/>
      <c r="FL22" s="547"/>
      <c r="FM22" s="546"/>
      <c r="FN22" s="546"/>
      <c r="FO22" s="546"/>
      <c r="FP22" s="546"/>
      <c r="FQ22" s="546"/>
      <c r="FR22" s="546"/>
      <c r="FS22" s="548"/>
      <c r="FT22" s="546"/>
      <c r="FU22" s="546"/>
      <c r="FV22" s="546"/>
      <c r="FW22" s="546"/>
      <c r="FX22" s="547"/>
      <c r="FY22" s="546"/>
      <c r="FZ22" s="546"/>
      <c r="GA22" s="546"/>
      <c r="GB22" s="546"/>
      <c r="GC22" s="546"/>
      <c r="GD22" s="546"/>
      <c r="GE22" s="548"/>
      <c r="GF22" s="546"/>
      <c r="GG22" s="546"/>
      <c r="GH22" s="546"/>
      <c r="GI22" s="546"/>
      <c r="GJ22" s="547"/>
      <c r="GK22" s="546"/>
      <c r="GL22" s="546"/>
      <c r="GM22" s="546"/>
      <c r="GN22" s="546"/>
      <c r="GO22" s="546"/>
      <c r="GP22" s="546"/>
      <c r="GQ22" s="548"/>
      <c r="GR22" s="546"/>
      <c r="GS22" s="546"/>
      <c r="GT22" s="546"/>
      <c r="GU22" s="546"/>
      <c r="GV22" s="547"/>
      <c r="GW22" s="548"/>
      <c r="GX22" s="546"/>
      <c r="GY22" s="546"/>
      <c r="GZ22" s="546"/>
      <c r="HA22" s="546"/>
      <c r="HB22" s="547"/>
      <c r="HC22" s="546"/>
      <c r="HD22" s="546"/>
      <c r="HE22" s="546"/>
      <c r="HF22" s="546"/>
      <c r="HG22" s="546"/>
      <c r="HH22" s="546"/>
      <c r="HI22" s="548"/>
      <c r="HJ22" s="546"/>
      <c r="HK22" s="546"/>
      <c r="HL22" s="546"/>
      <c r="HM22" s="546"/>
      <c r="HN22" s="549"/>
      <c r="HO22" s="545"/>
      <c r="HP22" s="546"/>
      <c r="HQ22" s="546"/>
      <c r="HR22" s="546"/>
      <c r="HS22" s="546"/>
      <c r="HT22" s="547"/>
      <c r="HU22" s="548"/>
      <c r="HV22" s="546"/>
      <c r="HW22" s="546"/>
      <c r="HX22" s="546"/>
      <c r="HY22" s="546"/>
      <c r="HZ22" s="547"/>
      <c r="IA22" s="548"/>
      <c r="IB22" s="546"/>
      <c r="IC22" s="546"/>
      <c r="ID22" s="546"/>
      <c r="IE22" s="546"/>
      <c r="IF22" s="547"/>
      <c r="IG22" s="546"/>
      <c r="IH22" s="546"/>
      <c r="II22" s="546"/>
      <c r="IJ22" s="546"/>
      <c r="IK22" s="546"/>
      <c r="IL22" s="546"/>
      <c r="IM22" s="548"/>
      <c r="IN22" s="546"/>
      <c r="IO22" s="546"/>
      <c r="IP22" s="546"/>
      <c r="IQ22" s="546"/>
      <c r="IR22" s="547"/>
      <c r="IS22" s="546"/>
      <c r="IT22" s="546"/>
      <c r="IU22" s="546"/>
      <c r="IV22" s="546"/>
      <c r="IW22" s="546"/>
      <c r="IX22" s="546"/>
      <c r="IY22" s="548"/>
      <c r="IZ22" s="546"/>
      <c r="JA22" s="546"/>
      <c r="JB22" s="546"/>
      <c r="JC22" s="546"/>
      <c r="JD22" s="547"/>
      <c r="JE22" s="546"/>
      <c r="JF22" s="546"/>
      <c r="JG22" s="546"/>
      <c r="JH22" s="546"/>
      <c r="JI22" s="546"/>
      <c r="JJ22" s="546"/>
      <c r="JK22" s="548"/>
      <c r="JL22" s="546"/>
      <c r="JM22" s="546"/>
      <c r="JN22" s="546"/>
      <c r="JO22" s="546"/>
      <c r="JP22" s="547"/>
      <c r="JQ22" s="548"/>
      <c r="JR22" s="546"/>
      <c r="JS22" s="546"/>
      <c r="JT22" s="546"/>
      <c r="JU22" s="546"/>
      <c r="JV22" s="547"/>
      <c r="JW22" s="546"/>
      <c r="JX22" s="546"/>
      <c r="JY22" s="546"/>
      <c r="JZ22" s="546"/>
      <c r="KA22" s="546"/>
      <c r="KB22" s="546"/>
      <c r="KC22" s="548"/>
      <c r="KD22" s="546"/>
      <c r="KE22" s="546"/>
      <c r="KF22" s="546"/>
      <c r="KG22" s="546"/>
      <c r="KH22" s="549"/>
      <c r="KI22" s="545"/>
      <c r="KJ22" s="546"/>
      <c r="KK22" s="546"/>
      <c r="KL22" s="546"/>
      <c r="KM22" s="546"/>
      <c r="KN22" s="547"/>
      <c r="KO22" s="548"/>
      <c r="KP22" s="546"/>
      <c r="KQ22" s="546"/>
      <c r="KR22" s="546"/>
      <c r="KS22" s="546"/>
      <c r="KT22" s="547"/>
      <c r="KU22" s="548"/>
      <c r="KV22" s="546"/>
      <c r="KW22" s="546"/>
      <c r="KX22" s="546"/>
      <c r="KY22" s="546"/>
      <c r="KZ22" s="547"/>
      <c r="LA22" s="546"/>
      <c r="LB22" s="546"/>
      <c r="LC22" s="546"/>
      <c r="LD22" s="546"/>
      <c r="LE22" s="546"/>
      <c r="LF22" s="546"/>
      <c r="LG22" s="548"/>
      <c r="LH22" s="546"/>
      <c r="LI22" s="546"/>
      <c r="LJ22" s="546"/>
      <c r="LK22" s="546"/>
      <c r="LL22" s="547"/>
      <c r="LM22" s="546"/>
      <c r="LN22" s="546"/>
      <c r="LO22" s="546"/>
      <c r="LP22" s="546"/>
      <c r="LQ22" s="546"/>
      <c r="LR22" s="546"/>
      <c r="LS22" s="548"/>
      <c r="LT22" s="546"/>
      <c r="LU22" s="546"/>
      <c r="LV22" s="546"/>
      <c r="LW22" s="546"/>
      <c r="LX22" s="547"/>
      <c r="LY22" s="546"/>
      <c r="LZ22" s="546"/>
      <c r="MA22" s="546"/>
      <c r="MB22" s="546"/>
      <c r="MC22" s="546"/>
      <c r="MD22" s="546"/>
      <c r="ME22" s="548"/>
      <c r="MF22" s="546"/>
      <c r="MG22" s="546"/>
      <c r="MH22" s="546"/>
      <c r="MI22" s="546"/>
      <c r="MJ22" s="547"/>
      <c r="MK22" s="548"/>
      <c r="ML22" s="546"/>
      <c r="MM22" s="546"/>
      <c r="MN22" s="546"/>
      <c r="MO22" s="546"/>
      <c r="MP22" s="547"/>
      <c r="MQ22" s="546"/>
      <c r="MR22" s="546"/>
      <c r="MS22" s="546"/>
      <c r="MT22" s="546"/>
      <c r="MU22" s="546"/>
      <c r="MV22" s="546"/>
      <c r="MW22" s="548"/>
      <c r="MX22" s="546"/>
      <c r="MY22" s="546"/>
      <c r="MZ22" s="546"/>
      <c r="NA22" s="546"/>
      <c r="NB22" s="549"/>
      <c r="NC22" s="545"/>
      <c r="ND22" s="546"/>
      <c r="NE22" s="546"/>
      <c r="NF22" s="546"/>
      <c r="NG22" s="546"/>
      <c r="NH22" s="547"/>
      <c r="NI22" s="548"/>
      <c r="NJ22" s="546"/>
      <c r="NK22" s="546"/>
      <c r="NL22" s="546"/>
      <c r="NM22" s="546"/>
      <c r="NN22" s="547"/>
      <c r="NO22" s="548"/>
      <c r="NP22" s="546"/>
      <c r="NQ22" s="546"/>
      <c r="NR22" s="546"/>
      <c r="NS22" s="546"/>
      <c r="NT22" s="547"/>
      <c r="NU22" s="546"/>
      <c r="NV22" s="546"/>
      <c r="NW22" s="546"/>
      <c r="NX22" s="546"/>
      <c r="NY22" s="546"/>
      <c r="NZ22" s="546"/>
      <c r="OA22" s="548"/>
      <c r="OB22" s="546"/>
      <c r="OC22" s="546"/>
      <c r="OD22" s="546"/>
      <c r="OE22" s="546"/>
      <c r="OF22" s="547"/>
      <c r="OG22" s="546"/>
      <c r="OH22" s="546"/>
      <c r="OI22" s="546"/>
      <c r="OJ22" s="546"/>
      <c r="OK22" s="546"/>
      <c r="OL22" s="546"/>
      <c r="OM22" s="548"/>
      <c r="ON22" s="546"/>
      <c r="OO22" s="546"/>
      <c r="OP22" s="546"/>
      <c r="OQ22" s="546"/>
      <c r="OR22" s="547"/>
      <c r="OS22" s="546"/>
      <c r="OT22" s="546"/>
      <c r="OU22" s="546"/>
      <c r="OV22" s="546"/>
      <c r="OW22" s="546"/>
      <c r="OX22" s="546"/>
      <c r="OY22" s="548"/>
      <c r="OZ22" s="546"/>
      <c r="PA22" s="546"/>
      <c r="PB22" s="546"/>
      <c r="PC22" s="546"/>
      <c r="PD22" s="547"/>
      <c r="PE22" s="548"/>
      <c r="PF22" s="546"/>
      <c r="PG22" s="546"/>
      <c r="PH22" s="546"/>
      <c r="PI22" s="546"/>
      <c r="PJ22" s="547"/>
      <c r="PK22" s="546"/>
      <c r="PL22" s="546"/>
      <c r="PM22" s="546"/>
      <c r="PN22" s="546"/>
      <c r="PO22" s="546"/>
      <c r="PP22" s="546"/>
      <c r="PQ22" s="548"/>
      <c r="PR22" s="546"/>
      <c r="PS22" s="546"/>
      <c r="PT22" s="546"/>
      <c r="PU22" s="546"/>
      <c r="PV22" s="549"/>
      <c r="PW22" s="545"/>
      <c r="PX22" s="546"/>
      <c r="PY22" s="546"/>
      <c r="PZ22" s="546"/>
      <c r="QA22" s="546"/>
      <c r="QB22" s="547"/>
      <c r="QC22" s="548"/>
      <c r="QD22" s="546"/>
      <c r="QE22" s="546"/>
      <c r="QF22" s="546"/>
      <c r="QG22" s="546"/>
      <c r="QH22" s="547"/>
      <c r="QI22" s="548"/>
      <c r="QJ22" s="546"/>
      <c r="QK22" s="546"/>
      <c r="QL22" s="546"/>
      <c r="QM22" s="546"/>
      <c r="QN22" s="547"/>
      <c r="QO22" s="546"/>
      <c r="QP22" s="546"/>
      <c r="QQ22" s="546"/>
      <c r="QR22" s="546"/>
      <c r="QS22" s="546"/>
      <c r="QT22" s="546"/>
      <c r="QU22" s="548"/>
      <c r="QV22" s="546"/>
      <c r="QW22" s="546"/>
      <c r="QX22" s="546"/>
      <c r="QY22" s="546"/>
      <c r="QZ22" s="547"/>
      <c r="RA22" s="546"/>
      <c r="RB22" s="546"/>
      <c r="RC22" s="546"/>
      <c r="RD22" s="546"/>
      <c r="RE22" s="546"/>
      <c r="RF22" s="546"/>
      <c r="RG22" s="548"/>
      <c r="RH22" s="546"/>
      <c r="RI22" s="546"/>
      <c r="RJ22" s="546"/>
      <c r="RK22" s="546"/>
      <c r="RL22" s="547"/>
      <c r="RM22" s="546"/>
      <c r="RN22" s="546"/>
      <c r="RO22" s="546"/>
      <c r="RP22" s="546"/>
      <c r="RQ22" s="546"/>
      <c r="RR22" s="546"/>
      <c r="RS22" s="548"/>
      <c r="RT22" s="546"/>
      <c r="RU22" s="546"/>
      <c r="RV22" s="546"/>
      <c r="RW22" s="546"/>
      <c r="RX22" s="547"/>
      <c r="RY22" s="548"/>
      <c r="RZ22" s="546"/>
      <c r="SA22" s="546"/>
      <c r="SB22" s="546"/>
      <c r="SC22" s="546"/>
      <c r="SD22" s="547"/>
      <c r="SE22" s="546"/>
      <c r="SF22" s="546"/>
      <c r="SG22" s="546"/>
      <c r="SH22" s="546"/>
      <c r="SI22" s="546"/>
      <c r="SJ22" s="546"/>
      <c r="SK22" s="548"/>
      <c r="SL22" s="546"/>
      <c r="SM22" s="546"/>
      <c r="SN22" s="546"/>
      <c r="SO22" s="546"/>
      <c r="SP22" s="549"/>
      <c r="SQ22" s="545"/>
      <c r="SR22" s="546"/>
      <c r="SS22" s="546"/>
      <c r="ST22" s="546"/>
      <c r="SU22" s="546"/>
      <c r="SV22" s="547"/>
      <c r="SW22" s="548"/>
      <c r="SX22" s="546"/>
      <c r="SY22" s="546"/>
      <c r="SZ22" s="546"/>
      <c r="TA22" s="546"/>
      <c r="TB22" s="547"/>
      <c r="TC22" s="548"/>
      <c r="TD22" s="546"/>
      <c r="TE22" s="546"/>
      <c r="TF22" s="546"/>
      <c r="TG22" s="546"/>
      <c r="TH22" s="547"/>
      <c r="TI22" s="546"/>
      <c r="TJ22" s="546"/>
      <c r="TK22" s="546"/>
      <c r="TL22" s="546"/>
      <c r="TM22" s="546"/>
      <c r="TN22" s="546"/>
      <c r="TO22" s="548"/>
      <c r="TP22" s="546"/>
      <c r="TQ22" s="546"/>
      <c r="TR22" s="546"/>
      <c r="TS22" s="546"/>
      <c r="TT22" s="547"/>
      <c r="TU22" s="546"/>
      <c r="TV22" s="546"/>
      <c r="TW22" s="546"/>
      <c r="TX22" s="546"/>
      <c r="TY22" s="546"/>
      <c r="TZ22" s="546"/>
      <c r="UA22" s="548"/>
      <c r="UB22" s="546"/>
      <c r="UC22" s="546"/>
      <c r="UD22" s="546"/>
      <c r="UE22" s="546"/>
      <c r="UF22" s="547"/>
      <c r="UG22" s="546"/>
      <c r="UH22" s="546"/>
      <c r="UI22" s="546"/>
      <c r="UJ22" s="546"/>
      <c r="UK22" s="546"/>
      <c r="UL22" s="546"/>
      <c r="UM22" s="548"/>
      <c r="UN22" s="546"/>
      <c r="UO22" s="546"/>
      <c r="UP22" s="546"/>
      <c r="UQ22" s="546"/>
      <c r="UR22" s="547"/>
      <c r="US22" s="548"/>
      <c r="UT22" s="546"/>
      <c r="UU22" s="546"/>
      <c r="UV22" s="546"/>
      <c r="UW22" s="546"/>
      <c r="UX22" s="547"/>
      <c r="UY22" s="546"/>
      <c r="UZ22" s="546"/>
      <c r="VA22" s="546"/>
      <c r="VB22" s="546"/>
      <c r="VC22" s="546"/>
      <c r="VD22" s="546"/>
      <c r="VE22" s="548"/>
      <c r="VF22" s="546"/>
      <c r="VG22" s="546"/>
      <c r="VH22" s="546"/>
      <c r="VI22" s="546"/>
      <c r="VJ22" s="549"/>
    </row>
    <row r="23" spans="3:582" s="52" customFormat="1" ht="19.5" customHeight="1" x14ac:dyDescent="0.25">
      <c r="C23" s="538"/>
      <c r="D23" s="541"/>
      <c r="E23" s="541"/>
      <c r="F23" s="543"/>
      <c r="G23" s="277"/>
      <c r="H23" s="273"/>
      <c r="I23" s="273"/>
      <c r="J23" s="273"/>
      <c r="K23" s="273"/>
      <c r="L23" s="274"/>
      <c r="M23" s="275"/>
      <c r="N23" s="273"/>
      <c r="O23" s="273"/>
      <c r="P23" s="273"/>
      <c r="Q23" s="273"/>
      <c r="R23" s="274"/>
      <c r="S23" s="275"/>
      <c r="T23" s="273"/>
      <c r="U23" s="273"/>
      <c r="V23" s="273"/>
      <c r="W23" s="273"/>
      <c r="X23" s="274"/>
      <c r="Y23" s="275"/>
      <c r="Z23" s="273"/>
      <c r="AA23" s="273"/>
      <c r="AB23" s="273"/>
      <c r="AC23" s="273"/>
      <c r="AD23" s="273"/>
      <c r="AE23" s="275"/>
      <c r="AF23" s="273"/>
      <c r="AG23" s="273"/>
      <c r="AH23" s="273"/>
      <c r="AI23" s="273"/>
      <c r="AJ23" s="274"/>
      <c r="AK23" s="273"/>
      <c r="AL23" s="273"/>
      <c r="AM23" s="273"/>
      <c r="AN23" s="273"/>
      <c r="AO23" s="273"/>
      <c r="AP23" s="273"/>
      <c r="AQ23" s="275"/>
      <c r="AR23" s="273"/>
      <c r="AS23" s="273"/>
      <c r="AT23" s="273"/>
      <c r="AU23" s="273"/>
      <c r="AV23" s="274"/>
      <c r="AW23" s="273"/>
      <c r="AX23" s="273"/>
      <c r="AY23" s="273"/>
      <c r="AZ23" s="273"/>
      <c r="BA23" s="273"/>
      <c r="BB23" s="273"/>
      <c r="BC23" s="275"/>
      <c r="BD23" s="273"/>
      <c r="BE23" s="273"/>
      <c r="BF23" s="273"/>
      <c r="BG23" s="273"/>
      <c r="BH23" s="274"/>
      <c r="BI23" s="275"/>
      <c r="BJ23" s="273"/>
      <c r="BK23" s="273"/>
      <c r="BL23" s="273"/>
      <c r="BM23" s="273"/>
      <c r="BN23" s="274"/>
      <c r="BO23" s="273"/>
      <c r="BP23" s="273"/>
      <c r="BQ23" s="273"/>
      <c r="BR23" s="273"/>
      <c r="BS23" s="273"/>
      <c r="BT23" s="274"/>
      <c r="BU23" s="273"/>
      <c r="BV23" s="273"/>
      <c r="BW23" s="273"/>
      <c r="BX23" s="273"/>
      <c r="BY23" s="273"/>
      <c r="BZ23" s="276"/>
      <c r="CA23" s="277"/>
      <c r="CB23" s="273"/>
      <c r="CC23" s="273"/>
      <c r="CD23" s="273"/>
      <c r="CE23" s="273"/>
      <c r="CF23" s="274"/>
      <c r="CG23" s="275"/>
      <c r="CH23" s="273"/>
      <c r="CI23" s="273"/>
      <c r="CJ23" s="273"/>
      <c r="CK23" s="273"/>
      <c r="CL23" s="274"/>
      <c r="CM23" s="275"/>
      <c r="CN23" s="273"/>
      <c r="CO23" s="273"/>
      <c r="CP23" s="273"/>
      <c r="CQ23" s="273"/>
      <c r="CR23" s="274"/>
      <c r="CS23" s="275"/>
      <c r="CT23" s="273"/>
      <c r="CU23" s="273"/>
      <c r="CV23" s="273"/>
      <c r="CW23" s="273"/>
      <c r="CX23" s="273"/>
      <c r="CY23" s="275"/>
      <c r="CZ23" s="273"/>
      <c r="DA23" s="273"/>
      <c r="DB23" s="273"/>
      <c r="DC23" s="273"/>
      <c r="DD23" s="274"/>
      <c r="DE23" s="273"/>
      <c r="DF23" s="273"/>
      <c r="DG23" s="273"/>
      <c r="DH23" s="273"/>
      <c r="DI23" s="273"/>
      <c r="DJ23" s="273"/>
      <c r="DK23" s="275"/>
      <c r="DL23" s="273"/>
      <c r="DM23" s="273"/>
      <c r="DN23" s="273"/>
      <c r="DO23" s="273"/>
      <c r="DP23" s="274"/>
      <c r="DQ23" s="273"/>
      <c r="DR23" s="273"/>
      <c r="DS23" s="273"/>
      <c r="DT23" s="273"/>
      <c r="DU23" s="273"/>
      <c r="DV23" s="273"/>
      <c r="DW23" s="275"/>
      <c r="DX23" s="273"/>
      <c r="DY23" s="273"/>
      <c r="DZ23" s="273"/>
      <c r="EA23" s="273"/>
      <c r="EB23" s="274"/>
      <c r="EC23" s="275"/>
      <c r="ED23" s="273"/>
      <c r="EE23" s="273"/>
      <c r="EF23" s="273"/>
      <c r="EG23" s="273"/>
      <c r="EH23" s="274"/>
      <c r="EI23" s="273"/>
      <c r="EJ23" s="273"/>
      <c r="EK23" s="273"/>
      <c r="EL23" s="273"/>
      <c r="EM23" s="273"/>
      <c r="EN23" s="274"/>
      <c r="EO23" s="273"/>
      <c r="EP23" s="273"/>
      <c r="EQ23" s="273"/>
      <c r="ER23" s="273"/>
      <c r="ES23" s="273"/>
      <c r="ET23" s="276"/>
      <c r="EU23" s="273"/>
      <c r="EV23" s="273"/>
      <c r="EW23" s="273"/>
      <c r="EX23" s="273"/>
      <c r="EY23" s="273"/>
      <c r="EZ23" s="274"/>
      <c r="FA23" s="275"/>
      <c r="FB23" s="273"/>
      <c r="FC23" s="273"/>
      <c r="FD23" s="273"/>
      <c r="FE23" s="273"/>
      <c r="FF23" s="274"/>
      <c r="FG23" s="275"/>
      <c r="FH23" s="273"/>
      <c r="FI23" s="273"/>
      <c r="FJ23" s="273"/>
      <c r="FK23" s="273"/>
      <c r="FL23" s="274"/>
      <c r="FM23" s="275"/>
      <c r="FN23" s="273"/>
      <c r="FO23" s="273"/>
      <c r="FP23" s="273"/>
      <c r="FQ23" s="273"/>
      <c r="FR23" s="273"/>
      <c r="FS23" s="275"/>
      <c r="FT23" s="273"/>
      <c r="FU23" s="273"/>
      <c r="FV23" s="273"/>
      <c r="FW23" s="273"/>
      <c r="FX23" s="274"/>
      <c r="FY23" s="273"/>
      <c r="FZ23" s="273"/>
      <c r="GA23" s="273"/>
      <c r="GB23" s="273"/>
      <c r="GC23" s="273"/>
      <c r="GD23" s="273"/>
      <c r="GE23" s="275"/>
      <c r="GF23" s="273"/>
      <c r="GG23" s="273"/>
      <c r="GH23" s="273"/>
      <c r="GI23" s="273"/>
      <c r="GJ23" s="274"/>
      <c r="GK23" s="273"/>
      <c r="GL23" s="273"/>
      <c r="GM23" s="273"/>
      <c r="GN23" s="273"/>
      <c r="GO23" s="273"/>
      <c r="GP23" s="273"/>
      <c r="GQ23" s="275"/>
      <c r="GR23" s="273"/>
      <c r="GS23" s="273"/>
      <c r="GT23" s="273"/>
      <c r="GU23" s="273"/>
      <c r="GV23" s="274"/>
      <c r="GW23" s="275"/>
      <c r="GX23" s="273"/>
      <c r="GY23" s="273"/>
      <c r="GZ23" s="273"/>
      <c r="HA23" s="273"/>
      <c r="HB23" s="274"/>
      <c r="HC23" s="273"/>
      <c r="HD23" s="273"/>
      <c r="HE23" s="273"/>
      <c r="HF23" s="273"/>
      <c r="HG23" s="273"/>
      <c r="HH23" s="273"/>
      <c r="HI23" s="275"/>
      <c r="HJ23" s="273"/>
      <c r="HK23" s="273"/>
      <c r="HL23" s="273"/>
      <c r="HM23" s="273"/>
      <c r="HN23" s="276"/>
      <c r="HO23" s="273"/>
      <c r="HP23" s="273"/>
      <c r="HQ23" s="273"/>
      <c r="HR23" s="273"/>
      <c r="HS23" s="273"/>
      <c r="HT23" s="274"/>
      <c r="HU23" s="275"/>
      <c r="HV23" s="273"/>
      <c r="HW23" s="273"/>
      <c r="HX23" s="273"/>
      <c r="HY23" s="273"/>
      <c r="HZ23" s="274"/>
      <c r="IA23" s="275"/>
      <c r="IB23" s="273"/>
      <c r="IC23" s="273"/>
      <c r="ID23" s="273"/>
      <c r="IE23" s="273"/>
      <c r="IF23" s="274"/>
      <c r="IG23" s="275"/>
      <c r="IH23" s="273"/>
      <c r="II23" s="273"/>
      <c r="IJ23" s="273"/>
      <c r="IK23" s="273"/>
      <c r="IL23" s="273"/>
      <c r="IM23" s="275"/>
      <c r="IN23" s="273"/>
      <c r="IO23" s="273"/>
      <c r="IP23" s="273"/>
      <c r="IQ23" s="273"/>
      <c r="IR23" s="274"/>
      <c r="IS23" s="273"/>
      <c r="IT23" s="273"/>
      <c r="IU23" s="273"/>
      <c r="IV23" s="273"/>
      <c r="IW23" s="273"/>
      <c r="IX23" s="273"/>
      <c r="IY23" s="275"/>
      <c r="IZ23" s="273"/>
      <c r="JA23" s="273"/>
      <c r="JB23" s="273"/>
      <c r="JC23" s="273"/>
      <c r="JD23" s="273"/>
      <c r="JE23" s="275"/>
      <c r="JF23" s="273"/>
      <c r="JG23" s="273"/>
      <c r="JH23" s="273"/>
      <c r="JI23" s="273"/>
      <c r="JJ23" s="273"/>
      <c r="JK23" s="275"/>
      <c r="JL23" s="273"/>
      <c r="JM23" s="273"/>
      <c r="JN23" s="273"/>
      <c r="JO23" s="273"/>
      <c r="JP23" s="273"/>
      <c r="JQ23" s="275"/>
      <c r="JR23" s="273"/>
      <c r="JS23" s="273"/>
      <c r="JT23" s="273"/>
      <c r="JU23" s="273"/>
      <c r="JV23" s="274"/>
      <c r="JW23" s="273"/>
      <c r="JX23" s="273"/>
      <c r="JY23" s="273"/>
      <c r="JZ23" s="273"/>
      <c r="KA23" s="273"/>
      <c r="KB23" s="273"/>
      <c r="KC23" s="275"/>
      <c r="KD23" s="273"/>
      <c r="KE23" s="273"/>
      <c r="KF23" s="273"/>
      <c r="KG23" s="273"/>
      <c r="KH23" s="276"/>
      <c r="KI23" s="273"/>
      <c r="KJ23" s="273"/>
      <c r="KK23" s="273"/>
      <c r="KL23" s="273"/>
      <c r="KM23" s="273"/>
      <c r="KN23" s="273"/>
      <c r="KO23" s="275"/>
      <c r="KP23" s="273"/>
      <c r="KQ23" s="273"/>
      <c r="KR23" s="273"/>
      <c r="KS23" s="273"/>
      <c r="KT23" s="273"/>
      <c r="KU23" s="275"/>
      <c r="KV23" s="273"/>
      <c r="KW23" s="273"/>
      <c r="KX23" s="273"/>
      <c r="KY23" s="273"/>
      <c r="KZ23" s="273"/>
      <c r="LA23" s="275"/>
      <c r="LB23" s="273"/>
      <c r="LC23" s="273"/>
      <c r="LD23" s="273"/>
      <c r="LE23" s="273"/>
      <c r="LF23" s="273"/>
      <c r="LG23" s="275"/>
      <c r="LH23" s="273"/>
      <c r="LI23" s="273"/>
      <c r="LJ23" s="273"/>
      <c r="LK23" s="273"/>
      <c r="LL23" s="273"/>
      <c r="LM23" s="275"/>
      <c r="LN23" s="273"/>
      <c r="LO23" s="273"/>
      <c r="LP23" s="273"/>
      <c r="LQ23" s="273"/>
      <c r="LR23" s="273"/>
      <c r="LS23" s="275"/>
      <c r="LT23" s="273"/>
      <c r="LU23" s="273"/>
      <c r="LV23" s="273"/>
      <c r="LW23" s="273"/>
      <c r="LX23" s="274"/>
      <c r="LY23" s="273"/>
      <c r="LZ23" s="273"/>
      <c r="MA23" s="273"/>
      <c r="MB23" s="273"/>
      <c r="MC23" s="273"/>
      <c r="MD23" s="273"/>
      <c r="ME23" s="275"/>
      <c r="MF23" s="273"/>
      <c r="MG23" s="273"/>
      <c r="MH23" s="273"/>
      <c r="MI23" s="273"/>
      <c r="MJ23" s="274"/>
      <c r="MK23" s="275"/>
      <c r="ML23" s="273"/>
      <c r="MM23" s="273"/>
      <c r="MN23" s="273"/>
      <c r="MO23" s="273"/>
      <c r="MP23" s="274"/>
      <c r="MQ23" s="273"/>
      <c r="MR23" s="273"/>
      <c r="MS23" s="273"/>
      <c r="MT23" s="273"/>
      <c r="MU23" s="273"/>
      <c r="MV23" s="273"/>
      <c r="MW23" s="275"/>
      <c r="MX23" s="273"/>
      <c r="MY23" s="273"/>
      <c r="MZ23" s="273"/>
      <c r="NA23" s="273"/>
      <c r="NB23" s="276"/>
      <c r="NC23" s="273"/>
      <c r="ND23" s="273"/>
      <c r="NE23" s="273"/>
      <c r="NF23" s="273"/>
      <c r="NG23" s="273"/>
      <c r="NH23" s="274"/>
      <c r="NI23" s="275"/>
      <c r="NJ23" s="273"/>
      <c r="NK23" s="273"/>
      <c r="NL23" s="273"/>
      <c r="NM23" s="273"/>
      <c r="NN23" s="274"/>
      <c r="NO23" s="275"/>
      <c r="NP23" s="273"/>
      <c r="NQ23" s="273"/>
      <c r="NR23" s="273"/>
      <c r="NS23" s="273"/>
      <c r="NT23" s="274"/>
      <c r="NU23" s="275"/>
      <c r="NV23" s="273"/>
      <c r="NW23" s="273"/>
      <c r="NX23" s="273"/>
      <c r="NY23" s="273"/>
      <c r="NZ23" s="273"/>
      <c r="OA23" s="275"/>
      <c r="OB23" s="273"/>
      <c r="OC23" s="273"/>
      <c r="OD23" s="273"/>
      <c r="OE23" s="273"/>
      <c r="OF23" s="274"/>
      <c r="OG23" s="273"/>
      <c r="OH23" s="273"/>
      <c r="OI23" s="273"/>
      <c r="OJ23" s="273"/>
      <c r="OK23" s="273"/>
      <c r="OL23" s="273"/>
      <c r="OM23" s="275"/>
      <c r="ON23" s="273"/>
      <c r="OO23" s="273"/>
      <c r="OP23" s="273"/>
      <c r="OQ23" s="273"/>
      <c r="OR23" s="274"/>
      <c r="OS23" s="273"/>
      <c r="OT23" s="273"/>
      <c r="OU23" s="273"/>
      <c r="OV23" s="273"/>
      <c r="OW23" s="273"/>
      <c r="OX23" s="273"/>
      <c r="OY23" s="275"/>
      <c r="OZ23" s="273"/>
      <c r="PA23" s="273"/>
      <c r="PB23" s="273"/>
      <c r="PC23" s="273"/>
      <c r="PD23" s="274"/>
      <c r="PE23" s="275"/>
      <c r="PF23" s="273"/>
      <c r="PG23" s="273"/>
      <c r="PH23" s="273"/>
      <c r="PI23" s="273"/>
      <c r="PJ23" s="274"/>
      <c r="PK23" s="273"/>
      <c r="PL23" s="273"/>
      <c r="PM23" s="273"/>
      <c r="PN23" s="273"/>
      <c r="PO23" s="273"/>
      <c r="PP23" s="273"/>
      <c r="PQ23" s="275"/>
      <c r="PR23" s="273"/>
      <c r="PS23" s="273"/>
      <c r="PT23" s="273"/>
      <c r="PU23" s="273"/>
      <c r="PV23" s="276"/>
      <c r="PW23" s="273"/>
      <c r="PX23" s="273"/>
      <c r="PY23" s="273"/>
      <c r="PZ23" s="273"/>
      <c r="QA23" s="273"/>
      <c r="QB23" s="274"/>
      <c r="QC23" s="275"/>
      <c r="QD23" s="273"/>
      <c r="QE23" s="273"/>
      <c r="QF23" s="273"/>
      <c r="QG23" s="273"/>
      <c r="QH23" s="274"/>
      <c r="QI23" s="275"/>
      <c r="QJ23" s="273"/>
      <c r="QK23" s="273"/>
      <c r="QL23" s="273"/>
      <c r="QM23" s="273"/>
      <c r="QN23" s="274"/>
      <c r="QO23" s="275"/>
      <c r="QP23" s="273"/>
      <c r="QQ23" s="273"/>
      <c r="QR23" s="273"/>
      <c r="QS23" s="273"/>
      <c r="QT23" s="273"/>
      <c r="QU23" s="275"/>
      <c r="QV23" s="273"/>
      <c r="QW23" s="273"/>
      <c r="QX23" s="273"/>
      <c r="QY23" s="273"/>
      <c r="QZ23" s="274"/>
      <c r="RA23" s="273"/>
      <c r="RB23" s="273"/>
      <c r="RC23" s="273"/>
      <c r="RD23" s="273"/>
      <c r="RE23" s="273"/>
      <c r="RF23" s="273"/>
      <c r="RG23" s="275"/>
      <c r="RH23" s="273"/>
      <c r="RI23" s="273"/>
      <c r="RJ23" s="273"/>
      <c r="RK23" s="273"/>
      <c r="RL23" s="274"/>
      <c r="RM23" s="273"/>
      <c r="RN23" s="273"/>
      <c r="RO23" s="273"/>
      <c r="RP23" s="273"/>
      <c r="RQ23" s="273"/>
      <c r="RR23" s="273"/>
      <c r="RS23" s="275"/>
      <c r="RT23" s="273"/>
      <c r="RU23" s="273"/>
      <c r="RV23" s="273"/>
      <c r="RW23" s="273"/>
      <c r="RX23" s="274"/>
      <c r="RY23" s="275"/>
      <c r="RZ23" s="273"/>
      <c r="SA23" s="273"/>
      <c r="SB23" s="273"/>
      <c r="SC23" s="273"/>
      <c r="SD23" s="274"/>
      <c r="SE23" s="273"/>
      <c r="SF23" s="273"/>
      <c r="SG23" s="273"/>
      <c r="SH23" s="273"/>
      <c r="SI23" s="273"/>
      <c r="SJ23" s="273"/>
      <c r="SK23" s="275"/>
      <c r="SL23" s="273"/>
      <c r="SM23" s="273"/>
      <c r="SN23" s="273"/>
      <c r="SO23" s="273"/>
      <c r="SP23" s="276"/>
      <c r="SQ23" s="273"/>
      <c r="SR23" s="273"/>
      <c r="SS23" s="273"/>
      <c r="ST23" s="273"/>
      <c r="SU23" s="273"/>
      <c r="SV23" s="274"/>
      <c r="SW23" s="275"/>
      <c r="SX23" s="273"/>
      <c r="SY23" s="273"/>
      <c r="SZ23" s="273"/>
      <c r="TA23" s="273"/>
      <c r="TB23" s="274"/>
      <c r="TC23" s="275"/>
      <c r="TD23" s="273"/>
      <c r="TE23" s="273"/>
      <c r="TF23" s="273"/>
      <c r="TG23" s="273"/>
      <c r="TH23" s="274"/>
      <c r="TI23" s="275"/>
      <c r="TJ23" s="273"/>
      <c r="TK23" s="273"/>
      <c r="TL23" s="273"/>
      <c r="TM23" s="273"/>
      <c r="TN23" s="273"/>
      <c r="TO23" s="275"/>
      <c r="TP23" s="273"/>
      <c r="TQ23" s="273"/>
      <c r="TR23" s="273"/>
      <c r="TS23" s="273"/>
      <c r="TT23" s="274"/>
      <c r="TU23" s="273"/>
      <c r="TV23" s="273"/>
      <c r="TW23" s="273"/>
      <c r="TX23" s="273"/>
      <c r="TY23" s="273"/>
      <c r="TZ23" s="273"/>
      <c r="UA23" s="275"/>
      <c r="UB23" s="273"/>
      <c r="UC23" s="273"/>
      <c r="UD23" s="273"/>
      <c r="UE23" s="273"/>
      <c r="UF23" s="274"/>
      <c r="UG23" s="273"/>
      <c r="UH23" s="273"/>
      <c r="UI23" s="273"/>
      <c r="UJ23" s="273"/>
      <c r="UK23" s="273"/>
      <c r="UL23" s="273"/>
      <c r="UM23" s="275"/>
      <c r="UN23" s="273"/>
      <c r="UO23" s="273"/>
      <c r="UP23" s="273"/>
      <c r="UQ23" s="273"/>
      <c r="UR23" s="274"/>
      <c r="US23" s="275"/>
      <c r="UT23" s="273"/>
      <c r="UU23" s="273"/>
      <c r="UV23" s="273"/>
      <c r="UW23" s="273"/>
      <c r="UX23" s="274"/>
      <c r="UY23" s="273"/>
      <c r="UZ23" s="273"/>
      <c r="VA23" s="273"/>
      <c r="VB23" s="273"/>
      <c r="VC23" s="273"/>
      <c r="VD23" s="273"/>
      <c r="VE23" s="275"/>
      <c r="VF23" s="273"/>
      <c r="VG23" s="273"/>
      <c r="VH23" s="273"/>
      <c r="VI23" s="273"/>
      <c r="VJ23" s="276"/>
    </row>
    <row r="24" spans="3:582" s="52" customFormat="1" ht="41.25" customHeight="1" thickBot="1" x14ac:dyDescent="0.3">
      <c r="C24" s="539"/>
      <c r="D24" s="542"/>
      <c r="E24" s="542"/>
      <c r="F24" s="544"/>
      <c r="G24" s="555"/>
      <c r="H24" s="556"/>
      <c r="I24" s="556"/>
      <c r="J24" s="556"/>
      <c r="K24" s="556"/>
      <c r="L24" s="557"/>
      <c r="M24" s="563"/>
      <c r="N24" s="556"/>
      <c r="O24" s="556"/>
      <c r="P24" s="556"/>
      <c r="Q24" s="556"/>
      <c r="R24" s="557"/>
      <c r="S24" s="563"/>
      <c r="T24" s="556"/>
      <c r="U24" s="556"/>
      <c r="V24" s="556"/>
      <c r="W24" s="556"/>
      <c r="X24" s="557"/>
      <c r="Y24" s="564"/>
      <c r="Z24" s="564"/>
      <c r="AA24" s="564"/>
      <c r="AB24" s="564"/>
      <c r="AC24" s="564"/>
      <c r="AD24" s="564"/>
      <c r="AE24" s="565"/>
      <c r="AF24" s="566"/>
      <c r="AG24" s="566"/>
      <c r="AH24" s="566"/>
      <c r="AI24" s="566"/>
      <c r="AJ24" s="567"/>
      <c r="AK24" s="556"/>
      <c r="AL24" s="556"/>
      <c r="AM24" s="556"/>
      <c r="AN24" s="556"/>
      <c r="AO24" s="556"/>
      <c r="AP24" s="556"/>
      <c r="AQ24" s="568"/>
      <c r="AR24" s="569"/>
      <c r="AS24" s="569"/>
      <c r="AT24" s="569"/>
      <c r="AU24" s="569"/>
      <c r="AV24" s="570"/>
      <c r="AW24" s="556"/>
      <c r="AX24" s="556"/>
      <c r="AY24" s="556"/>
      <c r="AZ24" s="556"/>
      <c r="BA24" s="556"/>
      <c r="BB24" s="556"/>
      <c r="BC24" s="563"/>
      <c r="BD24" s="556"/>
      <c r="BE24" s="556"/>
      <c r="BF24" s="556"/>
      <c r="BG24" s="556"/>
      <c r="BH24" s="557"/>
      <c r="BI24" s="563"/>
      <c r="BJ24" s="556"/>
      <c r="BK24" s="556"/>
      <c r="BL24" s="556"/>
      <c r="BM24" s="556"/>
      <c r="BN24" s="557"/>
      <c r="BO24" s="556"/>
      <c r="BP24" s="556"/>
      <c r="BQ24" s="556"/>
      <c r="BR24" s="556"/>
      <c r="BS24" s="556"/>
      <c r="BT24" s="556"/>
      <c r="BU24" s="565"/>
      <c r="BV24" s="566"/>
      <c r="BW24" s="566"/>
      <c r="BX24" s="566"/>
      <c r="BY24" s="566"/>
      <c r="BZ24" s="566"/>
      <c r="CA24" s="584"/>
      <c r="CB24" s="566"/>
      <c r="CC24" s="566"/>
      <c r="CD24" s="566"/>
      <c r="CE24" s="566"/>
      <c r="CF24" s="567"/>
      <c r="CG24" s="563"/>
      <c r="CH24" s="556"/>
      <c r="CI24" s="556"/>
      <c r="CJ24" s="556"/>
      <c r="CK24" s="556"/>
      <c r="CL24" s="557"/>
      <c r="CM24" s="563"/>
      <c r="CN24" s="556"/>
      <c r="CO24" s="556"/>
      <c r="CP24" s="556"/>
      <c r="CQ24" s="556"/>
      <c r="CR24" s="557"/>
      <c r="CS24" s="564"/>
      <c r="CT24" s="564"/>
      <c r="CU24" s="564"/>
      <c r="CV24" s="564"/>
      <c r="CW24" s="564"/>
      <c r="CX24" s="564"/>
      <c r="CY24" s="565"/>
      <c r="CZ24" s="566"/>
      <c r="DA24" s="566"/>
      <c r="DB24" s="566"/>
      <c r="DC24" s="566"/>
      <c r="DD24" s="566"/>
      <c r="DE24" s="563"/>
      <c r="DF24" s="556"/>
      <c r="DG24" s="556"/>
      <c r="DH24" s="556"/>
      <c r="DI24" s="556"/>
      <c r="DJ24" s="557"/>
      <c r="DK24" s="568"/>
      <c r="DL24" s="569"/>
      <c r="DM24" s="569"/>
      <c r="DN24" s="569"/>
      <c r="DO24" s="569"/>
      <c r="DP24" s="570"/>
      <c r="DQ24" s="556"/>
      <c r="DR24" s="556"/>
      <c r="DS24" s="556"/>
      <c r="DT24" s="556"/>
      <c r="DU24" s="556"/>
      <c r="DV24" s="556"/>
      <c r="DW24" s="563"/>
      <c r="DX24" s="556"/>
      <c r="DY24" s="556"/>
      <c r="DZ24" s="556"/>
      <c r="EA24" s="556"/>
      <c r="EB24" s="557"/>
      <c r="EC24" s="563"/>
      <c r="ED24" s="556"/>
      <c r="EE24" s="556"/>
      <c r="EF24" s="556"/>
      <c r="EG24" s="556"/>
      <c r="EH24" s="557"/>
      <c r="EI24" s="556"/>
      <c r="EJ24" s="556"/>
      <c r="EK24" s="556"/>
      <c r="EL24" s="556"/>
      <c r="EM24" s="556"/>
      <c r="EN24" s="556"/>
      <c r="EO24" s="563"/>
      <c r="EP24" s="556"/>
      <c r="EQ24" s="556"/>
      <c r="ER24" s="556"/>
      <c r="ES24" s="556"/>
      <c r="ET24" s="571"/>
      <c r="EU24" s="565"/>
      <c r="EV24" s="566"/>
      <c r="EW24" s="566"/>
      <c r="EX24" s="566"/>
      <c r="EY24" s="566"/>
      <c r="EZ24" s="566"/>
      <c r="FA24" s="563"/>
      <c r="FB24" s="556"/>
      <c r="FC24" s="556"/>
      <c r="FD24" s="556"/>
      <c r="FE24" s="556"/>
      <c r="FF24" s="557"/>
      <c r="FG24" s="563"/>
      <c r="FH24" s="556"/>
      <c r="FI24" s="556"/>
      <c r="FJ24" s="556"/>
      <c r="FK24" s="556"/>
      <c r="FL24" s="557"/>
      <c r="FM24" s="564"/>
      <c r="FN24" s="564"/>
      <c r="FO24" s="564"/>
      <c r="FP24" s="564"/>
      <c r="FQ24" s="564"/>
      <c r="FR24" s="564"/>
      <c r="FS24" s="565"/>
      <c r="FT24" s="566"/>
      <c r="FU24" s="566"/>
      <c r="FV24" s="566"/>
      <c r="FW24" s="566"/>
      <c r="FX24" s="567"/>
      <c r="FY24" s="556"/>
      <c r="FZ24" s="556"/>
      <c r="GA24" s="556"/>
      <c r="GB24" s="556"/>
      <c r="GC24" s="556"/>
      <c r="GD24" s="556"/>
      <c r="GE24" s="568"/>
      <c r="GF24" s="569"/>
      <c r="GG24" s="569"/>
      <c r="GH24" s="569"/>
      <c r="GI24" s="569"/>
      <c r="GJ24" s="570"/>
      <c r="GK24" s="556"/>
      <c r="GL24" s="556"/>
      <c r="GM24" s="556"/>
      <c r="GN24" s="556"/>
      <c r="GO24" s="556"/>
      <c r="GP24" s="556"/>
      <c r="GQ24" s="563"/>
      <c r="GR24" s="556"/>
      <c r="GS24" s="556"/>
      <c r="GT24" s="556"/>
      <c r="GU24" s="556"/>
      <c r="GV24" s="557"/>
      <c r="GW24" s="563"/>
      <c r="GX24" s="556"/>
      <c r="GY24" s="556"/>
      <c r="GZ24" s="556"/>
      <c r="HA24" s="556"/>
      <c r="HB24" s="557"/>
      <c r="HC24" s="556"/>
      <c r="HD24" s="556"/>
      <c r="HE24" s="556"/>
      <c r="HF24" s="556"/>
      <c r="HG24" s="556"/>
      <c r="HH24" s="556"/>
      <c r="HI24" s="563"/>
      <c r="HJ24" s="556"/>
      <c r="HK24" s="556"/>
      <c r="HL24" s="556"/>
      <c r="HM24" s="556"/>
      <c r="HN24" s="571"/>
      <c r="HO24" s="565"/>
      <c r="HP24" s="566"/>
      <c r="HQ24" s="566"/>
      <c r="HR24" s="566"/>
      <c r="HS24" s="566"/>
      <c r="HT24" s="566"/>
      <c r="HU24" s="563"/>
      <c r="HV24" s="556"/>
      <c r="HW24" s="556"/>
      <c r="HX24" s="556"/>
      <c r="HY24" s="556"/>
      <c r="HZ24" s="557"/>
      <c r="IA24" s="563"/>
      <c r="IB24" s="556"/>
      <c r="IC24" s="556"/>
      <c r="ID24" s="556"/>
      <c r="IE24" s="556"/>
      <c r="IF24" s="557"/>
      <c r="IG24" s="564"/>
      <c r="IH24" s="564"/>
      <c r="II24" s="564"/>
      <c r="IJ24" s="564"/>
      <c r="IK24" s="564"/>
      <c r="IL24" s="564"/>
      <c r="IM24" s="565"/>
      <c r="IN24" s="566"/>
      <c r="IO24" s="566"/>
      <c r="IP24" s="566"/>
      <c r="IQ24" s="566"/>
      <c r="IR24" s="566"/>
      <c r="IS24" s="565"/>
      <c r="IT24" s="566"/>
      <c r="IU24" s="566"/>
      <c r="IV24" s="566"/>
      <c r="IW24" s="566"/>
      <c r="IX24" s="567"/>
      <c r="IY24" s="568"/>
      <c r="IZ24" s="569"/>
      <c r="JA24" s="569"/>
      <c r="JB24" s="569"/>
      <c r="JC24" s="569"/>
      <c r="JD24" s="570"/>
      <c r="JE24" s="556"/>
      <c r="JF24" s="556"/>
      <c r="JG24" s="556"/>
      <c r="JH24" s="556"/>
      <c r="JI24" s="556"/>
      <c r="JJ24" s="556"/>
      <c r="JK24" s="563"/>
      <c r="JL24" s="556"/>
      <c r="JM24" s="556"/>
      <c r="JN24" s="556"/>
      <c r="JO24" s="556"/>
      <c r="JP24" s="557"/>
      <c r="JQ24" s="563"/>
      <c r="JR24" s="556"/>
      <c r="JS24" s="556"/>
      <c r="JT24" s="556"/>
      <c r="JU24" s="556"/>
      <c r="JV24" s="557"/>
      <c r="JW24" s="556"/>
      <c r="JX24" s="556"/>
      <c r="JY24" s="556"/>
      <c r="JZ24" s="556"/>
      <c r="KA24" s="556"/>
      <c r="KB24" s="556"/>
      <c r="KC24" s="563"/>
      <c r="KD24" s="556"/>
      <c r="KE24" s="556"/>
      <c r="KF24" s="556"/>
      <c r="KG24" s="556"/>
      <c r="KH24" s="571"/>
      <c r="KI24" s="565"/>
      <c r="KJ24" s="566"/>
      <c r="KK24" s="566"/>
      <c r="KL24" s="566"/>
      <c r="KM24" s="566"/>
      <c r="KN24" s="566"/>
      <c r="KO24" s="563"/>
      <c r="KP24" s="556"/>
      <c r="KQ24" s="556"/>
      <c r="KR24" s="556"/>
      <c r="KS24" s="556"/>
      <c r="KT24" s="557"/>
      <c r="KU24" s="563"/>
      <c r="KV24" s="556"/>
      <c r="KW24" s="556"/>
      <c r="KX24" s="556"/>
      <c r="KY24" s="556"/>
      <c r="KZ24" s="557"/>
      <c r="LA24" s="564"/>
      <c r="LB24" s="564"/>
      <c r="LC24" s="564"/>
      <c r="LD24" s="564"/>
      <c r="LE24" s="564"/>
      <c r="LF24" s="564"/>
      <c r="LG24" s="565"/>
      <c r="LH24" s="566"/>
      <c r="LI24" s="566"/>
      <c r="LJ24" s="566"/>
      <c r="LK24" s="566"/>
      <c r="LL24" s="567"/>
      <c r="LM24" s="565"/>
      <c r="LN24" s="566"/>
      <c r="LO24" s="566"/>
      <c r="LP24" s="566"/>
      <c r="LQ24" s="566"/>
      <c r="LR24" s="566"/>
      <c r="LS24" s="568"/>
      <c r="LT24" s="569"/>
      <c r="LU24" s="569"/>
      <c r="LV24" s="569"/>
      <c r="LW24" s="569"/>
      <c r="LX24" s="570"/>
      <c r="LY24" s="556"/>
      <c r="LZ24" s="556"/>
      <c r="MA24" s="556"/>
      <c r="MB24" s="556"/>
      <c r="MC24" s="556"/>
      <c r="MD24" s="556"/>
      <c r="ME24" s="563"/>
      <c r="MF24" s="556"/>
      <c r="MG24" s="556"/>
      <c r="MH24" s="556"/>
      <c r="MI24" s="556"/>
      <c r="MJ24" s="557"/>
      <c r="MK24" s="563"/>
      <c r="ML24" s="556"/>
      <c r="MM24" s="556"/>
      <c r="MN24" s="556"/>
      <c r="MO24" s="556"/>
      <c r="MP24" s="557"/>
      <c r="MQ24" s="556"/>
      <c r="MR24" s="556"/>
      <c r="MS24" s="556"/>
      <c r="MT24" s="556"/>
      <c r="MU24" s="556"/>
      <c r="MV24" s="556"/>
      <c r="MW24" s="563"/>
      <c r="MX24" s="556"/>
      <c r="MY24" s="556"/>
      <c r="MZ24" s="556"/>
      <c r="NA24" s="556"/>
      <c r="NB24" s="571"/>
      <c r="NC24" s="565"/>
      <c r="ND24" s="566"/>
      <c r="NE24" s="566"/>
      <c r="NF24" s="566"/>
      <c r="NG24" s="566"/>
      <c r="NH24" s="566"/>
      <c r="NI24" s="563"/>
      <c r="NJ24" s="556"/>
      <c r="NK24" s="556"/>
      <c r="NL24" s="556"/>
      <c r="NM24" s="556"/>
      <c r="NN24" s="557"/>
      <c r="NO24" s="563"/>
      <c r="NP24" s="556"/>
      <c r="NQ24" s="556"/>
      <c r="NR24" s="556"/>
      <c r="NS24" s="556"/>
      <c r="NT24" s="557"/>
      <c r="NU24" s="564"/>
      <c r="NV24" s="564"/>
      <c r="NW24" s="564"/>
      <c r="NX24" s="564"/>
      <c r="NY24" s="564"/>
      <c r="NZ24" s="564"/>
      <c r="OA24" s="565"/>
      <c r="OB24" s="566"/>
      <c r="OC24" s="566"/>
      <c r="OD24" s="566"/>
      <c r="OE24" s="566"/>
      <c r="OF24" s="567"/>
      <c r="OG24" s="556"/>
      <c r="OH24" s="556"/>
      <c r="OI24" s="556"/>
      <c r="OJ24" s="556"/>
      <c r="OK24" s="556"/>
      <c r="OL24" s="556"/>
      <c r="OM24" s="568"/>
      <c r="ON24" s="569"/>
      <c r="OO24" s="569"/>
      <c r="OP24" s="569"/>
      <c r="OQ24" s="569"/>
      <c r="OR24" s="570"/>
      <c r="OS24" s="556"/>
      <c r="OT24" s="556"/>
      <c r="OU24" s="556"/>
      <c r="OV24" s="556"/>
      <c r="OW24" s="556"/>
      <c r="OX24" s="556"/>
      <c r="OY24" s="563"/>
      <c r="OZ24" s="556"/>
      <c r="PA24" s="556"/>
      <c r="PB24" s="556"/>
      <c r="PC24" s="556"/>
      <c r="PD24" s="557"/>
      <c r="PE24" s="563"/>
      <c r="PF24" s="556"/>
      <c r="PG24" s="556"/>
      <c r="PH24" s="556"/>
      <c r="PI24" s="556"/>
      <c r="PJ24" s="557"/>
      <c r="PK24" s="556"/>
      <c r="PL24" s="556"/>
      <c r="PM24" s="556"/>
      <c r="PN24" s="556"/>
      <c r="PO24" s="556"/>
      <c r="PP24" s="556"/>
      <c r="PQ24" s="563"/>
      <c r="PR24" s="556"/>
      <c r="PS24" s="556"/>
      <c r="PT24" s="556"/>
      <c r="PU24" s="556"/>
      <c r="PV24" s="571"/>
      <c r="PW24" s="565"/>
      <c r="PX24" s="566"/>
      <c r="PY24" s="566"/>
      <c r="PZ24" s="566"/>
      <c r="QA24" s="566"/>
      <c r="QB24" s="566"/>
      <c r="QC24" s="563"/>
      <c r="QD24" s="556"/>
      <c r="QE24" s="556"/>
      <c r="QF24" s="556"/>
      <c r="QG24" s="556"/>
      <c r="QH24" s="557"/>
      <c r="QI24" s="563"/>
      <c r="QJ24" s="556"/>
      <c r="QK24" s="556"/>
      <c r="QL24" s="556"/>
      <c r="QM24" s="556"/>
      <c r="QN24" s="557"/>
      <c r="QO24" s="564"/>
      <c r="QP24" s="564"/>
      <c r="QQ24" s="564"/>
      <c r="QR24" s="564"/>
      <c r="QS24" s="564"/>
      <c r="QT24" s="564"/>
      <c r="QU24" s="565"/>
      <c r="QV24" s="566"/>
      <c r="QW24" s="566"/>
      <c r="QX24" s="566"/>
      <c r="QY24" s="566"/>
      <c r="QZ24" s="567"/>
      <c r="RA24" s="556"/>
      <c r="RB24" s="556"/>
      <c r="RC24" s="556"/>
      <c r="RD24" s="556"/>
      <c r="RE24" s="556"/>
      <c r="RF24" s="556"/>
      <c r="RG24" s="568"/>
      <c r="RH24" s="569"/>
      <c r="RI24" s="569"/>
      <c r="RJ24" s="569"/>
      <c r="RK24" s="569"/>
      <c r="RL24" s="570"/>
      <c r="RM24" s="556"/>
      <c r="RN24" s="556"/>
      <c r="RO24" s="556"/>
      <c r="RP24" s="556"/>
      <c r="RQ24" s="556"/>
      <c r="RR24" s="556"/>
      <c r="RS24" s="563"/>
      <c r="RT24" s="556"/>
      <c r="RU24" s="556"/>
      <c r="RV24" s="556"/>
      <c r="RW24" s="556"/>
      <c r="RX24" s="557"/>
      <c r="RY24" s="563"/>
      <c r="RZ24" s="556"/>
      <c r="SA24" s="556"/>
      <c r="SB24" s="556"/>
      <c r="SC24" s="556"/>
      <c r="SD24" s="557"/>
      <c r="SE24" s="556"/>
      <c r="SF24" s="556"/>
      <c r="SG24" s="556"/>
      <c r="SH24" s="556"/>
      <c r="SI24" s="556"/>
      <c r="SJ24" s="556"/>
      <c r="SK24" s="563"/>
      <c r="SL24" s="556"/>
      <c r="SM24" s="556"/>
      <c r="SN24" s="556"/>
      <c r="SO24" s="556"/>
      <c r="SP24" s="571"/>
      <c r="SQ24" s="565"/>
      <c r="SR24" s="566"/>
      <c r="SS24" s="566"/>
      <c r="ST24" s="566"/>
      <c r="SU24" s="566"/>
      <c r="SV24" s="566"/>
      <c r="SW24" s="563"/>
      <c r="SX24" s="556"/>
      <c r="SY24" s="556"/>
      <c r="SZ24" s="556"/>
      <c r="TA24" s="556"/>
      <c r="TB24" s="557"/>
      <c r="TC24" s="563"/>
      <c r="TD24" s="556"/>
      <c r="TE24" s="556"/>
      <c r="TF24" s="556"/>
      <c r="TG24" s="556"/>
      <c r="TH24" s="557"/>
      <c r="TI24" s="564"/>
      <c r="TJ24" s="564"/>
      <c r="TK24" s="564"/>
      <c r="TL24" s="564"/>
      <c r="TM24" s="564"/>
      <c r="TN24" s="564"/>
      <c r="TO24" s="565"/>
      <c r="TP24" s="566"/>
      <c r="TQ24" s="566"/>
      <c r="TR24" s="566"/>
      <c r="TS24" s="566"/>
      <c r="TT24" s="567"/>
      <c r="TU24" s="556"/>
      <c r="TV24" s="556"/>
      <c r="TW24" s="556"/>
      <c r="TX24" s="556"/>
      <c r="TY24" s="556"/>
      <c r="TZ24" s="556"/>
      <c r="UA24" s="568"/>
      <c r="UB24" s="569"/>
      <c r="UC24" s="569"/>
      <c r="UD24" s="569"/>
      <c r="UE24" s="569"/>
      <c r="UF24" s="570"/>
      <c r="UG24" s="556"/>
      <c r="UH24" s="556"/>
      <c r="UI24" s="556"/>
      <c r="UJ24" s="556"/>
      <c r="UK24" s="556"/>
      <c r="UL24" s="556"/>
      <c r="UM24" s="563"/>
      <c r="UN24" s="556"/>
      <c r="UO24" s="556"/>
      <c r="UP24" s="556"/>
      <c r="UQ24" s="556"/>
      <c r="UR24" s="557"/>
      <c r="US24" s="563"/>
      <c r="UT24" s="556"/>
      <c r="UU24" s="556"/>
      <c r="UV24" s="556"/>
      <c r="UW24" s="556"/>
      <c r="UX24" s="557"/>
      <c r="UY24" s="556"/>
      <c r="UZ24" s="556"/>
      <c r="VA24" s="556"/>
      <c r="VB24" s="556"/>
      <c r="VC24" s="556"/>
      <c r="VD24" s="556"/>
      <c r="VE24" s="563"/>
      <c r="VF24" s="556"/>
      <c r="VG24" s="556"/>
      <c r="VH24" s="556"/>
      <c r="VI24" s="556"/>
      <c r="VJ24" s="571"/>
    </row>
    <row r="25" spans="3:582" s="52" customFormat="1" ht="14.25" customHeight="1" x14ac:dyDescent="0.25">
      <c r="C25" s="538"/>
      <c r="D25" s="540">
        <v>1</v>
      </c>
      <c r="E25" s="540"/>
      <c r="F25" s="543"/>
      <c r="G25" s="545"/>
      <c r="H25" s="546"/>
      <c r="I25" s="546"/>
      <c r="J25" s="546"/>
      <c r="K25" s="546"/>
      <c r="L25" s="547"/>
      <c r="M25" s="548"/>
      <c r="N25" s="546"/>
      <c r="O25" s="546"/>
      <c r="P25" s="546"/>
      <c r="Q25" s="546"/>
      <c r="R25" s="547"/>
      <c r="S25" s="548"/>
      <c r="T25" s="546"/>
      <c r="U25" s="546"/>
      <c r="V25" s="546"/>
      <c r="W25" s="546"/>
      <c r="X25" s="547"/>
      <c r="Y25" s="546"/>
      <c r="Z25" s="546"/>
      <c r="AA25" s="546"/>
      <c r="AB25" s="546"/>
      <c r="AC25" s="546"/>
      <c r="AD25" s="546"/>
      <c r="AE25" s="548"/>
      <c r="AF25" s="546"/>
      <c r="AG25" s="546"/>
      <c r="AH25" s="546"/>
      <c r="AI25" s="546"/>
      <c r="AJ25" s="547"/>
      <c r="AK25" s="546"/>
      <c r="AL25" s="546"/>
      <c r="AM25" s="546"/>
      <c r="AN25" s="546"/>
      <c r="AO25" s="546"/>
      <c r="AP25" s="546"/>
      <c r="AQ25" s="548"/>
      <c r="AR25" s="546"/>
      <c r="AS25" s="546"/>
      <c r="AT25" s="546"/>
      <c r="AU25" s="546"/>
      <c r="AV25" s="547"/>
      <c r="AW25" s="546"/>
      <c r="AX25" s="546"/>
      <c r="AY25" s="546"/>
      <c r="AZ25" s="546"/>
      <c r="BA25" s="546"/>
      <c r="BB25" s="546"/>
      <c r="BC25" s="548"/>
      <c r="BD25" s="546"/>
      <c r="BE25" s="546"/>
      <c r="BF25" s="546"/>
      <c r="BG25" s="546"/>
      <c r="BH25" s="547"/>
      <c r="BI25" s="548"/>
      <c r="BJ25" s="546"/>
      <c r="BK25" s="546"/>
      <c r="BL25" s="546"/>
      <c r="BM25" s="546"/>
      <c r="BN25" s="547"/>
      <c r="BO25" s="546"/>
      <c r="BP25" s="546"/>
      <c r="BQ25" s="546"/>
      <c r="BR25" s="546"/>
      <c r="BS25" s="546"/>
      <c r="BT25" s="546"/>
      <c r="BU25" s="548"/>
      <c r="BV25" s="546"/>
      <c r="BW25" s="546"/>
      <c r="BX25" s="546"/>
      <c r="BY25" s="546"/>
      <c r="BZ25" s="549"/>
      <c r="CA25" s="545"/>
      <c r="CB25" s="546"/>
      <c r="CC25" s="546"/>
      <c r="CD25" s="546"/>
      <c r="CE25" s="546"/>
      <c r="CF25" s="547"/>
      <c r="CG25" s="548"/>
      <c r="CH25" s="546"/>
      <c r="CI25" s="546"/>
      <c r="CJ25" s="546"/>
      <c r="CK25" s="546"/>
      <c r="CL25" s="547"/>
      <c r="CM25" s="548"/>
      <c r="CN25" s="546"/>
      <c r="CO25" s="546"/>
      <c r="CP25" s="546"/>
      <c r="CQ25" s="546"/>
      <c r="CR25" s="547"/>
      <c r="CS25" s="546"/>
      <c r="CT25" s="546"/>
      <c r="CU25" s="546"/>
      <c r="CV25" s="546"/>
      <c r="CW25" s="546"/>
      <c r="CX25" s="546"/>
      <c r="CY25" s="548"/>
      <c r="CZ25" s="546"/>
      <c r="DA25" s="546"/>
      <c r="DB25" s="546"/>
      <c r="DC25" s="546"/>
      <c r="DD25" s="547"/>
      <c r="DE25" s="546"/>
      <c r="DF25" s="546"/>
      <c r="DG25" s="546"/>
      <c r="DH25" s="546"/>
      <c r="DI25" s="546"/>
      <c r="DJ25" s="546"/>
      <c r="DK25" s="548"/>
      <c r="DL25" s="546"/>
      <c r="DM25" s="546"/>
      <c r="DN25" s="546"/>
      <c r="DO25" s="546"/>
      <c r="DP25" s="547"/>
      <c r="DQ25" s="546"/>
      <c r="DR25" s="546"/>
      <c r="DS25" s="546"/>
      <c r="DT25" s="546"/>
      <c r="DU25" s="546"/>
      <c r="DV25" s="546"/>
      <c r="DW25" s="548"/>
      <c r="DX25" s="546"/>
      <c r="DY25" s="546"/>
      <c r="DZ25" s="546"/>
      <c r="EA25" s="546"/>
      <c r="EB25" s="547"/>
      <c r="EC25" s="548"/>
      <c r="ED25" s="546"/>
      <c r="EE25" s="546"/>
      <c r="EF25" s="546"/>
      <c r="EG25" s="546"/>
      <c r="EH25" s="547"/>
      <c r="EI25" s="546"/>
      <c r="EJ25" s="546"/>
      <c r="EK25" s="546"/>
      <c r="EL25" s="546"/>
      <c r="EM25" s="546"/>
      <c r="EN25" s="546"/>
      <c r="EO25" s="548"/>
      <c r="EP25" s="546"/>
      <c r="EQ25" s="546"/>
      <c r="ER25" s="546"/>
      <c r="ES25" s="546"/>
      <c r="ET25" s="549"/>
      <c r="EU25" s="545"/>
      <c r="EV25" s="546"/>
      <c r="EW25" s="546"/>
      <c r="EX25" s="546"/>
      <c r="EY25" s="546"/>
      <c r="EZ25" s="547"/>
      <c r="FA25" s="548"/>
      <c r="FB25" s="546"/>
      <c r="FC25" s="546"/>
      <c r="FD25" s="546"/>
      <c r="FE25" s="546"/>
      <c r="FF25" s="547"/>
      <c r="FG25" s="548"/>
      <c r="FH25" s="546"/>
      <c r="FI25" s="546"/>
      <c r="FJ25" s="546"/>
      <c r="FK25" s="546"/>
      <c r="FL25" s="547"/>
      <c r="FM25" s="546"/>
      <c r="FN25" s="546"/>
      <c r="FO25" s="546"/>
      <c r="FP25" s="546"/>
      <c r="FQ25" s="546"/>
      <c r="FR25" s="546"/>
      <c r="FS25" s="548"/>
      <c r="FT25" s="546"/>
      <c r="FU25" s="546"/>
      <c r="FV25" s="546"/>
      <c r="FW25" s="546"/>
      <c r="FX25" s="547"/>
      <c r="FY25" s="546"/>
      <c r="FZ25" s="546"/>
      <c r="GA25" s="546"/>
      <c r="GB25" s="546"/>
      <c r="GC25" s="546"/>
      <c r="GD25" s="546"/>
      <c r="GE25" s="548"/>
      <c r="GF25" s="546"/>
      <c r="GG25" s="546"/>
      <c r="GH25" s="546"/>
      <c r="GI25" s="546"/>
      <c r="GJ25" s="547"/>
      <c r="GK25" s="546"/>
      <c r="GL25" s="546"/>
      <c r="GM25" s="546"/>
      <c r="GN25" s="546"/>
      <c r="GO25" s="546"/>
      <c r="GP25" s="546"/>
      <c r="GQ25" s="548"/>
      <c r="GR25" s="546"/>
      <c r="GS25" s="546"/>
      <c r="GT25" s="546"/>
      <c r="GU25" s="546"/>
      <c r="GV25" s="547"/>
      <c r="GW25" s="548"/>
      <c r="GX25" s="546"/>
      <c r="GY25" s="546"/>
      <c r="GZ25" s="546"/>
      <c r="HA25" s="546"/>
      <c r="HB25" s="547"/>
      <c r="HC25" s="546"/>
      <c r="HD25" s="546"/>
      <c r="HE25" s="546"/>
      <c r="HF25" s="546"/>
      <c r="HG25" s="546"/>
      <c r="HH25" s="546"/>
      <c r="HI25" s="548"/>
      <c r="HJ25" s="546"/>
      <c r="HK25" s="546"/>
      <c r="HL25" s="546"/>
      <c r="HM25" s="546"/>
      <c r="HN25" s="549"/>
      <c r="HO25" s="545"/>
      <c r="HP25" s="546"/>
      <c r="HQ25" s="546"/>
      <c r="HR25" s="546"/>
      <c r="HS25" s="546"/>
      <c r="HT25" s="547"/>
      <c r="HU25" s="548"/>
      <c r="HV25" s="546"/>
      <c r="HW25" s="546"/>
      <c r="HX25" s="546"/>
      <c r="HY25" s="546"/>
      <c r="HZ25" s="547"/>
      <c r="IA25" s="548"/>
      <c r="IB25" s="546"/>
      <c r="IC25" s="546"/>
      <c r="ID25" s="546"/>
      <c r="IE25" s="546"/>
      <c r="IF25" s="547"/>
      <c r="IG25" s="546"/>
      <c r="IH25" s="546"/>
      <c r="II25" s="546"/>
      <c r="IJ25" s="546"/>
      <c r="IK25" s="546"/>
      <c r="IL25" s="546"/>
      <c r="IM25" s="548"/>
      <c r="IN25" s="546"/>
      <c r="IO25" s="546"/>
      <c r="IP25" s="546"/>
      <c r="IQ25" s="546"/>
      <c r="IR25" s="547"/>
      <c r="IS25" s="546"/>
      <c r="IT25" s="546"/>
      <c r="IU25" s="546"/>
      <c r="IV25" s="546"/>
      <c r="IW25" s="546"/>
      <c r="IX25" s="546"/>
      <c r="IY25" s="548"/>
      <c r="IZ25" s="546"/>
      <c r="JA25" s="546"/>
      <c r="JB25" s="546"/>
      <c r="JC25" s="546"/>
      <c r="JD25" s="547"/>
      <c r="JE25" s="546"/>
      <c r="JF25" s="546"/>
      <c r="JG25" s="546"/>
      <c r="JH25" s="546"/>
      <c r="JI25" s="546"/>
      <c r="JJ25" s="546"/>
      <c r="JK25" s="548"/>
      <c r="JL25" s="546"/>
      <c r="JM25" s="546"/>
      <c r="JN25" s="546"/>
      <c r="JO25" s="546"/>
      <c r="JP25" s="547"/>
      <c r="JQ25" s="548"/>
      <c r="JR25" s="546"/>
      <c r="JS25" s="546"/>
      <c r="JT25" s="546"/>
      <c r="JU25" s="546"/>
      <c r="JV25" s="547"/>
      <c r="JW25" s="546"/>
      <c r="JX25" s="546"/>
      <c r="JY25" s="546"/>
      <c r="JZ25" s="546"/>
      <c r="KA25" s="546"/>
      <c r="KB25" s="546"/>
      <c r="KC25" s="548"/>
      <c r="KD25" s="546"/>
      <c r="KE25" s="546"/>
      <c r="KF25" s="546"/>
      <c r="KG25" s="546"/>
      <c r="KH25" s="549"/>
      <c r="KI25" s="545"/>
      <c r="KJ25" s="546"/>
      <c r="KK25" s="546"/>
      <c r="KL25" s="546"/>
      <c r="KM25" s="546"/>
      <c r="KN25" s="547"/>
      <c r="KO25" s="548"/>
      <c r="KP25" s="546"/>
      <c r="KQ25" s="546"/>
      <c r="KR25" s="546"/>
      <c r="KS25" s="546"/>
      <c r="KT25" s="547"/>
      <c r="KU25" s="548"/>
      <c r="KV25" s="546"/>
      <c r="KW25" s="546"/>
      <c r="KX25" s="546"/>
      <c r="KY25" s="546"/>
      <c r="KZ25" s="547"/>
      <c r="LA25" s="546"/>
      <c r="LB25" s="546"/>
      <c r="LC25" s="546"/>
      <c r="LD25" s="546"/>
      <c r="LE25" s="546"/>
      <c r="LF25" s="546"/>
      <c r="LG25" s="548"/>
      <c r="LH25" s="546"/>
      <c r="LI25" s="546"/>
      <c r="LJ25" s="546"/>
      <c r="LK25" s="546"/>
      <c r="LL25" s="547"/>
      <c r="LM25" s="546"/>
      <c r="LN25" s="546"/>
      <c r="LO25" s="546"/>
      <c r="LP25" s="546"/>
      <c r="LQ25" s="546"/>
      <c r="LR25" s="546"/>
      <c r="LS25" s="548"/>
      <c r="LT25" s="546"/>
      <c r="LU25" s="546"/>
      <c r="LV25" s="546"/>
      <c r="LW25" s="546"/>
      <c r="LX25" s="547"/>
      <c r="LY25" s="546"/>
      <c r="LZ25" s="546"/>
      <c r="MA25" s="546"/>
      <c r="MB25" s="546"/>
      <c r="MC25" s="546"/>
      <c r="MD25" s="546"/>
      <c r="ME25" s="548"/>
      <c r="MF25" s="546"/>
      <c r="MG25" s="546"/>
      <c r="MH25" s="546"/>
      <c r="MI25" s="546"/>
      <c r="MJ25" s="547"/>
      <c r="MK25" s="548"/>
      <c r="ML25" s="546"/>
      <c r="MM25" s="546"/>
      <c r="MN25" s="546"/>
      <c r="MO25" s="546"/>
      <c r="MP25" s="547"/>
      <c r="MQ25" s="546"/>
      <c r="MR25" s="546"/>
      <c r="MS25" s="546"/>
      <c r="MT25" s="546"/>
      <c r="MU25" s="546"/>
      <c r="MV25" s="546"/>
      <c r="MW25" s="548"/>
      <c r="MX25" s="546"/>
      <c r="MY25" s="546"/>
      <c r="MZ25" s="546"/>
      <c r="NA25" s="546"/>
      <c r="NB25" s="549"/>
      <c r="NC25" s="545"/>
      <c r="ND25" s="546"/>
      <c r="NE25" s="546"/>
      <c r="NF25" s="546"/>
      <c r="NG25" s="546"/>
      <c r="NH25" s="547"/>
      <c r="NI25" s="548"/>
      <c r="NJ25" s="546"/>
      <c r="NK25" s="546"/>
      <c r="NL25" s="546"/>
      <c r="NM25" s="546"/>
      <c r="NN25" s="547"/>
      <c r="NO25" s="548"/>
      <c r="NP25" s="546"/>
      <c r="NQ25" s="546"/>
      <c r="NR25" s="546"/>
      <c r="NS25" s="546"/>
      <c r="NT25" s="547"/>
      <c r="NU25" s="546"/>
      <c r="NV25" s="546"/>
      <c r="NW25" s="546"/>
      <c r="NX25" s="546"/>
      <c r="NY25" s="546"/>
      <c r="NZ25" s="546"/>
      <c r="OA25" s="548"/>
      <c r="OB25" s="546"/>
      <c r="OC25" s="546"/>
      <c r="OD25" s="546"/>
      <c r="OE25" s="546"/>
      <c r="OF25" s="547"/>
      <c r="OG25" s="546"/>
      <c r="OH25" s="546"/>
      <c r="OI25" s="546"/>
      <c r="OJ25" s="546"/>
      <c r="OK25" s="546"/>
      <c r="OL25" s="546"/>
      <c r="OM25" s="548"/>
      <c r="ON25" s="546"/>
      <c r="OO25" s="546"/>
      <c r="OP25" s="546"/>
      <c r="OQ25" s="546"/>
      <c r="OR25" s="547"/>
      <c r="OS25" s="546"/>
      <c r="OT25" s="546"/>
      <c r="OU25" s="546"/>
      <c r="OV25" s="546"/>
      <c r="OW25" s="546"/>
      <c r="OX25" s="546"/>
      <c r="OY25" s="548"/>
      <c r="OZ25" s="546"/>
      <c r="PA25" s="546"/>
      <c r="PB25" s="546"/>
      <c r="PC25" s="546"/>
      <c r="PD25" s="547"/>
      <c r="PE25" s="548"/>
      <c r="PF25" s="546"/>
      <c r="PG25" s="546"/>
      <c r="PH25" s="546"/>
      <c r="PI25" s="546"/>
      <c r="PJ25" s="547"/>
      <c r="PK25" s="546"/>
      <c r="PL25" s="546"/>
      <c r="PM25" s="546"/>
      <c r="PN25" s="546"/>
      <c r="PO25" s="546"/>
      <c r="PP25" s="546"/>
      <c r="PQ25" s="548"/>
      <c r="PR25" s="546"/>
      <c r="PS25" s="546"/>
      <c r="PT25" s="546"/>
      <c r="PU25" s="546"/>
      <c r="PV25" s="549"/>
      <c r="PW25" s="545"/>
      <c r="PX25" s="546"/>
      <c r="PY25" s="546"/>
      <c r="PZ25" s="546"/>
      <c r="QA25" s="546"/>
      <c r="QB25" s="547"/>
      <c r="QC25" s="548"/>
      <c r="QD25" s="546"/>
      <c r="QE25" s="546"/>
      <c r="QF25" s="546"/>
      <c r="QG25" s="546"/>
      <c r="QH25" s="547"/>
      <c r="QI25" s="548"/>
      <c r="QJ25" s="546"/>
      <c r="QK25" s="546"/>
      <c r="QL25" s="546"/>
      <c r="QM25" s="546"/>
      <c r="QN25" s="547"/>
      <c r="QO25" s="546"/>
      <c r="QP25" s="546"/>
      <c r="QQ25" s="546"/>
      <c r="QR25" s="546"/>
      <c r="QS25" s="546"/>
      <c r="QT25" s="546"/>
      <c r="QU25" s="548"/>
      <c r="QV25" s="546"/>
      <c r="QW25" s="546"/>
      <c r="QX25" s="546"/>
      <c r="QY25" s="546"/>
      <c r="QZ25" s="547"/>
      <c r="RA25" s="546"/>
      <c r="RB25" s="546"/>
      <c r="RC25" s="546"/>
      <c r="RD25" s="546"/>
      <c r="RE25" s="546"/>
      <c r="RF25" s="546"/>
      <c r="RG25" s="548"/>
      <c r="RH25" s="546"/>
      <c r="RI25" s="546"/>
      <c r="RJ25" s="546"/>
      <c r="RK25" s="546"/>
      <c r="RL25" s="547"/>
      <c r="RM25" s="546"/>
      <c r="RN25" s="546"/>
      <c r="RO25" s="546"/>
      <c r="RP25" s="546"/>
      <c r="RQ25" s="546"/>
      <c r="RR25" s="546"/>
      <c r="RS25" s="548"/>
      <c r="RT25" s="546"/>
      <c r="RU25" s="546"/>
      <c r="RV25" s="546"/>
      <c r="RW25" s="546"/>
      <c r="RX25" s="547"/>
      <c r="RY25" s="548"/>
      <c r="RZ25" s="546"/>
      <c r="SA25" s="546"/>
      <c r="SB25" s="546"/>
      <c r="SC25" s="546"/>
      <c r="SD25" s="547"/>
      <c r="SE25" s="546"/>
      <c r="SF25" s="546"/>
      <c r="SG25" s="546"/>
      <c r="SH25" s="546"/>
      <c r="SI25" s="546"/>
      <c r="SJ25" s="546"/>
      <c r="SK25" s="548"/>
      <c r="SL25" s="546"/>
      <c r="SM25" s="546"/>
      <c r="SN25" s="546"/>
      <c r="SO25" s="546"/>
      <c r="SP25" s="549"/>
      <c r="SQ25" s="545"/>
      <c r="SR25" s="546"/>
      <c r="SS25" s="546"/>
      <c r="ST25" s="546"/>
      <c r="SU25" s="546"/>
      <c r="SV25" s="547"/>
      <c r="SW25" s="548"/>
      <c r="SX25" s="546"/>
      <c r="SY25" s="546"/>
      <c r="SZ25" s="546"/>
      <c r="TA25" s="546"/>
      <c r="TB25" s="547"/>
      <c r="TC25" s="548"/>
      <c r="TD25" s="546"/>
      <c r="TE25" s="546"/>
      <c r="TF25" s="546"/>
      <c r="TG25" s="546"/>
      <c r="TH25" s="547"/>
      <c r="TI25" s="546"/>
      <c r="TJ25" s="546"/>
      <c r="TK25" s="546"/>
      <c r="TL25" s="546"/>
      <c r="TM25" s="546"/>
      <c r="TN25" s="546"/>
      <c r="TO25" s="548"/>
      <c r="TP25" s="546"/>
      <c r="TQ25" s="546"/>
      <c r="TR25" s="546"/>
      <c r="TS25" s="546"/>
      <c r="TT25" s="547"/>
      <c r="TU25" s="546"/>
      <c r="TV25" s="546"/>
      <c r="TW25" s="546"/>
      <c r="TX25" s="546"/>
      <c r="TY25" s="546"/>
      <c r="TZ25" s="546"/>
      <c r="UA25" s="548"/>
      <c r="UB25" s="546"/>
      <c r="UC25" s="546"/>
      <c r="UD25" s="546"/>
      <c r="UE25" s="546"/>
      <c r="UF25" s="547"/>
      <c r="UG25" s="546"/>
      <c r="UH25" s="546"/>
      <c r="UI25" s="546"/>
      <c r="UJ25" s="546"/>
      <c r="UK25" s="546"/>
      <c r="UL25" s="546"/>
      <c r="UM25" s="548"/>
      <c r="UN25" s="546"/>
      <c r="UO25" s="546"/>
      <c r="UP25" s="546"/>
      <c r="UQ25" s="546"/>
      <c r="UR25" s="547"/>
      <c r="US25" s="548"/>
      <c r="UT25" s="546"/>
      <c r="UU25" s="546"/>
      <c r="UV25" s="546"/>
      <c r="UW25" s="546"/>
      <c r="UX25" s="547"/>
      <c r="UY25" s="546"/>
      <c r="UZ25" s="546"/>
      <c r="VA25" s="546"/>
      <c r="VB25" s="546"/>
      <c r="VC25" s="546"/>
      <c r="VD25" s="546"/>
      <c r="VE25" s="548"/>
      <c r="VF25" s="546"/>
      <c r="VG25" s="546"/>
      <c r="VH25" s="546"/>
      <c r="VI25" s="546"/>
      <c r="VJ25" s="549"/>
    </row>
    <row r="26" spans="3:582" s="52" customFormat="1" ht="19.5" customHeight="1" x14ac:dyDescent="0.25">
      <c r="C26" s="538"/>
      <c r="D26" s="541"/>
      <c r="E26" s="541"/>
      <c r="F26" s="543"/>
      <c r="G26" s="277"/>
      <c r="H26" s="273"/>
      <c r="I26" s="273"/>
      <c r="J26" s="273"/>
      <c r="K26" s="273"/>
      <c r="L26" s="274"/>
      <c r="M26" s="275"/>
      <c r="N26" s="273"/>
      <c r="O26" s="273"/>
      <c r="P26" s="273"/>
      <c r="Q26" s="273"/>
      <c r="R26" s="274"/>
      <c r="S26" s="275"/>
      <c r="T26" s="273"/>
      <c r="U26" s="273"/>
      <c r="V26" s="273"/>
      <c r="W26" s="273"/>
      <c r="X26" s="274"/>
      <c r="Y26" s="275"/>
      <c r="Z26" s="273"/>
      <c r="AA26" s="273"/>
      <c r="AB26" s="273"/>
      <c r="AC26" s="273"/>
      <c r="AD26" s="273"/>
      <c r="AE26" s="275"/>
      <c r="AF26" s="273"/>
      <c r="AG26" s="273"/>
      <c r="AH26" s="273"/>
      <c r="AI26" s="273"/>
      <c r="AJ26" s="274"/>
      <c r="AK26" s="273"/>
      <c r="AL26" s="273"/>
      <c r="AM26" s="273"/>
      <c r="AN26" s="273"/>
      <c r="AO26" s="273"/>
      <c r="AP26" s="273"/>
      <c r="AQ26" s="275"/>
      <c r="AR26" s="273"/>
      <c r="AS26" s="273"/>
      <c r="AT26" s="273"/>
      <c r="AU26" s="273"/>
      <c r="AV26" s="274"/>
      <c r="AW26" s="273"/>
      <c r="AX26" s="273"/>
      <c r="AY26" s="273"/>
      <c r="AZ26" s="273"/>
      <c r="BA26" s="273"/>
      <c r="BB26" s="273"/>
      <c r="BC26" s="275"/>
      <c r="BD26" s="273"/>
      <c r="BE26" s="273"/>
      <c r="BF26" s="273"/>
      <c r="BG26" s="273"/>
      <c r="BH26" s="274"/>
      <c r="BI26" s="275"/>
      <c r="BJ26" s="273"/>
      <c r="BK26" s="273"/>
      <c r="BL26" s="273"/>
      <c r="BM26" s="273"/>
      <c r="BN26" s="274"/>
      <c r="BO26" s="273"/>
      <c r="BP26" s="273"/>
      <c r="BQ26" s="273"/>
      <c r="BR26" s="273"/>
      <c r="BS26" s="273"/>
      <c r="BT26" s="274"/>
      <c r="BU26" s="273"/>
      <c r="BV26" s="273"/>
      <c r="BW26" s="273"/>
      <c r="BX26" s="273"/>
      <c r="BY26" s="273"/>
      <c r="BZ26" s="276"/>
      <c r="CA26" s="277"/>
      <c r="CB26" s="273"/>
      <c r="CC26" s="273"/>
      <c r="CD26" s="273"/>
      <c r="CE26" s="273"/>
      <c r="CF26" s="274"/>
      <c r="CG26" s="275"/>
      <c r="CH26" s="273"/>
      <c r="CI26" s="273"/>
      <c r="CJ26" s="273"/>
      <c r="CK26" s="273"/>
      <c r="CL26" s="274"/>
      <c r="CM26" s="275"/>
      <c r="CN26" s="273"/>
      <c r="CO26" s="273"/>
      <c r="CP26" s="273"/>
      <c r="CQ26" s="273"/>
      <c r="CR26" s="274"/>
      <c r="CS26" s="275"/>
      <c r="CT26" s="273"/>
      <c r="CU26" s="273"/>
      <c r="CV26" s="273"/>
      <c r="CW26" s="273"/>
      <c r="CX26" s="273"/>
      <c r="CY26" s="275"/>
      <c r="CZ26" s="273"/>
      <c r="DA26" s="273"/>
      <c r="DB26" s="273"/>
      <c r="DC26" s="273"/>
      <c r="DD26" s="274"/>
      <c r="DE26" s="273"/>
      <c r="DF26" s="273"/>
      <c r="DG26" s="273"/>
      <c r="DH26" s="273"/>
      <c r="DI26" s="273"/>
      <c r="DJ26" s="273"/>
      <c r="DK26" s="275"/>
      <c r="DL26" s="273"/>
      <c r="DM26" s="273"/>
      <c r="DN26" s="273"/>
      <c r="DO26" s="273"/>
      <c r="DP26" s="274"/>
      <c r="DQ26" s="273"/>
      <c r="DR26" s="273"/>
      <c r="DS26" s="273"/>
      <c r="DT26" s="273"/>
      <c r="DU26" s="273"/>
      <c r="DV26" s="273"/>
      <c r="DW26" s="275"/>
      <c r="DX26" s="273"/>
      <c r="DY26" s="273"/>
      <c r="DZ26" s="273"/>
      <c r="EA26" s="273"/>
      <c r="EB26" s="274"/>
      <c r="EC26" s="275"/>
      <c r="ED26" s="273"/>
      <c r="EE26" s="273"/>
      <c r="EF26" s="273"/>
      <c r="EG26" s="273"/>
      <c r="EH26" s="274"/>
      <c r="EI26" s="273"/>
      <c r="EJ26" s="273"/>
      <c r="EK26" s="273"/>
      <c r="EL26" s="273"/>
      <c r="EM26" s="273"/>
      <c r="EN26" s="274"/>
      <c r="EO26" s="273"/>
      <c r="EP26" s="273"/>
      <c r="EQ26" s="273"/>
      <c r="ER26" s="273"/>
      <c r="ES26" s="273"/>
      <c r="ET26" s="276"/>
      <c r="EU26" s="273"/>
      <c r="EV26" s="273"/>
      <c r="EW26" s="273"/>
      <c r="EX26" s="273"/>
      <c r="EY26" s="273"/>
      <c r="EZ26" s="274"/>
      <c r="FA26" s="275"/>
      <c r="FB26" s="273"/>
      <c r="FC26" s="273"/>
      <c r="FD26" s="273"/>
      <c r="FE26" s="273"/>
      <c r="FF26" s="274"/>
      <c r="FG26" s="275"/>
      <c r="FH26" s="273"/>
      <c r="FI26" s="273"/>
      <c r="FJ26" s="273"/>
      <c r="FK26" s="273"/>
      <c r="FL26" s="274"/>
      <c r="FM26" s="275"/>
      <c r="FN26" s="273"/>
      <c r="FO26" s="273"/>
      <c r="FP26" s="273"/>
      <c r="FQ26" s="273"/>
      <c r="FR26" s="273"/>
      <c r="FS26" s="275"/>
      <c r="FT26" s="273"/>
      <c r="FU26" s="273"/>
      <c r="FV26" s="273"/>
      <c r="FW26" s="273"/>
      <c r="FX26" s="274"/>
      <c r="FY26" s="273"/>
      <c r="FZ26" s="273"/>
      <c r="GA26" s="273"/>
      <c r="GB26" s="273"/>
      <c r="GC26" s="273"/>
      <c r="GD26" s="273"/>
      <c r="GE26" s="275"/>
      <c r="GF26" s="273"/>
      <c r="GG26" s="273"/>
      <c r="GH26" s="273"/>
      <c r="GI26" s="273"/>
      <c r="GJ26" s="274"/>
      <c r="GK26" s="273"/>
      <c r="GL26" s="273"/>
      <c r="GM26" s="273"/>
      <c r="GN26" s="273"/>
      <c r="GO26" s="273"/>
      <c r="GP26" s="273"/>
      <c r="GQ26" s="275"/>
      <c r="GR26" s="273"/>
      <c r="GS26" s="273"/>
      <c r="GT26" s="273"/>
      <c r="GU26" s="273"/>
      <c r="GV26" s="274"/>
      <c r="GW26" s="275"/>
      <c r="GX26" s="273"/>
      <c r="GY26" s="273"/>
      <c r="GZ26" s="273"/>
      <c r="HA26" s="273"/>
      <c r="HB26" s="274"/>
      <c r="HC26" s="273"/>
      <c r="HD26" s="273"/>
      <c r="HE26" s="273"/>
      <c r="HF26" s="273"/>
      <c r="HG26" s="273"/>
      <c r="HH26" s="273"/>
      <c r="HI26" s="275"/>
      <c r="HJ26" s="273"/>
      <c r="HK26" s="273"/>
      <c r="HL26" s="273"/>
      <c r="HM26" s="273"/>
      <c r="HN26" s="276"/>
      <c r="HO26" s="273"/>
      <c r="HP26" s="273"/>
      <c r="HQ26" s="273"/>
      <c r="HR26" s="273"/>
      <c r="HS26" s="273"/>
      <c r="HT26" s="274"/>
      <c r="HU26" s="275"/>
      <c r="HV26" s="273"/>
      <c r="HW26" s="273"/>
      <c r="HX26" s="273"/>
      <c r="HY26" s="273"/>
      <c r="HZ26" s="274"/>
      <c r="IA26" s="275"/>
      <c r="IB26" s="273"/>
      <c r="IC26" s="273"/>
      <c r="ID26" s="273"/>
      <c r="IE26" s="273"/>
      <c r="IF26" s="274"/>
      <c r="IG26" s="275"/>
      <c r="IH26" s="273"/>
      <c r="II26" s="273"/>
      <c r="IJ26" s="273"/>
      <c r="IK26" s="273"/>
      <c r="IL26" s="273"/>
      <c r="IM26" s="275"/>
      <c r="IN26" s="273"/>
      <c r="IO26" s="273"/>
      <c r="IP26" s="273"/>
      <c r="IQ26" s="273"/>
      <c r="IR26" s="274"/>
      <c r="IS26" s="273"/>
      <c r="IT26" s="273"/>
      <c r="IU26" s="273"/>
      <c r="IV26" s="273"/>
      <c r="IW26" s="273"/>
      <c r="IX26" s="273"/>
      <c r="IY26" s="275"/>
      <c r="IZ26" s="273"/>
      <c r="JA26" s="273"/>
      <c r="JB26" s="273"/>
      <c r="JC26" s="273"/>
      <c r="JD26" s="274"/>
      <c r="JE26" s="273"/>
      <c r="JF26" s="273"/>
      <c r="JG26" s="273"/>
      <c r="JH26" s="273"/>
      <c r="JI26" s="273"/>
      <c r="JJ26" s="273"/>
      <c r="JK26" s="275"/>
      <c r="JL26" s="273"/>
      <c r="JM26" s="273"/>
      <c r="JN26" s="273"/>
      <c r="JO26" s="273"/>
      <c r="JP26" s="274"/>
      <c r="JQ26" s="275"/>
      <c r="JR26" s="273"/>
      <c r="JS26" s="273"/>
      <c r="JT26" s="273"/>
      <c r="JU26" s="273"/>
      <c r="JV26" s="274"/>
      <c r="JW26" s="273"/>
      <c r="JX26" s="273"/>
      <c r="JY26" s="273"/>
      <c r="JZ26" s="273"/>
      <c r="KA26" s="273"/>
      <c r="KB26" s="273"/>
      <c r="KC26" s="275"/>
      <c r="KD26" s="273"/>
      <c r="KE26" s="273"/>
      <c r="KF26" s="273"/>
      <c r="KG26" s="273"/>
      <c r="KH26" s="276"/>
      <c r="KI26" s="273"/>
      <c r="KJ26" s="273"/>
      <c r="KK26" s="273"/>
      <c r="KL26" s="273"/>
      <c r="KM26" s="273"/>
      <c r="KN26" s="274"/>
      <c r="KO26" s="275"/>
      <c r="KP26" s="273"/>
      <c r="KQ26" s="273"/>
      <c r="KR26" s="273"/>
      <c r="KS26" s="273"/>
      <c r="KT26" s="274"/>
      <c r="KU26" s="275"/>
      <c r="KV26" s="273"/>
      <c r="KW26" s="273"/>
      <c r="KX26" s="273"/>
      <c r="KY26" s="273"/>
      <c r="KZ26" s="274"/>
      <c r="LA26" s="275"/>
      <c r="LB26" s="273"/>
      <c r="LC26" s="273"/>
      <c r="LD26" s="273"/>
      <c r="LE26" s="273"/>
      <c r="LF26" s="273"/>
      <c r="LG26" s="275"/>
      <c r="LH26" s="273"/>
      <c r="LI26" s="273"/>
      <c r="LJ26" s="273"/>
      <c r="LK26" s="273"/>
      <c r="LL26" s="274"/>
      <c r="LM26" s="273"/>
      <c r="LN26" s="273"/>
      <c r="LO26" s="273"/>
      <c r="LP26" s="273"/>
      <c r="LQ26" s="273"/>
      <c r="LR26" s="273"/>
      <c r="LS26" s="275"/>
      <c r="LT26" s="273"/>
      <c r="LU26" s="273"/>
      <c r="LV26" s="273"/>
      <c r="LW26" s="273"/>
      <c r="LX26" s="274"/>
      <c r="LY26" s="275"/>
      <c r="LZ26" s="273"/>
      <c r="MA26" s="273"/>
      <c r="MB26" s="273"/>
      <c r="MC26" s="273"/>
      <c r="MD26" s="273"/>
      <c r="ME26" s="275"/>
      <c r="MF26" s="273"/>
      <c r="MG26" s="273"/>
      <c r="MH26" s="273"/>
      <c r="MI26" s="273"/>
      <c r="MJ26" s="273"/>
      <c r="MK26" s="275"/>
      <c r="ML26" s="273"/>
      <c r="MM26" s="273"/>
      <c r="MN26" s="273"/>
      <c r="MO26" s="273"/>
      <c r="MP26" s="273"/>
      <c r="MQ26" s="275"/>
      <c r="MR26" s="273"/>
      <c r="MS26" s="273"/>
      <c r="MT26" s="273"/>
      <c r="MU26" s="273"/>
      <c r="MV26" s="273"/>
      <c r="MW26" s="275"/>
      <c r="MX26" s="273"/>
      <c r="MY26" s="273"/>
      <c r="MZ26" s="273"/>
      <c r="NA26" s="273"/>
      <c r="NB26" s="276"/>
      <c r="NC26" s="277"/>
      <c r="ND26" s="273"/>
      <c r="NE26" s="273"/>
      <c r="NF26" s="273"/>
      <c r="NG26" s="273"/>
      <c r="NH26" s="274"/>
      <c r="NI26" s="275"/>
      <c r="NJ26" s="273"/>
      <c r="NK26" s="273"/>
      <c r="NL26" s="273"/>
      <c r="NM26" s="273"/>
      <c r="NN26" s="274"/>
      <c r="NO26" s="273"/>
      <c r="NP26" s="273"/>
      <c r="NQ26" s="273"/>
      <c r="NR26" s="273"/>
      <c r="NS26" s="273"/>
      <c r="NT26" s="273"/>
      <c r="NU26" s="275"/>
      <c r="NV26" s="273"/>
      <c r="NW26" s="273"/>
      <c r="NX26" s="273"/>
      <c r="NY26" s="273"/>
      <c r="NZ26" s="273"/>
      <c r="OA26" s="275"/>
      <c r="OB26" s="273"/>
      <c r="OC26" s="273"/>
      <c r="OD26" s="273"/>
      <c r="OE26" s="273"/>
      <c r="OF26" s="273"/>
      <c r="OG26" s="275"/>
      <c r="OH26" s="273"/>
      <c r="OI26" s="273"/>
      <c r="OJ26" s="273"/>
      <c r="OK26" s="273"/>
      <c r="OL26" s="273"/>
      <c r="OM26" s="275"/>
      <c r="ON26" s="273"/>
      <c r="OO26" s="273"/>
      <c r="OP26" s="273"/>
      <c r="OQ26" s="273"/>
      <c r="OR26" s="274"/>
      <c r="OS26" s="273"/>
      <c r="OT26" s="273"/>
      <c r="OU26" s="273"/>
      <c r="OV26" s="273"/>
      <c r="OW26" s="273"/>
      <c r="OX26" s="273"/>
      <c r="OY26" s="275"/>
      <c r="OZ26" s="273"/>
      <c r="PA26" s="273"/>
      <c r="PB26" s="273"/>
      <c r="PC26" s="273"/>
      <c r="PD26" s="274"/>
      <c r="PE26" s="275"/>
      <c r="PF26" s="273"/>
      <c r="PG26" s="273"/>
      <c r="PH26" s="273"/>
      <c r="PI26" s="273"/>
      <c r="PJ26" s="274"/>
      <c r="PK26" s="273"/>
      <c r="PL26" s="273"/>
      <c r="PM26" s="273"/>
      <c r="PN26" s="273"/>
      <c r="PO26" s="273"/>
      <c r="PP26" s="273"/>
      <c r="PQ26" s="275"/>
      <c r="PR26" s="273"/>
      <c r="PS26" s="273"/>
      <c r="PT26" s="273"/>
      <c r="PU26" s="273"/>
      <c r="PV26" s="276"/>
      <c r="PW26" s="273"/>
      <c r="PX26" s="273"/>
      <c r="PY26" s="273"/>
      <c r="PZ26" s="273"/>
      <c r="QA26" s="273"/>
      <c r="QB26" s="274"/>
      <c r="QC26" s="275"/>
      <c r="QD26" s="273"/>
      <c r="QE26" s="273"/>
      <c r="QF26" s="273"/>
      <c r="QG26" s="273"/>
      <c r="QH26" s="274"/>
      <c r="QI26" s="275"/>
      <c r="QJ26" s="273"/>
      <c r="QK26" s="273"/>
      <c r="QL26" s="273"/>
      <c r="QM26" s="273"/>
      <c r="QN26" s="274"/>
      <c r="QO26" s="275"/>
      <c r="QP26" s="273"/>
      <c r="QQ26" s="273"/>
      <c r="QR26" s="273"/>
      <c r="QS26" s="273"/>
      <c r="QT26" s="273"/>
      <c r="QU26" s="275"/>
      <c r="QV26" s="273"/>
      <c r="QW26" s="273"/>
      <c r="QX26" s="273"/>
      <c r="QY26" s="273"/>
      <c r="QZ26" s="274"/>
      <c r="RA26" s="273"/>
      <c r="RB26" s="273"/>
      <c r="RC26" s="273"/>
      <c r="RD26" s="273"/>
      <c r="RE26" s="273"/>
      <c r="RF26" s="273"/>
      <c r="RG26" s="275"/>
      <c r="RH26" s="273"/>
      <c r="RI26" s="273"/>
      <c r="RJ26" s="273"/>
      <c r="RK26" s="273"/>
      <c r="RL26" s="274"/>
      <c r="RM26" s="273"/>
      <c r="RN26" s="273"/>
      <c r="RO26" s="273"/>
      <c r="RP26" s="273"/>
      <c r="RQ26" s="273"/>
      <c r="RR26" s="273"/>
      <c r="RS26" s="275"/>
      <c r="RT26" s="273"/>
      <c r="RU26" s="273"/>
      <c r="RV26" s="273"/>
      <c r="RW26" s="273"/>
      <c r="RX26" s="274"/>
      <c r="RY26" s="275"/>
      <c r="RZ26" s="273"/>
      <c r="SA26" s="273"/>
      <c r="SB26" s="273"/>
      <c r="SC26" s="273"/>
      <c r="SD26" s="274"/>
      <c r="SE26" s="273"/>
      <c r="SF26" s="273"/>
      <c r="SG26" s="273"/>
      <c r="SH26" s="273"/>
      <c r="SI26" s="273"/>
      <c r="SJ26" s="273"/>
      <c r="SK26" s="275"/>
      <c r="SL26" s="273"/>
      <c r="SM26" s="273"/>
      <c r="SN26" s="273"/>
      <c r="SO26" s="273"/>
      <c r="SP26" s="276"/>
      <c r="SQ26" s="273"/>
      <c r="SR26" s="273"/>
      <c r="SS26" s="273"/>
      <c r="ST26" s="273"/>
      <c r="SU26" s="273"/>
      <c r="SV26" s="274"/>
      <c r="SW26" s="275"/>
      <c r="SX26" s="273"/>
      <c r="SY26" s="273"/>
      <c r="SZ26" s="273"/>
      <c r="TA26" s="273"/>
      <c r="TB26" s="274"/>
      <c r="TC26" s="275"/>
      <c r="TD26" s="273"/>
      <c r="TE26" s="273"/>
      <c r="TF26" s="273"/>
      <c r="TG26" s="273"/>
      <c r="TH26" s="274"/>
      <c r="TI26" s="275"/>
      <c r="TJ26" s="273"/>
      <c r="TK26" s="273"/>
      <c r="TL26" s="273"/>
      <c r="TM26" s="273"/>
      <c r="TN26" s="273"/>
      <c r="TO26" s="275"/>
      <c r="TP26" s="273"/>
      <c r="TQ26" s="273"/>
      <c r="TR26" s="273"/>
      <c r="TS26" s="273"/>
      <c r="TT26" s="274"/>
      <c r="TU26" s="273"/>
      <c r="TV26" s="273"/>
      <c r="TW26" s="273"/>
      <c r="TX26" s="273"/>
      <c r="TY26" s="273"/>
      <c r="TZ26" s="273"/>
      <c r="UA26" s="275"/>
      <c r="UB26" s="273"/>
      <c r="UC26" s="273"/>
      <c r="UD26" s="273"/>
      <c r="UE26" s="273"/>
      <c r="UF26" s="274"/>
      <c r="UG26" s="273"/>
      <c r="UH26" s="273"/>
      <c r="UI26" s="273"/>
      <c r="UJ26" s="273"/>
      <c r="UK26" s="273"/>
      <c r="UL26" s="273"/>
      <c r="UM26" s="275"/>
      <c r="UN26" s="273"/>
      <c r="UO26" s="273"/>
      <c r="UP26" s="273"/>
      <c r="UQ26" s="273"/>
      <c r="UR26" s="274"/>
      <c r="US26" s="275"/>
      <c r="UT26" s="273"/>
      <c r="UU26" s="273"/>
      <c r="UV26" s="273"/>
      <c r="UW26" s="273"/>
      <c r="UX26" s="274"/>
      <c r="UY26" s="273"/>
      <c r="UZ26" s="273"/>
      <c r="VA26" s="273"/>
      <c r="VB26" s="273"/>
      <c r="VC26" s="273"/>
      <c r="VD26" s="273"/>
      <c r="VE26" s="275"/>
      <c r="VF26" s="273"/>
      <c r="VG26" s="273"/>
      <c r="VH26" s="273"/>
      <c r="VI26" s="273"/>
      <c r="VJ26" s="276"/>
    </row>
    <row r="27" spans="3:582" s="52" customFormat="1" ht="43.5" customHeight="1" thickBot="1" x14ac:dyDescent="0.3">
      <c r="C27" s="539"/>
      <c r="D27" s="542"/>
      <c r="E27" s="542"/>
      <c r="F27" s="544"/>
      <c r="G27" s="555"/>
      <c r="H27" s="556"/>
      <c r="I27" s="556"/>
      <c r="J27" s="556"/>
      <c r="K27" s="556"/>
      <c r="L27" s="557"/>
      <c r="M27" s="563"/>
      <c r="N27" s="556"/>
      <c r="O27" s="556"/>
      <c r="P27" s="556"/>
      <c r="Q27" s="556"/>
      <c r="R27" s="557"/>
      <c r="S27" s="563"/>
      <c r="T27" s="556"/>
      <c r="U27" s="556"/>
      <c r="V27" s="556"/>
      <c r="W27" s="556"/>
      <c r="X27" s="557"/>
      <c r="Y27" s="564"/>
      <c r="Z27" s="564"/>
      <c r="AA27" s="564"/>
      <c r="AB27" s="564"/>
      <c r="AC27" s="564"/>
      <c r="AD27" s="564"/>
      <c r="AE27" s="565"/>
      <c r="AF27" s="566"/>
      <c r="AG27" s="566"/>
      <c r="AH27" s="566"/>
      <c r="AI27" s="566"/>
      <c r="AJ27" s="567"/>
      <c r="AK27" s="556"/>
      <c r="AL27" s="556"/>
      <c r="AM27" s="556"/>
      <c r="AN27" s="556"/>
      <c r="AO27" s="556"/>
      <c r="AP27" s="556"/>
      <c r="AQ27" s="568"/>
      <c r="AR27" s="569"/>
      <c r="AS27" s="569"/>
      <c r="AT27" s="569"/>
      <c r="AU27" s="569"/>
      <c r="AV27" s="570"/>
      <c r="AW27" s="556"/>
      <c r="AX27" s="556"/>
      <c r="AY27" s="556"/>
      <c r="AZ27" s="556"/>
      <c r="BA27" s="556"/>
      <c r="BB27" s="556"/>
      <c r="BC27" s="563"/>
      <c r="BD27" s="556"/>
      <c r="BE27" s="556"/>
      <c r="BF27" s="556"/>
      <c r="BG27" s="556"/>
      <c r="BH27" s="557"/>
      <c r="BI27" s="563"/>
      <c r="BJ27" s="556"/>
      <c r="BK27" s="556"/>
      <c r="BL27" s="556"/>
      <c r="BM27" s="556"/>
      <c r="BN27" s="557"/>
      <c r="BO27" s="556"/>
      <c r="BP27" s="556"/>
      <c r="BQ27" s="556"/>
      <c r="BR27" s="556"/>
      <c r="BS27" s="556"/>
      <c r="BT27" s="556"/>
      <c r="BU27" s="565"/>
      <c r="BV27" s="566"/>
      <c r="BW27" s="566"/>
      <c r="BX27" s="566"/>
      <c r="BY27" s="566"/>
      <c r="BZ27" s="566"/>
      <c r="CA27" s="584"/>
      <c r="CB27" s="566"/>
      <c r="CC27" s="566"/>
      <c r="CD27" s="566"/>
      <c r="CE27" s="566"/>
      <c r="CF27" s="567"/>
      <c r="CG27" s="563"/>
      <c r="CH27" s="556"/>
      <c r="CI27" s="556"/>
      <c r="CJ27" s="556"/>
      <c r="CK27" s="556"/>
      <c r="CL27" s="557"/>
      <c r="CM27" s="563"/>
      <c r="CN27" s="556"/>
      <c r="CO27" s="556"/>
      <c r="CP27" s="556"/>
      <c r="CQ27" s="556"/>
      <c r="CR27" s="557"/>
      <c r="CS27" s="564"/>
      <c r="CT27" s="564"/>
      <c r="CU27" s="564"/>
      <c r="CV27" s="564"/>
      <c r="CW27" s="564"/>
      <c r="CX27" s="564"/>
      <c r="CY27" s="565"/>
      <c r="CZ27" s="566"/>
      <c r="DA27" s="566"/>
      <c r="DB27" s="566"/>
      <c r="DC27" s="566"/>
      <c r="DD27" s="566"/>
      <c r="DE27" s="563"/>
      <c r="DF27" s="556"/>
      <c r="DG27" s="556"/>
      <c r="DH27" s="556"/>
      <c r="DI27" s="556"/>
      <c r="DJ27" s="557"/>
      <c r="DK27" s="568"/>
      <c r="DL27" s="569"/>
      <c r="DM27" s="569"/>
      <c r="DN27" s="569"/>
      <c r="DO27" s="569"/>
      <c r="DP27" s="570"/>
      <c r="DQ27" s="556"/>
      <c r="DR27" s="556"/>
      <c r="DS27" s="556"/>
      <c r="DT27" s="556"/>
      <c r="DU27" s="556"/>
      <c r="DV27" s="556"/>
      <c r="DW27" s="563"/>
      <c r="DX27" s="556"/>
      <c r="DY27" s="556"/>
      <c r="DZ27" s="556"/>
      <c r="EA27" s="556"/>
      <c r="EB27" s="557"/>
      <c r="EC27" s="563"/>
      <c r="ED27" s="556"/>
      <c r="EE27" s="556"/>
      <c r="EF27" s="556"/>
      <c r="EG27" s="556"/>
      <c r="EH27" s="557"/>
      <c r="EI27" s="556"/>
      <c r="EJ27" s="556"/>
      <c r="EK27" s="556"/>
      <c r="EL27" s="556"/>
      <c r="EM27" s="556"/>
      <c r="EN27" s="556"/>
      <c r="EO27" s="563"/>
      <c r="EP27" s="556"/>
      <c r="EQ27" s="556"/>
      <c r="ER27" s="556"/>
      <c r="ES27" s="556"/>
      <c r="ET27" s="571"/>
      <c r="EU27" s="565"/>
      <c r="EV27" s="566"/>
      <c r="EW27" s="566"/>
      <c r="EX27" s="566"/>
      <c r="EY27" s="566"/>
      <c r="EZ27" s="566"/>
      <c r="FA27" s="563"/>
      <c r="FB27" s="556"/>
      <c r="FC27" s="556"/>
      <c r="FD27" s="556"/>
      <c r="FE27" s="556"/>
      <c r="FF27" s="557"/>
      <c r="FG27" s="563"/>
      <c r="FH27" s="556"/>
      <c r="FI27" s="556"/>
      <c r="FJ27" s="556"/>
      <c r="FK27" s="556"/>
      <c r="FL27" s="557"/>
      <c r="FM27" s="564"/>
      <c r="FN27" s="564"/>
      <c r="FO27" s="564"/>
      <c r="FP27" s="564"/>
      <c r="FQ27" s="564"/>
      <c r="FR27" s="564"/>
      <c r="FS27" s="565"/>
      <c r="FT27" s="566"/>
      <c r="FU27" s="566"/>
      <c r="FV27" s="566"/>
      <c r="FW27" s="566"/>
      <c r="FX27" s="567"/>
      <c r="FY27" s="556"/>
      <c r="FZ27" s="556"/>
      <c r="GA27" s="556"/>
      <c r="GB27" s="556"/>
      <c r="GC27" s="556"/>
      <c r="GD27" s="556"/>
      <c r="GE27" s="568"/>
      <c r="GF27" s="569"/>
      <c r="GG27" s="569"/>
      <c r="GH27" s="569"/>
      <c r="GI27" s="569"/>
      <c r="GJ27" s="570"/>
      <c r="GK27" s="556"/>
      <c r="GL27" s="556"/>
      <c r="GM27" s="556"/>
      <c r="GN27" s="556"/>
      <c r="GO27" s="556"/>
      <c r="GP27" s="556"/>
      <c r="GQ27" s="563"/>
      <c r="GR27" s="556"/>
      <c r="GS27" s="556"/>
      <c r="GT27" s="556"/>
      <c r="GU27" s="556"/>
      <c r="GV27" s="557"/>
      <c r="GW27" s="563"/>
      <c r="GX27" s="556"/>
      <c r="GY27" s="556"/>
      <c r="GZ27" s="556"/>
      <c r="HA27" s="556"/>
      <c r="HB27" s="557"/>
      <c r="HC27" s="556"/>
      <c r="HD27" s="556"/>
      <c r="HE27" s="556"/>
      <c r="HF27" s="556"/>
      <c r="HG27" s="556"/>
      <c r="HH27" s="556"/>
      <c r="HI27" s="563"/>
      <c r="HJ27" s="556"/>
      <c r="HK27" s="556"/>
      <c r="HL27" s="556"/>
      <c r="HM27" s="556"/>
      <c r="HN27" s="571"/>
      <c r="HO27" s="565"/>
      <c r="HP27" s="566"/>
      <c r="HQ27" s="566"/>
      <c r="HR27" s="566"/>
      <c r="HS27" s="566"/>
      <c r="HT27" s="566"/>
      <c r="HU27" s="563"/>
      <c r="HV27" s="556"/>
      <c r="HW27" s="556"/>
      <c r="HX27" s="556"/>
      <c r="HY27" s="556"/>
      <c r="HZ27" s="557"/>
      <c r="IA27" s="563"/>
      <c r="IB27" s="556"/>
      <c r="IC27" s="556"/>
      <c r="ID27" s="556"/>
      <c r="IE27" s="556"/>
      <c r="IF27" s="557"/>
      <c r="IG27" s="564"/>
      <c r="IH27" s="564"/>
      <c r="II27" s="564"/>
      <c r="IJ27" s="564"/>
      <c r="IK27" s="564"/>
      <c r="IL27" s="564"/>
      <c r="IM27" s="565"/>
      <c r="IN27" s="566"/>
      <c r="IO27" s="566"/>
      <c r="IP27" s="566"/>
      <c r="IQ27" s="566"/>
      <c r="IR27" s="567"/>
      <c r="IS27" s="556"/>
      <c r="IT27" s="556"/>
      <c r="IU27" s="556"/>
      <c r="IV27" s="556"/>
      <c r="IW27" s="556"/>
      <c r="IX27" s="556"/>
      <c r="IY27" s="568"/>
      <c r="IZ27" s="569"/>
      <c r="JA27" s="569"/>
      <c r="JB27" s="569"/>
      <c r="JC27" s="569"/>
      <c r="JD27" s="570"/>
      <c r="JE27" s="556"/>
      <c r="JF27" s="556"/>
      <c r="JG27" s="556"/>
      <c r="JH27" s="556"/>
      <c r="JI27" s="556"/>
      <c r="JJ27" s="556"/>
      <c r="JK27" s="563"/>
      <c r="JL27" s="556"/>
      <c r="JM27" s="556"/>
      <c r="JN27" s="556"/>
      <c r="JO27" s="556"/>
      <c r="JP27" s="557"/>
      <c r="JQ27" s="563"/>
      <c r="JR27" s="556"/>
      <c r="JS27" s="556"/>
      <c r="JT27" s="556"/>
      <c r="JU27" s="556"/>
      <c r="JV27" s="557"/>
      <c r="JW27" s="556"/>
      <c r="JX27" s="556"/>
      <c r="JY27" s="556"/>
      <c r="JZ27" s="556"/>
      <c r="KA27" s="556"/>
      <c r="KB27" s="556"/>
      <c r="KC27" s="563"/>
      <c r="KD27" s="556"/>
      <c r="KE27" s="556"/>
      <c r="KF27" s="556"/>
      <c r="KG27" s="556"/>
      <c r="KH27" s="571"/>
      <c r="KI27" s="565"/>
      <c r="KJ27" s="566"/>
      <c r="KK27" s="566"/>
      <c r="KL27" s="566"/>
      <c r="KM27" s="566"/>
      <c r="KN27" s="566"/>
      <c r="KO27" s="563"/>
      <c r="KP27" s="556"/>
      <c r="KQ27" s="556"/>
      <c r="KR27" s="556"/>
      <c r="KS27" s="556"/>
      <c r="KT27" s="557"/>
      <c r="KU27" s="563"/>
      <c r="KV27" s="556"/>
      <c r="KW27" s="556"/>
      <c r="KX27" s="556"/>
      <c r="KY27" s="556"/>
      <c r="KZ27" s="557"/>
      <c r="LA27" s="564"/>
      <c r="LB27" s="564"/>
      <c r="LC27" s="564"/>
      <c r="LD27" s="564"/>
      <c r="LE27" s="564"/>
      <c r="LF27" s="564"/>
      <c r="LG27" s="565"/>
      <c r="LH27" s="566"/>
      <c r="LI27" s="566"/>
      <c r="LJ27" s="566"/>
      <c r="LK27" s="566"/>
      <c r="LL27" s="567"/>
      <c r="LM27" s="565"/>
      <c r="LN27" s="566"/>
      <c r="LO27" s="566"/>
      <c r="LP27" s="566"/>
      <c r="LQ27" s="566"/>
      <c r="LR27" s="567"/>
      <c r="LS27" s="566"/>
      <c r="LT27" s="566"/>
      <c r="LU27" s="566"/>
      <c r="LV27" s="566"/>
      <c r="LW27" s="566"/>
      <c r="LX27" s="567"/>
      <c r="LY27" s="556"/>
      <c r="LZ27" s="556"/>
      <c r="MA27" s="556"/>
      <c r="MB27" s="556"/>
      <c r="MC27" s="556"/>
      <c r="MD27" s="556"/>
      <c r="ME27" s="563"/>
      <c r="MF27" s="556"/>
      <c r="MG27" s="556"/>
      <c r="MH27" s="556"/>
      <c r="MI27" s="556"/>
      <c r="MJ27" s="557"/>
      <c r="MK27" s="563"/>
      <c r="ML27" s="556"/>
      <c r="MM27" s="556"/>
      <c r="MN27" s="556"/>
      <c r="MO27" s="556"/>
      <c r="MP27" s="557"/>
      <c r="MQ27" s="556"/>
      <c r="MR27" s="556"/>
      <c r="MS27" s="556"/>
      <c r="MT27" s="556"/>
      <c r="MU27" s="556"/>
      <c r="MV27" s="556"/>
      <c r="MW27" s="563"/>
      <c r="MX27" s="556"/>
      <c r="MY27" s="556"/>
      <c r="MZ27" s="556"/>
      <c r="NA27" s="556"/>
      <c r="NB27" s="571"/>
      <c r="NC27" s="565"/>
      <c r="ND27" s="566"/>
      <c r="NE27" s="566"/>
      <c r="NF27" s="566"/>
      <c r="NG27" s="566"/>
      <c r="NH27" s="566"/>
      <c r="NI27" s="563"/>
      <c r="NJ27" s="556"/>
      <c r="NK27" s="556"/>
      <c r="NL27" s="556"/>
      <c r="NM27" s="556"/>
      <c r="NN27" s="557"/>
      <c r="NO27" s="563"/>
      <c r="NP27" s="556"/>
      <c r="NQ27" s="556"/>
      <c r="NR27" s="556"/>
      <c r="NS27" s="556"/>
      <c r="NT27" s="557"/>
      <c r="NU27" s="564"/>
      <c r="NV27" s="564"/>
      <c r="NW27" s="564"/>
      <c r="NX27" s="564"/>
      <c r="NY27" s="564"/>
      <c r="NZ27" s="564"/>
      <c r="OA27" s="565"/>
      <c r="OB27" s="566"/>
      <c r="OC27" s="566"/>
      <c r="OD27" s="566"/>
      <c r="OE27" s="566"/>
      <c r="OF27" s="567"/>
      <c r="OG27" s="565"/>
      <c r="OH27" s="566"/>
      <c r="OI27" s="566"/>
      <c r="OJ27" s="566"/>
      <c r="OK27" s="566"/>
      <c r="OL27" s="566"/>
      <c r="OM27" s="568"/>
      <c r="ON27" s="569"/>
      <c r="OO27" s="569"/>
      <c r="OP27" s="569"/>
      <c r="OQ27" s="569"/>
      <c r="OR27" s="570"/>
      <c r="OS27" s="556"/>
      <c r="OT27" s="556"/>
      <c r="OU27" s="556"/>
      <c r="OV27" s="556"/>
      <c r="OW27" s="556"/>
      <c r="OX27" s="556"/>
      <c r="OY27" s="563"/>
      <c r="OZ27" s="556"/>
      <c r="PA27" s="556"/>
      <c r="PB27" s="556"/>
      <c r="PC27" s="556"/>
      <c r="PD27" s="557"/>
      <c r="PE27" s="563"/>
      <c r="PF27" s="556"/>
      <c r="PG27" s="556"/>
      <c r="PH27" s="556"/>
      <c r="PI27" s="556"/>
      <c r="PJ27" s="557"/>
      <c r="PK27" s="556"/>
      <c r="PL27" s="556"/>
      <c r="PM27" s="556"/>
      <c r="PN27" s="556"/>
      <c r="PO27" s="556"/>
      <c r="PP27" s="556"/>
      <c r="PQ27" s="563"/>
      <c r="PR27" s="556"/>
      <c r="PS27" s="556"/>
      <c r="PT27" s="556"/>
      <c r="PU27" s="556"/>
      <c r="PV27" s="571"/>
      <c r="PW27" s="565"/>
      <c r="PX27" s="566"/>
      <c r="PY27" s="566"/>
      <c r="PZ27" s="566"/>
      <c r="QA27" s="566"/>
      <c r="QB27" s="566"/>
      <c r="QC27" s="563"/>
      <c r="QD27" s="556"/>
      <c r="QE27" s="556"/>
      <c r="QF27" s="556"/>
      <c r="QG27" s="556"/>
      <c r="QH27" s="557"/>
      <c r="QI27" s="563"/>
      <c r="QJ27" s="556"/>
      <c r="QK27" s="556"/>
      <c r="QL27" s="556"/>
      <c r="QM27" s="556"/>
      <c r="QN27" s="557"/>
      <c r="QO27" s="564"/>
      <c r="QP27" s="564"/>
      <c r="QQ27" s="564"/>
      <c r="QR27" s="564"/>
      <c r="QS27" s="564"/>
      <c r="QT27" s="564"/>
      <c r="QU27" s="565"/>
      <c r="QV27" s="566"/>
      <c r="QW27" s="566"/>
      <c r="QX27" s="566"/>
      <c r="QY27" s="566"/>
      <c r="QZ27" s="567"/>
      <c r="RA27" s="556"/>
      <c r="RB27" s="556"/>
      <c r="RC27" s="556"/>
      <c r="RD27" s="556"/>
      <c r="RE27" s="556"/>
      <c r="RF27" s="556"/>
      <c r="RG27" s="568"/>
      <c r="RH27" s="569"/>
      <c r="RI27" s="569"/>
      <c r="RJ27" s="569"/>
      <c r="RK27" s="569"/>
      <c r="RL27" s="570"/>
      <c r="RM27" s="556"/>
      <c r="RN27" s="556"/>
      <c r="RO27" s="556"/>
      <c r="RP27" s="556"/>
      <c r="RQ27" s="556"/>
      <c r="RR27" s="556"/>
      <c r="RS27" s="563"/>
      <c r="RT27" s="556"/>
      <c r="RU27" s="556"/>
      <c r="RV27" s="556"/>
      <c r="RW27" s="556"/>
      <c r="RX27" s="557"/>
      <c r="RY27" s="563"/>
      <c r="RZ27" s="556"/>
      <c r="SA27" s="556"/>
      <c r="SB27" s="556"/>
      <c r="SC27" s="556"/>
      <c r="SD27" s="557"/>
      <c r="SE27" s="556"/>
      <c r="SF27" s="556"/>
      <c r="SG27" s="556"/>
      <c r="SH27" s="556"/>
      <c r="SI27" s="556"/>
      <c r="SJ27" s="556"/>
      <c r="SK27" s="563"/>
      <c r="SL27" s="556"/>
      <c r="SM27" s="556"/>
      <c r="SN27" s="556"/>
      <c r="SO27" s="556"/>
      <c r="SP27" s="571"/>
      <c r="SQ27" s="565"/>
      <c r="SR27" s="566"/>
      <c r="SS27" s="566"/>
      <c r="ST27" s="566"/>
      <c r="SU27" s="566"/>
      <c r="SV27" s="566"/>
      <c r="SW27" s="563"/>
      <c r="SX27" s="556"/>
      <c r="SY27" s="556"/>
      <c r="SZ27" s="556"/>
      <c r="TA27" s="556"/>
      <c r="TB27" s="557"/>
      <c r="TC27" s="563"/>
      <c r="TD27" s="556"/>
      <c r="TE27" s="556"/>
      <c r="TF27" s="556"/>
      <c r="TG27" s="556"/>
      <c r="TH27" s="557"/>
      <c r="TI27" s="564"/>
      <c r="TJ27" s="564"/>
      <c r="TK27" s="564"/>
      <c r="TL27" s="564"/>
      <c r="TM27" s="564"/>
      <c r="TN27" s="564"/>
      <c r="TO27" s="565"/>
      <c r="TP27" s="566"/>
      <c r="TQ27" s="566"/>
      <c r="TR27" s="566"/>
      <c r="TS27" s="566"/>
      <c r="TT27" s="567"/>
      <c r="TU27" s="556"/>
      <c r="TV27" s="556"/>
      <c r="TW27" s="556"/>
      <c r="TX27" s="556"/>
      <c r="TY27" s="556"/>
      <c r="TZ27" s="556"/>
      <c r="UA27" s="568"/>
      <c r="UB27" s="569"/>
      <c r="UC27" s="569"/>
      <c r="UD27" s="569"/>
      <c r="UE27" s="569"/>
      <c r="UF27" s="570"/>
      <c r="UG27" s="556"/>
      <c r="UH27" s="556"/>
      <c r="UI27" s="556"/>
      <c r="UJ27" s="556"/>
      <c r="UK27" s="556"/>
      <c r="UL27" s="556"/>
      <c r="UM27" s="563"/>
      <c r="UN27" s="556"/>
      <c r="UO27" s="556"/>
      <c r="UP27" s="556"/>
      <c r="UQ27" s="556"/>
      <c r="UR27" s="557"/>
      <c r="US27" s="563"/>
      <c r="UT27" s="556"/>
      <c r="UU27" s="556"/>
      <c r="UV27" s="556"/>
      <c r="UW27" s="556"/>
      <c r="UX27" s="557"/>
      <c r="UY27" s="556"/>
      <c r="UZ27" s="556"/>
      <c r="VA27" s="556"/>
      <c r="VB27" s="556"/>
      <c r="VC27" s="556"/>
      <c r="VD27" s="556"/>
      <c r="VE27" s="563"/>
      <c r="VF27" s="556"/>
      <c r="VG27" s="556"/>
      <c r="VH27" s="556"/>
      <c r="VI27" s="556"/>
      <c r="VJ27" s="571"/>
    </row>
    <row r="28" spans="3:582" s="52" customFormat="1" ht="12.75" customHeight="1" x14ac:dyDescent="0.25">
      <c r="C28" s="538"/>
      <c r="D28" s="540">
        <v>1</v>
      </c>
      <c r="E28" s="540"/>
      <c r="F28" s="543"/>
      <c r="G28" s="545"/>
      <c r="H28" s="546"/>
      <c r="I28" s="546"/>
      <c r="J28" s="546"/>
      <c r="K28" s="546"/>
      <c r="L28" s="547"/>
      <c r="M28" s="548"/>
      <c r="N28" s="546"/>
      <c r="O28" s="546"/>
      <c r="P28" s="546"/>
      <c r="Q28" s="546"/>
      <c r="R28" s="547"/>
      <c r="S28" s="548"/>
      <c r="T28" s="546"/>
      <c r="U28" s="546"/>
      <c r="V28" s="546"/>
      <c r="W28" s="546"/>
      <c r="X28" s="547"/>
      <c r="Y28" s="546"/>
      <c r="Z28" s="546"/>
      <c r="AA28" s="546"/>
      <c r="AB28" s="546"/>
      <c r="AC28" s="546"/>
      <c r="AD28" s="546"/>
      <c r="AE28" s="548"/>
      <c r="AF28" s="546"/>
      <c r="AG28" s="546"/>
      <c r="AH28" s="546"/>
      <c r="AI28" s="546"/>
      <c r="AJ28" s="547"/>
      <c r="AK28" s="546"/>
      <c r="AL28" s="546"/>
      <c r="AM28" s="546"/>
      <c r="AN28" s="546"/>
      <c r="AO28" s="546"/>
      <c r="AP28" s="546"/>
      <c r="AQ28" s="548"/>
      <c r="AR28" s="546"/>
      <c r="AS28" s="546"/>
      <c r="AT28" s="546"/>
      <c r="AU28" s="546"/>
      <c r="AV28" s="547"/>
      <c r="AW28" s="546"/>
      <c r="AX28" s="546"/>
      <c r="AY28" s="546"/>
      <c r="AZ28" s="546"/>
      <c r="BA28" s="546"/>
      <c r="BB28" s="546"/>
      <c r="BC28" s="548"/>
      <c r="BD28" s="546"/>
      <c r="BE28" s="546"/>
      <c r="BF28" s="546"/>
      <c r="BG28" s="546"/>
      <c r="BH28" s="547"/>
      <c r="BI28" s="548"/>
      <c r="BJ28" s="546"/>
      <c r="BK28" s="546"/>
      <c r="BL28" s="546"/>
      <c r="BM28" s="546"/>
      <c r="BN28" s="547"/>
      <c r="BO28" s="546"/>
      <c r="BP28" s="546"/>
      <c r="BQ28" s="546"/>
      <c r="BR28" s="546"/>
      <c r="BS28" s="546"/>
      <c r="BT28" s="546"/>
      <c r="BU28" s="548"/>
      <c r="BV28" s="546"/>
      <c r="BW28" s="546"/>
      <c r="BX28" s="546"/>
      <c r="BY28" s="546"/>
      <c r="BZ28" s="549"/>
      <c r="CA28" s="545"/>
      <c r="CB28" s="546"/>
      <c r="CC28" s="546"/>
      <c r="CD28" s="546"/>
      <c r="CE28" s="546"/>
      <c r="CF28" s="547"/>
      <c r="CG28" s="548"/>
      <c r="CH28" s="546"/>
      <c r="CI28" s="546"/>
      <c r="CJ28" s="546"/>
      <c r="CK28" s="546"/>
      <c r="CL28" s="547"/>
      <c r="CM28" s="548"/>
      <c r="CN28" s="546"/>
      <c r="CO28" s="546"/>
      <c r="CP28" s="546"/>
      <c r="CQ28" s="546"/>
      <c r="CR28" s="547"/>
      <c r="CS28" s="546"/>
      <c r="CT28" s="546"/>
      <c r="CU28" s="546"/>
      <c r="CV28" s="546"/>
      <c r="CW28" s="546"/>
      <c r="CX28" s="546"/>
      <c r="CY28" s="548"/>
      <c r="CZ28" s="546"/>
      <c r="DA28" s="546"/>
      <c r="DB28" s="546"/>
      <c r="DC28" s="546"/>
      <c r="DD28" s="547"/>
      <c r="DE28" s="546"/>
      <c r="DF28" s="546"/>
      <c r="DG28" s="546"/>
      <c r="DH28" s="546"/>
      <c r="DI28" s="546"/>
      <c r="DJ28" s="546"/>
      <c r="DK28" s="548"/>
      <c r="DL28" s="546"/>
      <c r="DM28" s="546"/>
      <c r="DN28" s="546"/>
      <c r="DO28" s="546"/>
      <c r="DP28" s="547"/>
      <c r="DQ28" s="546"/>
      <c r="DR28" s="546"/>
      <c r="DS28" s="546"/>
      <c r="DT28" s="546"/>
      <c r="DU28" s="546"/>
      <c r="DV28" s="546"/>
      <c r="DW28" s="548"/>
      <c r="DX28" s="546"/>
      <c r="DY28" s="546"/>
      <c r="DZ28" s="546"/>
      <c r="EA28" s="546"/>
      <c r="EB28" s="547"/>
      <c r="EC28" s="548"/>
      <c r="ED28" s="546"/>
      <c r="EE28" s="546"/>
      <c r="EF28" s="546"/>
      <c r="EG28" s="546"/>
      <c r="EH28" s="547"/>
      <c r="EI28" s="546"/>
      <c r="EJ28" s="546"/>
      <c r="EK28" s="546"/>
      <c r="EL28" s="546"/>
      <c r="EM28" s="546"/>
      <c r="EN28" s="546"/>
      <c r="EO28" s="548"/>
      <c r="EP28" s="546"/>
      <c r="EQ28" s="546"/>
      <c r="ER28" s="546"/>
      <c r="ES28" s="546"/>
      <c r="ET28" s="549"/>
      <c r="EU28" s="545"/>
      <c r="EV28" s="546"/>
      <c r="EW28" s="546"/>
      <c r="EX28" s="546"/>
      <c r="EY28" s="546"/>
      <c r="EZ28" s="547"/>
      <c r="FA28" s="548"/>
      <c r="FB28" s="546"/>
      <c r="FC28" s="546"/>
      <c r="FD28" s="546"/>
      <c r="FE28" s="546"/>
      <c r="FF28" s="547"/>
      <c r="FG28" s="548"/>
      <c r="FH28" s="546"/>
      <c r="FI28" s="546"/>
      <c r="FJ28" s="546"/>
      <c r="FK28" s="546"/>
      <c r="FL28" s="547"/>
      <c r="FM28" s="546"/>
      <c r="FN28" s="546"/>
      <c r="FO28" s="546"/>
      <c r="FP28" s="546"/>
      <c r="FQ28" s="546"/>
      <c r="FR28" s="546"/>
      <c r="FS28" s="548"/>
      <c r="FT28" s="546"/>
      <c r="FU28" s="546"/>
      <c r="FV28" s="546"/>
      <c r="FW28" s="546"/>
      <c r="FX28" s="547"/>
      <c r="FY28" s="546"/>
      <c r="FZ28" s="546"/>
      <c r="GA28" s="546"/>
      <c r="GB28" s="546"/>
      <c r="GC28" s="546"/>
      <c r="GD28" s="546"/>
      <c r="GE28" s="548"/>
      <c r="GF28" s="546"/>
      <c r="GG28" s="546"/>
      <c r="GH28" s="546"/>
      <c r="GI28" s="546"/>
      <c r="GJ28" s="547"/>
      <c r="GK28" s="546"/>
      <c r="GL28" s="546"/>
      <c r="GM28" s="546"/>
      <c r="GN28" s="546"/>
      <c r="GO28" s="546"/>
      <c r="GP28" s="546"/>
      <c r="GQ28" s="548"/>
      <c r="GR28" s="546"/>
      <c r="GS28" s="546"/>
      <c r="GT28" s="546"/>
      <c r="GU28" s="546"/>
      <c r="GV28" s="547"/>
      <c r="GW28" s="548"/>
      <c r="GX28" s="546"/>
      <c r="GY28" s="546"/>
      <c r="GZ28" s="546"/>
      <c r="HA28" s="546"/>
      <c r="HB28" s="547"/>
      <c r="HC28" s="546"/>
      <c r="HD28" s="546"/>
      <c r="HE28" s="546"/>
      <c r="HF28" s="546"/>
      <c r="HG28" s="546"/>
      <c r="HH28" s="546"/>
      <c r="HI28" s="548"/>
      <c r="HJ28" s="546"/>
      <c r="HK28" s="546"/>
      <c r="HL28" s="546"/>
      <c r="HM28" s="546"/>
      <c r="HN28" s="549"/>
      <c r="HO28" s="545"/>
      <c r="HP28" s="546"/>
      <c r="HQ28" s="546"/>
      <c r="HR28" s="546"/>
      <c r="HS28" s="546"/>
      <c r="HT28" s="547"/>
      <c r="HU28" s="548"/>
      <c r="HV28" s="546"/>
      <c r="HW28" s="546"/>
      <c r="HX28" s="546"/>
      <c r="HY28" s="546"/>
      <c r="HZ28" s="547"/>
      <c r="IA28" s="548"/>
      <c r="IB28" s="546"/>
      <c r="IC28" s="546"/>
      <c r="ID28" s="546"/>
      <c r="IE28" s="546"/>
      <c r="IF28" s="547"/>
      <c r="IG28" s="546"/>
      <c r="IH28" s="546"/>
      <c r="II28" s="546"/>
      <c r="IJ28" s="546"/>
      <c r="IK28" s="546"/>
      <c r="IL28" s="546"/>
      <c r="IM28" s="548"/>
      <c r="IN28" s="546"/>
      <c r="IO28" s="546"/>
      <c r="IP28" s="546"/>
      <c r="IQ28" s="546"/>
      <c r="IR28" s="547"/>
      <c r="IS28" s="546"/>
      <c r="IT28" s="546"/>
      <c r="IU28" s="546"/>
      <c r="IV28" s="546"/>
      <c r="IW28" s="546"/>
      <c r="IX28" s="546"/>
      <c r="IY28" s="548"/>
      <c r="IZ28" s="546"/>
      <c r="JA28" s="546"/>
      <c r="JB28" s="546"/>
      <c r="JC28" s="546"/>
      <c r="JD28" s="547"/>
      <c r="JE28" s="546"/>
      <c r="JF28" s="546"/>
      <c r="JG28" s="546"/>
      <c r="JH28" s="546"/>
      <c r="JI28" s="546"/>
      <c r="JJ28" s="546"/>
      <c r="JK28" s="548"/>
      <c r="JL28" s="546"/>
      <c r="JM28" s="546"/>
      <c r="JN28" s="546"/>
      <c r="JO28" s="546"/>
      <c r="JP28" s="547"/>
      <c r="JQ28" s="548"/>
      <c r="JR28" s="546"/>
      <c r="JS28" s="546"/>
      <c r="JT28" s="546"/>
      <c r="JU28" s="546"/>
      <c r="JV28" s="547"/>
      <c r="JW28" s="546"/>
      <c r="JX28" s="546"/>
      <c r="JY28" s="546"/>
      <c r="JZ28" s="546"/>
      <c r="KA28" s="546"/>
      <c r="KB28" s="546"/>
      <c r="KC28" s="548"/>
      <c r="KD28" s="546"/>
      <c r="KE28" s="546"/>
      <c r="KF28" s="546"/>
      <c r="KG28" s="546"/>
      <c r="KH28" s="549"/>
      <c r="KI28" s="545"/>
      <c r="KJ28" s="546"/>
      <c r="KK28" s="546"/>
      <c r="KL28" s="546"/>
      <c r="KM28" s="546"/>
      <c r="KN28" s="547"/>
      <c r="KO28" s="548"/>
      <c r="KP28" s="546"/>
      <c r="KQ28" s="546"/>
      <c r="KR28" s="546"/>
      <c r="KS28" s="546"/>
      <c r="KT28" s="547"/>
      <c r="KU28" s="548"/>
      <c r="KV28" s="546"/>
      <c r="KW28" s="546"/>
      <c r="KX28" s="546"/>
      <c r="KY28" s="546"/>
      <c r="KZ28" s="547"/>
      <c r="LA28" s="546"/>
      <c r="LB28" s="546"/>
      <c r="LC28" s="546"/>
      <c r="LD28" s="546"/>
      <c r="LE28" s="546"/>
      <c r="LF28" s="546"/>
      <c r="LG28" s="548"/>
      <c r="LH28" s="546"/>
      <c r="LI28" s="546"/>
      <c r="LJ28" s="546"/>
      <c r="LK28" s="546"/>
      <c r="LL28" s="547"/>
      <c r="LM28" s="546"/>
      <c r="LN28" s="546"/>
      <c r="LO28" s="546"/>
      <c r="LP28" s="546"/>
      <c r="LQ28" s="546"/>
      <c r="LR28" s="546"/>
      <c r="LS28" s="548"/>
      <c r="LT28" s="546"/>
      <c r="LU28" s="546"/>
      <c r="LV28" s="546"/>
      <c r="LW28" s="546"/>
      <c r="LX28" s="547"/>
      <c r="LY28" s="546"/>
      <c r="LZ28" s="546"/>
      <c r="MA28" s="546"/>
      <c r="MB28" s="546"/>
      <c r="MC28" s="546"/>
      <c r="MD28" s="546"/>
      <c r="ME28" s="548"/>
      <c r="MF28" s="546"/>
      <c r="MG28" s="546"/>
      <c r="MH28" s="546"/>
      <c r="MI28" s="546"/>
      <c r="MJ28" s="547"/>
      <c r="MK28" s="548"/>
      <c r="ML28" s="546"/>
      <c r="MM28" s="546"/>
      <c r="MN28" s="546"/>
      <c r="MO28" s="546"/>
      <c r="MP28" s="547"/>
      <c r="MQ28" s="546"/>
      <c r="MR28" s="546"/>
      <c r="MS28" s="546"/>
      <c r="MT28" s="546"/>
      <c r="MU28" s="546"/>
      <c r="MV28" s="546"/>
      <c r="MW28" s="548"/>
      <c r="MX28" s="546"/>
      <c r="MY28" s="546"/>
      <c r="MZ28" s="546"/>
      <c r="NA28" s="546"/>
      <c r="NB28" s="549"/>
      <c r="NC28" s="545"/>
      <c r="ND28" s="546"/>
      <c r="NE28" s="546"/>
      <c r="NF28" s="546"/>
      <c r="NG28" s="546"/>
      <c r="NH28" s="547"/>
      <c r="NI28" s="548"/>
      <c r="NJ28" s="546"/>
      <c r="NK28" s="546"/>
      <c r="NL28" s="546"/>
      <c r="NM28" s="546"/>
      <c r="NN28" s="547"/>
      <c r="NO28" s="548"/>
      <c r="NP28" s="546"/>
      <c r="NQ28" s="546"/>
      <c r="NR28" s="546"/>
      <c r="NS28" s="546"/>
      <c r="NT28" s="547"/>
      <c r="NU28" s="546"/>
      <c r="NV28" s="546"/>
      <c r="NW28" s="546"/>
      <c r="NX28" s="546"/>
      <c r="NY28" s="546"/>
      <c r="NZ28" s="546"/>
      <c r="OA28" s="548"/>
      <c r="OB28" s="546"/>
      <c r="OC28" s="546"/>
      <c r="OD28" s="546"/>
      <c r="OE28" s="546"/>
      <c r="OF28" s="547"/>
      <c r="OG28" s="546"/>
      <c r="OH28" s="546"/>
      <c r="OI28" s="546"/>
      <c r="OJ28" s="546"/>
      <c r="OK28" s="546"/>
      <c r="OL28" s="546"/>
      <c r="OM28" s="548"/>
      <c r="ON28" s="546"/>
      <c r="OO28" s="546"/>
      <c r="OP28" s="546"/>
      <c r="OQ28" s="546"/>
      <c r="OR28" s="547"/>
      <c r="OS28" s="546"/>
      <c r="OT28" s="546"/>
      <c r="OU28" s="546"/>
      <c r="OV28" s="546"/>
      <c r="OW28" s="546"/>
      <c r="OX28" s="546"/>
      <c r="OY28" s="548"/>
      <c r="OZ28" s="546"/>
      <c r="PA28" s="546"/>
      <c r="PB28" s="546"/>
      <c r="PC28" s="546"/>
      <c r="PD28" s="547"/>
      <c r="PE28" s="548"/>
      <c r="PF28" s="546"/>
      <c r="PG28" s="546"/>
      <c r="PH28" s="546"/>
      <c r="PI28" s="546"/>
      <c r="PJ28" s="547"/>
      <c r="PK28" s="546"/>
      <c r="PL28" s="546"/>
      <c r="PM28" s="546"/>
      <c r="PN28" s="546"/>
      <c r="PO28" s="546"/>
      <c r="PP28" s="546"/>
      <c r="PQ28" s="548"/>
      <c r="PR28" s="546"/>
      <c r="PS28" s="546"/>
      <c r="PT28" s="546"/>
      <c r="PU28" s="546"/>
      <c r="PV28" s="549"/>
      <c r="PW28" s="545"/>
      <c r="PX28" s="546"/>
      <c r="PY28" s="546"/>
      <c r="PZ28" s="546"/>
      <c r="QA28" s="546"/>
      <c r="QB28" s="547"/>
      <c r="QC28" s="548"/>
      <c r="QD28" s="546"/>
      <c r="QE28" s="546"/>
      <c r="QF28" s="546"/>
      <c r="QG28" s="546"/>
      <c r="QH28" s="547"/>
      <c r="QI28" s="548"/>
      <c r="QJ28" s="546"/>
      <c r="QK28" s="546"/>
      <c r="QL28" s="546"/>
      <c r="QM28" s="546"/>
      <c r="QN28" s="547"/>
      <c r="QO28" s="546"/>
      <c r="QP28" s="546"/>
      <c r="QQ28" s="546"/>
      <c r="QR28" s="546"/>
      <c r="QS28" s="546"/>
      <c r="QT28" s="546"/>
      <c r="QU28" s="548"/>
      <c r="QV28" s="546"/>
      <c r="QW28" s="546"/>
      <c r="QX28" s="546"/>
      <c r="QY28" s="546"/>
      <c r="QZ28" s="547"/>
      <c r="RA28" s="546"/>
      <c r="RB28" s="546"/>
      <c r="RC28" s="546"/>
      <c r="RD28" s="546"/>
      <c r="RE28" s="546"/>
      <c r="RF28" s="546"/>
      <c r="RG28" s="548"/>
      <c r="RH28" s="546"/>
      <c r="RI28" s="546"/>
      <c r="RJ28" s="546"/>
      <c r="RK28" s="546"/>
      <c r="RL28" s="547"/>
      <c r="RM28" s="546"/>
      <c r="RN28" s="546"/>
      <c r="RO28" s="546"/>
      <c r="RP28" s="546"/>
      <c r="RQ28" s="546"/>
      <c r="RR28" s="546"/>
      <c r="RS28" s="548"/>
      <c r="RT28" s="546"/>
      <c r="RU28" s="546"/>
      <c r="RV28" s="546"/>
      <c r="RW28" s="546"/>
      <c r="RX28" s="547"/>
      <c r="RY28" s="548"/>
      <c r="RZ28" s="546"/>
      <c r="SA28" s="546"/>
      <c r="SB28" s="546"/>
      <c r="SC28" s="546"/>
      <c r="SD28" s="547"/>
      <c r="SE28" s="546"/>
      <c r="SF28" s="546"/>
      <c r="SG28" s="546"/>
      <c r="SH28" s="546"/>
      <c r="SI28" s="546"/>
      <c r="SJ28" s="546"/>
      <c r="SK28" s="548"/>
      <c r="SL28" s="546"/>
      <c r="SM28" s="546"/>
      <c r="SN28" s="546"/>
      <c r="SO28" s="546"/>
      <c r="SP28" s="549"/>
      <c r="SQ28" s="545"/>
      <c r="SR28" s="546"/>
      <c r="SS28" s="546"/>
      <c r="ST28" s="546"/>
      <c r="SU28" s="546"/>
      <c r="SV28" s="547"/>
      <c r="SW28" s="548"/>
      <c r="SX28" s="546"/>
      <c r="SY28" s="546"/>
      <c r="SZ28" s="546"/>
      <c r="TA28" s="546"/>
      <c r="TB28" s="547"/>
      <c r="TC28" s="548"/>
      <c r="TD28" s="546"/>
      <c r="TE28" s="546"/>
      <c r="TF28" s="546"/>
      <c r="TG28" s="546"/>
      <c r="TH28" s="547"/>
      <c r="TI28" s="546"/>
      <c r="TJ28" s="546"/>
      <c r="TK28" s="546"/>
      <c r="TL28" s="546"/>
      <c r="TM28" s="546"/>
      <c r="TN28" s="546"/>
      <c r="TO28" s="548"/>
      <c r="TP28" s="546"/>
      <c r="TQ28" s="546"/>
      <c r="TR28" s="546"/>
      <c r="TS28" s="546"/>
      <c r="TT28" s="547"/>
      <c r="TU28" s="546"/>
      <c r="TV28" s="546"/>
      <c r="TW28" s="546"/>
      <c r="TX28" s="546"/>
      <c r="TY28" s="546"/>
      <c r="TZ28" s="546"/>
      <c r="UA28" s="548"/>
      <c r="UB28" s="546"/>
      <c r="UC28" s="546"/>
      <c r="UD28" s="546"/>
      <c r="UE28" s="546"/>
      <c r="UF28" s="547"/>
      <c r="UG28" s="546"/>
      <c r="UH28" s="546"/>
      <c r="UI28" s="546"/>
      <c r="UJ28" s="546"/>
      <c r="UK28" s="546"/>
      <c r="UL28" s="546"/>
      <c r="UM28" s="548"/>
      <c r="UN28" s="546"/>
      <c r="UO28" s="546"/>
      <c r="UP28" s="546"/>
      <c r="UQ28" s="546"/>
      <c r="UR28" s="547"/>
      <c r="US28" s="548"/>
      <c r="UT28" s="546"/>
      <c r="UU28" s="546"/>
      <c r="UV28" s="546"/>
      <c r="UW28" s="546"/>
      <c r="UX28" s="547"/>
      <c r="UY28" s="546"/>
      <c r="UZ28" s="546"/>
      <c r="VA28" s="546"/>
      <c r="VB28" s="546"/>
      <c r="VC28" s="546"/>
      <c r="VD28" s="546"/>
      <c r="VE28" s="548"/>
      <c r="VF28" s="546"/>
      <c r="VG28" s="546"/>
      <c r="VH28" s="546"/>
      <c r="VI28" s="546"/>
      <c r="VJ28" s="549"/>
    </row>
    <row r="29" spans="3:582" s="52" customFormat="1" ht="19.5" customHeight="1" x14ac:dyDescent="0.25">
      <c r="C29" s="538"/>
      <c r="D29" s="541"/>
      <c r="E29" s="541"/>
      <c r="F29" s="543"/>
      <c r="G29" s="277"/>
      <c r="H29" s="273"/>
      <c r="I29" s="273"/>
      <c r="J29" s="273"/>
      <c r="K29" s="273"/>
      <c r="L29" s="274"/>
      <c r="M29" s="275"/>
      <c r="N29" s="273"/>
      <c r="O29" s="273"/>
      <c r="P29" s="273"/>
      <c r="Q29" s="273"/>
      <c r="R29" s="274"/>
      <c r="S29" s="275"/>
      <c r="T29" s="273"/>
      <c r="U29" s="273"/>
      <c r="V29" s="273"/>
      <c r="W29" s="273"/>
      <c r="X29" s="274"/>
      <c r="Y29" s="275"/>
      <c r="Z29" s="273"/>
      <c r="AA29" s="273"/>
      <c r="AB29" s="273"/>
      <c r="AC29" s="273"/>
      <c r="AD29" s="273"/>
      <c r="AE29" s="275"/>
      <c r="AF29" s="273"/>
      <c r="AG29" s="273"/>
      <c r="AH29" s="273"/>
      <c r="AI29" s="273"/>
      <c r="AJ29" s="274"/>
      <c r="AK29" s="273"/>
      <c r="AL29" s="273"/>
      <c r="AM29" s="273"/>
      <c r="AN29" s="273"/>
      <c r="AO29" s="273"/>
      <c r="AP29" s="273"/>
      <c r="AQ29" s="275"/>
      <c r="AR29" s="273"/>
      <c r="AS29" s="273"/>
      <c r="AT29" s="273"/>
      <c r="AU29" s="273"/>
      <c r="AV29" s="274"/>
      <c r="AW29" s="273"/>
      <c r="AX29" s="273"/>
      <c r="AY29" s="273"/>
      <c r="AZ29" s="273"/>
      <c r="BA29" s="273"/>
      <c r="BB29" s="273"/>
      <c r="BC29" s="275"/>
      <c r="BD29" s="273"/>
      <c r="BE29" s="273"/>
      <c r="BF29" s="273"/>
      <c r="BG29" s="273"/>
      <c r="BH29" s="274"/>
      <c r="BI29" s="275"/>
      <c r="BJ29" s="273"/>
      <c r="BK29" s="273"/>
      <c r="BL29" s="273"/>
      <c r="BM29" s="273"/>
      <c r="BN29" s="274"/>
      <c r="BO29" s="273"/>
      <c r="BP29" s="273"/>
      <c r="BQ29" s="273"/>
      <c r="BR29" s="273"/>
      <c r="BS29" s="273"/>
      <c r="BT29" s="274"/>
      <c r="BU29" s="273"/>
      <c r="BV29" s="273"/>
      <c r="BW29" s="273"/>
      <c r="BX29" s="273"/>
      <c r="BY29" s="273"/>
      <c r="BZ29" s="276"/>
      <c r="CA29" s="277"/>
      <c r="CB29" s="273"/>
      <c r="CC29" s="273"/>
      <c r="CD29" s="273"/>
      <c r="CE29" s="273"/>
      <c r="CF29" s="274"/>
      <c r="CG29" s="275"/>
      <c r="CH29" s="273"/>
      <c r="CI29" s="273"/>
      <c r="CJ29" s="273"/>
      <c r="CK29" s="273"/>
      <c r="CL29" s="274"/>
      <c r="CM29" s="275"/>
      <c r="CN29" s="273"/>
      <c r="CO29" s="273"/>
      <c r="CP29" s="273"/>
      <c r="CQ29" s="273"/>
      <c r="CR29" s="274"/>
      <c r="CS29" s="275"/>
      <c r="CT29" s="273"/>
      <c r="CU29" s="273"/>
      <c r="CV29" s="273"/>
      <c r="CW29" s="273"/>
      <c r="CX29" s="273"/>
      <c r="CY29" s="275"/>
      <c r="CZ29" s="273"/>
      <c r="DA29" s="273"/>
      <c r="DB29" s="273"/>
      <c r="DC29" s="273"/>
      <c r="DD29" s="274"/>
      <c r="DE29" s="273"/>
      <c r="DF29" s="273"/>
      <c r="DG29" s="273"/>
      <c r="DH29" s="273"/>
      <c r="DI29" s="273"/>
      <c r="DJ29" s="273"/>
      <c r="DK29" s="275"/>
      <c r="DL29" s="273"/>
      <c r="DM29" s="273"/>
      <c r="DN29" s="273"/>
      <c r="DO29" s="273"/>
      <c r="DP29" s="274"/>
      <c r="DQ29" s="273"/>
      <c r="DR29" s="273"/>
      <c r="DS29" s="273"/>
      <c r="DT29" s="273"/>
      <c r="DU29" s="273"/>
      <c r="DV29" s="273"/>
      <c r="DW29" s="275"/>
      <c r="DX29" s="273"/>
      <c r="DY29" s="273"/>
      <c r="DZ29" s="273"/>
      <c r="EA29" s="273"/>
      <c r="EB29" s="274"/>
      <c r="EC29" s="275"/>
      <c r="ED29" s="273"/>
      <c r="EE29" s="273"/>
      <c r="EF29" s="273"/>
      <c r="EG29" s="273"/>
      <c r="EH29" s="274"/>
      <c r="EI29" s="273"/>
      <c r="EJ29" s="273"/>
      <c r="EK29" s="273"/>
      <c r="EL29" s="273"/>
      <c r="EM29" s="273"/>
      <c r="EN29" s="274"/>
      <c r="EO29" s="273"/>
      <c r="EP29" s="273"/>
      <c r="EQ29" s="273"/>
      <c r="ER29" s="273"/>
      <c r="ES29" s="273"/>
      <c r="ET29" s="276"/>
      <c r="EU29" s="273"/>
      <c r="EV29" s="273"/>
      <c r="EW29" s="273"/>
      <c r="EX29" s="273"/>
      <c r="EY29" s="273"/>
      <c r="EZ29" s="274"/>
      <c r="FA29" s="275"/>
      <c r="FB29" s="273"/>
      <c r="FC29" s="273"/>
      <c r="FD29" s="273"/>
      <c r="FE29" s="273"/>
      <c r="FF29" s="274"/>
      <c r="FG29" s="275"/>
      <c r="FH29" s="273"/>
      <c r="FI29" s="273"/>
      <c r="FJ29" s="273"/>
      <c r="FK29" s="273"/>
      <c r="FL29" s="274"/>
      <c r="FM29" s="275"/>
      <c r="FN29" s="273"/>
      <c r="FO29" s="273"/>
      <c r="FP29" s="273"/>
      <c r="FQ29" s="273"/>
      <c r="FR29" s="273"/>
      <c r="FS29" s="275"/>
      <c r="FT29" s="273"/>
      <c r="FU29" s="273"/>
      <c r="FV29" s="273"/>
      <c r="FW29" s="273"/>
      <c r="FX29" s="274"/>
      <c r="FY29" s="273"/>
      <c r="FZ29" s="273"/>
      <c r="GA29" s="273"/>
      <c r="GB29" s="273"/>
      <c r="GC29" s="273"/>
      <c r="GD29" s="273"/>
      <c r="GE29" s="275"/>
      <c r="GF29" s="273"/>
      <c r="GG29" s="273"/>
      <c r="GH29" s="273"/>
      <c r="GI29" s="273"/>
      <c r="GJ29" s="274"/>
      <c r="GK29" s="273"/>
      <c r="GL29" s="273"/>
      <c r="GM29" s="273"/>
      <c r="GN29" s="273"/>
      <c r="GO29" s="273"/>
      <c r="GP29" s="273"/>
      <c r="GQ29" s="275"/>
      <c r="GR29" s="273"/>
      <c r="GS29" s="273"/>
      <c r="GT29" s="273"/>
      <c r="GU29" s="273"/>
      <c r="GV29" s="274"/>
      <c r="GW29" s="275"/>
      <c r="GX29" s="273"/>
      <c r="GY29" s="273"/>
      <c r="GZ29" s="273"/>
      <c r="HA29" s="273"/>
      <c r="HB29" s="274"/>
      <c r="HC29" s="273"/>
      <c r="HD29" s="273"/>
      <c r="HE29" s="273"/>
      <c r="HF29" s="273"/>
      <c r="HG29" s="273"/>
      <c r="HH29" s="273"/>
      <c r="HI29" s="275"/>
      <c r="HJ29" s="273"/>
      <c r="HK29" s="273"/>
      <c r="HL29" s="273"/>
      <c r="HM29" s="273"/>
      <c r="HN29" s="276"/>
      <c r="HO29" s="273"/>
      <c r="HP29" s="273"/>
      <c r="HQ29" s="273"/>
      <c r="HR29" s="273"/>
      <c r="HS29" s="273"/>
      <c r="HT29" s="274"/>
      <c r="HU29" s="275"/>
      <c r="HV29" s="273"/>
      <c r="HW29" s="273"/>
      <c r="HX29" s="273"/>
      <c r="HY29" s="273"/>
      <c r="HZ29" s="274"/>
      <c r="IA29" s="275"/>
      <c r="IB29" s="273"/>
      <c r="IC29" s="273"/>
      <c r="ID29" s="273"/>
      <c r="IE29" s="273"/>
      <c r="IF29" s="274"/>
      <c r="IG29" s="275"/>
      <c r="IH29" s="273"/>
      <c r="II29" s="273"/>
      <c r="IJ29" s="273"/>
      <c r="IK29" s="273"/>
      <c r="IL29" s="273"/>
      <c r="IM29" s="275"/>
      <c r="IN29" s="273"/>
      <c r="IO29" s="273"/>
      <c r="IP29" s="273"/>
      <c r="IQ29" s="273"/>
      <c r="IR29" s="274"/>
      <c r="IS29" s="273"/>
      <c r="IT29" s="273"/>
      <c r="IU29" s="273"/>
      <c r="IV29" s="273"/>
      <c r="IW29" s="273"/>
      <c r="IX29" s="273"/>
      <c r="IY29" s="275"/>
      <c r="IZ29" s="273"/>
      <c r="JA29" s="273"/>
      <c r="JB29" s="273"/>
      <c r="JC29" s="273"/>
      <c r="JD29" s="274"/>
      <c r="JE29" s="273"/>
      <c r="JF29" s="273"/>
      <c r="JG29" s="273"/>
      <c r="JH29" s="273"/>
      <c r="JI29" s="273"/>
      <c r="JJ29" s="273"/>
      <c r="JK29" s="275"/>
      <c r="JL29" s="273"/>
      <c r="JM29" s="273"/>
      <c r="JN29" s="273"/>
      <c r="JO29" s="273"/>
      <c r="JP29" s="274"/>
      <c r="JQ29" s="275"/>
      <c r="JR29" s="273"/>
      <c r="JS29" s="273"/>
      <c r="JT29" s="273"/>
      <c r="JU29" s="273"/>
      <c r="JV29" s="274"/>
      <c r="JW29" s="273"/>
      <c r="JX29" s="273"/>
      <c r="JY29" s="273"/>
      <c r="JZ29" s="273"/>
      <c r="KA29" s="273"/>
      <c r="KB29" s="273"/>
      <c r="KC29" s="275"/>
      <c r="KD29" s="273"/>
      <c r="KE29" s="273"/>
      <c r="KF29" s="273"/>
      <c r="KG29" s="273"/>
      <c r="KH29" s="276"/>
      <c r="KI29" s="273"/>
      <c r="KJ29" s="273"/>
      <c r="KK29" s="273"/>
      <c r="KL29" s="273"/>
      <c r="KM29" s="273"/>
      <c r="KN29" s="274"/>
      <c r="KO29" s="275"/>
      <c r="KP29" s="273"/>
      <c r="KQ29" s="273"/>
      <c r="KR29" s="273"/>
      <c r="KS29" s="273"/>
      <c r="KT29" s="274"/>
      <c r="KU29" s="275"/>
      <c r="KV29" s="273"/>
      <c r="KW29" s="273"/>
      <c r="KX29" s="273"/>
      <c r="KY29" s="273"/>
      <c r="KZ29" s="274"/>
      <c r="LA29" s="275"/>
      <c r="LB29" s="273"/>
      <c r="LC29" s="273"/>
      <c r="LD29" s="273"/>
      <c r="LE29" s="273"/>
      <c r="LF29" s="273"/>
      <c r="LG29" s="275"/>
      <c r="LH29" s="273"/>
      <c r="LI29" s="273"/>
      <c r="LJ29" s="273"/>
      <c r="LK29" s="273"/>
      <c r="LL29" s="274"/>
      <c r="LM29" s="273"/>
      <c r="LN29" s="273"/>
      <c r="LO29" s="273"/>
      <c r="LP29" s="273"/>
      <c r="LQ29" s="273"/>
      <c r="LR29" s="273"/>
      <c r="LS29" s="275"/>
      <c r="LT29" s="273"/>
      <c r="LU29" s="273"/>
      <c r="LV29" s="273"/>
      <c r="LW29" s="273"/>
      <c r="LX29" s="274"/>
      <c r="LY29" s="273"/>
      <c r="LZ29" s="273"/>
      <c r="MA29" s="273"/>
      <c r="MB29" s="273"/>
      <c r="MC29" s="273"/>
      <c r="MD29" s="273"/>
      <c r="ME29" s="275"/>
      <c r="MF29" s="273"/>
      <c r="MG29" s="273"/>
      <c r="MH29" s="273"/>
      <c r="MI29" s="273"/>
      <c r="MJ29" s="274"/>
      <c r="MK29" s="275"/>
      <c r="ML29" s="273"/>
      <c r="MM29" s="273"/>
      <c r="MN29" s="273"/>
      <c r="MO29" s="273"/>
      <c r="MP29" s="274"/>
      <c r="MQ29" s="273"/>
      <c r="MR29" s="273"/>
      <c r="MS29" s="273"/>
      <c r="MT29" s="273"/>
      <c r="MU29" s="273"/>
      <c r="MV29" s="273"/>
      <c r="MW29" s="275"/>
      <c r="MX29" s="273"/>
      <c r="MY29" s="273"/>
      <c r="MZ29" s="273"/>
      <c r="NA29" s="273"/>
      <c r="NB29" s="276"/>
      <c r="NC29" s="273"/>
      <c r="ND29" s="273"/>
      <c r="NE29" s="273"/>
      <c r="NF29" s="273"/>
      <c r="NG29" s="273"/>
      <c r="NH29" s="274"/>
      <c r="NI29" s="275"/>
      <c r="NJ29" s="273"/>
      <c r="NK29" s="273"/>
      <c r="NL29" s="273"/>
      <c r="NM29" s="273"/>
      <c r="NN29" s="274"/>
      <c r="NO29" s="275"/>
      <c r="NP29" s="273"/>
      <c r="NQ29" s="273"/>
      <c r="NR29" s="273"/>
      <c r="NS29" s="273"/>
      <c r="NT29" s="274"/>
      <c r="NU29" s="275"/>
      <c r="NV29" s="273"/>
      <c r="NW29" s="273"/>
      <c r="NX29" s="273"/>
      <c r="NY29" s="273"/>
      <c r="NZ29" s="273"/>
      <c r="OA29" s="275"/>
      <c r="OB29" s="273"/>
      <c r="OC29" s="273"/>
      <c r="OD29" s="273"/>
      <c r="OE29" s="273"/>
      <c r="OF29" s="274"/>
      <c r="OG29" s="273"/>
      <c r="OH29" s="273"/>
      <c r="OI29" s="273"/>
      <c r="OJ29" s="273"/>
      <c r="OK29" s="273"/>
      <c r="OL29" s="273"/>
      <c r="OM29" s="275"/>
      <c r="ON29" s="273"/>
      <c r="OO29" s="273"/>
      <c r="OP29" s="273"/>
      <c r="OQ29" s="273"/>
      <c r="OR29" s="274"/>
      <c r="OS29" s="275"/>
      <c r="OT29" s="273"/>
      <c r="OU29" s="273"/>
      <c r="OV29" s="273"/>
      <c r="OW29" s="273"/>
      <c r="OX29" s="273"/>
      <c r="OY29" s="275"/>
      <c r="OZ29" s="273"/>
      <c r="PA29" s="273"/>
      <c r="PB29" s="273"/>
      <c r="PC29" s="273"/>
      <c r="PD29" s="274"/>
      <c r="PE29" s="273"/>
      <c r="PF29" s="273"/>
      <c r="PG29" s="273"/>
      <c r="PH29" s="273"/>
      <c r="PI29" s="273"/>
      <c r="PJ29" s="273"/>
      <c r="PK29" s="275"/>
      <c r="PL29" s="273"/>
      <c r="PM29" s="273"/>
      <c r="PN29" s="273"/>
      <c r="PO29" s="273"/>
      <c r="PP29" s="273"/>
      <c r="PQ29" s="275"/>
      <c r="PR29" s="273"/>
      <c r="PS29" s="273"/>
      <c r="PT29" s="273"/>
      <c r="PU29" s="273"/>
      <c r="PV29" s="273"/>
      <c r="PW29" s="277"/>
      <c r="PX29" s="273"/>
      <c r="PY29" s="273"/>
      <c r="PZ29" s="273"/>
      <c r="QA29" s="273"/>
      <c r="QB29" s="274"/>
      <c r="QC29" s="273"/>
      <c r="QD29" s="273"/>
      <c r="QE29" s="273"/>
      <c r="QF29" s="273"/>
      <c r="QG29" s="273"/>
      <c r="QH29" s="274"/>
      <c r="QI29" s="273"/>
      <c r="QJ29" s="273"/>
      <c r="QK29" s="273"/>
      <c r="QL29" s="273"/>
      <c r="QM29" s="273"/>
      <c r="QN29" s="273"/>
      <c r="QO29" s="275"/>
      <c r="QP29" s="273"/>
      <c r="QQ29" s="273"/>
      <c r="QR29" s="273"/>
      <c r="QS29" s="273"/>
      <c r="QT29" s="273"/>
      <c r="QU29" s="275"/>
      <c r="QV29" s="273"/>
      <c r="QW29" s="273"/>
      <c r="QX29" s="273"/>
      <c r="QY29" s="273"/>
      <c r="QZ29" s="273"/>
      <c r="RA29" s="275"/>
      <c r="RB29" s="273"/>
      <c r="RC29" s="273"/>
      <c r="RD29" s="273"/>
      <c r="RE29" s="273"/>
      <c r="RF29" s="273"/>
      <c r="RG29" s="275"/>
      <c r="RH29" s="273"/>
      <c r="RI29" s="273"/>
      <c r="RJ29" s="273"/>
      <c r="RK29" s="273"/>
      <c r="RL29" s="274"/>
      <c r="RM29" s="273"/>
      <c r="RN29" s="273"/>
      <c r="RO29" s="273"/>
      <c r="RP29" s="273"/>
      <c r="RQ29" s="273"/>
      <c r="RR29" s="273"/>
      <c r="RS29" s="275"/>
      <c r="RT29" s="273"/>
      <c r="RU29" s="273"/>
      <c r="RV29" s="273"/>
      <c r="RW29" s="273"/>
      <c r="RX29" s="274"/>
      <c r="RY29" s="275"/>
      <c r="RZ29" s="273"/>
      <c r="SA29" s="273"/>
      <c r="SB29" s="273"/>
      <c r="SC29" s="273"/>
      <c r="SD29" s="274"/>
      <c r="SE29" s="273"/>
      <c r="SF29" s="273"/>
      <c r="SG29" s="273"/>
      <c r="SH29" s="273"/>
      <c r="SI29" s="273"/>
      <c r="SJ29" s="273"/>
      <c r="SK29" s="275"/>
      <c r="SL29" s="273"/>
      <c r="SM29" s="273"/>
      <c r="SN29" s="273"/>
      <c r="SO29" s="273"/>
      <c r="SP29" s="276"/>
      <c r="SQ29" s="273"/>
      <c r="SR29" s="273"/>
      <c r="SS29" s="273"/>
      <c r="ST29" s="273"/>
      <c r="SU29" s="273"/>
      <c r="SV29" s="273"/>
      <c r="SW29" s="275"/>
      <c r="SX29" s="273"/>
      <c r="SY29" s="273"/>
      <c r="SZ29" s="273"/>
      <c r="TA29" s="273"/>
      <c r="TB29" s="273"/>
      <c r="TC29" s="275"/>
      <c r="TD29" s="273"/>
      <c r="TE29" s="273"/>
      <c r="TF29" s="273"/>
      <c r="TG29" s="273"/>
      <c r="TH29" s="274"/>
      <c r="TI29" s="273"/>
      <c r="TJ29" s="273"/>
      <c r="TK29" s="273"/>
      <c r="TL29" s="273"/>
      <c r="TM29" s="273"/>
      <c r="TN29" s="273"/>
      <c r="TO29" s="275"/>
      <c r="TP29" s="273"/>
      <c r="TQ29" s="273"/>
      <c r="TR29" s="273"/>
      <c r="TS29" s="273"/>
      <c r="TT29" s="273"/>
      <c r="TU29" s="275"/>
      <c r="TV29" s="273"/>
      <c r="TW29" s="273"/>
      <c r="TX29" s="273"/>
      <c r="TY29" s="273"/>
      <c r="TZ29" s="273"/>
      <c r="UA29" s="275"/>
      <c r="UB29" s="273"/>
      <c r="UC29" s="273"/>
      <c r="UD29" s="273"/>
      <c r="UE29" s="273"/>
      <c r="UF29" s="274"/>
      <c r="UG29" s="273"/>
      <c r="UH29" s="273"/>
      <c r="UI29" s="273"/>
      <c r="UJ29" s="273"/>
      <c r="UK29" s="273"/>
      <c r="UL29" s="273"/>
      <c r="UM29" s="275"/>
      <c r="UN29" s="273"/>
      <c r="UO29" s="273"/>
      <c r="UP29" s="273"/>
      <c r="UQ29" s="273"/>
      <c r="UR29" s="274"/>
      <c r="US29" s="275"/>
      <c r="UT29" s="273"/>
      <c r="UU29" s="273"/>
      <c r="UV29" s="273"/>
      <c r="UW29" s="273"/>
      <c r="UX29" s="274"/>
      <c r="UY29" s="273"/>
      <c r="UZ29" s="273"/>
      <c r="VA29" s="273"/>
      <c r="VB29" s="273"/>
      <c r="VC29" s="273"/>
      <c r="VD29" s="273"/>
      <c r="VE29" s="275"/>
      <c r="VF29" s="273"/>
      <c r="VG29" s="273"/>
      <c r="VH29" s="273"/>
      <c r="VI29" s="273"/>
      <c r="VJ29" s="276"/>
    </row>
    <row r="30" spans="3:582" s="52" customFormat="1" ht="39" customHeight="1" thickBot="1" x14ac:dyDescent="0.3">
      <c r="C30" s="539"/>
      <c r="D30" s="542"/>
      <c r="E30" s="542"/>
      <c r="F30" s="544"/>
      <c r="G30" s="555"/>
      <c r="H30" s="556"/>
      <c r="I30" s="556"/>
      <c r="J30" s="556"/>
      <c r="K30" s="556"/>
      <c r="L30" s="557"/>
      <c r="M30" s="563"/>
      <c r="N30" s="556"/>
      <c r="O30" s="556"/>
      <c r="P30" s="556"/>
      <c r="Q30" s="556"/>
      <c r="R30" s="557"/>
      <c r="S30" s="563"/>
      <c r="T30" s="556"/>
      <c r="U30" s="556"/>
      <c r="V30" s="556"/>
      <c r="W30" s="556"/>
      <c r="X30" s="557"/>
      <c r="Y30" s="564"/>
      <c r="Z30" s="564"/>
      <c r="AA30" s="564"/>
      <c r="AB30" s="564"/>
      <c r="AC30" s="564"/>
      <c r="AD30" s="564"/>
      <c r="AE30" s="565"/>
      <c r="AF30" s="566"/>
      <c r="AG30" s="566"/>
      <c r="AH30" s="566"/>
      <c r="AI30" s="566"/>
      <c r="AJ30" s="567"/>
      <c r="AK30" s="556"/>
      <c r="AL30" s="556"/>
      <c r="AM30" s="556"/>
      <c r="AN30" s="556"/>
      <c r="AO30" s="556"/>
      <c r="AP30" s="556"/>
      <c r="AQ30" s="568"/>
      <c r="AR30" s="569"/>
      <c r="AS30" s="569"/>
      <c r="AT30" s="569"/>
      <c r="AU30" s="569"/>
      <c r="AV30" s="570"/>
      <c r="AW30" s="556"/>
      <c r="AX30" s="556"/>
      <c r="AY30" s="556"/>
      <c r="AZ30" s="556"/>
      <c r="BA30" s="556"/>
      <c r="BB30" s="556"/>
      <c r="BC30" s="563"/>
      <c r="BD30" s="556"/>
      <c r="BE30" s="556"/>
      <c r="BF30" s="556"/>
      <c r="BG30" s="556"/>
      <c r="BH30" s="557"/>
      <c r="BI30" s="563"/>
      <c r="BJ30" s="556"/>
      <c r="BK30" s="556"/>
      <c r="BL30" s="556"/>
      <c r="BM30" s="556"/>
      <c r="BN30" s="557"/>
      <c r="BO30" s="556"/>
      <c r="BP30" s="556"/>
      <c r="BQ30" s="556"/>
      <c r="BR30" s="556"/>
      <c r="BS30" s="556"/>
      <c r="BT30" s="556"/>
      <c r="BU30" s="565"/>
      <c r="BV30" s="566"/>
      <c r="BW30" s="566"/>
      <c r="BX30" s="566"/>
      <c r="BY30" s="566"/>
      <c r="BZ30" s="566"/>
      <c r="CA30" s="584"/>
      <c r="CB30" s="566"/>
      <c r="CC30" s="566"/>
      <c r="CD30" s="566"/>
      <c r="CE30" s="566"/>
      <c r="CF30" s="567"/>
      <c r="CG30" s="563"/>
      <c r="CH30" s="556"/>
      <c r="CI30" s="556"/>
      <c r="CJ30" s="556"/>
      <c r="CK30" s="556"/>
      <c r="CL30" s="557"/>
      <c r="CM30" s="563"/>
      <c r="CN30" s="556"/>
      <c r="CO30" s="556"/>
      <c r="CP30" s="556"/>
      <c r="CQ30" s="556"/>
      <c r="CR30" s="557"/>
      <c r="CS30" s="564"/>
      <c r="CT30" s="564"/>
      <c r="CU30" s="564"/>
      <c r="CV30" s="564"/>
      <c r="CW30" s="564"/>
      <c r="CX30" s="564"/>
      <c r="CY30" s="565"/>
      <c r="CZ30" s="566"/>
      <c r="DA30" s="566"/>
      <c r="DB30" s="566"/>
      <c r="DC30" s="566"/>
      <c r="DD30" s="566"/>
      <c r="DE30" s="563"/>
      <c r="DF30" s="556"/>
      <c r="DG30" s="556"/>
      <c r="DH30" s="556"/>
      <c r="DI30" s="556"/>
      <c r="DJ30" s="557"/>
      <c r="DK30" s="568"/>
      <c r="DL30" s="569"/>
      <c r="DM30" s="569"/>
      <c r="DN30" s="569"/>
      <c r="DO30" s="569"/>
      <c r="DP30" s="570"/>
      <c r="DQ30" s="556"/>
      <c r="DR30" s="556"/>
      <c r="DS30" s="556"/>
      <c r="DT30" s="556"/>
      <c r="DU30" s="556"/>
      <c r="DV30" s="556"/>
      <c r="DW30" s="563"/>
      <c r="DX30" s="556"/>
      <c r="DY30" s="556"/>
      <c r="DZ30" s="556"/>
      <c r="EA30" s="556"/>
      <c r="EB30" s="557"/>
      <c r="EC30" s="563"/>
      <c r="ED30" s="556"/>
      <c r="EE30" s="556"/>
      <c r="EF30" s="556"/>
      <c r="EG30" s="556"/>
      <c r="EH30" s="557"/>
      <c r="EI30" s="556"/>
      <c r="EJ30" s="556"/>
      <c r="EK30" s="556"/>
      <c r="EL30" s="556"/>
      <c r="EM30" s="556"/>
      <c r="EN30" s="556"/>
      <c r="EO30" s="563"/>
      <c r="EP30" s="556"/>
      <c r="EQ30" s="556"/>
      <c r="ER30" s="556"/>
      <c r="ES30" s="556"/>
      <c r="ET30" s="571"/>
      <c r="EU30" s="565"/>
      <c r="EV30" s="566"/>
      <c r="EW30" s="566"/>
      <c r="EX30" s="566"/>
      <c r="EY30" s="566"/>
      <c r="EZ30" s="566"/>
      <c r="FA30" s="563"/>
      <c r="FB30" s="556"/>
      <c r="FC30" s="556"/>
      <c r="FD30" s="556"/>
      <c r="FE30" s="556"/>
      <c r="FF30" s="557"/>
      <c r="FG30" s="563"/>
      <c r="FH30" s="556"/>
      <c r="FI30" s="556"/>
      <c r="FJ30" s="556"/>
      <c r="FK30" s="556"/>
      <c r="FL30" s="557"/>
      <c r="FM30" s="564"/>
      <c r="FN30" s="564"/>
      <c r="FO30" s="564"/>
      <c r="FP30" s="564"/>
      <c r="FQ30" s="564"/>
      <c r="FR30" s="564"/>
      <c r="FS30" s="565"/>
      <c r="FT30" s="566"/>
      <c r="FU30" s="566"/>
      <c r="FV30" s="566"/>
      <c r="FW30" s="566"/>
      <c r="FX30" s="567"/>
      <c r="FY30" s="556"/>
      <c r="FZ30" s="556"/>
      <c r="GA30" s="556"/>
      <c r="GB30" s="556"/>
      <c r="GC30" s="556"/>
      <c r="GD30" s="556"/>
      <c r="GE30" s="568"/>
      <c r="GF30" s="569"/>
      <c r="GG30" s="569"/>
      <c r="GH30" s="569"/>
      <c r="GI30" s="569"/>
      <c r="GJ30" s="570"/>
      <c r="GK30" s="556"/>
      <c r="GL30" s="556"/>
      <c r="GM30" s="556"/>
      <c r="GN30" s="556"/>
      <c r="GO30" s="556"/>
      <c r="GP30" s="556"/>
      <c r="GQ30" s="563"/>
      <c r="GR30" s="556"/>
      <c r="GS30" s="556"/>
      <c r="GT30" s="556"/>
      <c r="GU30" s="556"/>
      <c r="GV30" s="557"/>
      <c r="GW30" s="563"/>
      <c r="GX30" s="556"/>
      <c r="GY30" s="556"/>
      <c r="GZ30" s="556"/>
      <c r="HA30" s="556"/>
      <c r="HB30" s="557"/>
      <c r="HC30" s="556"/>
      <c r="HD30" s="556"/>
      <c r="HE30" s="556"/>
      <c r="HF30" s="556"/>
      <c r="HG30" s="556"/>
      <c r="HH30" s="556"/>
      <c r="HI30" s="563"/>
      <c r="HJ30" s="556"/>
      <c r="HK30" s="556"/>
      <c r="HL30" s="556"/>
      <c r="HM30" s="556"/>
      <c r="HN30" s="571"/>
      <c r="HO30" s="565"/>
      <c r="HP30" s="566"/>
      <c r="HQ30" s="566"/>
      <c r="HR30" s="566"/>
      <c r="HS30" s="566"/>
      <c r="HT30" s="566"/>
      <c r="HU30" s="563"/>
      <c r="HV30" s="556"/>
      <c r="HW30" s="556"/>
      <c r="HX30" s="556"/>
      <c r="HY30" s="556"/>
      <c r="HZ30" s="557"/>
      <c r="IA30" s="563"/>
      <c r="IB30" s="556"/>
      <c r="IC30" s="556"/>
      <c r="ID30" s="556"/>
      <c r="IE30" s="556"/>
      <c r="IF30" s="557"/>
      <c r="IG30" s="564"/>
      <c r="IH30" s="564"/>
      <c r="II30" s="564"/>
      <c r="IJ30" s="564"/>
      <c r="IK30" s="564"/>
      <c r="IL30" s="564"/>
      <c r="IM30" s="565"/>
      <c r="IN30" s="566"/>
      <c r="IO30" s="566"/>
      <c r="IP30" s="566"/>
      <c r="IQ30" s="566"/>
      <c r="IR30" s="567"/>
      <c r="IS30" s="556"/>
      <c r="IT30" s="556"/>
      <c r="IU30" s="556"/>
      <c r="IV30" s="556"/>
      <c r="IW30" s="556"/>
      <c r="IX30" s="556"/>
      <c r="IY30" s="568"/>
      <c r="IZ30" s="569"/>
      <c r="JA30" s="569"/>
      <c r="JB30" s="569"/>
      <c r="JC30" s="569"/>
      <c r="JD30" s="570"/>
      <c r="JE30" s="556"/>
      <c r="JF30" s="556"/>
      <c r="JG30" s="556"/>
      <c r="JH30" s="556"/>
      <c r="JI30" s="556"/>
      <c r="JJ30" s="556"/>
      <c r="JK30" s="563"/>
      <c r="JL30" s="556"/>
      <c r="JM30" s="556"/>
      <c r="JN30" s="556"/>
      <c r="JO30" s="556"/>
      <c r="JP30" s="557"/>
      <c r="JQ30" s="563"/>
      <c r="JR30" s="556"/>
      <c r="JS30" s="556"/>
      <c r="JT30" s="556"/>
      <c r="JU30" s="556"/>
      <c r="JV30" s="557"/>
      <c r="JW30" s="556"/>
      <c r="JX30" s="556"/>
      <c r="JY30" s="556"/>
      <c r="JZ30" s="556"/>
      <c r="KA30" s="556"/>
      <c r="KB30" s="556"/>
      <c r="KC30" s="563"/>
      <c r="KD30" s="556"/>
      <c r="KE30" s="556"/>
      <c r="KF30" s="556"/>
      <c r="KG30" s="556"/>
      <c r="KH30" s="571"/>
      <c r="KI30" s="565"/>
      <c r="KJ30" s="566"/>
      <c r="KK30" s="566"/>
      <c r="KL30" s="566"/>
      <c r="KM30" s="566"/>
      <c r="KN30" s="566"/>
      <c r="KO30" s="563"/>
      <c r="KP30" s="556"/>
      <c r="KQ30" s="556"/>
      <c r="KR30" s="556"/>
      <c r="KS30" s="556"/>
      <c r="KT30" s="557"/>
      <c r="KU30" s="563"/>
      <c r="KV30" s="556"/>
      <c r="KW30" s="556"/>
      <c r="KX30" s="556"/>
      <c r="KY30" s="556"/>
      <c r="KZ30" s="557"/>
      <c r="LA30" s="564"/>
      <c r="LB30" s="564"/>
      <c r="LC30" s="564"/>
      <c r="LD30" s="564"/>
      <c r="LE30" s="564"/>
      <c r="LF30" s="564"/>
      <c r="LG30" s="565"/>
      <c r="LH30" s="566"/>
      <c r="LI30" s="566"/>
      <c r="LJ30" s="566"/>
      <c r="LK30" s="566"/>
      <c r="LL30" s="567"/>
      <c r="LM30" s="556"/>
      <c r="LN30" s="556"/>
      <c r="LO30" s="556"/>
      <c r="LP30" s="556"/>
      <c r="LQ30" s="556"/>
      <c r="LR30" s="556"/>
      <c r="LS30" s="568"/>
      <c r="LT30" s="569"/>
      <c r="LU30" s="569"/>
      <c r="LV30" s="569"/>
      <c r="LW30" s="569"/>
      <c r="LX30" s="570"/>
      <c r="LY30" s="556"/>
      <c r="LZ30" s="556"/>
      <c r="MA30" s="556"/>
      <c r="MB30" s="556"/>
      <c r="MC30" s="556"/>
      <c r="MD30" s="556"/>
      <c r="ME30" s="563"/>
      <c r="MF30" s="556"/>
      <c r="MG30" s="556"/>
      <c r="MH30" s="556"/>
      <c r="MI30" s="556"/>
      <c r="MJ30" s="557"/>
      <c r="MK30" s="563"/>
      <c r="ML30" s="556"/>
      <c r="MM30" s="556"/>
      <c r="MN30" s="556"/>
      <c r="MO30" s="556"/>
      <c r="MP30" s="557"/>
      <c r="MQ30" s="556"/>
      <c r="MR30" s="556"/>
      <c r="MS30" s="556"/>
      <c r="MT30" s="556"/>
      <c r="MU30" s="556"/>
      <c r="MV30" s="556"/>
      <c r="MW30" s="563"/>
      <c r="MX30" s="556"/>
      <c r="MY30" s="556"/>
      <c r="MZ30" s="556"/>
      <c r="NA30" s="556"/>
      <c r="NB30" s="571"/>
      <c r="NC30" s="565"/>
      <c r="ND30" s="566"/>
      <c r="NE30" s="566"/>
      <c r="NF30" s="566"/>
      <c r="NG30" s="566"/>
      <c r="NH30" s="566"/>
      <c r="NI30" s="563"/>
      <c r="NJ30" s="556"/>
      <c r="NK30" s="556"/>
      <c r="NL30" s="556"/>
      <c r="NM30" s="556"/>
      <c r="NN30" s="557"/>
      <c r="NO30" s="563"/>
      <c r="NP30" s="556"/>
      <c r="NQ30" s="556"/>
      <c r="NR30" s="556"/>
      <c r="NS30" s="556"/>
      <c r="NT30" s="557"/>
      <c r="NU30" s="564"/>
      <c r="NV30" s="564"/>
      <c r="NW30" s="564"/>
      <c r="NX30" s="564"/>
      <c r="NY30" s="564"/>
      <c r="NZ30" s="564"/>
      <c r="OA30" s="565"/>
      <c r="OB30" s="566"/>
      <c r="OC30" s="566"/>
      <c r="OD30" s="566"/>
      <c r="OE30" s="566"/>
      <c r="OF30" s="567"/>
      <c r="OG30" s="565"/>
      <c r="OH30" s="566"/>
      <c r="OI30" s="566"/>
      <c r="OJ30" s="566"/>
      <c r="OK30" s="566"/>
      <c r="OL30" s="567"/>
      <c r="OM30" s="566"/>
      <c r="ON30" s="566"/>
      <c r="OO30" s="566"/>
      <c r="OP30" s="566"/>
      <c r="OQ30" s="566"/>
      <c r="OR30" s="567"/>
      <c r="OS30" s="556"/>
      <c r="OT30" s="556"/>
      <c r="OU30" s="556"/>
      <c r="OV30" s="556"/>
      <c r="OW30" s="556"/>
      <c r="OX30" s="556"/>
      <c r="OY30" s="563"/>
      <c r="OZ30" s="556"/>
      <c r="PA30" s="556"/>
      <c r="PB30" s="556"/>
      <c r="PC30" s="556"/>
      <c r="PD30" s="557"/>
      <c r="PE30" s="563"/>
      <c r="PF30" s="556"/>
      <c r="PG30" s="556"/>
      <c r="PH30" s="556"/>
      <c r="PI30" s="556"/>
      <c r="PJ30" s="557"/>
      <c r="PK30" s="556"/>
      <c r="PL30" s="556"/>
      <c r="PM30" s="556"/>
      <c r="PN30" s="556"/>
      <c r="PO30" s="556"/>
      <c r="PP30" s="556"/>
      <c r="PQ30" s="563"/>
      <c r="PR30" s="556"/>
      <c r="PS30" s="556"/>
      <c r="PT30" s="556"/>
      <c r="PU30" s="556"/>
      <c r="PV30" s="571"/>
      <c r="PW30" s="565"/>
      <c r="PX30" s="566"/>
      <c r="PY30" s="566"/>
      <c r="PZ30" s="566"/>
      <c r="QA30" s="566"/>
      <c r="QB30" s="566"/>
      <c r="QC30" s="563"/>
      <c r="QD30" s="556"/>
      <c r="QE30" s="556"/>
      <c r="QF30" s="556"/>
      <c r="QG30" s="556"/>
      <c r="QH30" s="557"/>
      <c r="QI30" s="563"/>
      <c r="QJ30" s="556"/>
      <c r="QK30" s="556"/>
      <c r="QL30" s="556"/>
      <c r="QM30" s="556"/>
      <c r="QN30" s="557"/>
      <c r="QO30" s="564"/>
      <c r="QP30" s="564"/>
      <c r="QQ30" s="564"/>
      <c r="QR30" s="564"/>
      <c r="QS30" s="564"/>
      <c r="QT30" s="564"/>
      <c r="QU30" s="565"/>
      <c r="QV30" s="566"/>
      <c r="QW30" s="566"/>
      <c r="QX30" s="566"/>
      <c r="QY30" s="566"/>
      <c r="QZ30" s="567"/>
      <c r="RA30" s="565"/>
      <c r="RB30" s="566"/>
      <c r="RC30" s="566"/>
      <c r="RD30" s="566"/>
      <c r="RE30" s="566"/>
      <c r="RF30" s="566"/>
      <c r="RG30" s="565"/>
      <c r="RH30" s="566"/>
      <c r="RI30" s="566"/>
      <c r="RJ30" s="566"/>
      <c r="RK30" s="566"/>
      <c r="RL30" s="566"/>
      <c r="RM30" s="556"/>
      <c r="RN30" s="556"/>
      <c r="RO30" s="556"/>
      <c r="RP30" s="556"/>
      <c r="RQ30" s="556"/>
      <c r="RR30" s="556"/>
      <c r="RS30" s="563"/>
      <c r="RT30" s="556"/>
      <c r="RU30" s="556"/>
      <c r="RV30" s="556"/>
      <c r="RW30" s="556"/>
      <c r="RX30" s="557"/>
      <c r="RY30" s="563"/>
      <c r="RZ30" s="556"/>
      <c r="SA30" s="556"/>
      <c r="SB30" s="556"/>
      <c r="SC30" s="556"/>
      <c r="SD30" s="557"/>
      <c r="SE30" s="556"/>
      <c r="SF30" s="556"/>
      <c r="SG30" s="556"/>
      <c r="SH30" s="556"/>
      <c r="SI30" s="556"/>
      <c r="SJ30" s="556"/>
      <c r="SK30" s="563"/>
      <c r="SL30" s="556"/>
      <c r="SM30" s="556"/>
      <c r="SN30" s="556"/>
      <c r="SO30" s="556"/>
      <c r="SP30" s="571"/>
      <c r="SQ30" s="565"/>
      <c r="SR30" s="566"/>
      <c r="SS30" s="566"/>
      <c r="ST30" s="566"/>
      <c r="SU30" s="566"/>
      <c r="SV30" s="566"/>
      <c r="SW30" s="563"/>
      <c r="SX30" s="556"/>
      <c r="SY30" s="556"/>
      <c r="SZ30" s="556"/>
      <c r="TA30" s="556"/>
      <c r="TB30" s="557"/>
      <c r="TC30" s="563"/>
      <c r="TD30" s="556"/>
      <c r="TE30" s="556"/>
      <c r="TF30" s="556"/>
      <c r="TG30" s="556"/>
      <c r="TH30" s="557"/>
      <c r="TI30" s="564"/>
      <c r="TJ30" s="564"/>
      <c r="TK30" s="564"/>
      <c r="TL30" s="564"/>
      <c r="TM30" s="564"/>
      <c r="TN30" s="564"/>
      <c r="TO30" s="565"/>
      <c r="TP30" s="566"/>
      <c r="TQ30" s="566"/>
      <c r="TR30" s="566"/>
      <c r="TS30" s="566"/>
      <c r="TT30" s="567"/>
      <c r="TU30" s="565"/>
      <c r="TV30" s="566"/>
      <c r="TW30" s="566"/>
      <c r="TX30" s="566"/>
      <c r="TY30" s="566"/>
      <c r="TZ30" s="566"/>
      <c r="UA30" s="568"/>
      <c r="UB30" s="569"/>
      <c r="UC30" s="569"/>
      <c r="UD30" s="569"/>
      <c r="UE30" s="569"/>
      <c r="UF30" s="570"/>
      <c r="UG30" s="556"/>
      <c r="UH30" s="556"/>
      <c r="UI30" s="556"/>
      <c r="UJ30" s="556"/>
      <c r="UK30" s="556"/>
      <c r="UL30" s="556"/>
      <c r="UM30" s="563"/>
      <c r="UN30" s="556"/>
      <c r="UO30" s="556"/>
      <c r="UP30" s="556"/>
      <c r="UQ30" s="556"/>
      <c r="UR30" s="557"/>
      <c r="US30" s="563"/>
      <c r="UT30" s="556"/>
      <c r="UU30" s="556"/>
      <c r="UV30" s="556"/>
      <c r="UW30" s="556"/>
      <c r="UX30" s="557"/>
      <c r="UY30" s="556"/>
      <c r="UZ30" s="556"/>
      <c r="VA30" s="556"/>
      <c r="VB30" s="556"/>
      <c r="VC30" s="556"/>
      <c r="VD30" s="556"/>
      <c r="VE30" s="563"/>
      <c r="VF30" s="556"/>
      <c r="VG30" s="556"/>
      <c r="VH30" s="556"/>
      <c r="VI30" s="556"/>
      <c r="VJ30" s="571"/>
    </row>
    <row r="31" spans="3:582" s="52" customFormat="1" ht="12.75" customHeight="1" x14ac:dyDescent="0.25">
      <c r="C31" s="538"/>
      <c r="D31" s="540">
        <v>2</v>
      </c>
      <c r="E31" s="540"/>
      <c r="F31" s="543"/>
      <c r="G31" s="545"/>
      <c r="H31" s="546"/>
      <c r="I31" s="546"/>
      <c r="J31" s="546"/>
      <c r="K31" s="546"/>
      <c r="L31" s="547"/>
      <c r="M31" s="548"/>
      <c r="N31" s="546"/>
      <c r="O31" s="546"/>
      <c r="P31" s="546"/>
      <c r="Q31" s="546"/>
      <c r="R31" s="547"/>
      <c r="S31" s="548"/>
      <c r="T31" s="546"/>
      <c r="U31" s="546"/>
      <c r="V31" s="546"/>
      <c r="W31" s="546"/>
      <c r="X31" s="547"/>
      <c r="Y31" s="546"/>
      <c r="Z31" s="546"/>
      <c r="AA31" s="546"/>
      <c r="AB31" s="546"/>
      <c r="AC31" s="546"/>
      <c r="AD31" s="546"/>
      <c r="AE31" s="548"/>
      <c r="AF31" s="546"/>
      <c r="AG31" s="546"/>
      <c r="AH31" s="546"/>
      <c r="AI31" s="546"/>
      <c r="AJ31" s="547"/>
      <c r="AK31" s="546"/>
      <c r="AL31" s="546"/>
      <c r="AM31" s="546"/>
      <c r="AN31" s="546"/>
      <c r="AO31" s="546"/>
      <c r="AP31" s="546"/>
      <c r="AQ31" s="548"/>
      <c r="AR31" s="546"/>
      <c r="AS31" s="546"/>
      <c r="AT31" s="546"/>
      <c r="AU31" s="546"/>
      <c r="AV31" s="547"/>
      <c r="AW31" s="546"/>
      <c r="AX31" s="546"/>
      <c r="AY31" s="546"/>
      <c r="AZ31" s="546"/>
      <c r="BA31" s="546"/>
      <c r="BB31" s="546"/>
      <c r="BC31" s="548"/>
      <c r="BD31" s="546"/>
      <c r="BE31" s="546"/>
      <c r="BF31" s="546"/>
      <c r="BG31" s="546"/>
      <c r="BH31" s="547"/>
      <c r="BI31" s="548"/>
      <c r="BJ31" s="546"/>
      <c r="BK31" s="546"/>
      <c r="BL31" s="546"/>
      <c r="BM31" s="546"/>
      <c r="BN31" s="547"/>
      <c r="BO31" s="546"/>
      <c r="BP31" s="546"/>
      <c r="BQ31" s="546"/>
      <c r="BR31" s="546"/>
      <c r="BS31" s="546"/>
      <c r="BT31" s="546"/>
      <c r="BU31" s="548"/>
      <c r="BV31" s="546"/>
      <c r="BW31" s="546"/>
      <c r="BX31" s="546"/>
      <c r="BY31" s="546"/>
      <c r="BZ31" s="549"/>
      <c r="CA31" s="545"/>
      <c r="CB31" s="546"/>
      <c r="CC31" s="546"/>
      <c r="CD31" s="546"/>
      <c r="CE31" s="546"/>
      <c r="CF31" s="547"/>
      <c r="CG31" s="548"/>
      <c r="CH31" s="546"/>
      <c r="CI31" s="546"/>
      <c r="CJ31" s="546"/>
      <c r="CK31" s="546"/>
      <c r="CL31" s="547"/>
      <c r="CM31" s="548"/>
      <c r="CN31" s="546"/>
      <c r="CO31" s="546"/>
      <c r="CP31" s="546"/>
      <c r="CQ31" s="546"/>
      <c r="CR31" s="547"/>
      <c r="CS31" s="546"/>
      <c r="CT31" s="546"/>
      <c r="CU31" s="546"/>
      <c r="CV31" s="546"/>
      <c r="CW31" s="546"/>
      <c r="CX31" s="546"/>
      <c r="CY31" s="548"/>
      <c r="CZ31" s="546"/>
      <c r="DA31" s="546"/>
      <c r="DB31" s="546"/>
      <c r="DC31" s="546"/>
      <c r="DD31" s="547"/>
      <c r="DE31" s="546"/>
      <c r="DF31" s="546"/>
      <c r="DG31" s="546"/>
      <c r="DH31" s="546"/>
      <c r="DI31" s="546"/>
      <c r="DJ31" s="546"/>
      <c r="DK31" s="548"/>
      <c r="DL31" s="546"/>
      <c r="DM31" s="546"/>
      <c r="DN31" s="546"/>
      <c r="DO31" s="546"/>
      <c r="DP31" s="547"/>
      <c r="DQ31" s="546"/>
      <c r="DR31" s="546"/>
      <c r="DS31" s="546"/>
      <c r="DT31" s="546"/>
      <c r="DU31" s="546"/>
      <c r="DV31" s="546"/>
      <c r="DW31" s="548"/>
      <c r="DX31" s="546"/>
      <c r="DY31" s="546"/>
      <c r="DZ31" s="546"/>
      <c r="EA31" s="546"/>
      <c r="EB31" s="547"/>
      <c r="EC31" s="548"/>
      <c r="ED31" s="546"/>
      <c r="EE31" s="546"/>
      <c r="EF31" s="546"/>
      <c r="EG31" s="546"/>
      <c r="EH31" s="547"/>
      <c r="EI31" s="546"/>
      <c r="EJ31" s="546"/>
      <c r="EK31" s="546"/>
      <c r="EL31" s="546"/>
      <c r="EM31" s="546"/>
      <c r="EN31" s="546"/>
      <c r="EO31" s="548"/>
      <c r="EP31" s="546"/>
      <c r="EQ31" s="546"/>
      <c r="ER31" s="546"/>
      <c r="ES31" s="546"/>
      <c r="ET31" s="549"/>
      <c r="EU31" s="545"/>
      <c r="EV31" s="546"/>
      <c r="EW31" s="546"/>
      <c r="EX31" s="546"/>
      <c r="EY31" s="546"/>
      <c r="EZ31" s="547"/>
      <c r="FA31" s="548"/>
      <c r="FB31" s="546"/>
      <c r="FC31" s="546"/>
      <c r="FD31" s="546"/>
      <c r="FE31" s="546"/>
      <c r="FF31" s="547"/>
      <c r="FG31" s="548"/>
      <c r="FH31" s="546"/>
      <c r="FI31" s="546"/>
      <c r="FJ31" s="546"/>
      <c r="FK31" s="546"/>
      <c r="FL31" s="547"/>
      <c r="FM31" s="546"/>
      <c r="FN31" s="546"/>
      <c r="FO31" s="546"/>
      <c r="FP31" s="546"/>
      <c r="FQ31" s="546"/>
      <c r="FR31" s="546"/>
      <c r="FS31" s="548"/>
      <c r="FT31" s="546"/>
      <c r="FU31" s="546"/>
      <c r="FV31" s="546"/>
      <c r="FW31" s="546"/>
      <c r="FX31" s="547"/>
      <c r="FY31" s="546"/>
      <c r="FZ31" s="546"/>
      <c r="GA31" s="546"/>
      <c r="GB31" s="546"/>
      <c r="GC31" s="546"/>
      <c r="GD31" s="546"/>
      <c r="GE31" s="548"/>
      <c r="GF31" s="546"/>
      <c r="GG31" s="546"/>
      <c r="GH31" s="546"/>
      <c r="GI31" s="546"/>
      <c r="GJ31" s="547"/>
      <c r="GK31" s="546"/>
      <c r="GL31" s="546"/>
      <c r="GM31" s="546"/>
      <c r="GN31" s="546"/>
      <c r="GO31" s="546"/>
      <c r="GP31" s="546"/>
      <c r="GQ31" s="548"/>
      <c r="GR31" s="546"/>
      <c r="GS31" s="546"/>
      <c r="GT31" s="546"/>
      <c r="GU31" s="546"/>
      <c r="GV31" s="547"/>
      <c r="GW31" s="548"/>
      <c r="GX31" s="546"/>
      <c r="GY31" s="546"/>
      <c r="GZ31" s="546"/>
      <c r="HA31" s="546"/>
      <c r="HB31" s="547"/>
      <c r="HC31" s="546"/>
      <c r="HD31" s="546"/>
      <c r="HE31" s="546"/>
      <c r="HF31" s="546"/>
      <c r="HG31" s="546"/>
      <c r="HH31" s="546"/>
      <c r="HI31" s="548"/>
      <c r="HJ31" s="546"/>
      <c r="HK31" s="546"/>
      <c r="HL31" s="546"/>
      <c r="HM31" s="546"/>
      <c r="HN31" s="549"/>
      <c r="HO31" s="545"/>
      <c r="HP31" s="546"/>
      <c r="HQ31" s="546"/>
      <c r="HR31" s="546"/>
      <c r="HS31" s="546"/>
      <c r="HT31" s="547"/>
      <c r="HU31" s="548"/>
      <c r="HV31" s="546"/>
      <c r="HW31" s="546"/>
      <c r="HX31" s="546"/>
      <c r="HY31" s="546"/>
      <c r="HZ31" s="547"/>
      <c r="IA31" s="548"/>
      <c r="IB31" s="546"/>
      <c r="IC31" s="546"/>
      <c r="ID31" s="546"/>
      <c r="IE31" s="546"/>
      <c r="IF31" s="547"/>
      <c r="IG31" s="546"/>
      <c r="IH31" s="546"/>
      <c r="II31" s="546"/>
      <c r="IJ31" s="546"/>
      <c r="IK31" s="546"/>
      <c r="IL31" s="546"/>
      <c r="IM31" s="548"/>
      <c r="IN31" s="546"/>
      <c r="IO31" s="546"/>
      <c r="IP31" s="546"/>
      <c r="IQ31" s="546"/>
      <c r="IR31" s="547"/>
      <c r="IS31" s="546"/>
      <c r="IT31" s="546"/>
      <c r="IU31" s="546"/>
      <c r="IV31" s="546"/>
      <c r="IW31" s="546"/>
      <c r="IX31" s="546"/>
      <c r="IY31" s="548"/>
      <c r="IZ31" s="546"/>
      <c r="JA31" s="546"/>
      <c r="JB31" s="546"/>
      <c r="JC31" s="546"/>
      <c r="JD31" s="547"/>
      <c r="JE31" s="546"/>
      <c r="JF31" s="546"/>
      <c r="JG31" s="546"/>
      <c r="JH31" s="546"/>
      <c r="JI31" s="546"/>
      <c r="JJ31" s="546"/>
      <c r="JK31" s="548"/>
      <c r="JL31" s="546"/>
      <c r="JM31" s="546"/>
      <c r="JN31" s="546"/>
      <c r="JO31" s="546"/>
      <c r="JP31" s="547"/>
      <c r="JQ31" s="548"/>
      <c r="JR31" s="546"/>
      <c r="JS31" s="546"/>
      <c r="JT31" s="546"/>
      <c r="JU31" s="546"/>
      <c r="JV31" s="547"/>
      <c r="JW31" s="546"/>
      <c r="JX31" s="546"/>
      <c r="JY31" s="546"/>
      <c r="JZ31" s="546"/>
      <c r="KA31" s="546"/>
      <c r="KB31" s="546"/>
      <c r="KC31" s="548"/>
      <c r="KD31" s="546"/>
      <c r="KE31" s="546"/>
      <c r="KF31" s="546"/>
      <c r="KG31" s="546"/>
      <c r="KH31" s="549"/>
      <c r="KI31" s="545"/>
      <c r="KJ31" s="546"/>
      <c r="KK31" s="546"/>
      <c r="KL31" s="546"/>
      <c r="KM31" s="546"/>
      <c r="KN31" s="547"/>
      <c r="KO31" s="548"/>
      <c r="KP31" s="546"/>
      <c r="KQ31" s="546"/>
      <c r="KR31" s="546"/>
      <c r="KS31" s="546"/>
      <c r="KT31" s="547"/>
      <c r="KU31" s="548"/>
      <c r="KV31" s="546"/>
      <c r="KW31" s="546"/>
      <c r="KX31" s="546"/>
      <c r="KY31" s="546"/>
      <c r="KZ31" s="547"/>
      <c r="LA31" s="546"/>
      <c r="LB31" s="546"/>
      <c r="LC31" s="546"/>
      <c r="LD31" s="546"/>
      <c r="LE31" s="546"/>
      <c r="LF31" s="546"/>
      <c r="LG31" s="548"/>
      <c r="LH31" s="546"/>
      <c r="LI31" s="546"/>
      <c r="LJ31" s="546"/>
      <c r="LK31" s="546"/>
      <c r="LL31" s="547"/>
      <c r="LM31" s="546"/>
      <c r="LN31" s="546"/>
      <c r="LO31" s="546"/>
      <c r="LP31" s="546"/>
      <c r="LQ31" s="546"/>
      <c r="LR31" s="546"/>
      <c r="LS31" s="548"/>
      <c r="LT31" s="546"/>
      <c r="LU31" s="546"/>
      <c r="LV31" s="546"/>
      <c r="LW31" s="546"/>
      <c r="LX31" s="547"/>
      <c r="LY31" s="546"/>
      <c r="LZ31" s="546"/>
      <c r="MA31" s="546"/>
      <c r="MB31" s="546"/>
      <c r="MC31" s="546"/>
      <c r="MD31" s="546"/>
      <c r="ME31" s="548"/>
      <c r="MF31" s="546"/>
      <c r="MG31" s="546"/>
      <c r="MH31" s="546"/>
      <c r="MI31" s="546"/>
      <c r="MJ31" s="547"/>
      <c r="MK31" s="548"/>
      <c r="ML31" s="546"/>
      <c r="MM31" s="546"/>
      <c r="MN31" s="546"/>
      <c r="MO31" s="546"/>
      <c r="MP31" s="547"/>
      <c r="MQ31" s="546"/>
      <c r="MR31" s="546"/>
      <c r="MS31" s="546"/>
      <c r="MT31" s="546"/>
      <c r="MU31" s="546"/>
      <c r="MV31" s="546"/>
      <c r="MW31" s="548"/>
      <c r="MX31" s="546"/>
      <c r="MY31" s="546"/>
      <c r="MZ31" s="546"/>
      <c r="NA31" s="546"/>
      <c r="NB31" s="549"/>
      <c r="NC31" s="545"/>
      <c r="ND31" s="546"/>
      <c r="NE31" s="546"/>
      <c r="NF31" s="546"/>
      <c r="NG31" s="546"/>
      <c r="NH31" s="547"/>
      <c r="NI31" s="548"/>
      <c r="NJ31" s="546"/>
      <c r="NK31" s="546"/>
      <c r="NL31" s="546"/>
      <c r="NM31" s="546"/>
      <c r="NN31" s="547"/>
      <c r="NO31" s="548"/>
      <c r="NP31" s="546"/>
      <c r="NQ31" s="546"/>
      <c r="NR31" s="546"/>
      <c r="NS31" s="546"/>
      <c r="NT31" s="547"/>
      <c r="NU31" s="546"/>
      <c r="NV31" s="546"/>
      <c r="NW31" s="546"/>
      <c r="NX31" s="546"/>
      <c r="NY31" s="546"/>
      <c r="NZ31" s="546"/>
      <c r="OA31" s="548"/>
      <c r="OB31" s="546"/>
      <c r="OC31" s="546"/>
      <c r="OD31" s="546"/>
      <c r="OE31" s="546"/>
      <c r="OF31" s="547"/>
      <c r="OG31" s="546"/>
      <c r="OH31" s="546"/>
      <c r="OI31" s="546"/>
      <c r="OJ31" s="546"/>
      <c r="OK31" s="546"/>
      <c r="OL31" s="546"/>
      <c r="OM31" s="548"/>
      <c r="ON31" s="546"/>
      <c r="OO31" s="546"/>
      <c r="OP31" s="546"/>
      <c r="OQ31" s="546"/>
      <c r="OR31" s="547"/>
      <c r="OS31" s="546"/>
      <c r="OT31" s="546"/>
      <c r="OU31" s="546"/>
      <c r="OV31" s="546"/>
      <c r="OW31" s="546"/>
      <c r="OX31" s="546"/>
      <c r="OY31" s="548"/>
      <c r="OZ31" s="546"/>
      <c r="PA31" s="546"/>
      <c r="PB31" s="546"/>
      <c r="PC31" s="546"/>
      <c r="PD31" s="547"/>
      <c r="PE31" s="548"/>
      <c r="PF31" s="546"/>
      <c r="PG31" s="546"/>
      <c r="PH31" s="546"/>
      <c r="PI31" s="546"/>
      <c r="PJ31" s="547"/>
      <c r="PK31" s="546"/>
      <c r="PL31" s="546"/>
      <c r="PM31" s="546"/>
      <c r="PN31" s="546"/>
      <c r="PO31" s="546"/>
      <c r="PP31" s="546"/>
      <c r="PQ31" s="548"/>
      <c r="PR31" s="546"/>
      <c r="PS31" s="546"/>
      <c r="PT31" s="546"/>
      <c r="PU31" s="546"/>
      <c r="PV31" s="549"/>
      <c r="PW31" s="545"/>
      <c r="PX31" s="546"/>
      <c r="PY31" s="546"/>
      <c r="PZ31" s="546"/>
      <c r="QA31" s="546"/>
      <c r="QB31" s="547"/>
      <c r="QC31" s="548"/>
      <c r="QD31" s="546"/>
      <c r="QE31" s="546"/>
      <c r="QF31" s="546"/>
      <c r="QG31" s="546"/>
      <c r="QH31" s="547"/>
      <c r="QI31" s="548"/>
      <c r="QJ31" s="546"/>
      <c r="QK31" s="546"/>
      <c r="QL31" s="546"/>
      <c r="QM31" s="546"/>
      <c r="QN31" s="547"/>
      <c r="QO31" s="546"/>
      <c r="QP31" s="546"/>
      <c r="QQ31" s="546"/>
      <c r="QR31" s="546"/>
      <c r="QS31" s="546"/>
      <c r="QT31" s="546"/>
      <c r="QU31" s="548"/>
      <c r="QV31" s="546"/>
      <c r="QW31" s="546"/>
      <c r="QX31" s="546"/>
      <c r="QY31" s="546"/>
      <c r="QZ31" s="547"/>
      <c r="RA31" s="546"/>
      <c r="RB31" s="546"/>
      <c r="RC31" s="546"/>
      <c r="RD31" s="546"/>
      <c r="RE31" s="546"/>
      <c r="RF31" s="546"/>
      <c r="RG31" s="548"/>
      <c r="RH31" s="546"/>
      <c r="RI31" s="546"/>
      <c r="RJ31" s="546"/>
      <c r="RK31" s="546"/>
      <c r="RL31" s="547"/>
      <c r="RM31" s="546"/>
      <c r="RN31" s="546"/>
      <c r="RO31" s="546"/>
      <c r="RP31" s="546"/>
      <c r="RQ31" s="546"/>
      <c r="RR31" s="546"/>
      <c r="RS31" s="548"/>
      <c r="RT31" s="546"/>
      <c r="RU31" s="546"/>
      <c r="RV31" s="546"/>
      <c r="RW31" s="546"/>
      <c r="RX31" s="547"/>
      <c r="RY31" s="548"/>
      <c r="RZ31" s="546"/>
      <c r="SA31" s="546"/>
      <c r="SB31" s="546"/>
      <c r="SC31" s="546"/>
      <c r="SD31" s="547"/>
      <c r="SE31" s="546"/>
      <c r="SF31" s="546"/>
      <c r="SG31" s="546"/>
      <c r="SH31" s="546"/>
      <c r="SI31" s="546"/>
      <c r="SJ31" s="546"/>
      <c r="SK31" s="548"/>
      <c r="SL31" s="546"/>
      <c r="SM31" s="546"/>
      <c r="SN31" s="546"/>
      <c r="SO31" s="546"/>
      <c r="SP31" s="549"/>
      <c r="SQ31" s="545"/>
      <c r="SR31" s="546"/>
      <c r="SS31" s="546"/>
      <c r="ST31" s="546"/>
      <c r="SU31" s="546"/>
      <c r="SV31" s="547"/>
      <c r="SW31" s="548"/>
      <c r="SX31" s="546"/>
      <c r="SY31" s="546"/>
      <c r="SZ31" s="546"/>
      <c r="TA31" s="546"/>
      <c r="TB31" s="547"/>
      <c r="TC31" s="548"/>
      <c r="TD31" s="546"/>
      <c r="TE31" s="546"/>
      <c r="TF31" s="546"/>
      <c r="TG31" s="546"/>
      <c r="TH31" s="547"/>
      <c r="TI31" s="548"/>
      <c r="TJ31" s="546"/>
      <c r="TK31" s="546"/>
      <c r="TL31" s="546"/>
      <c r="TM31" s="546"/>
      <c r="TN31" s="547"/>
      <c r="TO31" s="548"/>
      <c r="TP31" s="546"/>
      <c r="TQ31" s="546"/>
      <c r="TR31" s="546"/>
      <c r="TS31" s="546"/>
      <c r="TT31" s="547"/>
      <c r="TU31" s="546"/>
      <c r="TV31" s="546"/>
      <c r="TW31" s="546"/>
      <c r="TX31" s="546"/>
      <c r="TY31" s="546"/>
      <c r="TZ31" s="546"/>
      <c r="UA31" s="548"/>
      <c r="UB31" s="546"/>
      <c r="UC31" s="546"/>
      <c r="UD31" s="546"/>
      <c r="UE31" s="546"/>
      <c r="UF31" s="547"/>
      <c r="UG31" s="546"/>
      <c r="UH31" s="546"/>
      <c r="UI31" s="546"/>
      <c r="UJ31" s="546"/>
      <c r="UK31" s="546"/>
      <c r="UL31" s="546"/>
      <c r="UM31" s="548"/>
      <c r="UN31" s="546"/>
      <c r="UO31" s="546"/>
      <c r="UP31" s="546"/>
      <c r="UQ31" s="546"/>
      <c r="UR31" s="547"/>
      <c r="US31" s="548"/>
      <c r="UT31" s="546"/>
      <c r="UU31" s="546"/>
      <c r="UV31" s="546"/>
      <c r="UW31" s="546"/>
      <c r="UX31" s="547"/>
      <c r="UY31" s="546"/>
      <c r="UZ31" s="546"/>
      <c r="VA31" s="546"/>
      <c r="VB31" s="546"/>
      <c r="VC31" s="546"/>
      <c r="VD31" s="546"/>
      <c r="VE31" s="548"/>
      <c r="VF31" s="546"/>
      <c r="VG31" s="546"/>
      <c r="VH31" s="546"/>
      <c r="VI31" s="546"/>
      <c r="VJ31" s="549"/>
    </row>
    <row r="32" spans="3:582" s="52" customFormat="1" ht="19.5" customHeight="1" x14ac:dyDescent="0.25">
      <c r="C32" s="538"/>
      <c r="D32" s="541"/>
      <c r="E32" s="541"/>
      <c r="F32" s="543"/>
      <c r="G32" s="277"/>
      <c r="H32" s="273"/>
      <c r="I32" s="273"/>
      <c r="J32" s="273"/>
      <c r="K32" s="273"/>
      <c r="L32" s="274"/>
      <c r="M32" s="275"/>
      <c r="N32" s="273"/>
      <c r="O32" s="273"/>
      <c r="P32" s="273"/>
      <c r="Q32" s="273"/>
      <c r="R32" s="274"/>
      <c r="S32" s="275"/>
      <c r="T32" s="273"/>
      <c r="U32" s="273"/>
      <c r="V32" s="273"/>
      <c r="W32" s="273"/>
      <c r="X32" s="274"/>
      <c r="Y32" s="275"/>
      <c r="Z32" s="273"/>
      <c r="AA32" s="273"/>
      <c r="AB32" s="273"/>
      <c r="AC32" s="273"/>
      <c r="AD32" s="273"/>
      <c r="AE32" s="275"/>
      <c r="AF32" s="273"/>
      <c r="AG32" s="273"/>
      <c r="AH32" s="273"/>
      <c r="AI32" s="273"/>
      <c r="AJ32" s="274"/>
      <c r="AK32" s="273"/>
      <c r="AL32" s="273"/>
      <c r="AM32" s="273"/>
      <c r="AN32" s="273"/>
      <c r="AO32" s="273"/>
      <c r="AP32" s="273"/>
      <c r="AQ32" s="275"/>
      <c r="AR32" s="273"/>
      <c r="AS32" s="273"/>
      <c r="AT32" s="273"/>
      <c r="AU32" s="273"/>
      <c r="AV32" s="274"/>
      <c r="AW32" s="273"/>
      <c r="AX32" s="273"/>
      <c r="AY32" s="273"/>
      <c r="AZ32" s="273"/>
      <c r="BA32" s="273"/>
      <c r="BB32" s="273"/>
      <c r="BC32" s="275"/>
      <c r="BD32" s="273"/>
      <c r="BE32" s="273"/>
      <c r="BF32" s="273"/>
      <c r="BG32" s="273"/>
      <c r="BH32" s="274"/>
      <c r="BI32" s="275"/>
      <c r="BJ32" s="273"/>
      <c r="BK32" s="273"/>
      <c r="BL32" s="273"/>
      <c r="BM32" s="273"/>
      <c r="BN32" s="274"/>
      <c r="BO32" s="273"/>
      <c r="BP32" s="273"/>
      <c r="BQ32" s="273"/>
      <c r="BR32" s="273"/>
      <c r="BS32" s="273"/>
      <c r="BT32" s="274"/>
      <c r="BU32" s="273"/>
      <c r="BV32" s="273"/>
      <c r="BW32" s="273"/>
      <c r="BX32" s="273"/>
      <c r="BY32" s="273"/>
      <c r="BZ32" s="276"/>
      <c r="CA32" s="280"/>
      <c r="CB32" s="278"/>
      <c r="CC32" s="278"/>
      <c r="CD32" s="278"/>
      <c r="CE32" s="278"/>
      <c r="CF32" s="282"/>
      <c r="CG32" s="281"/>
      <c r="CH32" s="278"/>
      <c r="CI32" s="278"/>
      <c r="CJ32" s="278"/>
      <c r="CK32" s="278"/>
      <c r="CL32" s="282"/>
      <c r="CM32" s="281"/>
      <c r="CN32" s="278"/>
      <c r="CO32" s="278"/>
      <c r="CP32" s="278"/>
      <c r="CQ32" s="278"/>
      <c r="CR32" s="282"/>
      <c r="CS32" s="281"/>
      <c r="CT32" s="278"/>
      <c r="CU32" s="278"/>
      <c r="CV32" s="278"/>
      <c r="CW32" s="278"/>
      <c r="CX32" s="278"/>
      <c r="CY32" s="281"/>
      <c r="CZ32" s="278"/>
      <c r="DA32" s="278"/>
      <c r="DB32" s="278"/>
      <c r="DC32" s="278"/>
      <c r="DD32" s="282"/>
      <c r="DE32" s="278"/>
      <c r="DF32" s="278"/>
      <c r="DG32" s="278"/>
      <c r="DH32" s="278"/>
      <c r="DI32" s="278"/>
      <c r="DJ32" s="278"/>
      <c r="DK32" s="281"/>
      <c r="DL32" s="278"/>
      <c r="DM32" s="278"/>
      <c r="DN32" s="278"/>
      <c r="DO32" s="278"/>
      <c r="DP32" s="282"/>
      <c r="DQ32" s="278"/>
      <c r="DR32" s="278"/>
      <c r="DS32" s="278"/>
      <c r="DT32" s="278"/>
      <c r="DU32" s="278"/>
      <c r="DV32" s="278"/>
      <c r="DW32" s="281"/>
      <c r="DX32" s="278"/>
      <c r="DY32" s="278"/>
      <c r="DZ32" s="278"/>
      <c r="EA32" s="278"/>
      <c r="EB32" s="282"/>
      <c r="EC32" s="281"/>
      <c r="ED32" s="278"/>
      <c r="EE32" s="278"/>
      <c r="EF32" s="278"/>
      <c r="EG32" s="278"/>
      <c r="EH32" s="282"/>
      <c r="EI32" s="585"/>
      <c r="EJ32" s="586"/>
      <c r="EK32" s="586"/>
      <c r="EL32" s="586"/>
      <c r="EM32" s="586"/>
      <c r="EN32" s="587"/>
      <c r="EO32" s="278"/>
      <c r="EP32" s="278"/>
      <c r="EQ32" s="278"/>
      <c r="ER32" s="278"/>
      <c r="ES32" s="278"/>
      <c r="ET32" s="279"/>
      <c r="EU32" s="278"/>
      <c r="EV32" s="278"/>
      <c r="EW32" s="278"/>
      <c r="EX32" s="278"/>
      <c r="EY32" s="278"/>
      <c r="EZ32" s="282"/>
      <c r="FA32" s="281"/>
      <c r="FB32" s="278"/>
      <c r="FC32" s="278"/>
      <c r="FD32" s="278"/>
      <c r="FE32" s="278"/>
      <c r="FF32" s="282"/>
      <c r="FG32" s="281"/>
      <c r="FH32" s="278"/>
      <c r="FI32" s="278"/>
      <c r="FJ32" s="278"/>
      <c r="FK32" s="278"/>
      <c r="FL32" s="282"/>
      <c r="FM32" s="281"/>
      <c r="FN32" s="278"/>
      <c r="FO32" s="278"/>
      <c r="FP32" s="278"/>
      <c r="FQ32" s="278"/>
      <c r="FR32" s="278"/>
      <c r="FS32" s="281"/>
      <c r="FT32" s="278"/>
      <c r="FU32" s="278"/>
      <c r="FV32" s="278"/>
      <c r="FW32" s="278"/>
      <c r="FX32" s="282"/>
      <c r="FY32" s="278"/>
      <c r="FZ32" s="278"/>
      <c r="GA32" s="278"/>
      <c r="GB32" s="278"/>
      <c r="GC32" s="278"/>
      <c r="GD32" s="278"/>
      <c r="GE32" s="281"/>
      <c r="GF32" s="278"/>
      <c r="GG32" s="278"/>
      <c r="GH32" s="278"/>
      <c r="GI32" s="278"/>
      <c r="GJ32" s="282"/>
      <c r="GK32" s="278"/>
      <c r="GL32" s="278"/>
      <c r="GM32" s="278"/>
      <c r="GN32" s="278"/>
      <c r="GO32" s="278"/>
      <c r="GP32" s="278"/>
      <c r="GQ32" s="281"/>
      <c r="GR32" s="278"/>
      <c r="GS32" s="278"/>
      <c r="GT32" s="278"/>
      <c r="GU32" s="278"/>
      <c r="GV32" s="282"/>
      <c r="GW32" s="281"/>
      <c r="GX32" s="278"/>
      <c r="GY32" s="278"/>
      <c r="GZ32" s="278"/>
      <c r="HA32" s="278"/>
      <c r="HB32" s="282"/>
      <c r="HC32" s="273"/>
      <c r="HD32" s="273"/>
      <c r="HE32" s="273"/>
      <c r="HF32" s="273"/>
      <c r="HG32" s="273"/>
      <c r="HH32" s="273"/>
      <c r="HI32" s="275"/>
      <c r="HJ32" s="273"/>
      <c r="HK32" s="273"/>
      <c r="HL32" s="273"/>
      <c r="HM32" s="273"/>
      <c r="HN32" s="276"/>
      <c r="HO32" s="273"/>
      <c r="HP32" s="273"/>
      <c r="HQ32" s="273"/>
      <c r="HR32" s="273"/>
      <c r="HS32" s="273"/>
      <c r="HT32" s="274"/>
      <c r="HU32" s="275"/>
      <c r="HV32" s="273"/>
      <c r="HW32" s="273"/>
      <c r="HX32" s="273"/>
      <c r="HY32" s="273"/>
      <c r="HZ32" s="274"/>
      <c r="IA32" s="275"/>
      <c r="IB32" s="273"/>
      <c r="IC32" s="273"/>
      <c r="ID32" s="273"/>
      <c r="IE32" s="273"/>
      <c r="IF32" s="274"/>
      <c r="IG32" s="275"/>
      <c r="IH32" s="273"/>
      <c r="II32" s="273"/>
      <c r="IJ32" s="273"/>
      <c r="IK32" s="273"/>
      <c r="IL32" s="273"/>
      <c r="IM32" s="275"/>
      <c r="IN32" s="273"/>
      <c r="IO32" s="273"/>
      <c r="IP32" s="273"/>
      <c r="IQ32" s="273"/>
      <c r="IR32" s="274"/>
      <c r="IS32" s="273"/>
      <c r="IT32" s="273"/>
      <c r="IU32" s="273"/>
      <c r="IV32" s="273"/>
      <c r="IW32" s="273"/>
      <c r="IX32" s="273"/>
      <c r="IY32" s="275"/>
      <c r="IZ32" s="273"/>
      <c r="JA32" s="273"/>
      <c r="JB32" s="273"/>
      <c r="JC32" s="273"/>
      <c r="JD32" s="274"/>
      <c r="JE32" s="273"/>
      <c r="JF32" s="273"/>
      <c r="JG32" s="273"/>
      <c r="JH32" s="273"/>
      <c r="JI32" s="273"/>
      <c r="JJ32" s="273"/>
      <c r="JK32" s="275"/>
      <c r="JL32" s="273"/>
      <c r="JM32" s="273"/>
      <c r="JN32" s="273"/>
      <c r="JO32" s="273"/>
      <c r="JP32" s="274"/>
      <c r="JQ32" s="275"/>
      <c r="JR32" s="273"/>
      <c r="JS32" s="273"/>
      <c r="JT32" s="273"/>
      <c r="JU32" s="273"/>
      <c r="JV32" s="274"/>
      <c r="JW32" s="273"/>
      <c r="JX32" s="273"/>
      <c r="JY32" s="273"/>
      <c r="JZ32" s="273"/>
      <c r="KA32" s="273"/>
      <c r="KB32" s="273"/>
      <c r="KC32" s="275"/>
      <c r="KD32" s="273"/>
      <c r="KE32" s="273"/>
      <c r="KF32" s="273"/>
      <c r="KG32" s="273"/>
      <c r="KH32" s="276"/>
      <c r="KI32" s="273"/>
      <c r="KJ32" s="273"/>
      <c r="KK32" s="273"/>
      <c r="KL32" s="273"/>
      <c r="KM32" s="273"/>
      <c r="KN32" s="274"/>
      <c r="KO32" s="275"/>
      <c r="KP32" s="273"/>
      <c r="KQ32" s="273"/>
      <c r="KR32" s="273"/>
      <c r="KS32" s="273"/>
      <c r="KT32" s="274"/>
      <c r="KU32" s="275"/>
      <c r="KV32" s="273"/>
      <c r="KW32" s="273"/>
      <c r="KX32" s="273"/>
      <c r="KY32" s="273"/>
      <c r="KZ32" s="274"/>
      <c r="LA32" s="275"/>
      <c r="LB32" s="273"/>
      <c r="LC32" s="273"/>
      <c r="LD32" s="273"/>
      <c r="LE32" s="273"/>
      <c r="LF32" s="273"/>
      <c r="LG32" s="275"/>
      <c r="LH32" s="273"/>
      <c r="LI32" s="273"/>
      <c r="LJ32" s="273"/>
      <c r="LK32" s="273"/>
      <c r="LL32" s="274"/>
      <c r="LM32" s="273"/>
      <c r="LN32" s="273"/>
      <c r="LO32" s="273"/>
      <c r="LP32" s="273"/>
      <c r="LQ32" s="273"/>
      <c r="LR32" s="273"/>
      <c r="LS32" s="275"/>
      <c r="LT32" s="273"/>
      <c r="LU32" s="273"/>
      <c r="LV32" s="273"/>
      <c r="LW32" s="273"/>
      <c r="LX32" s="274"/>
      <c r="LY32" s="273"/>
      <c r="LZ32" s="273"/>
      <c r="MA32" s="273"/>
      <c r="MB32" s="273"/>
      <c r="MC32" s="273"/>
      <c r="MD32" s="273"/>
      <c r="ME32" s="275"/>
      <c r="MF32" s="273"/>
      <c r="MG32" s="273"/>
      <c r="MH32" s="273"/>
      <c r="MI32" s="273"/>
      <c r="MJ32" s="274"/>
      <c r="MK32" s="275"/>
      <c r="ML32" s="273"/>
      <c r="MM32" s="273"/>
      <c r="MN32" s="273"/>
      <c r="MO32" s="273"/>
      <c r="MP32" s="274"/>
      <c r="MQ32" s="273"/>
      <c r="MR32" s="273"/>
      <c r="MS32" s="273"/>
      <c r="MT32" s="273"/>
      <c r="MU32" s="273"/>
      <c r="MV32" s="273"/>
      <c r="MW32" s="275"/>
      <c r="MX32" s="273"/>
      <c r="MY32" s="273"/>
      <c r="MZ32" s="273"/>
      <c r="NA32" s="273"/>
      <c r="NB32" s="276"/>
      <c r="NC32" s="273"/>
      <c r="ND32" s="273"/>
      <c r="NE32" s="273"/>
      <c r="NF32" s="273"/>
      <c r="NG32" s="273"/>
      <c r="NH32" s="274"/>
      <c r="NI32" s="275"/>
      <c r="NJ32" s="273"/>
      <c r="NK32" s="273"/>
      <c r="NL32" s="273"/>
      <c r="NM32" s="273"/>
      <c r="NN32" s="274"/>
      <c r="NO32" s="275"/>
      <c r="NP32" s="273"/>
      <c r="NQ32" s="273"/>
      <c r="NR32" s="273"/>
      <c r="NS32" s="273"/>
      <c r="NT32" s="274"/>
      <c r="NU32" s="275"/>
      <c r="NV32" s="273"/>
      <c r="NW32" s="273"/>
      <c r="NX32" s="273"/>
      <c r="NY32" s="273"/>
      <c r="NZ32" s="273"/>
      <c r="OA32" s="275"/>
      <c r="OB32" s="273"/>
      <c r="OC32" s="273"/>
      <c r="OD32" s="273"/>
      <c r="OE32" s="273"/>
      <c r="OF32" s="274"/>
      <c r="OG32" s="273"/>
      <c r="OH32" s="273"/>
      <c r="OI32" s="273"/>
      <c r="OJ32" s="273"/>
      <c r="OK32" s="273"/>
      <c r="OL32" s="273"/>
      <c r="OM32" s="275"/>
      <c r="ON32" s="273"/>
      <c r="OO32" s="273"/>
      <c r="OP32" s="273"/>
      <c r="OQ32" s="273"/>
      <c r="OR32" s="274"/>
      <c r="OS32" s="275"/>
      <c r="OT32" s="273"/>
      <c r="OU32" s="273"/>
      <c r="OV32" s="273"/>
      <c r="OW32" s="273"/>
      <c r="OX32" s="274"/>
      <c r="OY32" s="273"/>
      <c r="OZ32" s="273"/>
      <c r="PA32" s="273"/>
      <c r="PB32" s="273"/>
      <c r="PC32" s="273"/>
      <c r="PD32" s="273"/>
      <c r="PE32" s="275"/>
      <c r="PF32" s="273"/>
      <c r="PG32" s="273"/>
      <c r="PH32" s="273"/>
      <c r="PI32" s="273"/>
      <c r="PJ32" s="273"/>
      <c r="PK32" s="275"/>
      <c r="PL32" s="273"/>
      <c r="PM32" s="273"/>
      <c r="PN32" s="273"/>
      <c r="PO32" s="273"/>
      <c r="PP32" s="273"/>
      <c r="PQ32" s="275"/>
      <c r="PR32" s="273"/>
      <c r="PS32" s="273"/>
      <c r="PT32" s="273"/>
      <c r="PU32" s="273"/>
      <c r="PV32" s="273"/>
      <c r="PW32" s="277"/>
      <c r="PX32" s="273"/>
      <c r="PY32" s="273"/>
      <c r="PZ32" s="273"/>
      <c r="QA32" s="273"/>
      <c r="QB32" s="274"/>
      <c r="QC32" s="273"/>
      <c r="QD32" s="273"/>
      <c r="QE32" s="273"/>
      <c r="QF32" s="273"/>
      <c r="QG32" s="273"/>
      <c r="QH32" s="273"/>
      <c r="QI32" s="275"/>
      <c r="QJ32" s="273"/>
      <c r="QK32" s="273"/>
      <c r="QL32" s="273"/>
      <c r="QM32" s="273"/>
      <c r="QN32" s="273"/>
      <c r="QO32" s="275"/>
      <c r="QP32" s="273"/>
      <c r="QQ32" s="273"/>
      <c r="QR32" s="273"/>
      <c r="QS32" s="273"/>
      <c r="QT32" s="273"/>
      <c r="QU32" s="275"/>
      <c r="QV32" s="273"/>
      <c r="QW32" s="273"/>
      <c r="QX32" s="273"/>
      <c r="QY32" s="273"/>
      <c r="QZ32" s="273"/>
      <c r="RA32" s="275"/>
      <c r="RB32" s="273"/>
      <c r="RC32" s="273"/>
      <c r="RD32" s="273"/>
      <c r="RE32" s="273"/>
      <c r="RF32" s="273"/>
      <c r="RG32" s="275"/>
      <c r="RH32" s="273"/>
      <c r="RI32" s="273"/>
      <c r="RJ32" s="273"/>
      <c r="RK32" s="273"/>
      <c r="RL32" s="274"/>
      <c r="RM32" s="273"/>
      <c r="RN32" s="273"/>
      <c r="RO32" s="273"/>
      <c r="RP32" s="273"/>
      <c r="RQ32" s="273"/>
      <c r="RR32" s="273"/>
      <c r="RS32" s="275"/>
      <c r="RT32" s="273"/>
      <c r="RU32" s="273"/>
      <c r="RV32" s="273"/>
      <c r="RW32" s="273"/>
      <c r="RX32" s="274"/>
      <c r="RY32" s="275"/>
      <c r="RZ32" s="273"/>
      <c r="SA32" s="273"/>
      <c r="SB32" s="273"/>
      <c r="SC32" s="273"/>
      <c r="SD32" s="274"/>
      <c r="SE32" s="273"/>
      <c r="SF32" s="273"/>
      <c r="SG32" s="273"/>
      <c r="SH32" s="273"/>
      <c r="SI32" s="273"/>
      <c r="SJ32" s="273"/>
      <c r="SK32" s="275"/>
      <c r="SL32" s="273"/>
      <c r="SM32" s="273"/>
      <c r="SN32" s="273"/>
      <c r="SO32" s="273"/>
      <c r="SP32" s="276"/>
      <c r="SQ32" s="273"/>
      <c r="SR32" s="273"/>
      <c r="SS32" s="273"/>
      <c r="ST32" s="273"/>
      <c r="SU32" s="273"/>
      <c r="SV32" s="274"/>
      <c r="SW32" s="273"/>
      <c r="SX32" s="273"/>
      <c r="SY32" s="273"/>
      <c r="SZ32" s="273"/>
      <c r="TA32" s="273"/>
      <c r="TB32" s="273"/>
      <c r="TC32" s="275"/>
      <c r="TD32" s="273"/>
      <c r="TE32" s="273"/>
      <c r="TF32" s="273"/>
      <c r="TG32" s="273"/>
      <c r="TH32" s="273"/>
      <c r="TI32" s="275"/>
      <c r="TJ32" s="273"/>
      <c r="TK32" s="273"/>
      <c r="TL32" s="273"/>
      <c r="TM32" s="273"/>
      <c r="TN32" s="274"/>
      <c r="TO32" s="273"/>
      <c r="TP32" s="273"/>
      <c r="TQ32" s="273"/>
      <c r="TR32" s="273"/>
      <c r="TS32" s="273"/>
      <c r="TT32" s="273"/>
      <c r="TU32" s="275"/>
      <c r="TV32" s="273"/>
      <c r="TW32" s="273"/>
      <c r="TX32" s="273"/>
      <c r="TY32" s="273"/>
      <c r="TZ32" s="273"/>
      <c r="UA32" s="275"/>
      <c r="UB32" s="273"/>
      <c r="UC32" s="273"/>
      <c r="UD32" s="273"/>
      <c r="UE32" s="273"/>
      <c r="UF32" s="274"/>
      <c r="UG32" s="273"/>
      <c r="UH32" s="273"/>
      <c r="UI32" s="273"/>
      <c r="UJ32" s="273"/>
      <c r="UK32" s="273"/>
      <c r="UL32" s="273"/>
      <c r="UM32" s="275"/>
      <c r="UN32" s="273"/>
      <c r="UO32" s="273"/>
      <c r="UP32" s="273"/>
      <c r="UQ32" s="273"/>
      <c r="UR32" s="274"/>
      <c r="US32" s="275"/>
      <c r="UT32" s="273"/>
      <c r="UU32" s="273"/>
      <c r="UV32" s="273"/>
      <c r="UW32" s="273"/>
      <c r="UX32" s="274"/>
      <c r="UY32" s="273"/>
      <c r="UZ32" s="273"/>
      <c r="VA32" s="273"/>
      <c r="VB32" s="273"/>
      <c r="VC32" s="273"/>
      <c r="VD32" s="273"/>
      <c r="VE32" s="275"/>
      <c r="VF32" s="273"/>
      <c r="VG32" s="273"/>
      <c r="VH32" s="273"/>
      <c r="VI32" s="273"/>
      <c r="VJ32" s="276"/>
    </row>
    <row r="33" spans="3:582" s="52" customFormat="1" ht="60.75" customHeight="1" thickBot="1" x14ac:dyDescent="0.3">
      <c r="C33" s="539"/>
      <c r="D33" s="542"/>
      <c r="E33" s="542"/>
      <c r="F33" s="544"/>
      <c r="G33" s="555"/>
      <c r="H33" s="556"/>
      <c r="I33" s="556"/>
      <c r="J33" s="556"/>
      <c r="K33" s="556"/>
      <c r="L33" s="557"/>
      <c r="M33" s="563"/>
      <c r="N33" s="556"/>
      <c r="O33" s="556"/>
      <c r="P33" s="556"/>
      <c r="Q33" s="556"/>
      <c r="R33" s="557"/>
      <c r="S33" s="563"/>
      <c r="T33" s="556"/>
      <c r="U33" s="556"/>
      <c r="V33" s="556"/>
      <c r="W33" s="556"/>
      <c r="X33" s="557"/>
      <c r="Y33" s="564"/>
      <c r="Z33" s="564"/>
      <c r="AA33" s="564"/>
      <c r="AB33" s="564"/>
      <c r="AC33" s="564"/>
      <c r="AD33" s="564"/>
      <c r="AE33" s="565"/>
      <c r="AF33" s="566"/>
      <c r="AG33" s="566"/>
      <c r="AH33" s="566"/>
      <c r="AI33" s="566"/>
      <c r="AJ33" s="567"/>
      <c r="AK33" s="556"/>
      <c r="AL33" s="556"/>
      <c r="AM33" s="556"/>
      <c r="AN33" s="556"/>
      <c r="AO33" s="556"/>
      <c r="AP33" s="556"/>
      <c r="AQ33" s="568"/>
      <c r="AR33" s="569"/>
      <c r="AS33" s="569"/>
      <c r="AT33" s="569"/>
      <c r="AU33" s="569"/>
      <c r="AV33" s="570"/>
      <c r="AW33" s="556"/>
      <c r="AX33" s="556"/>
      <c r="AY33" s="556"/>
      <c r="AZ33" s="556"/>
      <c r="BA33" s="556"/>
      <c r="BB33" s="556"/>
      <c r="BC33" s="563"/>
      <c r="BD33" s="556"/>
      <c r="BE33" s="556"/>
      <c r="BF33" s="556"/>
      <c r="BG33" s="556"/>
      <c r="BH33" s="557"/>
      <c r="BI33" s="563"/>
      <c r="BJ33" s="556"/>
      <c r="BK33" s="556"/>
      <c r="BL33" s="556"/>
      <c r="BM33" s="556"/>
      <c r="BN33" s="557"/>
      <c r="BO33" s="556"/>
      <c r="BP33" s="556"/>
      <c r="BQ33" s="556"/>
      <c r="BR33" s="556"/>
      <c r="BS33" s="556"/>
      <c r="BT33" s="556"/>
      <c r="BU33" s="565"/>
      <c r="BV33" s="566"/>
      <c r="BW33" s="566"/>
      <c r="BX33" s="566"/>
      <c r="BY33" s="566"/>
      <c r="BZ33" s="566"/>
      <c r="CA33" s="574"/>
      <c r="CB33" s="573"/>
      <c r="CC33" s="573"/>
      <c r="CD33" s="573"/>
      <c r="CE33" s="573"/>
      <c r="CF33" s="575"/>
      <c r="CG33" s="576"/>
      <c r="CH33" s="577"/>
      <c r="CI33" s="577"/>
      <c r="CJ33" s="577"/>
      <c r="CK33" s="577"/>
      <c r="CL33" s="578"/>
      <c r="CM33" s="572"/>
      <c r="CN33" s="573"/>
      <c r="CO33" s="573"/>
      <c r="CP33" s="573"/>
      <c r="CQ33" s="573"/>
      <c r="CR33" s="575"/>
      <c r="CS33" s="572"/>
      <c r="CT33" s="573"/>
      <c r="CU33" s="573"/>
      <c r="CV33" s="573"/>
      <c r="CW33" s="573"/>
      <c r="CX33" s="575"/>
      <c r="CY33" s="572"/>
      <c r="CZ33" s="573"/>
      <c r="DA33" s="573"/>
      <c r="DB33" s="573"/>
      <c r="DC33" s="573"/>
      <c r="DD33" s="573"/>
      <c r="DE33" s="572"/>
      <c r="DF33" s="573"/>
      <c r="DG33" s="573"/>
      <c r="DH33" s="573"/>
      <c r="DI33" s="573"/>
      <c r="DJ33" s="573"/>
      <c r="DK33" s="581"/>
      <c r="DL33" s="582"/>
      <c r="DM33" s="582"/>
      <c r="DN33" s="582"/>
      <c r="DO33" s="582"/>
      <c r="DP33" s="583"/>
      <c r="DQ33" s="577"/>
      <c r="DR33" s="577"/>
      <c r="DS33" s="577"/>
      <c r="DT33" s="577"/>
      <c r="DU33" s="577"/>
      <c r="DV33" s="577"/>
      <c r="DW33" s="576"/>
      <c r="DX33" s="577"/>
      <c r="DY33" s="577"/>
      <c r="DZ33" s="577"/>
      <c r="EA33" s="577"/>
      <c r="EB33" s="578"/>
      <c r="EC33" s="576"/>
      <c r="ED33" s="577"/>
      <c r="EE33" s="577"/>
      <c r="EF33" s="577"/>
      <c r="EG33" s="577"/>
      <c r="EH33" s="578"/>
      <c r="EI33" s="577"/>
      <c r="EJ33" s="577"/>
      <c r="EK33" s="577"/>
      <c r="EL33" s="577"/>
      <c r="EM33" s="577"/>
      <c r="EN33" s="577"/>
      <c r="EO33" s="576"/>
      <c r="EP33" s="577"/>
      <c r="EQ33" s="577"/>
      <c r="ER33" s="577"/>
      <c r="ES33" s="577"/>
      <c r="ET33" s="580"/>
      <c r="EU33" s="572"/>
      <c r="EV33" s="573"/>
      <c r="EW33" s="573"/>
      <c r="EX33" s="573"/>
      <c r="EY33" s="573"/>
      <c r="EZ33" s="573"/>
      <c r="FA33" s="576"/>
      <c r="FB33" s="577"/>
      <c r="FC33" s="577"/>
      <c r="FD33" s="577"/>
      <c r="FE33" s="577"/>
      <c r="FF33" s="578"/>
      <c r="FG33" s="576"/>
      <c r="FH33" s="577"/>
      <c r="FI33" s="577"/>
      <c r="FJ33" s="577"/>
      <c r="FK33" s="577"/>
      <c r="FL33" s="578"/>
      <c r="FM33" s="579"/>
      <c r="FN33" s="579"/>
      <c r="FO33" s="579"/>
      <c r="FP33" s="579"/>
      <c r="FQ33" s="579"/>
      <c r="FR33" s="579"/>
      <c r="FS33" s="572"/>
      <c r="FT33" s="573"/>
      <c r="FU33" s="573"/>
      <c r="FV33" s="573"/>
      <c r="FW33" s="573"/>
      <c r="FX33" s="575"/>
      <c r="FY33" s="577"/>
      <c r="FZ33" s="577"/>
      <c r="GA33" s="577"/>
      <c r="GB33" s="577"/>
      <c r="GC33" s="577"/>
      <c r="GD33" s="577"/>
      <c r="GE33" s="581"/>
      <c r="GF33" s="582"/>
      <c r="GG33" s="582"/>
      <c r="GH33" s="582"/>
      <c r="GI33" s="582"/>
      <c r="GJ33" s="583"/>
      <c r="GK33" s="577"/>
      <c r="GL33" s="577"/>
      <c r="GM33" s="577"/>
      <c r="GN33" s="577"/>
      <c r="GO33" s="577"/>
      <c r="GP33" s="577"/>
      <c r="GQ33" s="576"/>
      <c r="GR33" s="577"/>
      <c r="GS33" s="577"/>
      <c r="GT33" s="577"/>
      <c r="GU33" s="577"/>
      <c r="GV33" s="578"/>
      <c r="GW33" s="576"/>
      <c r="GX33" s="577"/>
      <c r="GY33" s="577"/>
      <c r="GZ33" s="577"/>
      <c r="HA33" s="577"/>
      <c r="HB33" s="578"/>
      <c r="HC33" s="556"/>
      <c r="HD33" s="556"/>
      <c r="HE33" s="556"/>
      <c r="HF33" s="556"/>
      <c r="HG33" s="556"/>
      <c r="HH33" s="556"/>
      <c r="HI33" s="563"/>
      <c r="HJ33" s="556"/>
      <c r="HK33" s="556"/>
      <c r="HL33" s="556"/>
      <c r="HM33" s="556"/>
      <c r="HN33" s="571"/>
      <c r="HO33" s="565"/>
      <c r="HP33" s="566"/>
      <c r="HQ33" s="566"/>
      <c r="HR33" s="566"/>
      <c r="HS33" s="566"/>
      <c r="HT33" s="566"/>
      <c r="HU33" s="563"/>
      <c r="HV33" s="556"/>
      <c r="HW33" s="556"/>
      <c r="HX33" s="556"/>
      <c r="HY33" s="556"/>
      <c r="HZ33" s="557"/>
      <c r="IA33" s="563"/>
      <c r="IB33" s="556"/>
      <c r="IC33" s="556"/>
      <c r="ID33" s="556"/>
      <c r="IE33" s="556"/>
      <c r="IF33" s="557"/>
      <c r="IG33" s="564"/>
      <c r="IH33" s="564"/>
      <c r="II33" s="564"/>
      <c r="IJ33" s="564"/>
      <c r="IK33" s="564"/>
      <c r="IL33" s="564"/>
      <c r="IM33" s="565"/>
      <c r="IN33" s="566"/>
      <c r="IO33" s="566"/>
      <c r="IP33" s="566"/>
      <c r="IQ33" s="566"/>
      <c r="IR33" s="567"/>
      <c r="IS33" s="556"/>
      <c r="IT33" s="556"/>
      <c r="IU33" s="556"/>
      <c r="IV33" s="556"/>
      <c r="IW33" s="556"/>
      <c r="IX33" s="556"/>
      <c r="IY33" s="568"/>
      <c r="IZ33" s="569"/>
      <c r="JA33" s="569"/>
      <c r="JB33" s="569"/>
      <c r="JC33" s="569"/>
      <c r="JD33" s="570"/>
      <c r="JE33" s="556"/>
      <c r="JF33" s="556"/>
      <c r="JG33" s="556"/>
      <c r="JH33" s="556"/>
      <c r="JI33" s="556"/>
      <c r="JJ33" s="556"/>
      <c r="JK33" s="563"/>
      <c r="JL33" s="556"/>
      <c r="JM33" s="556"/>
      <c r="JN33" s="556"/>
      <c r="JO33" s="556"/>
      <c r="JP33" s="557"/>
      <c r="JQ33" s="563"/>
      <c r="JR33" s="556"/>
      <c r="JS33" s="556"/>
      <c r="JT33" s="556"/>
      <c r="JU33" s="556"/>
      <c r="JV33" s="557"/>
      <c r="JW33" s="556"/>
      <c r="JX33" s="556"/>
      <c r="JY33" s="556"/>
      <c r="JZ33" s="556"/>
      <c r="KA33" s="556"/>
      <c r="KB33" s="556"/>
      <c r="KC33" s="563"/>
      <c r="KD33" s="556"/>
      <c r="KE33" s="556"/>
      <c r="KF33" s="556"/>
      <c r="KG33" s="556"/>
      <c r="KH33" s="571"/>
      <c r="KI33" s="565"/>
      <c r="KJ33" s="566"/>
      <c r="KK33" s="566"/>
      <c r="KL33" s="566"/>
      <c r="KM33" s="566"/>
      <c r="KN33" s="566"/>
      <c r="KO33" s="563"/>
      <c r="KP33" s="556"/>
      <c r="KQ33" s="556"/>
      <c r="KR33" s="556"/>
      <c r="KS33" s="556"/>
      <c r="KT33" s="557"/>
      <c r="KU33" s="563"/>
      <c r="KV33" s="556"/>
      <c r="KW33" s="556"/>
      <c r="KX33" s="556"/>
      <c r="KY33" s="556"/>
      <c r="KZ33" s="557"/>
      <c r="LA33" s="564"/>
      <c r="LB33" s="564"/>
      <c r="LC33" s="564"/>
      <c r="LD33" s="564"/>
      <c r="LE33" s="564"/>
      <c r="LF33" s="564"/>
      <c r="LG33" s="565"/>
      <c r="LH33" s="566"/>
      <c r="LI33" s="566"/>
      <c r="LJ33" s="566"/>
      <c r="LK33" s="566"/>
      <c r="LL33" s="567"/>
      <c r="LM33" s="556"/>
      <c r="LN33" s="556"/>
      <c r="LO33" s="556"/>
      <c r="LP33" s="556"/>
      <c r="LQ33" s="556"/>
      <c r="LR33" s="556"/>
      <c r="LS33" s="568"/>
      <c r="LT33" s="569"/>
      <c r="LU33" s="569"/>
      <c r="LV33" s="569"/>
      <c r="LW33" s="569"/>
      <c r="LX33" s="570"/>
      <c r="LY33" s="556"/>
      <c r="LZ33" s="556"/>
      <c r="MA33" s="556"/>
      <c r="MB33" s="556"/>
      <c r="MC33" s="556"/>
      <c r="MD33" s="556"/>
      <c r="ME33" s="563"/>
      <c r="MF33" s="556"/>
      <c r="MG33" s="556"/>
      <c r="MH33" s="556"/>
      <c r="MI33" s="556"/>
      <c r="MJ33" s="557"/>
      <c r="MK33" s="563"/>
      <c r="ML33" s="556"/>
      <c r="MM33" s="556"/>
      <c r="MN33" s="556"/>
      <c r="MO33" s="556"/>
      <c r="MP33" s="557"/>
      <c r="MQ33" s="556"/>
      <c r="MR33" s="556"/>
      <c r="MS33" s="556"/>
      <c r="MT33" s="556"/>
      <c r="MU33" s="556"/>
      <c r="MV33" s="556"/>
      <c r="MW33" s="563"/>
      <c r="MX33" s="556"/>
      <c r="MY33" s="556"/>
      <c r="MZ33" s="556"/>
      <c r="NA33" s="556"/>
      <c r="NB33" s="571"/>
      <c r="NC33" s="565"/>
      <c r="ND33" s="566"/>
      <c r="NE33" s="566"/>
      <c r="NF33" s="566"/>
      <c r="NG33" s="566"/>
      <c r="NH33" s="566"/>
      <c r="NI33" s="563"/>
      <c r="NJ33" s="556"/>
      <c r="NK33" s="556"/>
      <c r="NL33" s="556"/>
      <c r="NM33" s="556"/>
      <c r="NN33" s="557"/>
      <c r="NO33" s="563"/>
      <c r="NP33" s="556"/>
      <c r="NQ33" s="556"/>
      <c r="NR33" s="556"/>
      <c r="NS33" s="556"/>
      <c r="NT33" s="557"/>
      <c r="NU33" s="564"/>
      <c r="NV33" s="564"/>
      <c r="NW33" s="564"/>
      <c r="NX33" s="564"/>
      <c r="NY33" s="564"/>
      <c r="NZ33" s="564"/>
      <c r="OA33" s="565"/>
      <c r="OB33" s="566"/>
      <c r="OC33" s="566"/>
      <c r="OD33" s="566"/>
      <c r="OE33" s="566"/>
      <c r="OF33" s="567"/>
      <c r="OG33" s="565"/>
      <c r="OH33" s="566"/>
      <c r="OI33" s="566"/>
      <c r="OJ33" s="566"/>
      <c r="OK33" s="566"/>
      <c r="OL33" s="567"/>
      <c r="OM33" s="566"/>
      <c r="ON33" s="566"/>
      <c r="OO33" s="566"/>
      <c r="OP33" s="566"/>
      <c r="OQ33" s="566"/>
      <c r="OR33" s="567"/>
      <c r="OS33" s="556"/>
      <c r="OT33" s="556"/>
      <c r="OU33" s="556"/>
      <c r="OV33" s="556"/>
      <c r="OW33" s="556"/>
      <c r="OX33" s="556"/>
      <c r="OY33" s="563"/>
      <c r="OZ33" s="556"/>
      <c r="PA33" s="556"/>
      <c r="PB33" s="556"/>
      <c r="PC33" s="556"/>
      <c r="PD33" s="557"/>
      <c r="PE33" s="563"/>
      <c r="PF33" s="556"/>
      <c r="PG33" s="556"/>
      <c r="PH33" s="556"/>
      <c r="PI33" s="556"/>
      <c r="PJ33" s="557"/>
      <c r="PK33" s="556"/>
      <c r="PL33" s="556"/>
      <c r="PM33" s="556"/>
      <c r="PN33" s="556"/>
      <c r="PO33" s="556"/>
      <c r="PP33" s="556"/>
      <c r="PQ33" s="563"/>
      <c r="PR33" s="556"/>
      <c r="PS33" s="556"/>
      <c r="PT33" s="556"/>
      <c r="PU33" s="556"/>
      <c r="PV33" s="571"/>
      <c r="PW33" s="565"/>
      <c r="PX33" s="566"/>
      <c r="PY33" s="566"/>
      <c r="PZ33" s="566"/>
      <c r="QA33" s="566"/>
      <c r="QB33" s="566"/>
      <c r="QC33" s="563"/>
      <c r="QD33" s="556"/>
      <c r="QE33" s="556"/>
      <c r="QF33" s="556"/>
      <c r="QG33" s="556"/>
      <c r="QH33" s="557"/>
      <c r="QI33" s="563"/>
      <c r="QJ33" s="556"/>
      <c r="QK33" s="556"/>
      <c r="QL33" s="556"/>
      <c r="QM33" s="556"/>
      <c r="QN33" s="557"/>
      <c r="QO33" s="564"/>
      <c r="QP33" s="564"/>
      <c r="QQ33" s="564"/>
      <c r="QR33" s="564"/>
      <c r="QS33" s="564"/>
      <c r="QT33" s="564"/>
      <c r="QU33" s="565"/>
      <c r="QV33" s="566"/>
      <c r="QW33" s="566"/>
      <c r="QX33" s="566"/>
      <c r="QY33" s="566"/>
      <c r="QZ33" s="567"/>
      <c r="RA33" s="565"/>
      <c r="RB33" s="566"/>
      <c r="RC33" s="566"/>
      <c r="RD33" s="566"/>
      <c r="RE33" s="566"/>
      <c r="RF33" s="566"/>
      <c r="RG33" s="568"/>
      <c r="RH33" s="569"/>
      <c r="RI33" s="569"/>
      <c r="RJ33" s="569"/>
      <c r="RK33" s="569"/>
      <c r="RL33" s="570"/>
      <c r="RM33" s="556"/>
      <c r="RN33" s="556"/>
      <c r="RO33" s="556"/>
      <c r="RP33" s="556"/>
      <c r="RQ33" s="556"/>
      <c r="RR33" s="556"/>
      <c r="RS33" s="563"/>
      <c r="RT33" s="556"/>
      <c r="RU33" s="556"/>
      <c r="RV33" s="556"/>
      <c r="RW33" s="556"/>
      <c r="RX33" s="557"/>
      <c r="RY33" s="563"/>
      <c r="RZ33" s="556"/>
      <c r="SA33" s="556"/>
      <c r="SB33" s="556"/>
      <c r="SC33" s="556"/>
      <c r="SD33" s="557"/>
      <c r="SE33" s="556"/>
      <c r="SF33" s="556"/>
      <c r="SG33" s="556"/>
      <c r="SH33" s="556"/>
      <c r="SI33" s="556"/>
      <c r="SJ33" s="556"/>
      <c r="SK33" s="563"/>
      <c r="SL33" s="556"/>
      <c r="SM33" s="556"/>
      <c r="SN33" s="556"/>
      <c r="SO33" s="556"/>
      <c r="SP33" s="571"/>
      <c r="SQ33" s="584"/>
      <c r="SR33" s="566"/>
      <c r="SS33" s="566"/>
      <c r="ST33" s="566"/>
      <c r="SU33" s="566"/>
      <c r="SV33" s="567"/>
      <c r="SW33" s="563"/>
      <c r="SX33" s="556"/>
      <c r="SY33" s="556"/>
      <c r="SZ33" s="556"/>
      <c r="TA33" s="556"/>
      <c r="TB33" s="557"/>
      <c r="TC33" s="563"/>
      <c r="TD33" s="556"/>
      <c r="TE33" s="556"/>
      <c r="TF33" s="556"/>
      <c r="TG33" s="556"/>
      <c r="TH33" s="557"/>
      <c r="TI33" s="588"/>
      <c r="TJ33" s="564"/>
      <c r="TK33" s="564"/>
      <c r="TL33" s="564"/>
      <c r="TM33" s="564"/>
      <c r="TN33" s="589"/>
      <c r="TO33" s="565"/>
      <c r="TP33" s="566"/>
      <c r="TQ33" s="566"/>
      <c r="TR33" s="566"/>
      <c r="TS33" s="566"/>
      <c r="TT33" s="567"/>
      <c r="TU33" s="565"/>
      <c r="TV33" s="566"/>
      <c r="TW33" s="566"/>
      <c r="TX33" s="566"/>
      <c r="TY33" s="566"/>
      <c r="TZ33" s="566"/>
      <c r="UA33" s="568"/>
      <c r="UB33" s="569"/>
      <c r="UC33" s="569"/>
      <c r="UD33" s="569"/>
      <c r="UE33" s="569"/>
      <c r="UF33" s="570"/>
      <c r="UG33" s="556"/>
      <c r="UH33" s="556"/>
      <c r="UI33" s="556"/>
      <c r="UJ33" s="556"/>
      <c r="UK33" s="556"/>
      <c r="UL33" s="556"/>
      <c r="UM33" s="563"/>
      <c r="UN33" s="556"/>
      <c r="UO33" s="556"/>
      <c r="UP33" s="556"/>
      <c r="UQ33" s="556"/>
      <c r="UR33" s="557"/>
      <c r="US33" s="563"/>
      <c r="UT33" s="556"/>
      <c r="UU33" s="556"/>
      <c r="UV33" s="556"/>
      <c r="UW33" s="556"/>
      <c r="UX33" s="557"/>
      <c r="UY33" s="556"/>
      <c r="UZ33" s="556"/>
      <c r="VA33" s="556"/>
      <c r="VB33" s="556"/>
      <c r="VC33" s="556"/>
      <c r="VD33" s="556"/>
      <c r="VE33" s="563"/>
      <c r="VF33" s="556"/>
      <c r="VG33" s="556"/>
      <c r="VH33" s="556"/>
      <c r="VI33" s="556"/>
      <c r="VJ33" s="571"/>
    </row>
    <row r="34" spans="3:582" s="52" customFormat="1" ht="12.75" customHeight="1" x14ac:dyDescent="0.25">
      <c r="C34" s="538"/>
      <c r="D34" s="540">
        <v>2</v>
      </c>
      <c r="E34" s="540"/>
      <c r="F34" s="543"/>
      <c r="G34" s="545"/>
      <c r="H34" s="546"/>
      <c r="I34" s="546"/>
      <c r="J34" s="546"/>
      <c r="K34" s="546"/>
      <c r="L34" s="547"/>
      <c r="M34" s="548"/>
      <c r="N34" s="546"/>
      <c r="O34" s="546"/>
      <c r="P34" s="546"/>
      <c r="Q34" s="546"/>
      <c r="R34" s="547"/>
      <c r="S34" s="548"/>
      <c r="T34" s="546"/>
      <c r="U34" s="546"/>
      <c r="V34" s="546"/>
      <c r="W34" s="546"/>
      <c r="X34" s="547"/>
      <c r="Y34" s="546"/>
      <c r="Z34" s="546"/>
      <c r="AA34" s="546"/>
      <c r="AB34" s="546"/>
      <c r="AC34" s="546"/>
      <c r="AD34" s="546"/>
      <c r="AE34" s="548"/>
      <c r="AF34" s="546"/>
      <c r="AG34" s="546"/>
      <c r="AH34" s="546"/>
      <c r="AI34" s="546"/>
      <c r="AJ34" s="547"/>
      <c r="AK34" s="546"/>
      <c r="AL34" s="546"/>
      <c r="AM34" s="546"/>
      <c r="AN34" s="546"/>
      <c r="AO34" s="546"/>
      <c r="AP34" s="546"/>
      <c r="AQ34" s="548"/>
      <c r="AR34" s="546"/>
      <c r="AS34" s="546"/>
      <c r="AT34" s="546"/>
      <c r="AU34" s="546"/>
      <c r="AV34" s="547"/>
      <c r="AW34" s="546"/>
      <c r="AX34" s="546"/>
      <c r="AY34" s="546"/>
      <c r="AZ34" s="546"/>
      <c r="BA34" s="546"/>
      <c r="BB34" s="546"/>
      <c r="BC34" s="548"/>
      <c r="BD34" s="546"/>
      <c r="BE34" s="546"/>
      <c r="BF34" s="546"/>
      <c r="BG34" s="546"/>
      <c r="BH34" s="547"/>
      <c r="BI34" s="548"/>
      <c r="BJ34" s="546"/>
      <c r="BK34" s="546"/>
      <c r="BL34" s="546"/>
      <c r="BM34" s="546"/>
      <c r="BN34" s="547"/>
      <c r="BO34" s="546"/>
      <c r="BP34" s="546"/>
      <c r="BQ34" s="546"/>
      <c r="BR34" s="546"/>
      <c r="BS34" s="546"/>
      <c r="BT34" s="546"/>
      <c r="BU34" s="548"/>
      <c r="BV34" s="546"/>
      <c r="BW34" s="546"/>
      <c r="BX34" s="546"/>
      <c r="BY34" s="546"/>
      <c r="BZ34" s="549"/>
      <c r="CA34" s="545"/>
      <c r="CB34" s="546"/>
      <c r="CC34" s="546"/>
      <c r="CD34" s="546"/>
      <c r="CE34" s="546"/>
      <c r="CF34" s="547"/>
      <c r="CG34" s="548"/>
      <c r="CH34" s="546"/>
      <c r="CI34" s="546"/>
      <c r="CJ34" s="546"/>
      <c r="CK34" s="546"/>
      <c r="CL34" s="547"/>
      <c r="CM34" s="548"/>
      <c r="CN34" s="546"/>
      <c r="CO34" s="546"/>
      <c r="CP34" s="546"/>
      <c r="CQ34" s="546"/>
      <c r="CR34" s="547"/>
      <c r="CS34" s="546"/>
      <c r="CT34" s="546"/>
      <c r="CU34" s="546"/>
      <c r="CV34" s="546"/>
      <c r="CW34" s="546"/>
      <c r="CX34" s="546"/>
      <c r="CY34" s="548"/>
      <c r="CZ34" s="546"/>
      <c r="DA34" s="546"/>
      <c r="DB34" s="546"/>
      <c r="DC34" s="546"/>
      <c r="DD34" s="547"/>
      <c r="DE34" s="546"/>
      <c r="DF34" s="546"/>
      <c r="DG34" s="546"/>
      <c r="DH34" s="546"/>
      <c r="DI34" s="546"/>
      <c r="DJ34" s="546"/>
      <c r="DK34" s="548"/>
      <c r="DL34" s="546"/>
      <c r="DM34" s="546"/>
      <c r="DN34" s="546"/>
      <c r="DO34" s="546"/>
      <c r="DP34" s="547"/>
      <c r="DQ34" s="546"/>
      <c r="DR34" s="546"/>
      <c r="DS34" s="546"/>
      <c r="DT34" s="546"/>
      <c r="DU34" s="546"/>
      <c r="DV34" s="546"/>
      <c r="DW34" s="548"/>
      <c r="DX34" s="546"/>
      <c r="DY34" s="546"/>
      <c r="DZ34" s="546"/>
      <c r="EA34" s="546"/>
      <c r="EB34" s="547"/>
      <c r="EC34" s="548"/>
      <c r="ED34" s="546"/>
      <c r="EE34" s="546"/>
      <c r="EF34" s="546"/>
      <c r="EG34" s="546"/>
      <c r="EH34" s="547"/>
      <c r="EI34" s="546"/>
      <c r="EJ34" s="546"/>
      <c r="EK34" s="546"/>
      <c r="EL34" s="546"/>
      <c r="EM34" s="546"/>
      <c r="EN34" s="546"/>
      <c r="EO34" s="548"/>
      <c r="EP34" s="546"/>
      <c r="EQ34" s="546"/>
      <c r="ER34" s="546"/>
      <c r="ES34" s="546"/>
      <c r="ET34" s="549"/>
      <c r="EU34" s="545"/>
      <c r="EV34" s="546"/>
      <c r="EW34" s="546"/>
      <c r="EX34" s="546"/>
      <c r="EY34" s="546"/>
      <c r="EZ34" s="547"/>
      <c r="FA34" s="548"/>
      <c r="FB34" s="546"/>
      <c r="FC34" s="546"/>
      <c r="FD34" s="546"/>
      <c r="FE34" s="546"/>
      <c r="FF34" s="547"/>
      <c r="FG34" s="548"/>
      <c r="FH34" s="546"/>
      <c r="FI34" s="546"/>
      <c r="FJ34" s="546"/>
      <c r="FK34" s="546"/>
      <c r="FL34" s="547"/>
      <c r="FM34" s="546"/>
      <c r="FN34" s="546"/>
      <c r="FO34" s="546"/>
      <c r="FP34" s="546"/>
      <c r="FQ34" s="546"/>
      <c r="FR34" s="546"/>
      <c r="FS34" s="548"/>
      <c r="FT34" s="546"/>
      <c r="FU34" s="546"/>
      <c r="FV34" s="546"/>
      <c r="FW34" s="546"/>
      <c r="FX34" s="547"/>
      <c r="FY34" s="546"/>
      <c r="FZ34" s="546"/>
      <c r="GA34" s="546"/>
      <c r="GB34" s="546"/>
      <c r="GC34" s="546"/>
      <c r="GD34" s="546"/>
      <c r="GE34" s="548"/>
      <c r="GF34" s="546"/>
      <c r="GG34" s="546"/>
      <c r="GH34" s="546"/>
      <c r="GI34" s="546"/>
      <c r="GJ34" s="547"/>
      <c r="GK34" s="546"/>
      <c r="GL34" s="546"/>
      <c r="GM34" s="546"/>
      <c r="GN34" s="546"/>
      <c r="GO34" s="546"/>
      <c r="GP34" s="546"/>
      <c r="GQ34" s="548"/>
      <c r="GR34" s="546"/>
      <c r="GS34" s="546"/>
      <c r="GT34" s="546"/>
      <c r="GU34" s="546"/>
      <c r="GV34" s="547"/>
      <c r="GW34" s="548"/>
      <c r="GX34" s="546"/>
      <c r="GY34" s="546"/>
      <c r="GZ34" s="546"/>
      <c r="HA34" s="546"/>
      <c r="HB34" s="547"/>
      <c r="HC34" s="546"/>
      <c r="HD34" s="546"/>
      <c r="HE34" s="546"/>
      <c r="HF34" s="546"/>
      <c r="HG34" s="546"/>
      <c r="HH34" s="546"/>
      <c r="HI34" s="548"/>
      <c r="HJ34" s="546"/>
      <c r="HK34" s="546"/>
      <c r="HL34" s="546"/>
      <c r="HM34" s="546"/>
      <c r="HN34" s="549"/>
      <c r="HO34" s="545"/>
      <c r="HP34" s="546"/>
      <c r="HQ34" s="546"/>
      <c r="HR34" s="546"/>
      <c r="HS34" s="546"/>
      <c r="HT34" s="547"/>
      <c r="HU34" s="548"/>
      <c r="HV34" s="546"/>
      <c r="HW34" s="546"/>
      <c r="HX34" s="546"/>
      <c r="HY34" s="546"/>
      <c r="HZ34" s="547"/>
      <c r="IA34" s="548"/>
      <c r="IB34" s="546"/>
      <c r="IC34" s="546"/>
      <c r="ID34" s="546"/>
      <c r="IE34" s="546"/>
      <c r="IF34" s="547"/>
      <c r="IG34" s="546"/>
      <c r="IH34" s="546"/>
      <c r="II34" s="546"/>
      <c r="IJ34" s="546"/>
      <c r="IK34" s="546"/>
      <c r="IL34" s="546"/>
      <c r="IM34" s="548"/>
      <c r="IN34" s="546"/>
      <c r="IO34" s="546"/>
      <c r="IP34" s="546"/>
      <c r="IQ34" s="546"/>
      <c r="IR34" s="547"/>
      <c r="IS34" s="546"/>
      <c r="IT34" s="546"/>
      <c r="IU34" s="546"/>
      <c r="IV34" s="546"/>
      <c r="IW34" s="546"/>
      <c r="IX34" s="546"/>
      <c r="IY34" s="548"/>
      <c r="IZ34" s="546"/>
      <c r="JA34" s="546"/>
      <c r="JB34" s="546"/>
      <c r="JC34" s="546"/>
      <c r="JD34" s="547"/>
      <c r="JE34" s="546"/>
      <c r="JF34" s="546"/>
      <c r="JG34" s="546"/>
      <c r="JH34" s="546"/>
      <c r="JI34" s="546"/>
      <c r="JJ34" s="546"/>
      <c r="JK34" s="548"/>
      <c r="JL34" s="546"/>
      <c r="JM34" s="546"/>
      <c r="JN34" s="546"/>
      <c r="JO34" s="546"/>
      <c r="JP34" s="547"/>
      <c r="JQ34" s="548"/>
      <c r="JR34" s="546"/>
      <c r="JS34" s="546"/>
      <c r="JT34" s="546"/>
      <c r="JU34" s="546"/>
      <c r="JV34" s="547"/>
      <c r="JW34" s="546"/>
      <c r="JX34" s="546"/>
      <c r="JY34" s="546"/>
      <c r="JZ34" s="546"/>
      <c r="KA34" s="546"/>
      <c r="KB34" s="546"/>
      <c r="KC34" s="548"/>
      <c r="KD34" s="546"/>
      <c r="KE34" s="546"/>
      <c r="KF34" s="546"/>
      <c r="KG34" s="546"/>
      <c r="KH34" s="549"/>
      <c r="KI34" s="545"/>
      <c r="KJ34" s="546"/>
      <c r="KK34" s="546"/>
      <c r="KL34" s="546"/>
      <c r="KM34" s="546"/>
      <c r="KN34" s="547"/>
      <c r="KO34" s="548"/>
      <c r="KP34" s="546"/>
      <c r="KQ34" s="546"/>
      <c r="KR34" s="546"/>
      <c r="KS34" s="546"/>
      <c r="KT34" s="547"/>
      <c r="KU34" s="548"/>
      <c r="KV34" s="546"/>
      <c r="KW34" s="546"/>
      <c r="KX34" s="546"/>
      <c r="KY34" s="546"/>
      <c r="KZ34" s="547"/>
      <c r="LA34" s="546"/>
      <c r="LB34" s="546"/>
      <c r="LC34" s="546"/>
      <c r="LD34" s="546"/>
      <c r="LE34" s="546"/>
      <c r="LF34" s="546"/>
      <c r="LG34" s="548"/>
      <c r="LH34" s="546"/>
      <c r="LI34" s="546"/>
      <c r="LJ34" s="546"/>
      <c r="LK34" s="546"/>
      <c r="LL34" s="547"/>
      <c r="LM34" s="546"/>
      <c r="LN34" s="546"/>
      <c r="LO34" s="546"/>
      <c r="LP34" s="546"/>
      <c r="LQ34" s="546"/>
      <c r="LR34" s="546"/>
      <c r="LS34" s="548"/>
      <c r="LT34" s="546"/>
      <c r="LU34" s="546"/>
      <c r="LV34" s="546"/>
      <c r="LW34" s="546"/>
      <c r="LX34" s="547"/>
      <c r="LY34" s="546"/>
      <c r="LZ34" s="546"/>
      <c r="MA34" s="546"/>
      <c r="MB34" s="546"/>
      <c r="MC34" s="546"/>
      <c r="MD34" s="546"/>
      <c r="ME34" s="548"/>
      <c r="MF34" s="546"/>
      <c r="MG34" s="546"/>
      <c r="MH34" s="546"/>
      <c r="MI34" s="546"/>
      <c r="MJ34" s="547"/>
      <c r="MK34" s="548"/>
      <c r="ML34" s="546"/>
      <c r="MM34" s="546"/>
      <c r="MN34" s="546"/>
      <c r="MO34" s="546"/>
      <c r="MP34" s="547"/>
      <c r="MQ34" s="546"/>
      <c r="MR34" s="546"/>
      <c r="MS34" s="546"/>
      <c r="MT34" s="546"/>
      <c r="MU34" s="546"/>
      <c r="MV34" s="546"/>
      <c r="MW34" s="548"/>
      <c r="MX34" s="546"/>
      <c r="MY34" s="546"/>
      <c r="MZ34" s="546"/>
      <c r="NA34" s="546"/>
      <c r="NB34" s="549"/>
      <c r="NC34" s="545"/>
      <c r="ND34" s="546"/>
      <c r="NE34" s="546"/>
      <c r="NF34" s="546"/>
      <c r="NG34" s="546"/>
      <c r="NH34" s="547"/>
      <c r="NI34" s="548"/>
      <c r="NJ34" s="546"/>
      <c r="NK34" s="546"/>
      <c r="NL34" s="546"/>
      <c r="NM34" s="546"/>
      <c r="NN34" s="547"/>
      <c r="NO34" s="548"/>
      <c r="NP34" s="546"/>
      <c r="NQ34" s="546"/>
      <c r="NR34" s="546"/>
      <c r="NS34" s="546"/>
      <c r="NT34" s="547"/>
      <c r="NU34" s="546"/>
      <c r="NV34" s="546"/>
      <c r="NW34" s="546"/>
      <c r="NX34" s="546"/>
      <c r="NY34" s="546"/>
      <c r="NZ34" s="546"/>
      <c r="OA34" s="548"/>
      <c r="OB34" s="546"/>
      <c r="OC34" s="546"/>
      <c r="OD34" s="546"/>
      <c r="OE34" s="546"/>
      <c r="OF34" s="547"/>
      <c r="OG34" s="546"/>
      <c r="OH34" s="546"/>
      <c r="OI34" s="546"/>
      <c r="OJ34" s="546"/>
      <c r="OK34" s="546"/>
      <c r="OL34" s="546"/>
      <c r="OM34" s="548"/>
      <c r="ON34" s="546"/>
      <c r="OO34" s="546"/>
      <c r="OP34" s="546"/>
      <c r="OQ34" s="546"/>
      <c r="OR34" s="547"/>
      <c r="OS34" s="546"/>
      <c r="OT34" s="546"/>
      <c r="OU34" s="546"/>
      <c r="OV34" s="546"/>
      <c r="OW34" s="546"/>
      <c r="OX34" s="546"/>
      <c r="OY34" s="548"/>
      <c r="OZ34" s="546"/>
      <c r="PA34" s="546"/>
      <c r="PB34" s="546"/>
      <c r="PC34" s="546"/>
      <c r="PD34" s="547"/>
      <c r="PE34" s="548"/>
      <c r="PF34" s="546"/>
      <c r="PG34" s="546"/>
      <c r="PH34" s="546"/>
      <c r="PI34" s="546"/>
      <c r="PJ34" s="547"/>
      <c r="PK34" s="546"/>
      <c r="PL34" s="546"/>
      <c r="PM34" s="546"/>
      <c r="PN34" s="546"/>
      <c r="PO34" s="546"/>
      <c r="PP34" s="546"/>
      <c r="PQ34" s="548"/>
      <c r="PR34" s="546"/>
      <c r="PS34" s="546"/>
      <c r="PT34" s="546"/>
      <c r="PU34" s="546"/>
      <c r="PV34" s="549"/>
      <c r="PW34" s="545"/>
      <c r="PX34" s="546"/>
      <c r="PY34" s="546"/>
      <c r="PZ34" s="546"/>
      <c r="QA34" s="546"/>
      <c r="QB34" s="547"/>
      <c r="QC34" s="548"/>
      <c r="QD34" s="546"/>
      <c r="QE34" s="546"/>
      <c r="QF34" s="546"/>
      <c r="QG34" s="546"/>
      <c r="QH34" s="547"/>
      <c r="QI34" s="548"/>
      <c r="QJ34" s="546"/>
      <c r="QK34" s="546"/>
      <c r="QL34" s="546"/>
      <c r="QM34" s="546"/>
      <c r="QN34" s="547"/>
      <c r="QO34" s="546"/>
      <c r="QP34" s="546"/>
      <c r="QQ34" s="546"/>
      <c r="QR34" s="546"/>
      <c r="QS34" s="546"/>
      <c r="QT34" s="546"/>
      <c r="QU34" s="548"/>
      <c r="QV34" s="546"/>
      <c r="QW34" s="546"/>
      <c r="QX34" s="546"/>
      <c r="QY34" s="546"/>
      <c r="QZ34" s="547"/>
      <c r="RA34" s="546"/>
      <c r="RB34" s="546"/>
      <c r="RC34" s="546"/>
      <c r="RD34" s="546"/>
      <c r="RE34" s="546"/>
      <c r="RF34" s="546"/>
      <c r="RG34" s="548"/>
      <c r="RH34" s="546"/>
      <c r="RI34" s="546"/>
      <c r="RJ34" s="546"/>
      <c r="RK34" s="546"/>
      <c r="RL34" s="547"/>
      <c r="RM34" s="546"/>
      <c r="RN34" s="546"/>
      <c r="RO34" s="546"/>
      <c r="RP34" s="546"/>
      <c r="RQ34" s="546"/>
      <c r="RR34" s="546"/>
      <c r="RS34" s="548"/>
      <c r="RT34" s="546"/>
      <c r="RU34" s="546"/>
      <c r="RV34" s="546"/>
      <c r="RW34" s="546"/>
      <c r="RX34" s="547"/>
      <c r="RY34" s="548"/>
      <c r="RZ34" s="546"/>
      <c r="SA34" s="546"/>
      <c r="SB34" s="546"/>
      <c r="SC34" s="546"/>
      <c r="SD34" s="547"/>
      <c r="SE34" s="546"/>
      <c r="SF34" s="546"/>
      <c r="SG34" s="546"/>
      <c r="SH34" s="546"/>
      <c r="SI34" s="546"/>
      <c r="SJ34" s="546"/>
      <c r="SK34" s="548"/>
      <c r="SL34" s="546"/>
      <c r="SM34" s="546"/>
      <c r="SN34" s="546"/>
      <c r="SO34" s="546"/>
      <c r="SP34" s="549"/>
      <c r="SQ34" s="545"/>
      <c r="SR34" s="546"/>
      <c r="SS34" s="546"/>
      <c r="ST34" s="546"/>
      <c r="SU34" s="546"/>
      <c r="SV34" s="547"/>
      <c r="SW34" s="548"/>
      <c r="SX34" s="546"/>
      <c r="SY34" s="546"/>
      <c r="SZ34" s="546"/>
      <c r="TA34" s="546"/>
      <c r="TB34" s="547"/>
      <c r="TC34" s="548"/>
      <c r="TD34" s="546"/>
      <c r="TE34" s="546"/>
      <c r="TF34" s="546"/>
      <c r="TG34" s="546"/>
      <c r="TH34" s="547"/>
      <c r="TI34" s="546"/>
      <c r="TJ34" s="546"/>
      <c r="TK34" s="546"/>
      <c r="TL34" s="546"/>
      <c r="TM34" s="546"/>
      <c r="TN34" s="546"/>
      <c r="TO34" s="548"/>
      <c r="TP34" s="546"/>
      <c r="TQ34" s="546"/>
      <c r="TR34" s="546"/>
      <c r="TS34" s="546"/>
      <c r="TT34" s="547"/>
      <c r="TU34" s="546"/>
      <c r="TV34" s="546"/>
      <c r="TW34" s="546"/>
      <c r="TX34" s="546"/>
      <c r="TY34" s="546"/>
      <c r="TZ34" s="546"/>
      <c r="UA34" s="548"/>
      <c r="UB34" s="546"/>
      <c r="UC34" s="546"/>
      <c r="UD34" s="546"/>
      <c r="UE34" s="546"/>
      <c r="UF34" s="547"/>
      <c r="UG34" s="546"/>
      <c r="UH34" s="546"/>
      <c r="UI34" s="546"/>
      <c r="UJ34" s="546"/>
      <c r="UK34" s="546"/>
      <c r="UL34" s="546"/>
      <c r="UM34" s="548"/>
      <c r="UN34" s="546"/>
      <c r="UO34" s="546"/>
      <c r="UP34" s="546"/>
      <c r="UQ34" s="546"/>
      <c r="UR34" s="547"/>
      <c r="US34" s="548"/>
      <c r="UT34" s="546"/>
      <c r="UU34" s="546"/>
      <c r="UV34" s="546"/>
      <c r="UW34" s="546"/>
      <c r="UX34" s="547"/>
      <c r="UY34" s="546"/>
      <c r="UZ34" s="546"/>
      <c r="VA34" s="546"/>
      <c r="VB34" s="546"/>
      <c r="VC34" s="546"/>
      <c r="VD34" s="546"/>
      <c r="VE34" s="548"/>
      <c r="VF34" s="546"/>
      <c r="VG34" s="546"/>
      <c r="VH34" s="546"/>
      <c r="VI34" s="546"/>
      <c r="VJ34" s="549"/>
    </row>
    <row r="35" spans="3:582" s="52" customFormat="1" ht="19.5" customHeight="1" x14ac:dyDescent="0.25">
      <c r="C35" s="538"/>
      <c r="D35" s="541"/>
      <c r="E35" s="541"/>
      <c r="F35" s="543"/>
      <c r="G35" s="277"/>
      <c r="H35" s="273"/>
      <c r="I35" s="273"/>
      <c r="J35" s="273"/>
      <c r="K35" s="273"/>
      <c r="L35" s="274"/>
      <c r="M35" s="275"/>
      <c r="N35" s="273"/>
      <c r="O35" s="273"/>
      <c r="P35" s="273"/>
      <c r="Q35" s="273"/>
      <c r="R35" s="274"/>
      <c r="S35" s="275"/>
      <c r="T35" s="273"/>
      <c r="U35" s="273"/>
      <c r="V35" s="273"/>
      <c r="W35" s="273"/>
      <c r="X35" s="274"/>
      <c r="Y35" s="275"/>
      <c r="Z35" s="273"/>
      <c r="AA35" s="273"/>
      <c r="AB35" s="273"/>
      <c r="AC35" s="273"/>
      <c r="AD35" s="273"/>
      <c r="AE35" s="275"/>
      <c r="AF35" s="273"/>
      <c r="AG35" s="273"/>
      <c r="AH35" s="273"/>
      <c r="AI35" s="273"/>
      <c r="AJ35" s="274"/>
      <c r="AK35" s="273"/>
      <c r="AL35" s="273"/>
      <c r="AM35" s="273"/>
      <c r="AN35" s="273"/>
      <c r="AO35" s="273"/>
      <c r="AP35" s="273"/>
      <c r="AQ35" s="275"/>
      <c r="AR35" s="273"/>
      <c r="AS35" s="273"/>
      <c r="AT35" s="273"/>
      <c r="AU35" s="273"/>
      <c r="AV35" s="274"/>
      <c r="AW35" s="273"/>
      <c r="AX35" s="273"/>
      <c r="AY35" s="273"/>
      <c r="AZ35" s="273"/>
      <c r="BA35" s="273"/>
      <c r="BB35" s="273"/>
      <c r="BC35" s="275"/>
      <c r="BD35" s="273"/>
      <c r="BE35" s="273"/>
      <c r="BF35" s="273"/>
      <c r="BG35" s="273"/>
      <c r="BH35" s="274"/>
      <c r="BI35" s="275"/>
      <c r="BJ35" s="273"/>
      <c r="BK35" s="273"/>
      <c r="BL35" s="273"/>
      <c r="BM35" s="273"/>
      <c r="BN35" s="274"/>
      <c r="BO35" s="273"/>
      <c r="BP35" s="273"/>
      <c r="BQ35" s="273"/>
      <c r="BR35" s="273"/>
      <c r="BS35" s="273"/>
      <c r="BT35" s="274"/>
      <c r="BU35" s="273"/>
      <c r="BV35" s="273"/>
      <c r="BW35" s="273"/>
      <c r="BX35" s="273"/>
      <c r="BY35" s="273"/>
      <c r="BZ35" s="276"/>
      <c r="CA35" s="277"/>
      <c r="CB35" s="273"/>
      <c r="CC35" s="273"/>
      <c r="CD35" s="273"/>
      <c r="CE35" s="273"/>
      <c r="CF35" s="274"/>
      <c r="CG35" s="275"/>
      <c r="CH35" s="273"/>
      <c r="CI35" s="273"/>
      <c r="CJ35" s="273"/>
      <c r="CK35" s="273"/>
      <c r="CL35" s="274"/>
      <c r="CM35" s="275"/>
      <c r="CN35" s="273"/>
      <c r="CO35" s="273"/>
      <c r="CP35" s="273"/>
      <c r="CQ35" s="273"/>
      <c r="CR35" s="274"/>
      <c r="CS35" s="275"/>
      <c r="CT35" s="273"/>
      <c r="CU35" s="273"/>
      <c r="CV35" s="273"/>
      <c r="CW35" s="273"/>
      <c r="CX35" s="273"/>
      <c r="CY35" s="275"/>
      <c r="CZ35" s="273"/>
      <c r="DA35" s="273"/>
      <c r="DB35" s="273"/>
      <c r="DC35" s="273"/>
      <c r="DD35" s="274"/>
      <c r="DE35" s="273"/>
      <c r="DF35" s="273"/>
      <c r="DG35" s="273"/>
      <c r="DH35" s="273"/>
      <c r="DI35" s="273"/>
      <c r="DJ35" s="273"/>
      <c r="DK35" s="275"/>
      <c r="DL35" s="273"/>
      <c r="DM35" s="273"/>
      <c r="DN35" s="273"/>
      <c r="DO35" s="273"/>
      <c r="DP35" s="274"/>
      <c r="DQ35" s="273"/>
      <c r="DR35" s="273"/>
      <c r="DS35" s="273"/>
      <c r="DT35" s="273"/>
      <c r="DU35" s="273"/>
      <c r="DV35" s="273"/>
      <c r="DW35" s="275"/>
      <c r="DX35" s="273"/>
      <c r="DY35" s="273"/>
      <c r="DZ35" s="273"/>
      <c r="EA35" s="273"/>
      <c r="EB35" s="274"/>
      <c r="EC35" s="275"/>
      <c r="ED35" s="273"/>
      <c r="EE35" s="273"/>
      <c r="EF35" s="273"/>
      <c r="EG35" s="273"/>
      <c r="EH35" s="274"/>
      <c r="EI35" s="273"/>
      <c r="EJ35" s="273"/>
      <c r="EK35" s="273"/>
      <c r="EL35" s="273"/>
      <c r="EM35" s="273"/>
      <c r="EN35" s="274"/>
      <c r="EO35" s="273"/>
      <c r="EP35" s="273"/>
      <c r="EQ35" s="273"/>
      <c r="ER35" s="273"/>
      <c r="ES35" s="273"/>
      <c r="ET35" s="276"/>
      <c r="EU35" s="273"/>
      <c r="EV35" s="273"/>
      <c r="EW35" s="273"/>
      <c r="EX35" s="273"/>
      <c r="EY35" s="273"/>
      <c r="EZ35" s="274"/>
      <c r="FA35" s="275"/>
      <c r="FB35" s="273"/>
      <c r="FC35" s="273"/>
      <c r="FD35" s="273"/>
      <c r="FE35" s="273"/>
      <c r="FF35" s="274"/>
      <c r="FG35" s="275"/>
      <c r="FH35" s="273"/>
      <c r="FI35" s="273"/>
      <c r="FJ35" s="273"/>
      <c r="FK35" s="273"/>
      <c r="FL35" s="274"/>
      <c r="FM35" s="275"/>
      <c r="FN35" s="273"/>
      <c r="FO35" s="273"/>
      <c r="FP35" s="273"/>
      <c r="FQ35" s="273"/>
      <c r="FR35" s="273"/>
      <c r="FS35" s="275"/>
      <c r="FT35" s="273"/>
      <c r="FU35" s="273"/>
      <c r="FV35" s="273"/>
      <c r="FW35" s="273"/>
      <c r="FX35" s="274"/>
      <c r="FY35" s="273"/>
      <c r="FZ35" s="273"/>
      <c r="GA35" s="273"/>
      <c r="GB35" s="273"/>
      <c r="GC35" s="273"/>
      <c r="GD35" s="273"/>
      <c r="GE35" s="275"/>
      <c r="GF35" s="273"/>
      <c r="GG35" s="273"/>
      <c r="GH35" s="273"/>
      <c r="GI35" s="273"/>
      <c r="GJ35" s="274"/>
      <c r="GK35" s="273"/>
      <c r="GL35" s="273"/>
      <c r="GM35" s="273"/>
      <c r="GN35" s="273"/>
      <c r="GO35" s="273"/>
      <c r="GP35" s="273"/>
      <c r="GQ35" s="275"/>
      <c r="GR35" s="273"/>
      <c r="GS35" s="273"/>
      <c r="GT35" s="273"/>
      <c r="GU35" s="273"/>
      <c r="GV35" s="274"/>
      <c r="GW35" s="275"/>
      <c r="GX35" s="273"/>
      <c r="GY35" s="273"/>
      <c r="GZ35" s="273"/>
      <c r="HA35" s="273"/>
      <c r="HB35" s="274"/>
      <c r="HC35" s="273"/>
      <c r="HD35" s="273"/>
      <c r="HE35" s="273"/>
      <c r="HF35" s="273"/>
      <c r="HG35" s="273"/>
      <c r="HH35" s="273"/>
      <c r="HI35" s="275"/>
      <c r="HJ35" s="273"/>
      <c r="HK35" s="273"/>
      <c r="HL35" s="273"/>
      <c r="HM35" s="273"/>
      <c r="HN35" s="276"/>
      <c r="HO35" s="273"/>
      <c r="HP35" s="273"/>
      <c r="HQ35" s="273"/>
      <c r="HR35" s="273"/>
      <c r="HS35" s="273"/>
      <c r="HT35" s="274"/>
      <c r="HU35" s="275"/>
      <c r="HV35" s="273"/>
      <c r="HW35" s="273"/>
      <c r="HX35" s="273"/>
      <c r="HY35" s="273"/>
      <c r="HZ35" s="274"/>
      <c r="IA35" s="275"/>
      <c r="IB35" s="273"/>
      <c r="IC35" s="273"/>
      <c r="ID35" s="273"/>
      <c r="IE35" s="273"/>
      <c r="IF35" s="274"/>
      <c r="IG35" s="275"/>
      <c r="IH35" s="273"/>
      <c r="II35" s="273"/>
      <c r="IJ35" s="273"/>
      <c r="IK35" s="273"/>
      <c r="IL35" s="273"/>
      <c r="IM35" s="275"/>
      <c r="IN35" s="273"/>
      <c r="IO35" s="273"/>
      <c r="IP35" s="273"/>
      <c r="IQ35" s="273"/>
      <c r="IR35" s="274"/>
      <c r="IS35" s="273"/>
      <c r="IT35" s="273"/>
      <c r="IU35" s="273"/>
      <c r="IV35" s="273"/>
      <c r="IW35" s="273"/>
      <c r="IX35" s="273"/>
      <c r="IY35" s="275"/>
      <c r="IZ35" s="273"/>
      <c r="JA35" s="273"/>
      <c r="JB35" s="273"/>
      <c r="JC35" s="273"/>
      <c r="JD35" s="274"/>
      <c r="JE35" s="273"/>
      <c r="JF35" s="273"/>
      <c r="JG35" s="273"/>
      <c r="JH35" s="273"/>
      <c r="JI35" s="273"/>
      <c r="JJ35" s="273"/>
      <c r="JK35" s="275"/>
      <c r="JL35" s="273"/>
      <c r="JM35" s="273"/>
      <c r="JN35" s="273"/>
      <c r="JO35" s="273"/>
      <c r="JP35" s="274"/>
      <c r="JQ35" s="275"/>
      <c r="JR35" s="273"/>
      <c r="JS35" s="273"/>
      <c r="JT35" s="273"/>
      <c r="JU35" s="273"/>
      <c r="JV35" s="274"/>
      <c r="JW35" s="273"/>
      <c r="JX35" s="273"/>
      <c r="JY35" s="273"/>
      <c r="JZ35" s="273"/>
      <c r="KA35" s="273"/>
      <c r="KB35" s="273"/>
      <c r="KC35" s="275"/>
      <c r="KD35" s="273"/>
      <c r="KE35" s="273"/>
      <c r="KF35" s="273"/>
      <c r="KG35" s="273"/>
      <c r="KH35" s="276"/>
      <c r="KI35" s="273"/>
      <c r="KJ35" s="273"/>
      <c r="KK35" s="273"/>
      <c r="KL35" s="273"/>
      <c r="KM35" s="273"/>
      <c r="KN35" s="274"/>
      <c r="KO35" s="275"/>
      <c r="KP35" s="273"/>
      <c r="KQ35" s="273"/>
      <c r="KR35" s="273"/>
      <c r="KS35" s="273"/>
      <c r="KT35" s="274"/>
      <c r="KU35" s="275"/>
      <c r="KV35" s="273"/>
      <c r="KW35" s="273"/>
      <c r="KX35" s="273"/>
      <c r="KY35" s="273"/>
      <c r="KZ35" s="274"/>
      <c r="LA35" s="275"/>
      <c r="LB35" s="273"/>
      <c r="LC35" s="273"/>
      <c r="LD35" s="273"/>
      <c r="LE35" s="273"/>
      <c r="LF35" s="273"/>
      <c r="LG35" s="275"/>
      <c r="LH35" s="273"/>
      <c r="LI35" s="273"/>
      <c r="LJ35" s="273"/>
      <c r="LK35" s="273"/>
      <c r="LL35" s="274"/>
      <c r="LM35" s="273"/>
      <c r="LN35" s="273"/>
      <c r="LO35" s="273"/>
      <c r="LP35" s="273"/>
      <c r="LQ35" s="273"/>
      <c r="LR35" s="273"/>
      <c r="LS35" s="275"/>
      <c r="LT35" s="273"/>
      <c r="LU35" s="273"/>
      <c r="LV35" s="273"/>
      <c r="LW35" s="273"/>
      <c r="LX35" s="274"/>
      <c r="LY35" s="273"/>
      <c r="LZ35" s="273"/>
      <c r="MA35" s="273"/>
      <c r="MB35" s="273"/>
      <c r="MC35" s="273"/>
      <c r="MD35" s="273"/>
      <c r="ME35" s="275"/>
      <c r="MF35" s="273"/>
      <c r="MG35" s="273"/>
      <c r="MH35" s="273"/>
      <c r="MI35" s="273"/>
      <c r="MJ35" s="274"/>
      <c r="MK35" s="275"/>
      <c r="ML35" s="273"/>
      <c r="MM35" s="273"/>
      <c r="MN35" s="273"/>
      <c r="MO35" s="273"/>
      <c r="MP35" s="274"/>
      <c r="MQ35" s="273"/>
      <c r="MR35" s="273"/>
      <c r="MS35" s="273"/>
      <c r="MT35" s="273"/>
      <c r="MU35" s="273"/>
      <c r="MV35" s="273"/>
      <c r="MW35" s="275"/>
      <c r="MX35" s="273"/>
      <c r="MY35" s="273"/>
      <c r="MZ35" s="273"/>
      <c r="NA35" s="273"/>
      <c r="NB35" s="276"/>
      <c r="NC35" s="273"/>
      <c r="ND35" s="273"/>
      <c r="NE35" s="273"/>
      <c r="NF35" s="273"/>
      <c r="NG35" s="273"/>
      <c r="NH35" s="274"/>
      <c r="NI35" s="275"/>
      <c r="NJ35" s="273"/>
      <c r="NK35" s="273"/>
      <c r="NL35" s="273"/>
      <c r="NM35" s="273"/>
      <c r="NN35" s="274"/>
      <c r="NO35" s="275"/>
      <c r="NP35" s="273"/>
      <c r="NQ35" s="273"/>
      <c r="NR35" s="273"/>
      <c r="NS35" s="273"/>
      <c r="NT35" s="274"/>
      <c r="NU35" s="275"/>
      <c r="NV35" s="273"/>
      <c r="NW35" s="273"/>
      <c r="NX35" s="273"/>
      <c r="NY35" s="273"/>
      <c r="NZ35" s="273"/>
      <c r="OA35" s="275"/>
      <c r="OB35" s="273"/>
      <c r="OC35" s="273"/>
      <c r="OD35" s="273"/>
      <c r="OE35" s="273"/>
      <c r="OF35" s="274"/>
      <c r="OG35" s="273"/>
      <c r="OH35" s="273"/>
      <c r="OI35" s="273"/>
      <c r="OJ35" s="273"/>
      <c r="OK35" s="273"/>
      <c r="OL35" s="273"/>
      <c r="OM35" s="275"/>
      <c r="ON35" s="273"/>
      <c r="OO35" s="273"/>
      <c r="OP35" s="273"/>
      <c r="OQ35" s="273"/>
      <c r="OR35" s="274"/>
      <c r="OS35" s="275"/>
      <c r="OT35" s="273"/>
      <c r="OU35" s="273"/>
      <c r="OV35" s="273"/>
      <c r="OW35" s="273"/>
      <c r="OX35" s="274"/>
      <c r="OY35" s="273"/>
      <c r="OZ35" s="273"/>
      <c r="PA35" s="273"/>
      <c r="PB35" s="273"/>
      <c r="PC35" s="273"/>
      <c r="PD35" s="273"/>
      <c r="PE35" s="275"/>
      <c r="PF35" s="273"/>
      <c r="PG35" s="273"/>
      <c r="PH35" s="273"/>
      <c r="PI35" s="273"/>
      <c r="PJ35" s="273"/>
      <c r="PK35" s="275"/>
      <c r="PL35" s="273"/>
      <c r="PM35" s="273"/>
      <c r="PN35" s="273"/>
      <c r="PO35" s="273"/>
      <c r="PP35" s="273"/>
      <c r="PQ35" s="275"/>
      <c r="PR35" s="273"/>
      <c r="PS35" s="273"/>
      <c r="PT35" s="273"/>
      <c r="PU35" s="273"/>
      <c r="PV35" s="273"/>
      <c r="PW35" s="277"/>
      <c r="PX35" s="273"/>
      <c r="PY35" s="273"/>
      <c r="PZ35" s="273"/>
      <c r="QA35" s="273"/>
      <c r="QB35" s="274"/>
      <c r="QC35" s="273"/>
      <c r="QD35" s="273"/>
      <c r="QE35" s="273"/>
      <c r="QF35" s="273"/>
      <c r="QG35" s="273"/>
      <c r="QH35" s="273"/>
      <c r="QI35" s="275"/>
      <c r="QJ35" s="273"/>
      <c r="QK35" s="273"/>
      <c r="QL35" s="273"/>
      <c r="QM35" s="273"/>
      <c r="QN35" s="273"/>
      <c r="QO35" s="275"/>
      <c r="QP35" s="273"/>
      <c r="QQ35" s="273"/>
      <c r="QR35" s="273"/>
      <c r="QS35" s="273"/>
      <c r="QT35" s="273"/>
      <c r="QU35" s="275"/>
      <c r="QV35" s="273"/>
      <c r="QW35" s="273"/>
      <c r="QX35" s="273"/>
      <c r="QY35" s="273"/>
      <c r="QZ35" s="273"/>
      <c r="RA35" s="275"/>
      <c r="RB35" s="273"/>
      <c r="RC35" s="273"/>
      <c r="RD35" s="273"/>
      <c r="RE35" s="273"/>
      <c r="RF35" s="273"/>
      <c r="RG35" s="275"/>
      <c r="RH35" s="273"/>
      <c r="RI35" s="273"/>
      <c r="RJ35" s="273"/>
      <c r="RK35" s="273"/>
      <c r="RL35" s="274"/>
      <c r="RM35" s="273"/>
      <c r="RN35" s="273"/>
      <c r="RO35" s="273"/>
      <c r="RP35" s="273"/>
      <c r="RQ35" s="273"/>
      <c r="RR35" s="273"/>
      <c r="RS35" s="275"/>
      <c r="RT35" s="273"/>
      <c r="RU35" s="273"/>
      <c r="RV35" s="273"/>
      <c r="RW35" s="273"/>
      <c r="RX35" s="274"/>
      <c r="RY35" s="275"/>
      <c r="RZ35" s="273"/>
      <c r="SA35" s="273"/>
      <c r="SB35" s="273"/>
      <c r="SC35" s="273"/>
      <c r="SD35" s="274"/>
      <c r="SE35" s="273"/>
      <c r="SF35" s="273"/>
      <c r="SG35" s="273"/>
      <c r="SH35" s="273"/>
      <c r="SI35" s="273"/>
      <c r="SJ35" s="273"/>
      <c r="SK35" s="275"/>
      <c r="SL35" s="273"/>
      <c r="SM35" s="273"/>
      <c r="SN35" s="273"/>
      <c r="SO35" s="273"/>
      <c r="SP35" s="276"/>
      <c r="SQ35" s="273"/>
      <c r="SR35" s="273"/>
      <c r="SS35" s="273"/>
      <c r="ST35" s="273"/>
      <c r="SU35" s="273"/>
      <c r="SV35" s="274"/>
      <c r="SW35" s="275"/>
      <c r="SX35" s="273"/>
      <c r="SY35" s="273"/>
      <c r="SZ35" s="273"/>
      <c r="TA35" s="273"/>
      <c r="TB35" s="273"/>
      <c r="TC35" s="275"/>
      <c r="TD35" s="273"/>
      <c r="TE35" s="273"/>
      <c r="TF35" s="273"/>
      <c r="TG35" s="273"/>
      <c r="TH35" s="274"/>
      <c r="TI35" s="273"/>
      <c r="TJ35" s="273"/>
      <c r="TK35" s="273"/>
      <c r="TL35" s="273"/>
      <c r="TM35" s="273"/>
      <c r="TN35" s="273"/>
      <c r="TO35" s="275"/>
      <c r="TP35" s="273"/>
      <c r="TQ35" s="273"/>
      <c r="TR35" s="273"/>
      <c r="TS35" s="273"/>
      <c r="TT35" s="273"/>
      <c r="TU35" s="275"/>
      <c r="TV35" s="273"/>
      <c r="TW35" s="273"/>
      <c r="TX35" s="273"/>
      <c r="TY35" s="273"/>
      <c r="TZ35" s="273"/>
      <c r="UA35" s="275"/>
      <c r="UB35" s="273"/>
      <c r="UC35" s="273"/>
      <c r="UD35" s="273"/>
      <c r="UE35" s="273"/>
      <c r="UF35" s="274"/>
      <c r="UG35" s="273"/>
      <c r="UH35" s="273"/>
      <c r="UI35" s="273"/>
      <c r="UJ35" s="273"/>
      <c r="UK35" s="273"/>
      <c r="UL35" s="273"/>
      <c r="UM35" s="275"/>
      <c r="UN35" s="273"/>
      <c r="UO35" s="273"/>
      <c r="UP35" s="273"/>
      <c r="UQ35" s="273"/>
      <c r="UR35" s="274"/>
      <c r="US35" s="275"/>
      <c r="UT35" s="273"/>
      <c r="UU35" s="273"/>
      <c r="UV35" s="273"/>
      <c r="UW35" s="273"/>
      <c r="UX35" s="274"/>
      <c r="UY35" s="273"/>
      <c r="UZ35" s="273"/>
      <c r="VA35" s="273"/>
      <c r="VB35" s="273"/>
      <c r="VC35" s="273"/>
      <c r="VD35" s="273"/>
      <c r="VE35" s="275"/>
      <c r="VF35" s="273"/>
      <c r="VG35" s="273"/>
      <c r="VH35" s="273"/>
      <c r="VI35" s="273"/>
      <c r="VJ35" s="276"/>
    </row>
    <row r="36" spans="3:582" s="52" customFormat="1" ht="39" customHeight="1" thickBot="1" x14ac:dyDescent="0.3">
      <c r="C36" s="539"/>
      <c r="D36" s="542"/>
      <c r="E36" s="542"/>
      <c r="F36" s="544"/>
      <c r="G36" s="555"/>
      <c r="H36" s="556"/>
      <c r="I36" s="556"/>
      <c r="J36" s="556"/>
      <c r="K36" s="556"/>
      <c r="L36" s="557"/>
      <c r="M36" s="563"/>
      <c r="N36" s="556"/>
      <c r="O36" s="556"/>
      <c r="P36" s="556"/>
      <c r="Q36" s="556"/>
      <c r="R36" s="557"/>
      <c r="S36" s="563"/>
      <c r="T36" s="556"/>
      <c r="U36" s="556"/>
      <c r="V36" s="556"/>
      <c r="W36" s="556"/>
      <c r="X36" s="557"/>
      <c r="Y36" s="564"/>
      <c r="Z36" s="564"/>
      <c r="AA36" s="564"/>
      <c r="AB36" s="564"/>
      <c r="AC36" s="564"/>
      <c r="AD36" s="564"/>
      <c r="AE36" s="565"/>
      <c r="AF36" s="566"/>
      <c r="AG36" s="566"/>
      <c r="AH36" s="566"/>
      <c r="AI36" s="566"/>
      <c r="AJ36" s="567"/>
      <c r="AK36" s="556"/>
      <c r="AL36" s="556"/>
      <c r="AM36" s="556"/>
      <c r="AN36" s="556"/>
      <c r="AO36" s="556"/>
      <c r="AP36" s="556"/>
      <c r="AQ36" s="568"/>
      <c r="AR36" s="569"/>
      <c r="AS36" s="569"/>
      <c r="AT36" s="569"/>
      <c r="AU36" s="569"/>
      <c r="AV36" s="570"/>
      <c r="AW36" s="556"/>
      <c r="AX36" s="556"/>
      <c r="AY36" s="556"/>
      <c r="AZ36" s="556"/>
      <c r="BA36" s="556"/>
      <c r="BB36" s="556"/>
      <c r="BC36" s="563"/>
      <c r="BD36" s="556"/>
      <c r="BE36" s="556"/>
      <c r="BF36" s="556"/>
      <c r="BG36" s="556"/>
      <c r="BH36" s="557"/>
      <c r="BI36" s="563"/>
      <c r="BJ36" s="556"/>
      <c r="BK36" s="556"/>
      <c r="BL36" s="556"/>
      <c r="BM36" s="556"/>
      <c r="BN36" s="557"/>
      <c r="BO36" s="556"/>
      <c r="BP36" s="556"/>
      <c r="BQ36" s="556"/>
      <c r="BR36" s="556"/>
      <c r="BS36" s="556"/>
      <c r="BT36" s="556"/>
      <c r="BU36" s="565"/>
      <c r="BV36" s="566"/>
      <c r="BW36" s="566"/>
      <c r="BX36" s="566"/>
      <c r="BY36" s="566"/>
      <c r="BZ36" s="566"/>
      <c r="CA36" s="584"/>
      <c r="CB36" s="566"/>
      <c r="CC36" s="566"/>
      <c r="CD36" s="566"/>
      <c r="CE36" s="566"/>
      <c r="CF36" s="567"/>
      <c r="CG36" s="563"/>
      <c r="CH36" s="556"/>
      <c r="CI36" s="556"/>
      <c r="CJ36" s="556"/>
      <c r="CK36" s="556"/>
      <c r="CL36" s="557"/>
      <c r="CM36" s="563"/>
      <c r="CN36" s="556"/>
      <c r="CO36" s="556"/>
      <c r="CP36" s="556"/>
      <c r="CQ36" s="556"/>
      <c r="CR36" s="557"/>
      <c r="CS36" s="564"/>
      <c r="CT36" s="564"/>
      <c r="CU36" s="564"/>
      <c r="CV36" s="564"/>
      <c r="CW36" s="564"/>
      <c r="CX36" s="564"/>
      <c r="CY36" s="565"/>
      <c r="CZ36" s="566"/>
      <c r="DA36" s="566"/>
      <c r="DB36" s="566"/>
      <c r="DC36" s="566"/>
      <c r="DD36" s="566"/>
      <c r="DE36" s="563"/>
      <c r="DF36" s="556"/>
      <c r="DG36" s="556"/>
      <c r="DH36" s="556"/>
      <c r="DI36" s="556"/>
      <c r="DJ36" s="557"/>
      <c r="DK36" s="568"/>
      <c r="DL36" s="569"/>
      <c r="DM36" s="569"/>
      <c r="DN36" s="569"/>
      <c r="DO36" s="569"/>
      <c r="DP36" s="570"/>
      <c r="DQ36" s="556"/>
      <c r="DR36" s="556"/>
      <c r="DS36" s="556"/>
      <c r="DT36" s="556"/>
      <c r="DU36" s="556"/>
      <c r="DV36" s="556"/>
      <c r="DW36" s="563"/>
      <c r="DX36" s="556"/>
      <c r="DY36" s="556"/>
      <c r="DZ36" s="556"/>
      <c r="EA36" s="556"/>
      <c r="EB36" s="557"/>
      <c r="EC36" s="563"/>
      <c r="ED36" s="556"/>
      <c r="EE36" s="556"/>
      <c r="EF36" s="556"/>
      <c r="EG36" s="556"/>
      <c r="EH36" s="557"/>
      <c r="EI36" s="556"/>
      <c r="EJ36" s="556"/>
      <c r="EK36" s="556"/>
      <c r="EL36" s="556"/>
      <c r="EM36" s="556"/>
      <c r="EN36" s="556"/>
      <c r="EO36" s="563"/>
      <c r="EP36" s="556"/>
      <c r="EQ36" s="556"/>
      <c r="ER36" s="556"/>
      <c r="ES36" s="556"/>
      <c r="ET36" s="571"/>
      <c r="EU36" s="565"/>
      <c r="EV36" s="566"/>
      <c r="EW36" s="566"/>
      <c r="EX36" s="566"/>
      <c r="EY36" s="566"/>
      <c r="EZ36" s="566"/>
      <c r="FA36" s="563"/>
      <c r="FB36" s="556"/>
      <c r="FC36" s="556"/>
      <c r="FD36" s="556"/>
      <c r="FE36" s="556"/>
      <c r="FF36" s="557"/>
      <c r="FG36" s="563"/>
      <c r="FH36" s="556"/>
      <c r="FI36" s="556"/>
      <c r="FJ36" s="556"/>
      <c r="FK36" s="556"/>
      <c r="FL36" s="557"/>
      <c r="FM36" s="564"/>
      <c r="FN36" s="564"/>
      <c r="FO36" s="564"/>
      <c r="FP36" s="564"/>
      <c r="FQ36" s="564"/>
      <c r="FR36" s="564"/>
      <c r="FS36" s="565"/>
      <c r="FT36" s="566"/>
      <c r="FU36" s="566"/>
      <c r="FV36" s="566"/>
      <c r="FW36" s="566"/>
      <c r="FX36" s="566"/>
      <c r="FY36" s="565"/>
      <c r="FZ36" s="566"/>
      <c r="GA36" s="566"/>
      <c r="GB36" s="566"/>
      <c r="GC36" s="566"/>
      <c r="GD36" s="566"/>
      <c r="GE36" s="568"/>
      <c r="GF36" s="569"/>
      <c r="GG36" s="569"/>
      <c r="GH36" s="569"/>
      <c r="GI36" s="569"/>
      <c r="GJ36" s="570"/>
      <c r="GK36" s="556"/>
      <c r="GL36" s="556"/>
      <c r="GM36" s="556"/>
      <c r="GN36" s="556"/>
      <c r="GO36" s="556"/>
      <c r="GP36" s="556"/>
      <c r="GQ36" s="563"/>
      <c r="GR36" s="556"/>
      <c r="GS36" s="556"/>
      <c r="GT36" s="556"/>
      <c r="GU36" s="556"/>
      <c r="GV36" s="557"/>
      <c r="GW36" s="563"/>
      <c r="GX36" s="556"/>
      <c r="GY36" s="556"/>
      <c r="GZ36" s="556"/>
      <c r="HA36" s="556"/>
      <c r="HB36" s="557"/>
      <c r="HC36" s="556"/>
      <c r="HD36" s="556"/>
      <c r="HE36" s="556"/>
      <c r="HF36" s="556"/>
      <c r="HG36" s="556"/>
      <c r="HH36" s="556"/>
      <c r="HI36" s="563"/>
      <c r="HJ36" s="556"/>
      <c r="HK36" s="556"/>
      <c r="HL36" s="556"/>
      <c r="HM36" s="556"/>
      <c r="HN36" s="571"/>
      <c r="HO36" s="565"/>
      <c r="HP36" s="566"/>
      <c r="HQ36" s="566"/>
      <c r="HR36" s="566"/>
      <c r="HS36" s="566"/>
      <c r="HT36" s="566"/>
      <c r="HU36" s="563"/>
      <c r="HV36" s="556"/>
      <c r="HW36" s="556"/>
      <c r="HX36" s="556"/>
      <c r="HY36" s="556"/>
      <c r="HZ36" s="557"/>
      <c r="IA36" s="563"/>
      <c r="IB36" s="556"/>
      <c r="IC36" s="556"/>
      <c r="ID36" s="556"/>
      <c r="IE36" s="556"/>
      <c r="IF36" s="557"/>
      <c r="IG36" s="565"/>
      <c r="IH36" s="566"/>
      <c r="II36" s="566"/>
      <c r="IJ36" s="566"/>
      <c r="IK36" s="566"/>
      <c r="IL36" s="566"/>
      <c r="IM36" s="565"/>
      <c r="IN36" s="566"/>
      <c r="IO36" s="566"/>
      <c r="IP36" s="566"/>
      <c r="IQ36" s="566"/>
      <c r="IR36" s="567"/>
      <c r="IS36" s="556"/>
      <c r="IT36" s="556"/>
      <c r="IU36" s="556"/>
      <c r="IV36" s="556"/>
      <c r="IW36" s="556"/>
      <c r="IX36" s="556"/>
      <c r="IY36" s="568"/>
      <c r="IZ36" s="569"/>
      <c r="JA36" s="569"/>
      <c r="JB36" s="569"/>
      <c r="JC36" s="569"/>
      <c r="JD36" s="570"/>
      <c r="JE36" s="556"/>
      <c r="JF36" s="556"/>
      <c r="JG36" s="556"/>
      <c r="JH36" s="556"/>
      <c r="JI36" s="556"/>
      <c r="JJ36" s="556"/>
      <c r="JK36" s="563"/>
      <c r="JL36" s="556"/>
      <c r="JM36" s="556"/>
      <c r="JN36" s="556"/>
      <c r="JO36" s="556"/>
      <c r="JP36" s="557"/>
      <c r="JQ36" s="563"/>
      <c r="JR36" s="556"/>
      <c r="JS36" s="556"/>
      <c r="JT36" s="556"/>
      <c r="JU36" s="556"/>
      <c r="JV36" s="557"/>
      <c r="JW36" s="556"/>
      <c r="JX36" s="556"/>
      <c r="JY36" s="556"/>
      <c r="JZ36" s="556"/>
      <c r="KA36" s="556"/>
      <c r="KB36" s="556"/>
      <c r="KC36" s="563"/>
      <c r="KD36" s="556"/>
      <c r="KE36" s="556"/>
      <c r="KF36" s="556"/>
      <c r="KG36" s="556"/>
      <c r="KH36" s="571"/>
      <c r="KI36" s="565"/>
      <c r="KJ36" s="566"/>
      <c r="KK36" s="566"/>
      <c r="KL36" s="566"/>
      <c r="KM36" s="566"/>
      <c r="KN36" s="566"/>
      <c r="KO36" s="563"/>
      <c r="KP36" s="556"/>
      <c r="KQ36" s="556"/>
      <c r="KR36" s="556"/>
      <c r="KS36" s="556"/>
      <c r="KT36" s="557"/>
      <c r="KU36" s="563"/>
      <c r="KV36" s="556"/>
      <c r="KW36" s="556"/>
      <c r="KX36" s="556"/>
      <c r="KY36" s="556"/>
      <c r="KZ36" s="557"/>
      <c r="LA36" s="564"/>
      <c r="LB36" s="564"/>
      <c r="LC36" s="564"/>
      <c r="LD36" s="564"/>
      <c r="LE36" s="564"/>
      <c r="LF36" s="564"/>
      <c r="LG36" s="565"/>
      <c r="LH36" s="566"/>
      <c r="LI36" s="566"/>
      <c r="LJ36" s="566"/>
      <c r="LK36" s="566"/>
      <c r="LL36" s="567"/>
      <c r="LM36" s="556"/>
      <c r="LN36" s="556"/>
      <c r="LO36" s="556"/>
      <c r="LP36" s="556"/>
      <c r="LQ36" s="556"/>
      <c r="LR36" s="556"/>
      <c r="LS36" s="568"/>
      <c r="LT36" s="569"/>
      <c r="LU36" s="569"/>
      <c r="LV36" s="569"/>
      <c r="LW36" s="569"/>
      <c r="LX36" s="570"/>
      <c r="LY36" s="556"/>
      <c r="LZ36" s="556"/>
      <c r="MA36" s="556"/>
      <c r="MB36" s="556"/>
      <c r="MC36" s="556"/>
      <c r="MD36" s="556"/>
      <c r="ME36" s="563"/>
      <c r="MF36" s="556"/>
      <c r="MG36" s="556"/>
      <c r="MH36" s="556"/>
      <c r="MI36" s="556"/>
      <c r="MJ36" s="557"/>
      <c r="MK36" s="563"/>
      <c r="ML36" s="556"/>
      <c r="MM36" s="556"/>
      <c r="MN36" s="556"/>
      <c r="MO36" s="556"/>
      <c r="MP36" s="557"/>
      <c r="MQ36" s="556"/>
      <c r="MR36" s="556"/>
      <c r="MS36" s="556"/>
      <c r="MT36" s="556"/>
      <c r="MU36" s="556"/>
      <c r="MV36" s="556"/>
      <c r="MW36" s="563"/>
      <c r="MX36" s="556"/>
      <c r="MY36" s="556"/>
      <c r="MZ36" s="556"/>
      <c r="NA36" s="556"/>
      <c r="NB36" s="571"/>
      <c r="NC36" s="565"/>
      <c r="ND36" s="566"/>
      <c r="NE36" s="566"/>
      <c r="NF36" s="566"/>
      <c r="NG36" s="566"/>
      <c r="NH36" s="566"/>
      <c r="NI36" s="563"/>
      <c r="NJ36" s="556"/>
      <c r="NK36" s="556"/>
      <c r="NL36" s="556"/>
      <c r="NM36" s="556"/>
      <c r="NN36" s="557"/>
      <c r="NO36" s="563"/>
      <c r="NP36" s="556"/>
      <c r="NQ36" s="556"/>
      <c r="NR36" s="556"/>
      <c r="NS36" s="556"/>
      <c r="NT36" s="557"/>
      <c r="NU36" s="564"/>
      <c r="NV36" s="564"/>
      <c r="NW36" s="564"/>
      <c r="NX36" s="564"/>
      <c r="NY36" s="564"/>
      <c r="NZ36" s="564"/>
      <c r="OA36" s="565"/>
      <c r="OB36" s="566"/>
      <c r="OC36" s="566"/>
      <c r="OD36" s="566"/>
      <c r="OE36" s="566"/>
      <c r="OF36" s="567"/>
      <c r="OG36" s="565"/>
      <c r="OH36" s="566"/>
      <c r="OI36" s="566"/>
      <c r="OJ36" s="566"/>
      <c r="OK36" s="566"/>
      <c r="OL36" s="567"/>
      <c r="OM36" s="566"/>
      <c r="ON36" s="566"/>
      <c r="OO36" s="566"/>
      <c r="OP36" s="566"/>
      <c r="OQ36" s="566"/>
      <c r="OR36" s="567"/>
      <c r="OS36" s="556"/>
      <c r="OT36" s="556"/>
      <c r="OU36" s="556"/>
      <c r="OV36" s="556"/>
      <c r="OW36" s="556"/>
      <c r="OX36" s="556"/>
      <c r="OY36" s="563"/>
      <c r="OZ36" s="556"/>
      <c r="PA36" s="556"/>
      <c r="PB36" s="556"/>
      <c r="PC36" s="556"/>
      <c r="PD36" s="557"/>
      <c r="PE36" s="563"/>
      <c r="PF36" s="556"/>
      <c r="PG36" s="556"/>
      <c r="PH36" s="556"/>
      <c r="PI36" s="556"/>
      <c r="PJ36" s="557"/>
      <c r="PK36" s="556"/>
      <c r="PL36" s="556"/>
      <c r="PM36" s="556"/>
      <c r="PN36" s="556"/>
      <c r="PO36" s="556"/>
      <c r="PP36" s="556"/>
      <c r="PQ36" s="563"/>
      <c r="PR36" s="556"/>
      <c r="PS36" s="556"/>
      <c r="PT36" s="556"/>
      <c r="PU36" s="556"/>
      <c r="PV36" s="571"/>
      <c r="PW36" s="565"/>
      <c r="PX36" s="566"/>
      <c r="PY36" s="566"/>
      <c r="PZ36" s="566"/>
      <c r="QA36" s="566"/>
      <c r="QB36" s="566"/>
      <c r="QC36" s="563"/>
      <c r="QD36" s="556"/>
      <c r="QE36" s="556"/>
      <c r="QF36" s="556"/>
      <c r="QG36" s="556"/>
      <c r="QH36" s="557"/>
      <c r="QI36" s="563"/>
      <c r="QJ36" s="556"/>
      <c r="QK36" s="556"/>
      <c r="QL36" s="556"/>
      <c r="QM36" s="556"/>
      <c r="QN36" s="557"/>
      <c r="QO36" s="564"/>
      <c r="QP36" s="564"/>
      <c r="QQ36" s="564"/>
      <c r="QR36" s="564"/>
      <c r="QS36" s="564"/>
      <c r="QT36" s="564"/>
      <c r="QU36" s="565"/>
      <c r="QV36" s="566"/>
      <c r="QW36" s="566"/>
      <c r="QX36" s="566"/>
      <c r="QY36" s="566"/>
      <c r="QZ36" s="567"/>
      <c r="RA36" s="565"/>
      <c r="RB36" s="566"/>
      <c r="RC36" s="566"/>
      <c r="RD36" s="566"/>
      <c r="RE36" s="566"/>
      <c r="RF36" s="566"/>
      <c r="RG36" s="568"/>
      <c r="RH36" s="569"/>
      <c r="RI36" s="569"/>
      <c r="RJ36" s="569"/>
      <c r="RK36" s="569"/>
      <c r="RL36" s="570"/>
      <c r="RM36" s="556"/>
      <c r="RN36" s="556"/>
      <c r="RO36" s="556"/>
      <c r="RP36" s="556"/>
      <c r="RQ36" s="556"/>
      <c r="RR36" s="556"/>
      <c r="RS36" s="563"/>
      <c r="RT36" s="556"/>
      <c r="RU36" s="556"/>
      <c r="RV36" s="556"/>
      <c r="RW36" s="556"/>
      <c r="RX36" s="557"/>
      <c r="RY36" s="563"/>
      <c r="RZ36" s="556"/>
      <c r="SA36" s="556"/>
      <c r="SB36" s="556"/>
      <c r="SC36" s="556"/>
      <c r="SD36" s="557"/>
      <c r="SE36" s="556"/>
      <c r="SF36" s="556"/>
      <c r="SG36" s="556"/>
      <c r="SH36" s="556"/>
      <c r="SI36" s="556"/>
      <c r="SJ36" s="556"/>
      <c r="SK36" s="563"/>
      <c r="SL36" s="556"/>
      <c r="SM36" s="556"/>
      <c r="SN36" s="556"/>
      <c r="SO36" s="556"/>
      <c r="SP36" s="571"/>
      <c r="SQ36" s="565"/>
      <c r="SR36" s="566"/>
      <c r="SS36" s="566"/>
      <c r="ST36" s="566"/>
      <c r="SU36" s="566"/>
      <c r="SV36" s="566"/>
      <c r="SW36" s="563"/>
      <c r="SX36" s="556"/>
      <c r="SY36" s="556"/>
      <c r="SZ36" s="556"/>
      <c r="TA36" s="556"/>
      <c r="TB36" s="557"/>
      <c r="TC36" s="563"/>
      <c r="TD36" s="556"/>
      <c r="TE36" s="556"/>
      <c r="TF36" s="556"/>
      <c r="TG36" s="556"/>
      <c r="TH36" s="557"/>
      <c r="TI36" s="564"/>
      <c r="TJ36" s="564"/>
      <c r="TK36" s="564"/>
      <c r="TL36" s="564"/>
      <c r="TM36" s="564"/>
      <c r="TN36" s="564"/>
      <c r="TO36" s="565"/>
      <c r="TP36" s="566"/>
      <c r="TQ36" s="566"/>
      <c r="TR36" s="566"/>
      <c r="TS36" s="566"/>
      <c r="TT36" s="567"/>
      <c r="TU36" s="565"/>
      <c r="TV36" s="566"/>
      <c r="TW36" s="566"/>
      <c r="TX36" s="566"/>
      <c r="TY36" s="566"/>
      <c r="TZ36" s="566"/>
      <c r="UA36" s="568"/>
      <c r="UB36" s="569"/>
      <c r="UC36" s="569"/>
      <c r="UD36" s="569"/>
      <c r="UE36" s="569"/>
      <c r="UF36" s="570"/>
      <c r="UG36" s="556"/>
      <c r="UH36" s="556"/>
      <c r="UI36" s="556"/>
      <c r="UJ36" s="556"/>
      <c r="UK36" s="556"/>
      <c r="UL36" s="556"/>
      <c r="UM36" s="563"/>
      <c r="UN36" s="556"/>
      <c r="UO36" s="556"/>
      <c r="UP36" s="556"/>
      <c r="UQ36" s="556"/>
      <c r="UR36" s="557"/>
      <c r="US36" s="563"/>
      <c r="UT36" s="556"/>
      <c r="UU36" s="556"/>
      <c r="UV36" s="556"/>
      <c r="UW36" s="556"/>
      <c r="UX36" s="557"/>
      <c r="UY36" s="556"/>
      <c r="UZ36" s="556"/>
      <c r="VA36" s="556"/>
      <c r="VB36" s="556"/>
      <c r="VC36" s="556"/>
      <c r="VD36" s="556"/>
      <c r="VE36" s="563"/>
      <c r="VF36" s="556"/>
      <c r="VG36" s="556"/>
      <c r="VH36" s="556"/>
      <c r="VI36" s="556"/>
      <c r="VJ36" s="571"/>
    </row>
    <row r="37" spans="3:582" s="52" customFormat="1" ht="12.75" customHeight="1" x14ac:dyDescent="0.25">
      <c r="C37" s="538"/>
      <c r="D37" s="540">
        <v>2</v>
      </c>
      <c r="E37" s="540"/>
      <c r="F37" s="543"/>
      <c r="G37" s="545"/>
      <c r="H37" s="546"/>
      <c r="I37" s="546"/>
      <c r="J37" s="546"/>
      <c r="K37" s="546"/>
      <c r="L37" s="547"/>
      <c r="M37" s="548"/>
      <c r="N37" s="546"/>
      <c r="O37" s="546"/>
      <c r="P37" s="546"/>
      <c r="Q37" s="546"/>
      <c r="R37" s="547"/>
      <c r="S37" s="548"/>
      <c r="T37" s="546"/>
      <c r="U37" s="546"/>
      <c r="V37" s="546"/>
      <c r="W37" s="546"/>
      <c r="X37" s="547"/>
      <c r="Y37" s="546"/>
      <c r="Z37" s="546"/>
      <c r="AA37" s="546"/>
      <c r="AB37" s="546"/>
      <c r="AC37" s="546"/>
      <c r="AD37" s="546"/>
      <c r="AE37" s="548"/>
      <c r="AF37" s="546"/>
      <c r="AG37" s="546"/>
      <c r="AH37" s="546"/>
      <c r="AI37" s="546"/>
      <c r="AJ37" s="547"/>
      <c r="AK37" s="546"/>
      <c r="AL37" s="546"/>
      <c r="AM37" s="546"/>
      <c r="AN37" s="546"/>
      <c r="AO37" s="546"/>
      <c r="AP37" s="546"/>
      <c r="AQ37" s="548"/>
      <c r="AR37" s="546"/>
      <c r="AS37" s="546"/>
      <c r="AT37" s="546"/>
      <c r="AU37" s="546"/>
      <c r="AV37" s="547"/>
      <c r="AW37" s="546"/>
      <c r="AX37" s="546"/>
      <c r="AY37" s="546"/>
      <c r="AZ37" s="546"/>
      <c r="BA37" s="546"/>
      <c r="BB37" s="546"/>
      <c r="BC37" s="548"/>
      <c r="BD37" s="546"/>
      <c r="BE37" s="546"/>
      <c r="BF37" s="546"/>
      <c r="BG37" s="546"/>
      <c r="BH37" s="547"/>
      <c r="BI37" s="548"/>
      <c r="BJ37" s="546"/>
      <c r="BK37" s="546"/>
      <c r="BL37" s="546"/>
      <c r="BM37" s="546"/>
      <c r="BN37" s="547"/>
      <c r="BO37" s="546"/>
      <c r="BP37" s="546"/>
      <c r="BQ37" s="546"/>
      <c r="BR37" s="546"/>
      <c r="BS37" s="546"/>
      <c r="BT37" s="546"/>
      <c r="BU37" s="548"/>
      <c r="BV37" s="546"/>
      <c r="BW37" s="546"/>
      <c r="BX37" s="546"/>
      <c r="BY37" s="546"/>
      <c r="BZ37" s="549"/>
      <c r="CA37" s="545"/>
      <c r="CB37" s="546"/>
      <c r="CC37" s="546"/>
      <c r="CD37" s="546"/>
      <c r="CE37" s="546"/>
      <c r="CF37" s="547"/>
      <c r="CG37" s="548"/>
      <c r="CH37" s="546"/>
      <c r="CI37" s="546"/>
      <c r="CJ37" s="546"/>
      <c r="CK37" s="546"/>
      <c r="CL37" s="547"/>
      <c r="CM37" s="548"/>
      <c r="CN37" s="546"/>
      <c r="CO37" s="546"/>
      <c r="CP37" s="546"/>
      <c r="CQ37" s="546"/>
      <c r="CR37" s="547"/>
      <c r="CS37" s="546"/>
      <c r="CT37" s="546"/>
      <c r="CU37" s="546"/>
      <c r="CV37" s="546"/>
      <c r="CW37" s="546"/>
      <c r="CX37" s="546"/>
      <c r="CY37" s="548"/>
      <c r="CZ37" s="546"/>
      <c r="DA37" s="546"/>
      <c r="DB37" s="546"/>
      <c r="DC37" s="546"/>
      <c r="DD37" s="547"/>
      <c r="DE37" s="546"/>
      <c r="DF37" s="546"/>
      <c r="DG37" s="546"/>
      <c r="DH37" s="546"/>
      <c r="DI37" s="546"/>
      <c r="DJ37" s="546"/>
      <c r="DK37" s="548"/>
      <c r="DL37" s="546"/>
      <c r="DM37" s="546"/>
      <c r="DN37" s="546"/>
      <c r="DO37" s="546"/>
      <c r="DP37" s="547"/>
      <c r="DQ37" s="546"/>
      <c r="DR37" s="546"/>
      <c r="DS37" s="546"/>
      <c r="DT37" s="546"/>
      <c r="DU37" s="546"/>
      <c r="DV37" s="546"/>
      <c r="DW37" s="548"/>
      <c r="DX37" s="546"/>
      <c r="DY37" s="546"/>
      <c r="DZ37" s="546"/>
      <c r="EA37" s="546"/>
      <c r="EB37" s="547"/>
      <c r="EC37" s="548"/>
      <c r="ED37" s="546"/>
      <c r="EE37" s="546"/>
      <c r="EF37" s="546"/>
      <c r="EG37" s="546"/>
      <c r="EH37" s="547"/>
      <c r="EI37" s="546"/>
      <c r="EJ37" s="546"/>
      <c r="EK37" s="546"/>
      <c r="EL37" s="546"/>
      <c r="EM37" s="546"/>
      <c r="EN37" s="546"/>
      <c r="EO37" s="548"/>
      <c r="EP37" s="546"/>
      <c r="EQ37" s="546"/>
      <c r="ER37" s="546"/>
      <c r="ES37" s="546"/>
      <c r="ET37" s="549"/>
      <c r="EU37" s="545"/>
      <c r="EV37" s="546"/>
      <c r="EW37" s="546"/>
      <c r="EX37" s="546"/>
      <c r="EY37" s="546"/>
      <c r="EZ37" s="547"/>
      <c r="FA37" s="548"/>
      <c r="FB37" s="546"/>
      <c r="FC37" s="546"/>
      <c r="FD37" s="546"/>
      <c r="FE37" s="546"/>
      <c r="FF37" s="547"/>
      <c r="FG37" s="548"/>
      <c r="FH37" s="546"/>
      <c r="FI37" s="546"/>
      <c r="FJ37" s="546"/>
      <c r="FK37" s="546"/>
      <c r="FL37" s="547"/>
      <c r="FM37" s="546"/>
      <c r="FN37" s="546"/>
      <c r="FO37" s="546"/>
      <c r="FP37" s="546"/>
      <c r="FQ37" s="546"/>
      <c r="FR37" s="546"/>
      <c r="FS37" s="548"/>
      <c r="FT37" s="546"/>
      <c r="FU37" s="546"/>
      <c r="FV37" s="546"/>
      <c r="FW37" s="546"/>
      <c r="FX37" s="547"/>
      <c r="FY37" s="546"/>
      <c r="FZ37" s="546"/>
      <c r="GA37" s="546"/>
      <c r="GB37" s="546"/>
      <c r="GC37" s="546"/>
      <c r="GD37" s="546"/>
      <c r="GE37" s="548"/>
      <c r="GF37" s="546"/>
      <c r="GG37" s="546"/>
      <c r="GH37" s="546"/>
      <c r="GI37" s="546"/>
      <c r="GJ37" s="547"/>
      <c r="GK37" s="546"/>
      <c r="GL37" s="546"/>
      <c r="GM37" s="546"/>
      <c r="GN37" s="546"/>
      <c r="GO37" s="546"/>
      <c r="GP37" s="546"/>
      <c r="GQ37" s="548"/>
      <c r="GR37" s="546"/>
      <c r="GS37" s="546"/>
      <c r="GT37" s="546"/>
      <c r="GU37" s="546"/>
      <c r="GV37" s="547"/>
      <c r="GW37" s="548"/>
      <c r="GX37" s="546"/>
      <c r="GY37" s="546"/>
      <c r="GZ37" s="546"/>
      <c r="HA37" s="546"/>
      <c r="HB37" s="547"/>
      <c r="HC37" s="546"/>
      <c r="HD37" s="546"/>
      <c r="HE37" s="546"/>
      <c r="HF37" s="546"/>
      <c r="HG37" s="546"/>
      <c r="HH37" s="546"/>
      <c r="HI37" s="548"/>
      <c r="HJ37" s="546"/>
      <c r="HK37" s="546"/>
      <c r="HL37" s="546"/>
      <c r="HM37" s="546"/>
      <c r="HN37" s="549"/>
      <c r="HO37" s="545"/>
      <c r="HP37" s="546"/>
      <c r="HQ37" s="546"/>
      <c r="HR37" s="546"/>
      <c r="HS37" s="546"/>
      <c r="HT37" s="547"/>
      <c r="HU37" s="548"/>
      <c r="HV37" s="546"/>
      <c r="HW37" s="546"/>
      <c r="HX37" s="546"/>
      <c r="HY37" s="546"/>
      <c r="HZ37" s="547"/>
      <c r="IA37" s="548"/>
      <c r="IB37" s="546"/>
      <c r="IC37" s="546"/>
      <c r="ID37" s="546"/>
      <c r="IE37" s="546"/>
      <c r="IF37" s="547"/>
      <c r="IG37" s="546"/>
      <c r="IH37" s="546"/>
      <c r="II37" s="546"/>
      <c r="IJ37" s="546"/>
      <c r="IK37" s="546"/>
      <c r="IL37" s="546"/>
      <c r="IM37" s="548"/>
      <c r="IN37" s="546"/>
      <c r="IO37" s="546"/>
      <c r="IP37" s="546"/>
      <c r="IQ37" s="546"/>
      <c r="IR37" s="547"/>
      <c r="IS37" s="546"/>
      <c r="IT37" s="546"/>
      <c r="IU37" s="546"/>
      <c r="IV37" s="546"/>
      <c r="IW37" s="546"/>
      <c r="IX37" s="546"/>
      <c r="IY37" s="548"/>
      <c r="IZ37" s="546"/>
      <c r="JA37" s="546"/>
      <c r="JB37" s="546"/>
      <c r="JC37" s="546"/>
      <c r="JD37" s="547"/>
      <c r="JE37" s="546"/>
      <c r="JF37" s="546"/>
      <c r="JG37" s="546"/>
      <c r="JH37" s="546"/>
      <c r="JI37" s="546"/>
      <c r="JJ37" s="546"/>
      <c r="JK37" s="548"/>
      <c r="JL37" s="546"/>
      <c r="JM37" s="546"/>
      <c r="JN37" s="546"/>
      <c r="JO37" s="546"/>
      <c r="JP37" s="547"/>
      <c r="JQ37" s="548"/>
      <c r="JR37" s="546"/>
      <c r="JS37" s="546"/>
      <c r="JT37" s="546"/>
      <c r="JU37" s="546"/>
      <c r="JV37" s="547"/>
      <c r="JW37" s="546"/>
      <c r="JX37" s="546"/>
      <c r="JY37" s="546"/>
      <c r="JZ37" s="546"/>
      <c r="KA37" s="546"/>
      <c r="KB37" s="546"/>
      <c r="KC37" s="548"/>
      <c r="KD37" s="546"/>
      <c r="KE37" s="546"/>
      <c r="KF37" s="546"/>
      <c r="KG37" s="546"/>
      <c r="KH37" s="549"/>
      <c r="KI37" s="545"/>
      <c r="KJ37" s="546"/>
      <c r="KK37" s="546"/>
      <c r="KL37" s="546"/>
      <c r="KM37" s="546"/>
      <c r="KN37" s="547"/>
      <c r="KO37" s="548"/>
      <c r="KP37" s="546"/>
      <c r="KQ37" s="546"/>
      <c r="KR37" s="546"/>
      <c r="KS37" s="546"/>
      <c r="KT37" s="547"/>
      <c r="KU37" s="548"/>
      <c r="KV37" s="546"/>
      <c r="KW37" s="546"/>
      <c r="KX37" s="546"/>
      <c r="KY37" s="546"/>
      <c r="KZ37" s="547"/>
      <c r="LA37" s="546"/>
      <c r="LB37" s="546"/>
      <c r="LC37" s="546"/>
      <c r="LD37" s="546"/>
      <c r="LE37" s="546"/>
      <c r="LF37" s="546"/>
      <c r="LG37" s="548"/>
      <c r="LH37" s="546"/>
      <c r="LI37" s="546"/>
      <c r="LJ37" s="546"/>
      <c r="LK37" s="546"/>
      <c r="LL37" s="547"/>
      <c r="LM37" s="546"/>
      <c r="LN37" s="546"/>
      <c r="LO37" s="546"/>
      <c r="LP37" s="546"/>
      <c r="LQ37" s="546"/>
      <c r="LR37" s="546"/>
      <c r="LS37" s="548"/>
      <c r="LT37" s="546"/>
      <c r="LU37" s="546"/>
      <c r="LV37" s="546"/>
      <c r="LW37" s="546"/>
      <c r="LX37" s="547"/>
      <c r="LY37" s="546"/>
      <c r="LZ37" s="546"/>
      <c r="MA37" s="546"/>
      <c r="MB37" s="546"/>
      <c r="MC37" s="546"/>
      <c r="MD37" s="546"/>
      <c r="ME37" s="548"/>
      <c r="MF37" s="546"/>
      <c r="MG37" s="546"/>
      <c r="MH37" s="546"/>
      <c r="MI37" s="546"/>
      <c r="MJ37" s="547"/>
      <c r="MK37" s="548"/>
      <c r="ML37" s="546"/>
      <c r="MM37" s="546"/>
      <c r="MN37" s="546"/>
      <c r="MO37" s="546"/>
      <c r="MP37" s="547"/>
      <c r="MQ37" s="546"/>
      <c r="MR37" s="546"/>
      <c r="MS37" s="546"/>
      <c r="MT37" s="546"/>
      <c r="MU37" s="546"/>
      <c r="MV37" s="546"/>
      <c r="MW37" s="548"/>
      <c r="MX37" s="546"/>
      <c r="MY37" s="546"/>
      <c r="MZ37" s="546"/>
      <c r="NA37" s="546"/>
      <c r="NB37" s="549"/>
      <c r="NC37" s="545"/>
      <c r="ND37" s="546"/>
      <c r="NE37" s="546"/>
      <c r="NF37" s="546"/>
      <c r="NG37" s="546"/>
      <c r="NH37" s="547"/>
      <c r="NI37" s="548"/>
      <c r="NJ37" s="546"/>
      <c r="NK37" s="546"/>
      <c r="NL37" s="546"/>
      <c r="NM37" s="546"/>
      <c r="NN37" s="547"/>
      <c r="NO37" s="548"/>
      <c r="NP37" s="546"/>
      <c r="NQ37" s="546"/>
      <c r="NR37" s="546"/>
      <c r="NS37" s="546"/>
      <c r="NT37" s="547"/>
      <c r="NU37" s="546"/>
      <c r="NV37" s="546"/>
      <c r="NW37" s="546"/>
      <c r="NX37" s="546"/>
      <c r="NY37" s="546"/>
      <c r="NZ37" s="546"/>
      <c r="OA37" s="548"/>
      <c r="OB37" s="546"/>
      <c r="OC37" s="546"/>
      <c r="OD37" s="546"/>
      <c r="OE37" s="546"/>
      <c r="OF37" s="547"/>
      <c r="OG37" s="546"/>
      <c r="OH37" s="546"/>
      <c r="OI37" s="546"/>
      <c r="OJ37" s="546"/>
      <c r="OK37" s="546"/>
      <c r="OL37" s="546"/>
      <c r="OM37" s="548"/>
      <c r="ON37" s="546"/>
      <c r="OO37" s="546"/>
      <c r="OP37" s="546"/>
      <c r="OQ37" s="546"/>
      <c r="OR37" s="547"/>
      <c r="OS37" s="546"/>
      <c r="OT37" s="546"/>
      <c r="OU37" s="546"/>
      <c r="OV37" s="546"/>
      <c r="OW37" s="546"/>
      <c r="OX37" s="546"/>
      <c r="OY37" s="548"/>
      <c r="OZ37" s="546"/>
      <c r="PA37" s="546"/>
      <c r="PB37" s="546"/>
      <c r="PC37" s="546"/>
      <c r="PD37" s="547"/>
      <c r="PE37" s="548"/>
      <c r="PF37" s="546"/>
      <c r="PG37" s="546"/>
      <c r="PH37" s="546"/>
      <c r="PI37" s="546"/>
      <c r="PJ37" s="547"/>
      <c r="PK37" s="546"/>
      <c r="PL37" s="546"/>
      <c r="PM37" s="546"/>
      <c r="PN37" s="546"/>
      <c r="PO37" s="546"/>
      <c r="PP37" s="546"/>
      <c r="PQ37" s="548"/>
      <c r="PR37" s="546"/>
      <c r="PS37" s="546"/>
      <c r="PT37" s="546"/>
      <c r="PU37" s="546"/>
      <c r="PV37" s="549"/>
      <c r="PW37" s="545"/>
      <c r="PX37" s="546"/>
      <c r="PY37" s="546"/>
      <c r="PZ37" s="546"/>
      <c r="QA37" s="546"/>
      <c r="QB37" s="547"/>
      <c r="QC37" s="548"/>
      <c r="QD37" s="546"/>
      <c r="QE37" s="546"/>
      <c r="QF37" s="546"/>
      <c r="QG37" s="546"/>
      <c r="QH37" s="547"/>
      <c r="QI37" s="548"/>
      <c r="QJ37" s="546"/>
      <c r="QK37" s="546"/>
      <c r="QL37" s="546"/>
      <c r="QM37" s="546"/>
      <c r="QN37" s="547"/>
      <c r="QO37" s="546"/>
      <c r="QP37" s="546"/>
      <c r="QQ37" s="546"/>
      <c r="QR37" s="546"/>
      <c r="QS37" s="546"/>
      <c r="QT37" s="546"/>
      <c r="QU37" s="548"/>
      <c r="QV37" s="546"/>
      <c r="QW37" s="546"/>
      <c r="QX37" s="546"/>
      <c r="QY37" s="546"/>
      <c r="QZ37" s="547"/>
      <c r="RA37" s="546"/>
      <c r="RB37" s="546"/>
      <c r="RC37" s="546"/>
      <c r="RD37" s="546"/>
      <c r="RE37" s="546"/>
      <c r="RF37" s="546"/>
      <c r="RG37" s="548"/>
      <c r="RH37" s="546"/>
      <c r="RI37" s="546"/>
      <c r="RJ37" s="546"/>
      <c r="RK37" s="546"/>
      <c r="RL37" s="547"/>
      <c r="RM37" s="546"/>
      <c r="RN37" s="546"/>
      <c r="RO37" s="546"/>
      <c r="RP37" s="546"/>
      <c r="RQ37" s="546"/>
      <c r="RR37" s="546"/>
      <c r="RS37" s="548"/>
      <c r="RT37" s="546"/>
      <c r="RU37" s="546"/>
      <c r="RV37" s="546"/>
      <c r="RW37" s="546"/>
      <c r="RX37" s="547"/>
      <c r="RY37" s="548"/>
      <c r="RZ37" s="546"/>
      <c r="SA37" s="546"/>
      <c r="SB37" s="546"/>
      <c r="SC37" s="546"/>
      <c r="SD37" s="547"/>
      <c r="SE37" s="546"/>
      <c r="SF37" s="546"/>
      <c r="SG37" s="546"/>
      <c r="SH37" s="546"/>
      <c r="SI37" s="546"/>
      <c r="SJ37" s="546"/>
      <c r="SK37" s="548"/>
      <c r="SL37" s="546"/>
      <c r="SM37" s="546"/>
      <c r="SN37" s="546"/>
      <c r="SO37" s="546"/>
      <c r="SP37" s="549"/>
      <c r="SQ37" s="545"/>
      <c r="SR37" s="546"/>
      <c r="SS37" s="546"/>
      <c r="ST37" s="546"/>
      <c r="SU37" s="546"/>
      <c r="SV37" s="547"/>
      <c r="SW37" s="548"/>
      <c r="SX37" s="546"/>
      <c r="SY37" s="546"/>
      <c r="SZ37" s="546"/>
      <c r="TA37" s="546"/>
      <c r="TB37" s="547"/>
      <c r="TC37" s="548"/>
      <c r="TD37" s="546"/>
      <c r="TE37" s="546"/>
      <c r="TF37" s="546"/>
      <c r="TG37" s="546"/>
      <c r="TH37" s="547"/>
      <c r="TI37" s="546"/>
      <c r="TJ37" s="546"/>
      <c r="TK37" s="546"/>
      <c r="TL37" s="546"/>
      <c r="TM37" s="546"/>
      <c r="TN37" s="546"/>
      <c r="TO37" s="548"/>
      <c r="TP37" s="546"/>
      <c r="TQ37" s="546"/>
      <c r="TR37" s="546"/>
      <c r="TS37" s="546"/>
      <c r="TT37" s="547"/>
      <c r="TU37" s="546"/>
      <c r="TV37" s="546"/>
      <c r="TW37" s="546"/>
      <c r="TX37" s="546"/>
      <c r="TY37" s="546"/>
      <c r="TZ37" s="546"/>
      <c r="UA37" s="548"/>
      <c r="UB37" s="546"/>
      <c r="UC37" s="546"/>
      <c r="UD37" s="546"/>
      <c r="UE37" s="546"/>
      <c r="UF37" s="547"/>
      <c r="UG37" s="546"/>
      <c r="UH37" s="546"/>
      <c r="UI37" s="546"/>
      <c r="UJ37" s="546"/>
      <c r="UK37" s="546"/>
      <c r="UL37" s="546"/>
      <c r="UM37" s="548"/>
      <c r="UN37" s="546"/>
      <c r="UO37" s="546"/>
      <c r="UP37" s="546"/>
      <c r="UQ37" s="546"/>
      <c r="UR37" s="547"/>
      <c r="US37" s="548"/>
      <c r="UT37" s="546"/>
      <c r="UU37" s="546"/>
      <c r="UV37" s="546"/>
      <c r="UW37" s="546"/>
      <c r="UX37" s="547"/>
      <c r="UY37" s="546"/>
      <c r="UZ37" s="546"/>
      <c r="VA37" s="546"/>
      <c r="VB37" s="546"/>
      <c r="VC37" s="546"/>
      <c r="VD37" s="546"/>
      <c r="VE37" s="548"/>
      <c r="VF37" s="546"/>
      <c r="VG37" s="546"/>
      <c r="VH37" s="546"/>
      <c r="VI37" s="546"/>
      <c r="VJ37" s="549"/>
    </row>
    <row r="38" spans="3:582" s="52" customFormat="1" ht="19.5" customHeight="1" x14ac:dyDescent="0.25">
      <c r="C38" s="538"/>
      <c r="D38" s="541"/>
      <c r="E38" s="541"/>
      <c r="F38" s="543"/>
      <c r="G38" s="277"/>
      <c r="H38" s="273"/>
      <c r="I38" s="273"/>
      <c r="J38" s="273"/>
      <c r="K38" s="273"/>
      <c r="L38" s="274"/>
      <c r="M38" s="275"/>
      <c r="N38" s="273"/>
      <c r="O38" s="273"/>
      <c r="P38" s="273"/>
      <c r="Q38" s="273"/>
      <c r="R38" s="274"/>
      <c r="S38" s="275"/>
      <c r="T38" s="273"/>
      <c r="U38" s="273"/>
      <c r="V38" s="273"/>
      <c r="W38" s="273"/>
      <c r="X38" s="274"/>
      <c r="Y38" s="275"/>
      <c r="Z38" s="273"/>
      <c r="AA38" s="273"/>
      <c r="AB38" s="273"/>
      <c r="AC38" s="273"/>
      <c r="AD38" s="273"/>
      <c r="AE38" s="275"/>
      <c r="AF38" s="273"/>
      <c r="AG38" s="273"/>
      <c r="AH38" s="273"/>
      <c r="AI38" s="273"/>
      <c r="AJ38" s="274"/>
      <c r="AK38" s="273"/>
      <c r="AL38" s="273"/>
      <c r="AM38" s="273"/>
      <c r="AN38" s="273"/>
      <c r="AO38" s="273"/>
      <c r="AP38" s="273"/>
      <c r="AQ38" s="275"/>
      <c r="AR38" s="273"/>
      <c r="AS38" s="273"/>
      <c r="AT38" s="273"/>
      <c r="AU38" s="273"/>
      <c r="AV38" s="274"/>
      <c r="AW38" s="273"/>
      <c r="AX38" s="273"/>
      <c r="AY38" s="273"/>
      <c r="AZ38" s="273"/>
      <c r="BA38" s="273"/>
      <c r="BB38" s="273"/>
      <c r="BC38" s="275"/>
      <c r="BD38" s="273"/>
      <c r="BE38" s="273"/>
      <c r="BF38" s="273"/>
      <c r="BG38" s="273"/>
      <c r="BH38" s="274"/>
      <c r="BI38" s="275"/>
      <c r="BJ38" s="273"/>
      <c r="BK38" s="273"/>
      <c r="BL38" s="273"/>
      <c r="BM38" s="273"/>
      <c r="BN38" s="274"/>
      <c r="BO38" s="273"/>
      <c r="BP38" s="273"/>
      <c r="BQ38" s="273"/>
      <c r="BR38" s="273"/>
      <c r="BS38" s="273"/>
      <c r="BT38" s="274"/>
      <c r="BU38" s="273"/>
      <c r="BV38" s="273"/>
      <c r="BW38" s="273"/>
      <c r="BX38" s="273"/>
      <c r="BY38" s="273"/>
      <c r="BZ38" s="276"/>
      <c r="CA38" s="277"/>
      <c r="CB38" s="273"/>
      <c r="CC38" s="273"/>
      <c r="CD38" s="273"/>
      <c r="CE38" s="273"/>
      <c r="CF38" s="274"/>
      <c r="CG38" s="275"/>
      <c r="CH38" s="273"/>
      <c r="CI38" s="273"/>
      <c r="CJ38" s="273"/>
      <c r="CK38" s="273"/>
      <c r="CL38" s="274"/>
      <c r="CM38" s="275"/>
      <c r="CN38" s="273"/>
      <c r="CO38" s="273"/>
      <c r="CP38" s="273"/>
      <c r="CQ38" s="273"/>
      <c r="CR38" s="274"/>
      <c r="CS38" s="275"/>
      <c r="CT38" s="273"/>
      <c r="CU38" s="273"/>
      <c r="CV38" s="273"/>
      <c r="CW38" s="273"/>
      <c r="CX38" s="273"/>
      <c r="CY38" s="275"/>
      <c r="CZ38" s="273"/>
      <c r="DA38" s="273"/>
      <c r="DB38" s="273"/>
      <c r="DC38" s="273"/>
      <c r="DD38" s="274"/>
      <c r="DE38" s="273"/>
      <c r="DF38" s="273"/>
      <c r="DG38" s="273"/>
      <c r="DH38" s="273"/>
      <c r="DI38" s="273"/>
      <c r="DJ38" s="273"/>
      <c r="DK38" s="275"/>
      <c r="DL38" s="273"/>
      <c r="DM38" s="273"/>
      <c r="DN38" s="273"/>
      <c r="DO38" s="273"/>
      <c r="DP38" s="274"/>
      <c r="DQ38" s="273"/>
      <c r="DR38" s="273"/>
      <c r="DS38" s="273"/>
      <c r="DT38" s="273"/>
      <c r="DU38" s="273"/>
      <c r="DV38" s="273"/>
      <c r="DW38" s="275"/>
      <c r="DX38" s="273"/>
      <c r="DY38" s="273"/>
      <c r="DZ38" s="273"/>
      <c r="EA38" s="273"/>
      <c r="EB38" s="274"/>
      <c r="EC38" s="275"/>
      <c r="ED38" s="273"/>
      <c r="EE38" s="273"/>
      <c r="EF38" s="273"/>
      <c r="EG38" s="273"/>
      <c r="EH38" s="274"/>
      <c r="EI38" s="273"/>
      <c r="EJ38" s="273"/>
      <c r="EK38" s="273"/>
      <c r="EL38" s="273"/>
      <c r="EM38" s="273"/>
      <c r="EN38" s="274"/>
      <c r="EO38" s="273"/>
      <c r="EP38" s="273"/>
      <c r="EQ38" s="273"/>
      <c r="ER38" s="273"/>
      <c r="ES38" s="273"/>
      <c r="ET38" s="276"/>
      <c r="EU38" s="273"/>
      <c r="EV38" s="273"/>
      <c r="EW38" s="273"/>
      <c r="EX38" s="273"/>
      <c r="EY38" s="273"/>
      <c r="EZ38" s="274"/>
      <c r="FA38" s="275"/>
      <c r="FB38" s="273"/>
      <c r="FC38" s="273"/>
      <c r="FD38" s="273"/>
      <c r="FE38" s="273"/>
      <c r="FF38" s="274"/>
      <c r="FG38" s="275"/>
      <c r="FH38" s="273"/>
      <c r="FI38" s="273"/>
      <c r="FJ38" s="273"/>
      <c r="FK38" s="273"/>
      <c r="FL38" s="274"/>
      <c r="FM38" s="275"/>
      <c r="FN38" s="273"/>
      <c r="FO38" s="273"/>
      <c r="FP38" s="273"/>
      <c r="FQ38" s="273"/>
      <c r="FR38" s="273"/>
      <c r="FS38" s="275"/>
      <c r="FT38" s="273"/>
      <c r="FU38" s="273"/>
      <c r="FV38" s="273"/>
      <c r="FW38" s="273"/>
      <c r="FX38" s="274"/>
      <c r="FY38" s="273"/>
      <c r="FZ38" s="273"/>
      <c r="GA38" s="273"/>
      <c r="GB38" s="273"/>
      <c r="GC38" s="273"/>
      <c r="GD38" s="273"/>
      <c r="GE38" s="275"/>
      <c r="GF38" s="273"/>
      <c r="GG38" s="273"/>
      <c r="GH38" s="273"/>
      <c r="GI38" s="273"/>
      <c r="GJ38" s="274"/>
      <c r="GK38" s="273"/>
      <c r="GL38" s="273"/>
      <c r="GM38" s="273"/>
      <c r="GN38" s="273"/>
      <c r="GO38" s="273"/>
      <c r="GP38" s="273"/>
      <c r="GQ38" s="275"/>
      <c r="GR38" s="273"/>
      <c r="GS38" s="273"/>
      <c r="GT38" s="273"/>
      <c r="GU38" s="273"/>
      <c r="GV38" s="274"/>
      <c r="GW38" s="275"/>
      <c r="GX38" s="273"/>
      <c r="GY38" s="273"/>
      <c r="GZ38" s="273"/>
      <c r="HA38" s="273"/>
      <c r="HB38" s="274"/>
      <c r="HC38" s="273"/>
      <c r="HD38" s="273"/>
      <c r="HE38" s="273"/>
      <c r="HF38" s="273"/>
      <c r="HG38" s="273"/>
      <c r="HH38" s="273"/>
      <c r="HI38" s="275"/>
      <c r="HJ38" s="273"/>
      <c r="HK38" s="273"/>
      <c r="HL38" s="273"/>
      <c r="HM38" s="273"/>
      <c r="HN38" s="276"/>
      <c r="HO38" s="273"/>
      <c r="HP38" s="273"/>
      <c r="HQ38" s="273"/>
      <c r="HR38" s="273"/>
      <c r="HS38" s="273"/>
      <c r="HT38" s="274"/>
      <c r="HU38" s="275"/>
      <c r="HV38" s="273"/>
      <c r="HW38" s="273"/>
      <c r="HX38" s="273"/>
      <c r="HY38" s="273"/>
      <c r="HZ38" s="274"/>
      <c r="IA38" s="275"/>
      <c r="IB38" s="273"/>
      <c r="IC38" s="273"/>
      <c r="ID38" s="273"/>
      <c r="IE38" s="273"/>
      <c r="IF38" s="274"/>
      <c r="IG38" s="275"/>
      <c r="IH38" s="273"/>
      <c r="II38" s="273"/>
      <c r="IJ38" s="273"/>
      <c r="IK38" s="273"/>
      <c r="IL38" s="273"/>
      <c r="IM38" s="275"/>
      <c r="IN38" s="273"/>
      <c r="IO38" s="273"/>
      <c r="IP38" s="273"/>
      <c r="IQ38" s="273"/>
      <c r="IR38" s="274"/>
      <c r="IS38" s="273"/>
      <c r="IT38" s="273"/>
      <c r="IU38" s="273"/>
      <c r="IV38" s="273"/>
      <c r="IW38" s="273"/>
      <c r="IX38" s="273"/>
      <c r="IY38" s="275"/>
      <c r="IZ38" s="273"/>
      <c r="JA38" s="273"/>
      <c r="JB38" s="273"/>
      <c r="JC38" s="273"/>
      <c r="JD38" s="274"/>
      <c r="JE38" s="273"/>
      <c r="JF38" s="273"/>
      <c r="JG38" s="273"/>
      <c r="JH38" s="273"/>
      <c r="JI38" s="273"/>
      <c r="JJ38" s="273"/>
      <c r="JK38" s="275"/>
      <c r="JL38" s="273"/>
      <c r="JM38" s="273"/>
      <c r="JN38" s="273"/>
      <c r="JO38" s="273"/>
      <c r="JP38" s="274"/>
      <c r="JQ38" s="275"/>
      <c r="JR38" s="273"/>
      <c r="JS38" s="273"/>
      <c r="JT38" s="273"/>
      <c r="JU38" s="273"/>
      <c r="JV38" s="274"/>
      <c r="JW38" s="273"/>
      <c r="JX38" s="273"/>
      <c r="JY38" s="273"/>
      <c r="JZ38" s="273"/>
      <c r="KA38" s="273"/>
      <c r="KB38" s="273"/>
      <c r="KC38" s="275"/>
      <c r="KD38" s="273"/>
      <c r="KE38" s="273"/>
      <c r="KF38" s="273"/>
      <c r="KG38" s="273"/>
      <c r="KH38" s="276"/>
      <c r="KI38" s="273"/>
      <c r="KJ38" s="273"/>
      <c r="KK38" s="273"/>
      <c r="KL38" s="273"/>
      <c r="KM38" s="273"/>
      <c r="KN38" s="274"/>
      <c r="KO38" s="275"/>
      <c r="KP38" s="273"/>
      <c r="KQ38" s="273"/>
      <c r="KR38" s="273"/>
      <c r="KS38" s="273"/>
      <c r="KT38" s="274"/>
      <c r="KU38" s="275"/>
      <c r="KV38" s="273"/>
      <c r="KW38" s="273"/>
      <c r="KX38" s="273"/>
      <c r="KY38" s="273"/>
      <c r="KZ38" s="274"/>
      <c r="LA38" s="275"/>
      <c r="LB38" s="273"/>
      <c r="LC38" s="273"/>
      <c r="LD38" s="273"/>
      <c r="LE38" s="273"/>
      <c r="LF38" s="273"/>
      <c r="LG38" s="275"/>
      <c r="LH38" s="273"/>
      <c r="LI38" s="273"/>
      <c r="LJ38" s="273"/>
      <c r="LK38" s="273"/>
      <c r="LL38" s="274"/>
      <c r="LM38" s="273"/>
      <c r="LN38" s="273"/>
      <c r="LO38" s="273"/>
      <c r="LP38" s="273"/>
      <c r="LQ38" s="273"/>
      <c r="LR38" s="273"/>
      <c r="LS38" s="275"/>
      <c r="LT38" s="273"/>
      <c r="LU38" s="273"/>
      <c r="LV38" s="273"/>
      <c r="LW38" s="273"/>
      <c r="LX38" s="274"/>
      <c r="LY38" s="273"/>
      <c r="LZ38" s="273"/>
      <c r="MA38" s="273"/>
      <c r="MB38" s="273"/>
      <c r="MC38" s="273"/>
      <c r="MD38" s="273"/>
      <c r="ME38" s="275"/>
      <c r="MF38" s="273"/>
      <c r="MG38" s="273"/>
      <c r="MH38" s="273"/>
      <c r="MI38" s="273"/>
      <c r="MJ38" s="274"/>
      <c r="MK38" s="275"/>
      <c r="ML38" s="273"/>
      <c r="MM38" s="273"/>
      <c r="MN38" s="273"/>
      <c r="MO38" s="273"/>
      <c r="MP38" s="274"/>
      <c r="MQ38" s="273"/>
      <c r="MR38" s="273"/>
      <c r="MS38" s="273"/>
      <c r="MT38" s="273"/>
      <c r="MU38" s="273"/>
      <c r="MV38" s="273"/>
      <c r="MW38" s="275"/>
      <c r="MX38" s="273"/>
      <c r="MY38" s="273"/>
      <c r="MZ38" s="273"/>
      <c r="NA38" s="273"/>
      <c r="NB38" s="276"/>
      <c r="NC38" s="273"/>
      <c r="ND38" s="273"/>
      <c r="NE38" s="273"/>
      <c r="NF38" s="273"/>
      <c r="NG38" s="273"/>
      <c r="NH38" s="274"/>
      <c r="NI38" s="275"/>
      <c r="NJ38" s="273"/>
      <c r="NK38" s="273"/>
      <c r="NL38" s="273"/>
      <c r="NM38" s="273"/>
      <c r="NN38" s="274"/>
      <c r="NO38" s="275"/>
      <c r="NP38" s="273"/>
      <c r="NQ38" s="273"/>
      <c r="NR38" s="273"/>
      <c r="NS38" s="273"/>
      <c r="NT38" s="274"/>
      <c r="NU38" s="275"/>
      <c r="NV38" s="273"/>
      <c r="NW38" s="273"/>
      <c r="NX38" s="273"/>
      <c r="NY38" s="273"/>
      <c r="NZ38" s="273"/>
      <c r="OA38" s="275"/>
      <c r="OB38" s="273"/>
      <c r="OC38" s="273"/>
      <c r="OD38" s="273"/>
      <c r="OE38" s="273"/>
      <c r="OF38" s="274"/>
      <c r="OG38" s="273"/>
      <c r="OH38" s="273"/>
      <c r="OI38" s="273"/>
      <c r="OJ38" s="273"/>
      <c r="OK38" s="273"/>
      <c r="OL38" s="273"/>
      <c r="OM38" s="275"/>
      <c r="ON38" s="273"/>
      <c r="OO38" s="273"/>
      <c r="OP38" s="273"/>
      <c r="OQ38" s="273"/>
      <c r="OR38" s="274"/>
      <c r="OS38" s="275"/>
      <c r="OT38" s="273"/>
      <c r="OU38" s="273"/>
      <c r="OV38" s="273"/>
      <c r="OW38" s="273"/>
      <c r="OX38" s="274"/>
      <c r="OY38" s="273"/>
      <c r="OZ38" s="273"/>
      <c r="PA38" s="273"/>
      <c r="PB38" s="273"/>
      <c r="PC38" s="273"/>
      <c r="PD38" s="273"/>
      <c r="PE38" s="275"/>
      <c r="PF38" s="273"/>
      <c r="PG38" s="273"/>
      <c r="PH38" s="273"/>
      <c r="PI38" s="273"/>
      <c r="PJ38" s="273"/>
      <c r="PK38" s="275"/>
      <c r="PL38" s="273"/>
      <c r="PM38" s="273"/>
      <c r="PN38" s="273"/>
      <c r="PO38" s="273"/>
      <c r="PP38" s="273"/>
      <c r="PQ38" s="275"/>
      <c r="PR38" s="273"/>
      <c r="PS38" s="273"/>
      <c r="PT38" s="273"/>
      <c r="PU38" s="273"/>
      <c r="PV38" s="273"/>
      <c r="PW38" s="277"/>
      <c r="PX38" s="273"/>
      <c r="PY38" s="273"/>
      <c r="PZ38" s="273"/>
      <c r="QA38" s="273"/>
      <c r="QB38" s="274"/>
      <c r="QC38" s="273"/>
      <c r="QD38" s="273"/>
      <c r="QE38" s="273"/>
      <c r="QF38" s="273"/>
      <c r="QG38" s="273"/>
      <c r="QH38" s="273"/>
      <c r="QI38" s="275"/>
      <c r="QJ38" s="273"/>
      <c r="QK38" s="273"/>
      <c r="QL38" s="273"/>
      <c r="QM38" s="273"/>
      <c r="QN38" s="273"/>
      <c r="QO38" s="275"/>
      <c r="QP38" s="273"/>
      <c r="QQ38" s="273"/>
      <c r="QR38" s="273"/>
      <c r="QS38" s="273"/>
      <c r="QT38" s="273"/>
      <c r="QU38" s="275"/>
      <c r="QV38" s="273"/>
      <c r="QW38" s="273"/>
      <c r="QX38" s="273"/>
      <c r="QY38" s="273"/>
      <c r="QZ38" s="273"/>
      <c r="RA38" s="275"/>
      <c r="RB38" s="273"/>
      <c r="RC38" s="273"/>
      <c r="RD38" s="273"/>
      <c r="RE38" s="273"/>
      <c r="RF38" s="273"/>
      <c r="RG38" s="275"/>
      <c r="RH38" s="273"/>
      <c r="RI38" s="273"/>
      <c r="RJ38" s="273"/>
      <c r="RK38" s="273"/>
      <c r="RL38" s="274"/>
      <c r="RM38" s="273"/>
      <c r="RN38" s="273"/>
      <c r="RO38" s="273"/>
      <c r="RP38" s="273"/>
      <c r="RQ38" s="273"/>
      <c r="RR38" s="273"/>
      <c r="RS38" s="275"/>
      <c r="RT38" s="273"/>
      <c r="RU38" s="273"/>
      <c r="RV38" s="273"/>
      <c r="RW38" s="273"/>
      <c r="RX38" s="274"/>
      <c r="RY38" s="275"/>
      <c r="RZ38" s="273"/>
      <c r="SA38" s="273"/>
      <c r="SB38" s="273"/>
      <c r="SC38" s="273"/>
      <c r="SD38" s="274"/>
      <c r="SE38" s="273"/>
      <c r="SF38" s="273"/>
      <c r="SG38" s="273"/>
      <c r="SH38" s="273"/>
      <c r="SI38" s="273"/>
      <c r="SJ38" s="273"/>
      <c r="SK38" s="275"/>
      <c r="SL38" s="273"/>
      <c r="SM38" s="273"/>
      <c r="SN38" s="273"/>
      <c r="SO38" s="273"/>
      <c r="SP38" s="276"/>
      <c r="SQ38" s="273"/>
      <c r="SR38" s="273"/>
      <c r="SS38" s="273"/>
      <c r="ST38" s="273"/>
      <c r="SU38" s="273"/>
      <c r="SV38" s="273"/>
      <c r="SW38" s="275"/>
      <c r="SX38" s="273"/>
      <c r="SY38" s="273"/>
      <c r="SZ38" s="273"/>
      <c r="TA38" s="273"/>
      <c r="TB38" s="273"/>
      <c r="TC38" s="275"/>
      <c r="TD38" s="273"/>
      <c r="TE38" s="273"/>
      <c r="TF38" s="273"/>
      <c r="TG38" s="273"/>
      <c r="TH38" s="273"/>
      <c r="TI38" s="275"/>
      <c r="TJ38" s="273"/>
      <c r="TK38" s="273"/>
      <c r="TL38" s="273"/>
      <c r="TM38" s="273"/>
      <c r="TN38" s="273"/>
      <c r="TO38" s="275"/>
      <c r="TP38" s="273"/>
      <c r="TQ38" s="273"/>
      <c r="TR38" s="273"/>
      <c r="TS38" s="273"/>
      <c r="TT38" s="273"/>
      <c r="TU38" s="275"/>
      <c r="TV38" s="273"/>
      <c r="TW38" s="273"/>
      <c r="TX38" s="273"/>
      <c r="TY38" s="273"/>
      <c r="TZ38" s="273"/>
      <c r="UA38" s="275"/>
      <c r="UB38" s="273"/>
      <c r="UC38" s="273"/>
      <c r="UD38" s="273"/>
      <c r="UE38" s="273"/>
      <c r="UF38" s="274"/>
      <c r="UG38" s="273"/>
      <c r="UH38" s="273"/>
      <c r="UI38" s="273"/>
      <c r="UJ38" s="273"/>
      <c r="UK38" s="273"/>
      <c r="UL38" s="273"/>
      <c r="UM38" s="275"/>
      <c r="UN38" s="273"/>
      <c r="UO38" s="273"/>
      <c r="UP38" s="273"/>
      <c r="UQ38" s="273"/>
      <c r="UR38" s="274"/>
      <c r="US38" s="275"/>
      <c r="UT38" s="273"/>
      <c r="UU38" s="273"/>
      <c r="UV38" s="273"/>
      <c r="UW38" s="273"/>
      <c r="UX38" s="274"/>
      <c r="UY38" s="273"/>
      <c r="UZ38" s="273"/>
      <c r="VA38" s="273"/>
      <c r="VB38" s="273"/>
      <c r="VC38" s="273"/>
      <c r="VD38" s="273"/>
      <c r="VE38" s="275"/>
      <c r="VF38" s="273"/>
      <c r="VG38" s="273"/>
      <c r="VH38" s="273"/>
      <c r="VI38" s="273"/>
      <c r="VJ38" s="276"/>
    </row>
    <row r="39" spans="3:582" s="52" customFormat="1" ht="39" customHeight="1" thickBot="1" x14ac:dyDescent="0.3">
      <c r="C39" s="539"/>
      <c r="D39" s="542"/>
      <c r="E39" s="542"/>
      <c r="F39" s="544"/>
      <c r="G39" s="555"/>
      <c r="H39" s="556"/>
      <c r="I39" s="556"/>
      <c r="J39" s="556"/>
      <c r="K39" s="556"/>
      <c r="L39" s="557"/>
      <c r="M39" s="563"/>
      <c r="N39" s="556"/>
      <c r="O39" s="556"/>
      <c r="P39" s="556"/>
      <c r="Q39" s="556"/>
      <c r="R39" s="557"/>
      <c r="S39" s="563"/>
      <c r="T39" s="556"/>
      <c r="U39" s="556"/>
      <c r="V39" s="556"/>
      <c r="W39" s="556"/>
      <c r="X39" s="557"/>
      <c r="Y39" s="564"/>
      <c r="Z39" s="564"/>
      <c r="AA39" s="564"/>
      <c r="AB39" s="564"/>
      <c r="AC39" s="564"/>
      <c r="AD39" s="564"/>
      <c r="AE39" s="565"/>
      <c r="AF39" s="566"/>
      <c r="AG39" s="566"/>
      <c r="AH39" s="566"/>
      <c r="AI39" s="566"/>
      <c r="AJ39" s="567"/>
      <c r="AK39" s="556"/>
      <c r="AL39" s="556"/>
      <c r="AM39" s="556"/>
      <c r="AN39" s="556"/>
      <c r="AO39" s="556"/>
      <c r="AP39" s="556"/>
      <c r="AQ39" s="568"/>
      <c r="AR39" s="569"/>
      <c r="AS39" s="569"/>
      <c r="AT39" s="569"/>
      <c r="AU39" s="569"/>
      <c r="AV39" s="570"/>
      <c r="AW39" s="556"/>
      <c r="AX39" s="556"/>
      <c r="AY39" s="556"/>
      <c r="AZ39" s="556"/>
      <c r="BA39" s="556"/>
      <c r="BB39" s="556"/>
      <c r="BC39" s="563"/>
      <c r="BD39" s="556"/>
      <c r="BE39" s="556"/>
      <c r="BF39" s="556"/>
      <c r="BG39" s="556"/>
      <c r="BH39" s="557"/>
      <c r="BI39" s="563"/>
      <c r="BJ39" s="556"/>
      <c r="BK39" s="556"/>
      <c r="BL39" s="556"/>
      <c r="BM39" s="556"/>
      <c r="BN39" s="557"/>
      <c r="BO39" s="556"/>
      <c r="BP39" s="556"/>
      <c r="BQ39" s="556"/>
      <c r="BR39" s="556"/>
      <c r="BS39" s="556"/>
      <c r="BT39" s="556"/>
      <c r="BU39" s="565"/>
      <c r="BV39" s="566"/>
      <c r="BW39" s="566"/>
      <c r="BX39" s="566"/>
      <c r="BY39" s="566"/>
      <c r="BZ39" s="566"/>
      <c r="CA39" s="584"/>
      <c r="CB39" s="566"/>
      <c r="CC39" s="566"/>
      <c r="CD39" s="566"/>
      <c r="CE39" s="566"/>
      <c r="CF39" s="567"/>
      <c r="CG39" s="563"/>
      <c r="CH39" s="556"/>
      <c r="CI39" s="556"/>
      <c r="CJ39" s="556"/>
      <c r="CK39" s="556"/>
      <c r="CL39" s="557"/>
      <c r="CM39" s="563"/>
      <c r="CN39" s="556"/>
      <c r="CO39" s="556"/>
      <c r="CP39" s="556"/>
      <c r="CQ39" s="556"/>
      <c r="CR39" s="557"/>
      <c r="CS39" s="564"/>
      <c r="CT39" s="564"/>
      <c r="CU39" s="564"/>
      <c r="CV39" s="564"/>
      <c r="CW39" s="564"/>
      <c r="CX39" s="564"/>
      <c r="CY39" s="565"/>
      <c r="CZ39" s="566"/>
      <c r="DA39" s="566"/>
      <c r="DB39" s="566"/>
      <c r="DC39" s="566"/>
      <c r="DD39" s="566"/>
      <c r="DE39" s="563"/>
      <c r="DF39" s="556"/>
      <c r="DG39" s="556"/>
      <c r="DH39" s="556"/>
      <c r="DI39" s="556"/>
      <c r="DJ39" s="557"/>
      <c r="DK39" s="568"/>
      <c r="DL39" s="569"/>
      <c r="DM39" s="569"/>
      <c r="DN39" s="569"/>
      <c r="DO39" s="569"/>
      <c r="DP39" s="570"/>
      <c r="DQ39" s="556"/>
      <c r="DR39" s="556"/>
      <c r="DS39" s="556"/>
      <c r="DT39" s="556"/>
      <c r="DU39" s="556"/>
      <c r="DV39" s="556"/>
      <c r="DW39" s="563"/>
      <c r="DX39" s="556"/>
      <c r="DY39" s="556"/>
      <c r="DZ39" s="556"/>
      <c r="EA39" s="556"/>
      <c r="EB39" s="557"/>
      <c r="EC39" s="563"/>
      <c r="ED39" s="556"/>
      <c r="EE39" s="556"/>
      <c r="EF39" s="556"/>
      <c r="EG39" s="556"/>
      <c r="EH39" s="557"/>
      <c r="EI39" s="556"/>
      <c r="EJ39" s="556"/>
      <c r="EK39" s="556"/>
      <c r="EL39" s="556"/>
      <c r="EM39" s="556"/>
      <c r="EN39" s="556"/>
      <c r="EO39" s="563"/>
      <c r="EP39" s="556"/>
      <c r="EQ39" s="556"/>
      <c r="ER39" s="556"/>
      <c r="ES39" s="556"/>
      <c r="ET39" s="571"/>
      <c r="EU39" s="565"/>
      <c r="EV39" s="566"/>
      <c r="EW39" s="566"/>
      <c r="EX39" s="566"/>
      <c r="EY39" s="566"/>
      <c r="EZ39" s="566"/>
      <c r="FA39" s="563"/>
      <c r="FB39" s="556"/>
      <c r="FC39" s="556"/>
      <c r="FD39" s="556"/>
      <c r="FE39" s="556"/>
      <c r="FF39" s="557"/>
      <c r="FG39" s="563"/>
      <c r="FH39" s="556"/>
      <c r="FI39" s="556"/>
      <c r="FJ39" s="556"/>
      <c r="FK39" s="556"/>
      <c r="FL39" s="557"/>
      <c r="FM39" s="564"/>
      <c r="FN39" s="564"/>
      <c r="FO39" s="564"/>
      <c r="FP39" s="564"/>
      <c r="FQ39" s="564"/>
      <c r="FR39" s="564"/>
      <c r="FS39" s="565"/>
      <c r="FT39" s="566"/>
      <c r="FU39" s="566"/>
      <c r="FV39" s="566"/>
      <c r="FW39" s="566"/>
      <c r="FX39" s="567"/>
      <c r="FY39" s="556"/>
      <c r="FZ39" s="556"/>
      <c r="GA39" s="556"/>
      <c r="GB39" s="556"/>
      <c r="GC39" s="556"/>
      <c r="GD39" s="556"/>
      <c r="GE39" s="568"/>
      <c r="GF39" s="569"/>
      <c r="GG39" s="569"/>
      <c r="GH39" s="569"/>
      <c r="GI39" s="569"/>
      <c r="GJ39" s="570"/>
      <c r="GK39" s="556"/>
      <c r="GL39" s="556"/>
      <c r="GM39" s="556"/>
      <c r="GN39" s="556"/>
      <c r="GO39" s="556"/>
      <c r="GP39" s="556"/>
      <c r="GQ39" s="563"/>
      <c r="GR39" s="556"/>
      <c r="GS39" s="556"/>
      <c r="GT39" s="556"/>
      <c r="GU39" s="556"/>
      <c r="GV39" s="557"/>
      <c r="GW39" s="563"/>
      <c r="GX39" s="556"/>
      <c r="GY39" s="556"/>
      <c r="GZ39" s="556"/>
      <c r="HA39" s="556"/>
      <c r="HB39" s="557"/>
      <c r="HC39" s="556"/>
      <c r="HD39" s="556"/>
      <c r="HE39" s="556"/>
      <c r="HF39" s="556"/>
      <c r="HG39" s="556"/>
      <c r="HH39" s="556"/>
      <c r="HI39" s="563"/>
      <c r="HJ39" s="556"/>
      <c r="HK39" s="556"/>
      <c r="HL39" s="556"/>
      <c r="HM39" s="556"/>
      <c r="HN39" s="571"/>
      <c r="HO39" s="565"/>
      <c r="HP39" s="566"/>
      <c r="HQ39" s="566"/>
      <c r="HR39" s="566"/>
      <c r="HS39" s="566"/>
      <c r="HT39" s="566"/>
      <c r="HU39" s="563"/>
      <c r="HV39" s="556"/>
      <c r="HW39" s="556"/>
      <c r="HX39" s="556"/>
      <c r="HY39" s="556"/>
      <c r="HZ39" s="557"/>
      <c r="IA39" s="563"/>
      <c r="IB39" s="556"/>
      <c r="IC39" s="556"/>
      <c r="ID39" s="556"/>
      <c r="IE39" s="556"/>
      <c r="IF39" s="557"/>
      <c r="IG39" s="565"/>
      <c r="IH39" s="566"/>
      <c r="II39" s="566"/>
      <c r="IJ39" s="566"/>
      <c r="IK39" s="566"/>
      <c r="IL39" s="566"/>
      <c r="IM39" s="565"/>
      <c r="IN39" s="566"/>
      <c r="IO39" s="566"/>
      <c r="IP39" s="566"/>
      <c r="IQ39" s="566"/>
      <c r="IR39" s="567"/>
      <c r="IS39" s="556"/>
      <c r="IT39" s="556"/>
      <c r="IU39" s="556"/>
      <c r="IV39" s="556"/>
      <c r="IW39" s="556"/>
      <c r="IX39" s="556"/>
      <c r="IY39" s="568"/>
      <c r="IZ39" s="569"/>
      <c r="JA39" s="569"/>
      <c r="JB39" s="569"/>
      <c r="JC39" s="569"/>
      <c r="JD39" s="570"/>
      <c r="JE39" s="556"/>
      <c r="JF39" s="556"/>
      <c r="JG39" s="556"/>
      <c r="JH39" s="556"/>
      <c r="JI39" s="556"/>
      <c r="JJ39" s="556"/>
      <c r="JK39" s="563"/>
      <c r="JL39" s="556"/>
      <c r="JM39" s="556"/>
      <c r="JN39" s="556"/>
      <c r="JO39" s="556"/>
      <c r="JP39" s="557"/>
      <c r="JQ39" s="563"/>
      <c r="JR39" s="556"/>
      <c r="JS39" s="556"/>
      <c r="JT39" s="556"/>
      <c r="JU39" s="556"/>
      <c r="JV39" s="557"/>
      <c r="JW39" s="556"/>
      <c r="JX39" s="556"/>
      <c r="JY39" s="556"/>
      <c r="JZ39" s="556"/>
      <c r="KA39" s="556"/>
      <c r="KB39" s="556"/>
      <c r="KC39" s="563"/>
      <c r="KD39" s="556"/>
      <c r="KE39" s="556"/>
      <c r="KF39" s="556"/>
      <c r="KG39" s="556"/>
      <c r="KH39" s="571"/>
      <c r="KI39" s="565"/>
      <c r="KJ39" s="566"/>
      <c r="KK39" s="566"/>
      <c r="KL39" s="566"/>
      <c r="KM39" s="566"/>
      <c r="KN39" s="566"/>
      <c r="KO39" s="563"/>
      <c r="KP39" s="556"/>
      <c r="KQ39" s="556"/>
      <c r="KR39" s="556"/>
      <c r="KS39" s="556"/>
      <c r="KT39" s="557"/>
      <c r="KU39" s="563"/>
      <c r="KV39" s="556"/>
      <c r="KW39" s="556"/>
      <c r="KX39" s="556"/>
      <c r="KY39" s="556"/>
      <c r="KZ39" s="557"/>
      <c r="LA39" s="564"/>
      <c r="LB39" s="564"/>
      <c r="LC39" s="564"/>
      <c r="LD39" s="564"/>
      <c r="LE39" s="564"/>
      <c r="LF39" s="564"/>
      <c r="LG39" s="565"/>
      <c r="LH39" s="566"/>
      <c r="LI39" s="566"/>
      <c r="LJ39" s="566"/>
      <c r="LK39" s="566"/>
      <c r="LL39" s="567"/>
      <c r="LM39" s="556"/>
      <c r="LN39" s="556"/>
      <c r="LO39" s="556"/>
      <c r="LP39" s="556"/>
      <c r="LQ39" s="556"/>
      <c r="LR39" s="556"/>
      <c r="LS39" s="565"/>
      <c r="LT39" s="566"/>
      <c r="LU39" s="566"/>
      <c r="LV39" s="566"/>
      <c r="LW39" s="566"/>
      <c r="LX39" s="567"/>
      <c r="LY39" s="556"/>
      <c r="LZ39" s="556"/>
      <c r="MA39" s="556"/>
      <c r="MB39" s="556"/>
      <c r="MC39" s="556"/>
      <c r="MD39" s="556"/>
      <c r="ME39" s="563"/>
      <c r="MF39" s="556"/>
      <c r="MG39" s="556"/>
      <c r="MH39" s="556"/>
      <c r="MI39" s="556"/>
      <c r="MJ39" s="557"/>
      <c r="MK39" s="563"/>
      <c r="ML39" s="556"/>
      <c r="MM39" s="556"/>
      <c r="MN39" s="556"/>
      <c r="MO39" s="556"/>
      <c r="MP39" s="557"/>
      <c r="MQ39" s="556"/>
      <c r="MR39" s="556"/>
      <c r="MS39" s="556"/>
      <c r="MT39" s="556"/>
      <c r="MU39" s="556"/>
      <c r="MV39" s="556"/>
      <c r="MW39" s="563"/>
      <c r="MX39" s="556"/>
      <c r="MY39" s="556"/>
      <c r="MZ39" s="556"/>
      <c r="NA39" s="556"/>
      <c r="NB39" s="571"/>
      <c r="NC39" s="565"/>
      <c r="ND39" s="566"/>
      <c r="NE39" s="566"/>
      <c r="NF39" s="566"/>
      <c r="NG39" s="566"/>
      <c r="NH39" s="566"/>
      <c r="NI39" s="563"/>
      <c r="NJ39" s="556"/>
      <c r="NK39" s="556"/>
      <c r="NL39" s="556"/>
      <c r="NM39" s="556"/>
      <c r="NN39" s="557"/>
      <c r="NO39" s="563"/>
      <c r="NP39" s="556"/>
      <c r="NQ39" s="556"/>
      <c r="NR39" s="556"/>
      <c r="NS39" s="556"/>
      <c r="NT39" s="557"/>
      <c r="NU39" s="564"/>
      <c r="NV39" s="564"/>
      <c r="NW39" s="564"/>
      <c r="NX39" s="564"/>
      <c r="NY39" s="564"/>
      <c r="NZ39" s="564"/>
      <c r="OA39" s="565"/>
      <c r="OB39" s="566"/>
      <c r="OC39" s="566"/>
      <c r="OD39" s="566"/>
      <c r="OE39" s="566"/>
      <c r="OF39" s="567"/>
      <c r="OG39" s="565"/>
      <c r="OH39" s="566"/>
      <c r="OI39" s="566"/>
      <c r="OJ39" s="566"/>
      <c r="OK39" s="566"/>
      <c r="OL39" s="567"/>
      <c r="OM39" s="566"/>
      <c r="ON39" s="566"/>
      <c r="OO39" s="566"/>
      <c r="OP39" s="566"/>
      <c r="OQ39" s="566"/>
      <c r="OR39" s="567"/>
      <c r="OS39" s="556"/>
      <c r="OT39" s="556"/>
      <c r="OU39" s="556"/>
      <c r="OV39" s="556"/>
      <c r="OW39" s="556"/>
      <c r="OX39" s="556"/>
      <c r="OY39" s="563"/>
      <c r="OZ39" s="556"/>
      <c r="PA39" s="556"/>
      <c r="PB39" s="556"/>
      <c r="PC39" s="556"/>
      <c r="PD39" s="557"/>
      <c r="PE39" s="563"/>
      <c r="PF39" s="556"/>
      <c r="PG39" s="556"/>
      <c r="PH39" s="556"/>
      <c r="PI39" s="556"/>
      <c r="PJ39" s="557"/>
      <c r="PK39" s="556"/>
      <c r="PL39" s="556"/>
      <c r="PM39" s="556"/>
      <c r="PN39" s="556"/>
      <c r="PO39" s="556"/>
      <c r="PP39" s="556"/>
      <c r="PQ39" s="563"/>
      <c r="PR39" s="556"/>
      <c r="PS39" s="556"/>
      <c r="PT39" s="556"/>
      <c r="PU39" s="556"/>
      <c r="PV39" s="571"/>
      <c r="PW39" s="565"/>
      <c r="PX39" s="566"/>
      <c r="PY39" s="566"/>
      <c r="PZ39" s="566"/>
      <c r="QA39" s="566"/>
      <c r="QB39" s="566"/>
      <c r="QC39" s="563"/>
      <c r="QD39" s="556"/>
      <c r="QE39" s="556"/>
      <c r="QF39" s="556"/>
      <c r="QG39" s="556"/>
      <c r="QH39" s="557"/>
      <c r="QI39" s="563"/>
      <c r="QJ39" s="556"/>
      <c r="QK39" s="556"/>
      <c r="QL39" s="556"/>
      <c r="QM39" s="556"/>
      <c r="QN39" s="557"/>
      <c r="QO39" s="564"/>
      <c r="QP39" s="564"/>
      <c r="QQ39" s="564"/>
      <c r="QR39" s="564"/>
      <c r="QS39" s="564"/>
      <c r="QT39" s="564"/>
      <c r="QU39" s="565"/>
      <c r="QV39" s="566"/>
      <c r="QW39" s="566"/>
      <c r="QX39" s="566"/>
      <c r="QY39" s="566"/>
      <c r="QZ39" s="567"/>
      <c r="RA39" s="565"/>
      <c r="RB39" s="566"/>
      <c r="RC39" s="566"/>
      <c r="RD39" s="566"/>
      <c r="RE39" s="566"/>
      <c r="RF39" s="566"/>
      <c r="RG39" s="568"/>
      <c r="RH39" s="569"/>
      <c r="RI39" s="569"/>
      <c r="RJ39" s="569"/>
      <c r="RK39" s="569"/>
      <c r="RL39" s="570"/>
      <c r="RM39" s="556"/>
      <c r="RN39" s="556"/>
      <c r="RO39" s="556"/>
      <c r="RP39" s="556"/>
      <c r="RQ39" s="556"/>
      <c r="RR39" s="556"/>
      <c r="RS39" s="563"/>
      <c r="RT39" s="556"/>
      <c r="RU39" s="556"/>
      <c r="RV39" s="556"/>
      <c r="RW39" s="556"/>
      <c r="RX39" s="557"/>
      <c r="RY39" s="563"/>
      <c r="RZ39" s="556"/>
      <c r="SA39" s="556"/>
      <c r="SB39" s="556"/>
      <c r="SC39" s="556"/>
      <c r="SD39" s="557"/>
      <c r="SE39" s="556"/>
      <c r="SF39" s="556"/>
      <c r="SG39" s="556"/>
      <c r="SH39" s="556"/>
      <c r="SI39" s="556"/>
      <c r="SJ39" s="556"/>
      <c r="SK39" s="563"/>
      <c r="SL39" s="556"/>
      <c r="SM39" s="556"/>
      <c r="SN39" s="556"/>
      <c r="SO39" s="556"/>
      <c r="SP39" s="571"/>
      <c r="SQ39" s="565"/>
      <c r="SR39" s="566"/>
      <c r="SS39" s="566"/>
      <c r="ST39" s="566"/>
      <c r="SU39" s="566"/>
      <c r="SV39" s="566"/>
      <c r="SW39" s="563"/>
      <c r="SX39" s="556"/>
      <c r="SY39" s="556"/>
      <c r="SZ39" s="556"/>
      <c r="TA39" s="556"/>
      <c r="TB39" s="557"/>
      <c r="TC39" s="563"/>
      <c r="TD39" s="556"/>
      <c r="TE39" s="556"/>
      <c r="TF39" s="556"/>
      <c r="TG39" s="556"/>
      <c r="TH39" s="557"/>
      <c r="TI39" s="564"/>
      <c r="TJ39" s="564"/>
      <c r="TK39" s="564"/>
      <c r="TL39" s="564"/>
      <c r="TM39" s="564"/>
      <c r="TN39" s="564"/>
      <c r="TO39" s="565"/>
      <c r="TP39" s="566"/>
      <c r="TQ39" s="566"/>
      <c r="TR39" s="566"/>
      <c r="TS39" s="566"/>
      <c r="TT39" s="567"/>
      <c r="TU39" s="565"/>
      <c r="TV39" s="566"/>
      <c r="TW39" s="566"/>
      <c r="TX39" s="566"/>
      <c r="TY39" s="566"/>
      <c r="TZ39" s="566"/>
      <c r="UA39" s="568"/>
      <c r="UB39" s="569"/>
      <c r="UC39" s="569"/>
      <c r="UD39" s="569"/>
      <c r="UE39" s="569"/>
      <c r="UF39" s="570"/>
      <c r="UG39" s="556"/>
      <c r="UH39" s="556"/>
      <c r="UI39" s="556"/>
      <c r="UJ39" s="556"/>
      <c r="UK39" s="556"/>
      <c r="UL39" s="556"/>
      <c r="UM39" s="563"/>
      <c r="UN39" s="556"/>
      <c r="UO39" s="556"/>
      <c r="UP39" s="556"/>
      <c r="UQ39" s="556"/>
      <c r="UR39" s="557"/>
      <c r="US39" s="563"/>
      <c r="UT39" s="556"/>
      <c r="UU39" s="556"/>
      <c r="UV39" s="556"/>
      <c r="UW39" s="556"/>
      <c r="UX39" s="557"/>
      <c r="UY39" s="556"/>
      <c r="UZ39" s="556"/>
      <c r="VA39" s="556"/>
      <c r="VB39" s="556"/>
      <c r="VC39" s="556"/>
      <c r="VD39" s="556"/>
      <c r="VE39" s="563"/>
      <c r="VF39" s="556"/>
      <c r="VG39" s="556"/>
      <c r="VH39" s="556"/>
      <c r="VI39" s="556"/>
      <c r="VJ39" s="571"/>
    </row>
    <row r="40" spans="3:582" s="52" customFormat="1" ht="12.75" customHeight="1" x14ac:dyDescent="0.25">
      <c r="C40" s="538"/>
      <c r="D40" s="540">
        <v>2</v>
      </c>
      <c r="E40" s="540"/>
      <c r="F40" s="543"/>
      <c r="G40" s="545"/>
      <c r="H40" s="546"/>
      <c r="I40" s="546"/>
      <c r="J40" s="546"/>
      <c r="K40" s="546"/>
      <c r="L40" s="547"/>
      <c r="M40" s="548"/>
      <c r="N40" s="546"/>
      <c r="O40" s="546"/>
      <c r="P40" s="546"/>
      <c r="Q40" s="546"/>
      <c r="R40" s="547"/>
      <c r="S40" s="548"/>
      <c r="T40" s="546"/>
      <c r="U40" s="546"/>
      <c r="V40" s="546"/>
      <c r="W40" s="546"/>
      <c r="X40" s="547"/>
      <c r="Y40" s="546"/>
      <c r="Z40" s="546"/>
      <c r="AA40" s="546"/>
      <c r="AB40" s="546"/>
      <c r="AC40" s="546"/>
      <c r="AD40" s="546"/>
      <c r="AE40" s="548"/>
      <c r="AF40" s="546"/>
      <c r="AG40" s="546"/>
      <c r="AH40" s="546"/>
      <c r="AI40" s="546"/>
      <c r="AJ40" s="547"/>
      <c r="AK40" s="546"/>
      <c r="AL40" s="546"/>
      <c r="AM40" s="546"/>
      <c r="AN40" s="546"/>
      <c r="AO40" s="546"/>
      <c r="AP40" s="546"/>
      <c r="AQ40" s="548"/>
      <c r="AR40" s="546"/>
      <c r="AS40" s="546"/>
      <c r="AT40" s="546"/>
      <c r="AU40" s="546"/>
      <c r="AV40" s="547"/>
      <c r="AW40" s="546"/>
      <c r="AX40" s="546"/>
      <c r="AY40" s="546"/>
      <c r="AZ40" s="546"/>
      <c r="BA40" s="546"/>
      <c r="BB40" s="546"/>
      <c r="BC40" s="548"/>
      <c r="BD40" s="546"/>
      <c r="BE40" s="546"/>
      <c r="BF40" s="546"/>
      <c r="BG40" s="546"/>
      <c r="BH40" s="547"/>
      <c r="BI40" s="548"/>
      <c r="BJ40" s="546"/>
      <c r="BK40" s="546"/>
      <c r="BL40" s="546"/>
      <c r="BM40" s="546"/>
      <c r="BN40" s="547"/>
      <c r="BO40" s="546"/>
      <c r="BP40" s="546"/>
      <c r="BQ40" s="546"/>
      <c r="BR40" s="546"/>
      <c r="BS40" s="546"/>
      <c r="BT40" s="546"/>
      <c r="BU40" s="548"/>
      <c r="BV40" s="546"/>
      <c r="BW40" s="546"/>
      <c r="BX40" s="546"/>
      <c r="BY40" s="546"/>
      <c r="BZ40" s="549"/>
      <c r="CA40" s="545"/>
      <c r="CB40" s="546"/>
      <c r="CC40" s="546"/>
      <c r="CD40" s="546"/>
      <c r="CE40" s="546"/>
      <c r="CF40" s="547"/>
      <c r="CG40" s="548"/>
      <c r="CH40" s="546"/>
      <c r="CI40" s="546"/>
      <c r="CJ40" s="546"/>
      <c r="CK40" s="546"/>
      <c r="CL40" s="547"/>
      <c r="CM40" s="548"/>
      <c r="CN40" s="546"/>
      <c r="CO40" s="546"/>
      <c r="CP40" s="546"/>
      <c r="CQ40" s="546"/>
      <c r="CR40" s="547"/>
      <c r="CS40" s="546"/>
      <c r="CT40" s="546"/>
      <c r="CU40" s="546"/>
      <c r="CV40" s="546"/>
      <c r="CW40" s="546"/>
      <c r="CX40" s="546"/>
      <c r="CY40" s="548"/>
      <c r="CZ40" s="546"/>
      <c r="DA40" s="546"/>
      <c r="DB40" s="546"/>
      <c r="DC40" s="546"/>
      <c r="DD40" s="547"/>
      <c r="DE40" s="546"/>
      <c r="DF40" s="546"/>
      <c r="DG40" s="546"/>
      <c r="DH40" s="546"/>
      <c r="DI40" s="546"/>
      <c r="DJ40" s="546"/>
      <c r="DK40" s="548"/>
      <c r="DL40" s="546"/>
      <c r="DM40" s="546"/>
      <c r="DN40" s="546"/>
      <c r="DO40" s="546"/>
      <c r="DP40" s="547"/>
      <c r="DQ40" s="546"/>
      <c r="DR40" s="546"/>
      <c r="DS40" s="546"/>
      <c r="DT40" s="546"/>
      <c r="DU40" s="546"/>
      <c r="DV40" s="546"/>
      <c r="DW40" s="548"/>
      <c r="DX40" s="546"/>
      <c r="DY40" s="546"/>
      <c r="DZ40" s="546"/>
      <c r="EA40" s="546"/>
      <c r="EB40" s="547"/>
      <c r="EC40" s="548"/>
      <c r="ED40" s="546"/>
      <c r="EE40" s="546"/>
      <c r="EF40" s="546"/>
      <c r="EG40" s="546"/>
      <c r="EH40" s="547"/>
      <c r="EI40" s="546"/>
      <c r="EJ40" s="546"/>
      <c r="EK40" s="546"/>
      <c r="EL40" s="546"/>
      <c r="EM40" s="546"/>
      <c r="EN40" s="546"/>
      <c r="EO40" s="548"/>
      <c r="EP40" s="546"/>
      <c r="EQ40" s="546"/>
      <c r="ER40" s="546"/>
      <c r="ES40" s="546"/>
      <c r="ET40" s="549"/>
      <c r="EU40" s="545"/>
      <c r="EV40" s="546"/>
      <c r="EW40" s="546"/>
      <c r="EX40" s="546"/>
      <c r="EY40" s="546"/>
      <c r="EZ40" s="547"/>
      <c r="FA40" s="548"/>
      <c r="FB40" s="546"/>
      <c r="FC40" s="546"/>
      <c r="FD40" s="546"/>
      <c r="FE40" s="546"/>
      <c r="FF40" s="547"/>
      <c r="FG40" s="548"/>
      <c r="FH40" s="546"/>
      <c r="FI40" s="546"/>
      <c r="FJ40" s="546"/>
      <c r="FK40" s="546"/>
      <c r="FL40" s="547"/>
      <c r="FM40" s="546"/>
      <c r="FN40" s="546"/>
      <c r="FO40" s="546"/>
      <c r="FP40" s="546"/>
      <c r="FQ40" s="546"/>
      <c r="FR40" s="546"/>
      <c r="FS40" s="548"/>
      <c r="FT40" s="546"/>
      <c r="FU40" s="546"/>
      <c r="FV40" s="546"/>
      <c r="FW40" s="546"/>
      <c r="FX40" s="547"/>
      <c r="FY40" s="546"/>
      <c r="FZ40" s="546"/>
      <c r="GA40" s="546"/>
      <c r="GB40" s="546"/>
      <c r="GC40" s="546"/>
      <c r="GD40" s="546"/>
      <c r="GE40" s="548"/>
      <c r="GF40" s="546"/>
      <c r="GG40" s="546"/>
      <c r="GH40" s="546"/>
      <c r="GI40" s="546"/>
      <c r="GJ40" s="547"/>
      <c r="GK40" s="546"/>
      <c r="GL40" s="546"/>
      <c r="GM40" s="546"/>
      <c r="GN40" s="546"/>
      <c r="GO40" s="546"/>
      <c r="GP40" s="546"/>
      <c r="GQ40" s="548"/>
      <c r="GR40" s="546"/>
      <c r="GS40" s="546"/>
      <c r="GT40" s="546"/>
      <c r="GU40" s="546"/>
      <c r="GV40" s="547"/>
      <c r="GW40" s="548"/>
      <c r="GX40" s="546"/>
      <c r="GY40" s="546"/>
      <c r="GZ40" s="546"/>
      <c r="HA40" s="546"/>
      <c r="HB40" s="547"/>
      <c r="HC40" s="546"/>
      <c r="HD40" s="546"/>
      <c r="HE40" s="546"/>
      <c r="HF40" s="546"/>
      <c r="HG40" s="546"/>
      <c r="HH40" s="546"/>
      <c r="HI40" s="548"/>
      <c r="HJ40" s="546"/>
      <c r="HK40" s="546"/>
      <c r="HL40" s="546"/>
      <c r="HM40" s="546"/>
      <c r="HN40" s="549"/>
      <c r="HO40" s="545"/>
      <c r="HP40" s="546"/>
      <c r="HQ40" s="546"/>
      <c r="HR40" s="546"/>
      <c r="HS40" s="546"/>
      <c r="HT40" s="547"/>
      <c r="HU40" s="548"/>
      <c r="HV40" s="546"/>
      <c r="HW40" s="546"/>
      <c r="HX40" s="546"/>
      <c r="HY40" s="546"/>
      <c r="HZ40" s="547"/>
      <c r="IA40" s="548"/>
      <c r="IB40" s="546"/>
      <c r="IC40" s="546"/>
      <c r="ID40" s="546"/>
      <c r="IE40" s="546"/>
      <c r="IF40" s="547"/>
      <c r="IG40" s="546"/>
      <c r="IH40" s="546"/>
      <c r="II40" s="546"/>
      <c r="IJ40" s="546"/>
      <c r="IK40" s="546"/>
      <c r="IL40" s="546"/>
      <c r="IM40" s="548"/>
      <c r="IN40" s="546"/>
      <c r="IO40" s="546"/>
      <c r="IP40" s="546"/>
      <c r="IQ40" s="546"/>
      <c r="IR40" s="547"/>
      <c r="IS40" s="546"/>
      <c r="IT40" s="546"/>
      <c r="IU40" s="546"/>
      <c r="IV40" s="546"/>
      <c r="IW40" s="546"/>
      <c r="IX40" s="546"/>
      <c r="IY40" s="548"/>
      <c r="IZ40" s="546"/>
      <c r="JA40" s="546"/>
      <c r="JB40" s="546"/>
      <c r="JC40" s="546"/>
      <c r="JD40" s="547"/>
      <c r="JE40" s="546"/>
      <c r="JF40" s="546"/>
      <c r="JG40" s="546"/>
      <c r="JH40" s="546"/>
      <c r="JI40" s="546"/>
      <c r="JJ40" s="546"/>
      <c r="JK40" s="548"/>
      <c r="JL40" s="546"/>
      <c r="JM40" s="546"/>
      <c r="JN40" s="546"/>
      <c r="JO40" s="546"/>
      <c r="JP40" s="547"/>
      <c r="JQ40" s="548"/>
      <c r="JR40" s="546"/>
      <c r="JS40" s="546"/>
      <c r="JT40" s="546"/>
      <c r="JU40" s="546"/>
      <c r="JV40" s="547"/>
      <c r="JW40" s="546"/>
      <c r="JX40" s="546"/>
      <c r="JY40" s="546"/>
      <c r="JZ40" s="546"/>
      <c r="KA40" s="546"/>
      <c r="KB40" s="546"/>
      <c r="KC40" s="548"/>
      <c r="KD40" s="546"/>
      <c r="KE40" s="546"/>
      <c r="KF40" s="546"/>
      <c r="KG40" s="546"/>
      <c r="KH40" s="549"/>
      <c r="KI40" s="545"/>
      <c r="KJ40" s="546"/>
      <c r="KK40" s="546"/>
      <c r="KL40" s="546"/>
      <c r="KM40" s="546"/>
      <c r="KN40" s="547"/>
      <c r="KO40" s="548"/>
      <c r="KP40" s="546"/>
      <c r="KQ40" s="546"/>
      <c r="KR40" s="546"/>
      <c r="KS40" s="546"/>
      <c r="KT40" s="547"/>
      <c r="KU40" s="548"/>
      <c r="KV40" s="546"/>
      <c r="KW40" s="546"/>
      <c r="KX40" s="546"/>
      <c r="KY40" s="546"/>
      <c r="KZ40" s="547"/>
      <c r="LA40" s="546"/>
      <c r="LB40" s="546"/>
      <c r="LC40" s="546"/>
      <c r="LD40" s="546"/>
      <c r="LE40" s="546"/>
      <c r="LF40" s="546"/>
      <c r="LG40" s="548"/>
      <c r="LH40" s="546"/>
      <c r="LI40" s="546"/>
      <c r="LJ40" s="546"/>
      <c r="LK40" s="546"/>
      <c r="LL40" s="547"/>
      <c r="LM40" s="546"/>
      <c r="LN40" s="546"/>
      <c r="LO40" s="546"/>
      <c r="LP40" s="546"/>
      <c r="LQ40" s="546"/>
      <c r="LR40" s="546"/>
      <c r="LS40" s="548"/>
      <c r="LT40" s="546"/>
      <c r="LU40" s="546"/>
      <c r="LV40" s="546"/>
      <c r="LW40" s="546"/>
      <c r="LX40" s="547"/>
      <c r="LY40" s="546"/>
      <c r="LZ40" s="546"/>
      <c r="MA40" s="546"/>
      <c r="MB40" s="546"/>
      <c r="MC40" s="546"/>
      <c r="MD40" s="546"/>
      <c r="ME40" s="548"/>
      <c r="MF40" s="546"/>
      <c r="MG40" s="546"/>
      <c r="MH40" s="546"/>
      <c r="MI40" s="546"/>
      <c r="MJ40" s="547"/>
      <c r="MK40" s="548"/>
      <c r="ML40" s="546"/>
      <c r="MM40" s="546"/>
      <c r="MN40" s="546"/>
      <c r="MO40" s="546"/>
      <c r="MP40" s="547"/>
      <c r="MQ40" s="546"/>
      <c r="MR40" s="546"/>
      <c r="MS40" s="546"/>
      <c r="MT40" s="546"/>
      <c r="MU40" s="546"/>
      <c r="MV40" s="546"/>
      <c r="MW40" s="548"/>
      <c r="MX40" s="546"/>
      <c r="MY40" s="546"/>
      <c r="MZ40" s="546"/>
      <c r="NA40" s="546"/>
      <c r="NB40" s="549"/>
      <c r="NC40" s="545"/>
      <c r="ND40" s="546"/>
      <c r="NE40" s="546"/>
      <c r="NF40" s="546"/>
      <c r="NG40" s="546"/>
      <c r="NH40" s="547"/>
      <c r="NI40" s="548"/>
      <c r="NJ40" s="546"/>
      <c r="NK40" s="546"/>
      <c r="NL40" s="546"/>
      <c r="NM40" s="546"/>
      <c r="NN40" s="547"/>
      <c r="NO40" s="548"/>
      <c r="NP40" s="546"/>
      <c r="NQ40" s="546"/>
      <c r="NR40" s="546"/>
      <c r="NS40" s="546"/>
      <c r="NT40" s="547"/>
      <c r="NU40" s="546"/>
      <c r="NV40" s="546"/>
      <c r="NW40" s="546"/>
      <c r="NX40" s="546"/>
      <c r="NY40" s="546"/>
      <c r="NZ40" s="546"/>
      <c r="OA40" s="548"/>
      <c r="OB40" s="546"/>
      <c r="OC40" s="546"/>
      <c r="OD40" s="546"/>
      <c r="OE40" s="546"/>
      <c r="OF40" s="547"/>
      <c r="OG40" s="546"/>
      <c r="OH40" s="546"/>
      <c r="OI40" s="546"/>
      <c r="OJ40" s="546"/>
      <c r="OK40" s="546"/>
      <c r="OL40" s="546"/>
      <c r="OM40" s="548"/>
      <c r="ON40" s="546"/>
      <c r="OO40" s="546"/>
      <c r="OP40" s="546"/>
      <c r="OQ40" s="546"/>
      <c r="OR40" s="547"/>
      <c r="OS40" s="546"/>
      <c r="OT40" s="546"/>
      <c r="OU40" s="546"/>
      <c r="OV40" s="546"/>
      <c r="OW40" s="546"/>
      <c r="OX40" s="546"/>
      <c r="OY40" s="548"/>
      <c r="OZ40" s="546"/>
      <c r="PA40" s="546"/>
      <c r="PB40" s="546"/>
      <c r="PC40" s="546"/>
      <c r="PD40" s="547"/>
      <c r="PE40" s="548"/>
      <c r="PF40" s="546"/>
      <c r="PG40" s="546"/>
      <c r="PH40" s="546"/>
      <c r="PI40" s="546"/>
      <c r="PJ40" s="547"/>
      <c r="PK40" s="546"/>
      <c r="PL40" s="546"/>
      <c r="PM40" s="546"/>
      <c r="PN40" s="546"/>
      <c r="PO40" s="546"/>
      <c r="PP40" s="546"/>
      <c r="PQ40" s="548"/>
      <c r="PR40" s="546"/>
      <c r="PS40" s="546"/>
      <c r="PT40" s="546"/>
      <c r="PU40" s="546"/>
      <c r="PV40" s="549"/>
      <c r="PW40" s="545"/>
      <c r="PX40" s="546"/>
      <c r="PY40" s="546"/>
      <c r="PZ40" s="546"/>
      <c r="QA40" s="546"/>
      <c r="QB40" s="547"/>
      <c r="QC40" s="548"/>
      <c r="QD40" s="546"/>
      <c r="QE40" s="546"/>
      <c r="QF40" s="546"/>
      <c r="QG40" s="546"/>
      <c r="QH40" s="547"/>
      <c r="QI40" s="548"/>
      <c r="QJ40" s="546"/>
      <c r="QK40" s="546"/>
      <c r="QL40" s="546"/>
      <c r="QM40" s="546"/>
      <c r="QN40" s="547"/>
      <c r="QO40" s="546"/>
      <c r="QP40" s="546"/>
      <c r="QQ40" s="546"/>
      <c r="QR40" s="546"/>
      <c r="QS40" s="546"/>
      <c r="QT40" s="546"/>
      <c r="QU40" s="548"/>
      <c r="QV40" s="546"/>
      <c r="QW40" s="546"/>
      <c r="QX40" s="546"/>
      <c r="QY40" s="546"/>
      <c r="QZ40" s="547"/>
      <c r="RA40" s="546"/>
      <c r="RB40" s="546"/>
      <c r="RC40" s="546"/>
      <c r="RD40" s="546"/>
      <c r="RE40" s="546"/>
      <c r="RF40" s="546"/>
      <c r="RG40" s="548"/>
      <c r="RH40" s="546"/>
      <c r="RI40" s="546"/>
      <c r="RJ40" s="546"/>
      <c r="RK40" s="546"/>
      <c r="RL40" s="547"/>
      <c r="RM40" s="546"/>
      <c r="RN40" s="546"/>
      <c r="RO40" s="546"/>
      <c r="RP40" s="546"/>
      <c r="RQ40" s="546"/>
      <c r="RR40" s="546"/>
      <c r="RS40" s="548"/>
      <c r="RT40" s="546"/>
      <c r="RU40" s="546"/>
      <c r="RV40" s="546"/>
      <c r="RW40" s="546"/>
      <c r="RX40" s="547"/>
      <c r="RY40" s="548"/>
      <c r="RZ40" s="546"/>
      <c r="SA40" s="546"/>
      <c r="SB40" s="546"/>
      <c r="SC40" s="546"/>
      <c r="SD40" s="547"/>
      <c r="SE40" s="546"/>
      <c r="SF40" s="546"/>
      <c r="SG40" s="546"/>
      <c r="SH40" s="546"/>
      <c r="SI40" s="546"/>
      <c r="SJ40" s="546"/>
      <c r="SK40" s="548"/>
      <c r="SL40" s="546"/>
      <c r="SM40" s="546"/>
      <c r="SN40" s="546"/>
      <c r="SO40" s="546"/>
      <c r="SP40" s="549"/>
      <c r="SQ40" s="545"/>
      <c r="SR40" s="546"/>
      <c r="SS40" s="546"/>
      <c r="ST40" s="546"/>
      <c r="SU40" s="546"/>
      <c r="SV40" s="547"/>
      <c r="SW40" s="548"/>
      <c r="SX40" s="546"/>
      <c r="SY40" s="546"/>
      <c r="SZ40" s="546"/>
      <c r="TA40" s="546"/>
      <c r="TB40" s="547"/>
      <c r="TC40" s="548"/>
      <c r="TD40" s="546"/>
      <c r="TE40" s="546"/>
      <c r="TF40" s="546"/>
      <c r="TG40" s="546"/>
      <c r="TH40" s="547"/>
      <c r="TI40" s="546"/>
      <c r="TJ40" s="546"/>
      <c r="TK40" s="546"/>
      <c r="TL40" s="546"/>
      <c r="TM40" s="546"/>
      <c r="TN40" s="546"/>
      <c r="TO40" s="548"/>
      <c r="TP40" s="546"/>
      <c r="TQ40" s="546"/>
      <c r="TR40" s="546"/>
      <c r="TS40" s="546"/>
      <c r="TT40" s="547"/>
      <c r="TU40" s="546"/>
      <c r="TV40" s="546"/>
      <c r="TW40" s="546"/>
      <c r="TX40" s="546"/>
      <c r="TY40" s="546"/>
      <c r="TZ40" s="546"/>
      <c r="UA40" s="548"/>
      <c r="UB40" s="546"/>
      <c r="UC40" s="546"/>
      <c r="UD40" s="546"/>
      <c r="UE40" s="546"/>
      <c r="UF40" s="547"/>
      <c r="UG40" s="546"/>
      <c r="UH40" s="546"/>
      <c r="UI40" s="546"/>
      <c r="UJ40" s="546"/>
      <c r="UK40" s="546"/>
      <c r="UL40" s="546"/>
      <c r="UM40" s="548"/>
      <c r="UN40" s="546"/>
      <c r="UO40" s="546"/>
      <c r="UP40" s="546"/>
      <c r="UQ40" s="546"/>
      <c r="UR40" s="547"/>
      <c r="US40" s="548"/>
      <c r="UT40" s="546"/>
      <c r="UU40" s="546"/>
      <c r="UV40" s="546"/>
      <c r="UW40" s="546"/>
      <c r="UX40" s="547"/>
      <c r="UY40" s="546"/>
      <c r="UZ40" s="546"/>
      <c r="VA40" s="546"/>
      <c r="VB40" s="546"/>
      <c r="VC40" s="546"/>
      <c r="VD40" s="546"/>
      <c r="VE40" s="548"/>
      <c r="VF40" s="546"/>
      <c r="VG40" s="546"/>
      <c r="VH40" s="546"/>
      <c r="VI40" s="546"/>
      <c r="VJ40" s="549"/>
    </row>
    <row r="41" spans="3:582" s="52" customFormat="1" ht="19.5" customHeight="1" x14ac:dyDescent="0.25">
      <c r="C41" s="538"/>
      <c r="D41" s="541"/>
      <c r="E41" s="541"/>
      <c r="F41" s="543"/>
      <c r="G41" s="277"/>
      <c r="H41" s="273"/>
      <c r="I41" s="273"/>
      <c r="J41" s="273"/>
      <c r="K41" s="273"/>
      <c r="L41" s="274"/>
      <c r="M41" s="275"/>
      <c r="N41" s="273"/>
      <c r="O41" s="273"/>
      <c r="P41" s="273"/>
      <c r="Q41" s="273"/>
      <c r="R41" s="274"/>
      <c r="S41" s="275"/>
      <c r="T41" s="273"/>
      <c r="U41" s="273"/>
      <c r="V41" s="273"/>
      <c r="W41" s="273"/>
      <c r="X41" s="274"/>
      <c r="Y41" s="275"/>
      <c r="Z41" s="273"/>
      <c r="AA41" s="273"/>
      <c r="AB41" s="273"/>
      <c r="AC41" s="273"/>
      <c r="AD41" s="273"/>
      <c r="AE41" s="275"/>
      <c r="AF41" s="273"/>
      <c r="AG41" s="273"/>
      <c r="AH41" s="273"/>
      <c r="AI41" s="273"/>
      <c r="AJ41" s="274"/>
      <c r="AK41" s="273"/>
      <c r="AL41" s="273"/>
      <c r="AM41" s="273"/>
      <c r="AN41" s="273"/>
      <c r="AO41" s="273"/>
      <c r="AP41" s="273"/>
      <c r="AQ41" s="275"/>
      <c r="AR41" s="273"/>
      <c r="AS41" s="273"/>
      <c r="AT41" s="273"/>
      <c r="AU41" s="273"/>
      <c r="AV41" s="274"/>
      <c r="AW41" s="273"/>
      <c r="AX41" s="273"/>
      <c r="AY41" s="273"/>
      <c r="AZ41" s="273"/>
      <c r="BA41" s="273"/>
      <c r="BB41" s="273"/>
      <c r="BC41" s="275"/>
      <c r="BD41" s="273"/>
      <c r="BE41" s="273"/>
      <c r="BF41" s="273"/>
      <c r="BG41" s="273"/>
      <c r="BH41" s="274"/>
      <c r="BI41" s="275"/>
      <c r="BJ41" s="273"/>
      <c r="BK41" s="273"/>
      <c r="BL41" s="273"/>
      <c r="BM41" s="273"/>
      <c r="BN41" s="274"/>
      <c r="BO41" s="273"/>
      <c r="BP41" s="273"/>
      <c r="BQ41" s="273"/>
      <c r="BR41" s="273"/>
      <c r="BS41" s="273"/>
      <c r="BT41" s="274"/>
      <c r="BU41" s="273"/>
      <c r="BV41" s="273"/>
      <c r="BW41" s="273"/>
      <c r="BX41" s="273"/>
      <c r="BY41" s="273"/>
      <c r="BZ41" s="276"/>
      <c r="CA41" s="277"/>
      <c r="CB41" s="273"/>
      <c r="CC41" s="273"/>
      <c r="CD41" s="273"/>
      <c r="CE41" s="273"/>
      <c r="CF41" s="274"/>
      <c r="CG41" s="275"/>
      <c r="CH41" s="273"/>
      <c r="CI41" s="273"/>
      <c r="CJ41" s="273"/>
      <c r="CK41" s="273"/>
      <c r="CL41" s="274"/>
      <c r="CM41" s="275"/>
      <c r="CN41" s="273"/>
      <c r="CO41" s="273"/>
      <c r="CP41" s="273"/>
      <c r="CQ41" s="273"/>
      <c r="CR41" s="274"/>
      <c r="CS41" s="275"/>
      <c r="CT41" s="273"/>
      <c r="CU41" s="273"/>
      <c r="CV41" s="273"/>
      <c r="CW41" s="273"/>
      <c r="CX41" s="273"/>
      <c r="CY41" s="275"/>
      <c r="CZ41" s="273"/>
      <c r="DA41" s="273"/>
      <c r="DB41" s="273"/>
      <c r="DC41" s="273"/>
      <c r="DD41" s="274"/>
      <c r="DE41" s="273"/>
      <c r="DF41" s="273"/>
      <c r="DG41" s="273"/>
      <c r="DH41" s="273"/>
      <c r="DI41" s="273"/>
      <c r="DJ41" s="273"/>
      <c r="DK41" s="275"/>
      <c r="DL41" s="273"/>
      <c r="DM41" s="273"/>
      <c r="DN41" s="273"/>
      <c r="DO41" s="273"/>
      <c r="DP41" s="274"/>
      <c r="DQ41" s="273"/>
      <c r="DR41" s="273"/>
      <c r="DS41" s="273"/>
      <c r="DT41" s="273"/>
      <c r="DU41" s="273"/>
      <c r="DV41" s="273"/>
      <c r="DW41" s="275"/>
      <c r="DX41" s="273"/>
      <c r="DY41" s="273"/>
      <c r="DZ41" s="273"/>
      <c r="EA41" s="273"/>
      <c r="EB41" s="274"/>
      <c r="EC41" s="275"/>
      <c r="ED41" s="273"/>
      <c r="EE41" s="273"/>
      <c r="EF41" s="273"/>
      <c r="EG41" s="273"/>
      <c r="EH41" s="274"/>
      <c r="EI41" s="273"/>
      <c r="EJ41" s="273"/>
      <c r="EK41" s="273"/>
      <c r="EL41" s="273"/>
      <c r="EM41" s="273"/>
      <c r="EN41" s="274"/>
      <c r="EO41" s="273"/>
      <c r="EP41" s="273"/>
      <c r="EQ41" s="273"/>
      <c r="ER41" s="273"/>
      <c r="ES41" s="273"/>
      <c r="ET41" s="276"/>
      <c r="EU41" s="273"/>
      <c r="EV41" s="273"/>
      <c r="EW41" s="273"/>
      <c r="EX41" s="273"/>
      <c r="EY41" s="273"/>
      <c r="EZ41" s="274"/>
      <c r="FA41" s="275"/>
      <c r="FB41" s="273"/>
      <c r="FC41" s="273"/>
      <c r="FD41" s="273"/>
      <c r="FE41" s="273"/>
      <c r="FF41" s="274"/>
      <c r="FG41" s="275"/>
      <c r="FH41" s="273"/>
      <c r="FI41" s="273"/>
      <c r="FJ41" s="273"/>
      <c r="FK41" s="273"/>
      <c r="FL41" s="274"/>
      <c r="FM41" s="275"/>
      <c r="FN41" s="273"/>
      <c r="FO41" s="273"/>
      <c r="FP41" s="273"/>
      <c r="FQ41" s="273"/>
      <c r="FR41" s="273"/>
      <c r="FS41" s="275"/>
      <c r="FT41" s="273"/>
      <c r="FU41" s="273"/>
      <c r="FV41" s="273"/>
      <c r="FW41" s="273"/>
      <c r="FX41" s="274"/>
      <c r="FY41" s="273"/>
      <c r="FZ41" s="273"/>
      <c r="GA41" s="273"/>
      <c r="GB41" s="273"/>
      <c r="GC41" s="273"/>
      <c r="GD41" s="273"/>
      <c r="GE41" s="275"/>
      <c r="GF41" s="273"/>
      <c r="GG41" s="273"/>
      <c r="GH41" s="273"/>
      <c r="GI41" s="273"/>
      <c r="GJ41" s="274"/>
      <c r="GK41" s="273"/>
      <c r="GL41" s="273"/>
      <c r="GM41" s="273"/>
      <c r="GN41" s="273"/>
      <c r="GO41" s="273"/>
      <c r="GP41" s="273"/>
      <c r="GQ41" s="275"/>
      <c r="GR41" s="273"/>
      <c r="GS41" s="273"/>
      <c r="GT41" s="273"/>
      <c r="GU41" s="273"/>
      <c r="GV41" s="274"/>
      <c r="GW41" s="275"/>
      <c r="GX41" s="273"/>
      <c r="GY41" s="273"/>
      <c r="GZ41" s="273"/>
      <c r="HA41" s="273"/>
      <c r="HB41" s="274"/>
      <c r="HC41" s="273"/>
      <c r="HD41" s="273"/>
      <c r="HE41" s="273"/>
      <c r="HF41" s="273"/>
      <c r="HG41" s="273"/>
      <c r="HH41" s="273"/>
      <c r="HI41" s="275"/>
      <c r="HJ41" s="273"/>
      <c r="HK41" s="273"/>
      <c r="HL41" s="273"/>
      <c r="HM41" s="273"/>
      <c r="HN41" s="276"/>
      <c r="HO41" s="273"/>
      <c r="HP41" s="273"/>
      <c r="HQ41" s="273"/>
      <c r="HR41" s="273"/>
      <c r="HS41" s="273"/>
      <c r="HT41" s="274"/>
      <c r="HU41" s="275"/>
      <c r="HV41" s="273"/>
      <c r="HW41" s="273"/>
      <c r="HX41" s="273"/>
      <c r="HY41" s="273"/>
      <c r="HZ41" s="274"/>
      <c r="IA41" s="275"/>
      <c r="IB41" s="273"/>
      <c r="IC41" s="273"/>
      <c r="ID41" s="273"/>
      <c r="IE41" s="273"/>
      <c r="IF41" s="274"/>
      <c r="IG41" s="275"/>
      <c r="IH41" s="273"/>
      <c r="II41" s="273"/>
      <c r="IJ41" s="273"/>
      <c r="IK41" s="273"/>
      <c r="IL41" s="273"/>
      <c r="IM41" s="275"/>
      <c r="IN41" s="273"/>
      <c r="IO41" s="273"/>
      <c r="IP41" s="273"/>
      <c r="IQ41" s="273"/>
      <c r="IR41" s="274"/>
      <c r="IS41" s="273"/>
      <c r="IT41" s="273"/>
      <c r="IU41" s="273"/>
      <c r="IV41" s="273"/>
      <c r="IW41" s="273"/>
      <c r="IX41" s="273"/>
      <c r="IY41" s="275"/>
      <c r="IZ41" s="273"/>
      <c r="JA41" s="273"/>
      <c r="JB41" s="273"/>
      <c r="JC41" s="273"/>
      <c r="JD41" s="274"/>
      <c r="JE41" s="273"/>
      <c r="JF41" s="273"/>
      <c r="JG41" s="273"/>
      <c r="JH41" s="273"/>
      <c r="JI41" s="273"/>
      <c r="JJ41" s="273"/>
      <c r="JK41" s="275"/>
      <c r="JL41" s="273"/>
      <c r="JM41" s="273"/>
      <c r="JN41" s="273"/>
      <c r="JO41" s="273"/>
      <c r="JP41" s="274"/>
      <c r="JQ41" s="275"/>
      <c r="JR41" s="273"/>
      <c r="JS41" s="273"/>
      <c r="JT41" s="273"/>
      <c r="JU41" s="273"/>
      <c r="JV41" s="274"/>
      <c r="JW41" s="273"/>
      <c r="JX41" s="273"/>
      <c r="JY41" s="273"/>
      <c r="JZ41" s="273"/>
      <c r="KA41" s="273"/>
      <c r="KB41" s="273"/>
      <c r="KC41" s="275"/>
      <c r="KD41" s="273"/>
      <c r="KE41" s="273"/>
      <c r="KF41" s="273"/>
      <c r="KG41" s="273"/>
      <c r="KH41" s="276"/>
      <c r="KI41" s="273"/>
      <c r="KJ41" s="273"/>
      <c r="KK41" s="273"/>
      <c r="KL41" s="273"/>
      <c r="KM41" s="273"/>
      <c r="KN41" s="274"/>
      <c r="KO41" s="275"/>
      <c r="KP41" s="273"/>
      <c r="KQ41" s="273"/>
      <c r="KR41" s="273"/>
      <c r="KS41" s="273"/>
      <c r="KT41" s="274"/>
      <c r="KU41" s="275"/>
      <c r="KV41" s="273"/>
      <c r="KW41" s="273"/>
      <c r="KX41" s="273"/>
      <c r="KY41" s="273"/>
      <c r="KZ41" s="274"/>
      <c r="LA41" s="275"/>
      <c r="LB41" s="273"/>
      <c r="LC41" s="273"/>
      <c r="LD41" s="273"/>
      <c r="LE41" s="273"/>
      <c r="LF41" s="273"/>
      <c r="LG41" s="275"/>
      <c r="LH41" s="273"/>
      <c r="LI41" s="273"/>
      <c r="LJ41" s="273"/>
      <c r="LK41" s="273"/>
      <c r="LL41" s="274"/>
      <c r="LM41" s="273"/>
      <c r="LN41" s="273"/>
      <c r="LO41" s="273"/>
      <c r="LP41" s="273"/>
      <c r="LQ41" s="273"/>
      <c r="LR41" s="273"/>
      <c r="LS41" s="275"/>
      <c r="LT41" s="273"/>
      <c r="LU41" s="273"/>
      <c r="LV41" s="273"/>
      <c r="LW41" s="273"/>
      <c r="LX41" s="274"/>
      <c r="LY41" s="273"/>
      <c r="LZ41" s="273"/>
      <c r="MA41" s="273"/>
      <c r="MB41" s="273"/>
      <c r="MC41" s="273"/>
      <c r="MD41" s="273"/>
      <c r="ME41" s="275"/>
      <c r="MF41" s="273"/>
      <c r="MG41" s="273"/>
      <c r="MH41" s="273"/>
      <c r="MI41" s="273"/>
      <c r="MJ41" s="274"/>
      <c r="MK41" s="275"/>
      <c r="ML41" s="273"/>
      <c r="MM41" s="273"/>
      <c r="MN41" s="273"/>
      <c r="MO41" s="273"/>
      <c r="MP41" s="274"/>
      <c r="MQ41" s="273"/>
      <c r="MR41" s="273"/>
      <c r="MS41" s="273"/>
      <c r="MT41" s="273"/>
      <c r="MU41" s="273"/>
      <c r="MV41" s="273"/>
      <c r="MW41" s="275"/>
      <c r="MX41" s="273"/>
      <c r="MY41" s="273"/>
      <c r="MZ41" s="273"/>
      <c r="NA41" s="273"/>
      <c r="NB41" s="276"/>
      <c r="NC41" s="273"/>
      <c r="ND41" s="273"/>
      <c r="NE41" s="273"/>
      <c r="NF41" s="273"/>
      <c r="NG41" s="273"/>
      <c r="NH41" s="274"/>
      <c r="NI41" s="275"/>
      <c r="NJ41" s="273"/>
      <c r="NK41" s="273"/>
      <c r="NL41" s="273"/>
      <c r="NM41" s="273"/>
      <c r="NN41" s="274"/>
      <c r="NO41" s="275"/>
      <c r="NP41" s="273"/>
      <c r="NQ41" s="273"/>
      <c r="NR41" s="273"/>
      <c r="NS41" s="273"/>
      <c r="NT41" s="274"/>
      <c r="NU41" s="275"/>
      <c r="NV41" s="273"/>
      <c r="NW41" s="273"/>
      <c r="NX41" s="273"/>
      <c r="NY41" s="273"/>
      <c r="NZ41" s="273"/>
      <c r="OA41" s="275"/>
      <c r="OB41" s="273"/>
      <c r="OC41" s="273"/>
      <c r="OD41" s="273"/>
      <c r="OE41" s="273"/>
      <c r="OF41" s="274"/>
      <c r="OG41" s="273"/>
      <c r="OH41" s="273"/>
      <c r="OI41" s="273"/>
      <c r="OJ41" s="273"/>
      <c r="OK41" s="273"/>
      <c r="OL41" s="273"/>
      <c r="OM41" s="275"/>
      <c r="ON41" s="273"/>
      <c r="OO41" s="273"/>
      <c r="OP41" s="273"/>
      <c r="OQ41" s="273"/>
      <c r="OR41" s="274"/>
      <c r="OS41" s="275"/>
      <c r="OT41" s="273"/>
      <c r="OU41" s="273"/>
      <c r="OV41" s="273"/>
      <c r="OW41" s="273"/>
      <c r="OX41" s="274"/>
      <c r="OY41" s="273"/>
      <c r="OZ41" s="273"/>
      <c r="PA41" s="273"/>
      <c r="PB41" s="273"/>
      <c r="PC41" s="273"/>
      <c r="PD41" s="273"/>
      <c r="PE41" s="275"/>
      <c r="PF41" s="273"/>
      <c r="PG41" s="273"/>
      <c r="PH41" s="273"/>
      <c r="PI41" s="273"/>
      <c r="PJ41" s="273"/>
      <c r="PK41" s="275"/>
      <c r="PL41" s="273"/>
      <c r="PM41" s="273"/>
      <c r="PN41" s="273"/>
      <c r="PO41" s="273"/>
      <c r="PP41" s="273"/>
      <c r="PQ41" s="275"/>
      <c r="PR41" s="273"/>
      <c r="PS41" s="273"/>
      <c r="PT41" s="273"/>
      <c r="PU41" s="273"/>
      <c r="PV41" s="273"/>
      <c r="PW41" s="277"/>
      <c r="PX41" s="273"/>
      <c r="PY41" s="273"/>
      <c r="PZ41" s="273"/>
      <c r="QA41" s="273"/>
      <c r="QB41" s="274"/>
      <c r="QC41" s="273"/>
      <c r="QD41" s="273"/>
      <c r="QE41" s="273"/>
      <c r="QF41" s="273"/>
      <c r="QG41" s="273"/>
      <c r="QH41" s="273"/>
      <c r="QI41" s="275"/>
      <c r="QJ41" s="273"/>
      <c r="QK41" s="273"/>
      <c r="QL41" s="273"/>
      <c r="QM41" s="273"/>
      <c r="QN41" s="273"/>
      <c r="QO41" s="275"/>
      <c r="QP41" s="273"/>
      <c r="QQ41" s="273"/>
      <c r="QR41" s="273"/>
      <c r="QS41" s="273"/>
      <c r="QT41" s="273"/>
      <c r="QU41" s="275"/>
      <c r="QV41" s="273"/>
      <c r="QW41" s="273"/>
      <c r="QX41" s="273"/>
      <c r="QY41" s="273"/>
      <c r="QZ41" s="273"/>
      <c r="RA41" s="275"/>
      <c r="RB41" s="273"/>
      <c r="RC41" s="273"/>
      <c r="RD41" s="273"/>
      <c r="RE41" s="273"/>
      <c r="RF41" s="273"/>
      <c r="RG41" s="275"/>
      <c r="RH41" s="273"/>
      <c r="RI41" s="273"/>
      <c r="RJ41" s="273"/>
      <c r="RK41" s="273"/>
      <c r="RL41" s="274"/>
      <c r="RM41" s="273"/>
      <c r="RN41" s="273"/>
      <c r="RO41" s="273"/>
      <c r="RP41" s="273"/>
      <c r="RQ41" s="273"/>
      <c r="RR41" s="273"/>
      <c r="RS41" s="275"/>
      <c r="RT41" s="273"/>
      <c r="RU41" s="273"/>
      <c r="RV41" s="273"/>
      <c r="RW41" s="273"/>
      <c r="RX41" s="274"/>
      <c r="RY41" s="275"/>
      <c r="RZ41" s="273"/>
      <c r="SA41" s="273"/>
      <c r="SB41" s="273"/>
      <c r="SC41" s="273"/>
      <c r="SD41" s="274"/>
      <c r="SE41" s="273"/>
      <c r="SF41" s="273"/>
      <c r="SG41" s="273"/>
      <c r="SH41" s="273"/>
      <c r="SI41" s="273"/>
      <c r="SJ41" s="273"/>
      <c r="SK41" s="275"/>
      <c r="SL41" s="273"/>
      <c r="SM41" s="273"/>
      <c r="SN41" s="273"/>
      <c r="SO41" s="273"/>
      <c r="SP41" s="276"/>
      <c r="SQ41" s="273"/>
      <c r="SR41" s="273"/>
      <c r="SS41" s="273"/>
      <c r="ST41" s="273"/>
      <c r="SU41" s="273"/>
      <c r="SV41" s="274"/>
      <c r="SW41" s="273"/>
      <c r="SX41" s="273"/>
      <c r="SY41" s="273"/>
      <c r="SZ41" s="273"/>
      <c r="TA41" s="273"/>
      <c r="TB41" s="273"/>
      <c r="TC41" s="275"/>
      <c r="TD41" s="273"/>
      <c r="TE41" s="273"/>
      <c r="TF41" s="273"/>
      <c r="TG41" s="273"/>
      <c r="TH41" s="273"/>
      <c r="TI41" s="275"/>
      <c r="TJ41" s="273"/>
      <c r="TK41" s="273"/>
      <c r="TL41" s="273"/>
      <c r="TM41" s="273"/>
      <c r="TN41" s="273"/>
      <c r="TO41" s="275"/>
      <c r="TP41" s="273"/>
      <c r="TQ41" s="273"/>
      <c r="TR41" s="273"/>
      <c r="TS41" s="273"/>
      <c r="TT41" s="273"/>
      <c r="TU41" s="275"/>
      <c r="TV41" s="273"/>
      <c r="TW41" s="273"/>
      <c r="TX41" s="273"/>
      <c r="TY41" s="273"/>
      <c r="TZ41" s="273"/>
      <c r="UA41" s="275"/>
      <c r="UB41" s="273"/>
      <c r="UC41" s="273"/>
      <c r="UD41" s="273"/>
      <c r="UE41" s="273"/>
      <c r="UF41" s="274"/>
      <c r="UG41" s="273"/>
      <c r="UH41" s="273"/>
      <c r="UI41" s="273"/>
      <c r="UJ41" s="273"/>
      <c r="UK41" s="273"/>
      <c r="UL41" s="273"/>
      <c r="UM41" s="275"/>
      <c r="UN41" s="273"/>
      <c r="UO41" s="273"/>
      <c r="UP41" s="273"/>
      <c r="UQ41" s="273"/>
      <c r="UR41" s="274"/>
      <c r="US41" s="275"/>
      <c r="UT41" s="273"/>
      <c r="UU41" s="273"/>
      <c r="UV41" s="273"/>
      <c r="UW41" s="273"/>
      <c r="UX41" s="274"/>
      <c r="UY41" s="273"/>
      <c r="UZ41" s="273"/>
      <c r="VA41" s="273"/>
      <c r="VB41" s="273"/>
      <c r="VC41" s="273"/>
      <c r="VD41" s="273"/>
      <c r="VE41" s="275"/>
      <c r="VF41" s="273"/>
      <c r="VG41" s="273"/>
      <c r="VH41" s="273"/>
      <c r="VI41" s="273"/>
      <c r="VJ41" s="276"/>
    </row>
    <row r="42" spans="3:582" s="52" customFormat="1" ht="39" customHeight="1" thickBot="1" x14ac:dyDescent="0.3">
      <c r="C42" s="539"/>
      <c r="D42" s="542"/>
      <c r="E42" s="542"/>
      <c r="F42" s="544"/>
      <c r="G42" s="555"/>
      <c r="H42" s="556"/>
      <c r="I42" s="556"/>
      <c r="J42" s="556"/>
      <c r="K42" s="556"/>
      <c r="L42" s="557"/>
      <c r="M42" s="563"/>
      <c r="N42" s="556"/>
      <c r="O42" s="556"/>
      <c r="P42" s="556"/>
      <c r="Q42" s="556"/>
      <c r="R42" s="557"/>
      <c r="S42" s="563"/>
      <c r="T42" s="556"/>
      <c r="U42" s="556"/>
      <c r="V42" s="556"/>
      <c r="W42" s="556"/>
      <c r="X42" s="557"/>
      <c r="Y42" s="564"/>
      <c r="Z42" s="564"/>
      <c r="AA42" s="564"/>
      <c r="AB42" s="564"/>
      <c r="AC42" s="564"/>
      <c r="AD42" s="564"/>
      <c r="AE42" s="565"/>
      <c r="AF42" s="566"/>
      <c r="AG42" s="566"/>
      <c r="AH42" s="566"/>
      <c r="AI42" s="566"/>
      <c r="AJ42" s="567"/>
      <c r="AK42" s="556"/>
      <c r="AL42" s="556"/>
      <c r="AM42" s="556"/>
      <c r="AN42" s="556"/>
      <c r="AO42" s="556"/>
      <c r="AP42" s="556"/>
      <c r="AQ42" s="568"/>
      <c r="AR42" s="569"/>
      <c r="AS42" s="569"/>
      <c r="AT42" s="569"/>
      <c r="AU42" s="569"/>
      <c r="AV42" s="570"/>
      <c r="AW42" s="556"/>
      <c r="AX42" s="556"/>
      <c r="AY42" s="556"/>
      <c r="AZ42" s="556"/>
      <c r="BA42" s="556"/>
      <c r="BB42" s="556"/>
      <c r="BC42" s="563"/>
      <c r="BD42" s="556"/>
      <c r="BE42" s="556"/>
      <c r="BF42" s="556"/>
      <c r="BG42" s="556"/>
      <c r="BH42" s="557"/>
      <c r="BI42" s="563"/>
      <c r="BJ42" s="556"/>
      <c r="BK42" s="556"/>
      <c r="BL42" s="556"/>
      <c r="BM42" s="556"/>
      <c r="BN42" s="557"/>
      <c r="BO42" s="556"/>
      <c r="BP42" s="556"/>
      <c r="BQ42" s="556"/>
      <c r="BR42" s="556"/>
      <c r="BS42" s="556"/>
      <c r="BT42" s="556"/>
      <c r="BU42" s="565"/>
      <c r="BV42" s="566"/>
      <c r="BW42" s="566"/>
      <c r="BX42" s="566"/>
      <c r="BY42" s="566"/>
      <c r="BZ42" s="566"/>
      <c r="CA42" s="584"/>
      <c r="CB42" s="566"/>
      <c r="CC42" s="566"/>
      <c r="CD42" s="566"/>
      <c r="CE42" s="566"/>
      <c r="CF42" s="567"/>
      <c r="CG42" s="563"/>
      <c r="CH42" s="556"/>
      <c r="CI42" s="556"/>
      <c r="CJ42" s="556"/>
      <c r="CK42" s="556"/>
      <c r="CL42" s="557"/>
      <c r="CM42" s="563"/>
      <c r="CN42" s="556"/>
      <c r="CO42" s="556"/>
      <c r="CP42" s="556"/>
      <c r="CQ42" s="556"/>
      <c r="CR42" s="557"/>
      <c r="CS42" s="564"/>
      <c r="CT42" s="564"/>
      <c r="CU42" s="564"/>
      <c r="CV42" s="564"/>
      <c r="CW42" s="564"/>
      <c r="CX42" s="564"/>
      <c r="CY42" s="565"/>
      <c r="CZ42" s="566"/>
      <c r="DA42" s="566"/>
      <c r="DB42" s="566"/>
      <c r="DC42" s="566"/>
      <c r="DD42" s="566"/>
      <c r="DE42" s="563"/>
      <c r="DF42" s="556"/>
      <c r="DG42" s="556"/>
      <c r="DH42" s="556"/>
      <c r="DI42" s="556"/>
      <c r="DJ42" s="557"/>
      <c r="DK42" s="568"/>
      <c r="DL42" s="569"/>
      <c r="DM42" s="569"/>
      <c r="DN42" s="569"/>
      <c r="DO42" s="569"/>
      <c r="DP42" s="570"/>
      <c r="DQ42" s="556"/>
      <c r="DR42" s="556"/>
      <c r="DS42" s="556"/>
      <c r="DT42" s="556"/>
      <c r="DU42" s="556"/>
      <c r="DV42" s="556"/>
      <c r="DW42" s="563"/>
      <c r="DX42" s="556"/>
      <c r="DY42" s="556"/>
      <c r="DZ42" s="556"/>
      <c r="EA42" s="556"/>
      <c r="EB42" s="557"/>
      <c r="EC42" s="563"/>
      <c r="ED42" s="556"/>
      <c r="EE42" s="556"/>
      <c r="EF42" s="556"/>
      <c r="EG42" s="556"/>
      <c r="EH42" s="557"/>
      <c r="EI42" s="556"/>
      <c r="EJ42" s="556"/>
      <c r="EK42" s="556"/>
      <c r="EL42" s="556"/>
      <c r="EM42" s="556"/>
      <c r="EN42" s="556"/>
      <c r="EO42" s="563"/>
      <c r="EP42" s="556"/>
      <c r="EQ42" s="556"/>
      <c r="ER42" s="556"/>
      <c r="ES42" s="556"/>
      <c r="ET42" s="571"/>
      <c r="EU42" s="565"/>
      <c r="EV42" s="566"/>
      <c r="EW42" s="566"/>
      <c r="EX42" s="566"/>
      <c r="EY42" s="566"/>
      <c r="EZ42" s="566"/>
      <c r="FA42" s="563"/>
      <c r="FB42" s="556"/>
      <c r="FC42" s="556"/>
      <c r="FD42" s="556"/>
      <c r="FE42" s="556"/>
      <c r="FF42" s="557"/>
      <c r="FG42" s="563"/>
      <c r="FH42" s="556"/>
      <c r="FI42" s="556"/>
      <c r="FJ42" s="556"/>
      <c r="FK42" s="556"/>
      <c r="FL42" s="557"/>
      <c r="FM42" s="564"/>
      <c r="FN42" s="564"/>
      <c r="FO42" s="564"/>
      <c r="FP42" s="564"/>
      <c r="FQ42" s="564"/>
      <c r="FR42" s="564"/>
      <c r="FS42" s="565"/>
      <c r="FT42" s="566"/>
      <c r="FU42" s="566"/>
      <c r="FV42" s="566"/>
      <c r="FW42" s="566"/>
      <c r="FX42" s="567"/>
      <c r="FY42" s="556"/>
      <c r="FZ42" s="556"/>
      <c r="GA42" s="556"/>
      <c r="GB42" s="556"/>
      <c r="GC42" s="556"/>
      <c r="GD42" s="556"/>
      <c r="GE42" s="568"/>
      <c r="GF42" s="569"/>
      <c r="GG42" s="569"/>
      <c r="GH42" s="569"/>
      <c r="GI42" s="569"/>
      <c r="GJ42" s="570"/>
      <c r="GK42" s="556"/>
      <c r="GL42" s="556"/>
      <c r="GM42" s="556"/>
      <c r="GN42" s="556"/>
      <c r="GO42" s="556"/>
      <c r="GP42" s="556"/>
      <c r="GQ42" s="563"/>
      <c r="GR42" s="556"/>
      <c r="GS42" s="556"/>
      <c r="GT42" s="556"/>
      <c r="GU42" s="556"/>
      <c r="GV42" s="557"/>
      <c r="GW42" s="563"/>
      <c r="GX42" s="556"/>
      <c r="GY42" s="556"/>
      <c r="GZ42" s="556"/>
      <c r="HA42" s="556"/>
      <c r="HB42" s="557"/>
      <c r="HC42" s="556"/>
      <c r="HD42" s="556"/>
      <c r="HE42" s="556"/>
      <c r="HF42" s="556"/>
      <c r="HG42" s="556"/>
      <c r="HH42" s="556"/>
      <c r="HI42" s="563"/>
      <c r="HJ42" s="556"/>
      <c r="HK42" s="556"/>
      <c r="HL42" s="556"/>
      <c r="HM42" s="556"/>
      <c r="HN42" s="571"/>
      <c r="HO42" s="565"/>
      <c r="HP42" s="566"/>
      <c r="HQ42" s="566"/>
      <c r="HR42" s="566"/>
      <c r="HS42" s="566"/>
      <c r="HT42" s="566"/>
      <c r="HU42" s="563"/>
      <c r="HV42" s="556"/>
      <c r="HW42" s="556"/>
      <c r="HX42" s="556"/>
      <c r="HY42" s="556"/>
      <c r="HZ42" s="557"/>
      <c r="IA42" s="563"/>
      <c r="IB42" s="556"/>
      <c r="IC42" s="556"/>
      <c r="ID42" s="556"/>
      <c r="IE42" s="556"/>
      <c r="IF42" s="557"/>
      <c r="IG42" s="564"/>
      <c r="IH42" s="564"/>
      <c r="II42" s="564"/>
      <c r="IJ42" s="564"/>
      <c r="IK42" s="564"/>
      <c r="IL42" s="564"/>
      <c r="IM42" s="565"/>
      <c r="IN42" s="566"/>
      <c r="IO42" s="566"/>
      <c r="IP42" s="566"/>
      <c r="IQ42" s="566"/>
      <c r="IR42" s="567"/>
      <c r="IS42" s="556"/>
      <c r="IT42" s="556"/>
      <c r="IU42" s="556"/>
      <c r="IV42" s="556"/>
      <c r="IW42" s="556"/>
      <c r="IX42" s="556"/>
      <c r="IY42" s="568"/>
      <c r="IZ42" s="569"/>
      <c r="JA42" s="569"/>
      <c r="JB42" s="569"/>
      <c r="JC42" s="569"/>
      <c r="JD42" s="570"/>
      <c r="JE42" s="556"/>
      <c r="JF42" s="556"/>
      <c r="JG42" s="556"/>
      <c r="JH42" s="556"/>
      <c r="JI42" s="556"/>
      <c r="JJ42" s="556"/>
      <c r="JK42" s="563"/>
      <c r="JL42" s="556"/>
      <c r="JM42" s="556"/>
      <c r="JN42" s="556"/>
      <c r="JO42" s="556"/>
      <c r="JP42" s="557"/>
      <c r="JQ42" s="563"/>
      <c r="JR42" s="556"/>
      <c r="JS42" s="556"/>
      <c r="JT42" s="556"/>
      <c r="JU42" s="556"/>
      <c r="JV42" s="557"/>
      <c r="JW42" s="556"/>
      <c r="JX42" s="556"/>
      <c r="JY42" s="556"/>
      <c r="JZ42" s="556"/>
      <c r="KA42" s="556"/>
      <c r="KB42" s="556"/>
      <c r="KC42" s="563"/>
      <c r="KD42" s="556"/>
      <c r="KE42" s="556"/>
      <c r="KF42" s="556"/>
      <c r="KG42" s="556"/>
      <c r="KH42" s="571"/>
      <c r="KI42" s="565"/>
      <c r="KJ42" s="566"/>
      <c r="KK42" s="566"/>
      <c r="KL42" s="566"/>
      <c r="KM42" s="566"/>
      <c r="KN42" s="566"/>
      <c r="KO42" s="563"/>
      <c r="KP42" s="556"/>
      <c r="KQ42" s="556"/>
      <c r="KR42" s="556"/>
      <c r="KS42" s="556"/>
      <c r="KT42" s="557"/>
      <c r="KU42" s="563"/>
      <c r="KV42" s="556"/>
      <c r="KW42" s="556"/>
      <c r="KX42" s="556"/>
      <c r="KY42" s="556"/>
      <c r="KZ42" s="557"/>
      <c r="LA42" s="564"/>
      <c r="LB42" s="564"/>
      <c r="LC42" s="564"/>
      <c r="LD42" s="564"/>
      <c r="LE42" s="564"/>
      <c r="LF42" s="564"/>
      <c r="LG42" s="565"/>
      <c r="LH42" s="566"/>
      <c r="LI42" s="566"/>
      <c r="LJ42" s="566"/>
      <c r="LK42" s="566"/>
      <c r="LL42" s="567"/>
      <c r="LM42" s="556"/>
      <c r="LN42" s="556"/>
      <c r="LO42" s="556"/>
      <c r="LP42" s="556"/>
      <c r="LQ42" s="556"/>
      <c r="LR42" s="556"/>
      <c r="LS42" s="565"/>
      <c r="LT42" s="566"/>
      <c r="LU42" s="566"/>
      <c r="LV42" s="566"/>
      <c r="LW42" s="566"/>
      <c r="LX42" s="567"/>
      <c r="LY42" s="556"/>
      <c r="LZ42" s="556"/>
      <c r="MA42" s="556"/>
      <c r="MB42" s="556"/>
      <c r="MC42" s="556"/>
      <c r="MD42" s="556"/>
      <c r="ME42" s="565"/>
      <c r="MF42" s="566"/>
      <c r="MG42" s="566"/>
      <c r="MH42" s="566"/>
      <c r="MI42" s="566"/>
      <c r="MJ42" s="567"/>
      <c r="MK42" s="563"/>
      <c r="ML42" s="556"/>
      <c r="MM42" s="556"/>
      <c r="MN42" s="556"/>
      <c r="MO42" s="556"/>
      <c r="MP42" s="557"/>
      <c r="MQ42" s="556"/>
      <c r="MR42" s="556"/>
      <c r="MS42" s="556"/>
      <c r="MT42" s="556"/>
      <c r="MU42" s="556"/>
      <c r="MV42" s="556"/>
      <c r="MW42" s="563"/>
      <c r="MX42" s="556"/>
      <c r="MY42" s="556"/>
      <c r="MZ42" s="556"/>
      <c r="NA42" s="556"/>
      <c r="NB42" s="571"/>
      <c r="NC42" s="565"/>
      <c r="ND42" s="566"/>
      <c r="NE42" s="566"/>
      <c r="NF42" s="566"/>
      <c r="NG42" s="566"/>
      <c r="NH42" s="566"/>
      <c r="NI42" s="563"/>
      <c r="NJ42" s="556"/>
      <c r="NK42" s="556"/>
      <c r="NL42" s="556"/>
      <c r="NM42" s="556"/>
      <c r="NN42" s="557"/>
      <c r="NO42" s="563"/>
      <c r="NP42" s="556"/>
      <c r="NQ42" s="556"/>
      <c r="NR42" s="556"/>
      <c r="NS42" s="556"/>
      <c r="NT42" s="557"/>
      <c r="NU42" s="564"/>
      <c r="NV42" s="564"/>
      <c r="NW42" s="564"/>
      <c r="NX42" s="564"/>
      <c r="NY42" s="564"/>
      <c r="NZ42" s="564"/>
      <c r="OA42" s="565"/>
      <c r="OB42" s="566"/>
      <c r="OC42" s="566"/>
      <c r="OD42" s="566"/>
      <c r="OE42" s="566"/>
      <c r="OF42" s="567"/>
      <c r="OG42" s="565"/>
      <c r="OH42" s="566"/>
      <c r="OI42" s="566"/>
      <c r="OJ42" s="566"/>
      <c r="OK42" s="566"/>
      <c r="OL42" s="567"/>
      <c r="OM42" s="566"/>
      <c r="ON42" s="566"/>
      <c r="OO42" s="566"/>
      <c r="OP42" s="566"/>
      <c r="OQ42" s="566"/>
      <c r="OR42" s="567"/>
      <c r="OS42" s="556"/>
      <c r="OT42" s="556"/>
      <c r="OU42" s="556"/>
      <c r="OV42" s="556"/>
      <c r="OW42" s="556"/>
      <c r="OX42" s="556"/>
      <c r="OY42" s="563"/>
      <c r="OZ42" s="556"/>
      <c r="PA42" s="556"/>
      <c r="PB42" s="556"/>
      <c r="PC42" s="556"/>
      <c r="PD42" s="557"/>
      <c r="PE42" s="563"/>
      <c r="PF42" s="556"/>
      <c r="PG42" s="556"/>
      <c r="PH42" s="556"/>
      <c r="PI42" s="556"/>
      <c r="PJ42" s="557"/>
      <c r="PK42" s="556"/>
      <c r="PL42" s="556"/>
      <c r="PM42" s="556"/>
      <c r="PN42" s="556"/>
      <c r="PO42" s="556"/>
      <c r="PP42" s="556"/>
      <c r="PQ42" s="563"/>
      <c r="PR42" s="556"/>
      <c r="PS42" s="556"/>
      <c r="PT42" s="556"/>
      <c r="PU42" s="556"/>
      <c r="PV42" s="571"/>
      <c r="PW42" s="565"/>
      <c r="PX42" s="566"/>
      <c r="PY42" s="566"/>
      <c r="PZ42" s="566"/>
      <c r="QA42" s="566"/>
      <c r="QB42" s="566"/>
      <c r="QC42" s="563"/>
      <c r="QD42" s="556"/>
      <c r="QE42" s="556"/>
      <c r="QF42" s="556"/>
      <c r="QG42" s="556"/>
      <c r="QH42" s="557"/>
      <c r="QI42" s="563"/>
      <c r="QJ42" s="556"/>
      <c r="QK42" s="556"/>
      <c r="QL42" s="556"/>
      <c r="QM42" s="556"/>
      <c r="QN42" s="557"/>
      <c r="QO42" s="564"/>
      <c r="QP42" s="564"/>
      <c r="QQ42" s="564"/>
      <c r="QR42" s="564"/>
      <c r="QS42" s="564"/>
      <c r="QT42" s="564"/>
      <c r="QU42" s="565"/>
      <c r="QV42" s="566"/>
      <c r="QW42" s="566"/>
      <c r="QX42" s="566"/>
      <c r="QY42" s="566"/>
      <c r="QZ42" s="567"/>
      <c r="RA42" s="565"/>
      <c r="RB42" s="566"/>
      <c r="RC42" s="566"/>
      <c r="RD42" s="566"/>
      <c r="RE42" s="566"/>
      <c r="RF42" s="566"/>
      <c r="RG42" s="568"/>
      <c r="RH42" s="569"/>
      <c r="RI42" s="569"/>
      <c r="RJ42" s="569"/>
      <c r="RK42" s="569"/>
      <c r="RL42" s="570"/>
      <c r="RM42" s="556"/>
      <c r="RN42" s="556"/>
      <c r="RO42" s="556"/>
      <c r="RP42" s="556"/>
      <c r="RQ42" s="556"/>
      <c r="RR42" s="556"/>
      <c r="RS42" s="563"/>
      <c r="RT42" s="556"/>
      <c r="RU42" s="556"/>
      <c r="RV42" s="556"/>
      <c r="RW42" s="556"/>
      <c r="RX42" s="557"/>
      <c r="RY42" s="563"/>
      <c r="RZ42" s="556"/>
      <c r="SA42" s="556"/>
      <c r="SB42" s="556"/>
      <c r="SC42" s="556"/>
      <c r="SD42" s="557"/>
      <c r="SE42" s="556"/>
      <c r="SF42" s="556"/>
      <c r="SG42" s="556"/>
      <c r="SH42" s="556"/>
      <c r="SI42" s="556"/>
      <c r="SJ42" s="556"/>
      <c r="SK42" s="563"/>
      <c r="SL42" s="556"/>
      <c r="SM42" s="556"/>
      <c r="SN42" s="556"/>
      <c r="SO42" s="556"/>
      <c r="SP42" s="571"/>
      <c r="SQ42" s="565"/>
      <c r="SR42" s="566"/>
      <c r="SS42" s="566"/>
      <c r="ST42" s="566"/>
      <c r="SU42" s="566"/>
      <c r="SV42" s="566"/>
      <c r="SW42" s="563"/>
      <c r="SX42" s="556"/>
      <c r="SY42" s="556"/>
      <c r="SZ42" s="556"/>
      <c r="TA42" s="556"/>
      <c r="TB42" s="557"/>
      <c r="TC42" s="563"/>
      <c r="TD42" s="556"/>
      <c r="TE42" s="556"/>
      <c r="TF42" s="556"/>
      <c r="TG42" s="556"/>
      <c r="TH42" s="557"/>
      <c r="TI42" s="564"/>
      <c r="TJ42" s="564"/>
      <c r="TK42" s="564"/>
      <c r="TL42" s="564"/>
      <c r="TM42" s="564"/>
      <c r="TN42" s="564"/>
      <c r="TO42" s="565"/>
      <c r="TP42" s="566"/>
      <c r="TQ42" s="566"/>
      <c r="TR42" s="566"/>
      <c r="TS42" s="566"/>
      <c r="TT42" s="567"/>
      <c r="TU42" s="565"/>
      <c r="TV42" s="566"/>
      <c r="TW42" s="566"/>
      <c r="TX42" s="566"/>
      <c r="TY42" s="566"/>
      <c r="TZ42" s="566"/>
      <c r="UA42" s="568"/>
      <c r="UB42" s="569"/>
      <c r="UC42" s="569"/>
      <c r="UD42" s="569"/>
      <c r="UE42" s="569"/>
      <c r="UF42" s="570"/>
      <c r="UG42" s="556"/>
      <c r="UH42" s="556"/>
      <c r="UI42" s="556"/>
      <c r="UJ42" s="556"/>
      <c r="UK42" s="556"/>
      <c r="UL42" s="556"/>
      <c r="UM42" s="563"/>
      <c r="UN42" s="556"/>
      <c r="UO42" s="556"/>
      <c r="UP42" s="556"/>
      <c r="UQ42" s="556"/>
      <c r="UR42" s="557"/>
      <c r="US42" s="563"/>
      <c r="UT42" s="556"/>
      <c r="UU42" s="556"/>
      <c r="UV42" s="556"/>
      <c r="UW42" s="556"/>
      <c r="UX42" s="557"/>
      <c r="UY42" s="556"/>
      <c r="UZ42" s="556"/>
      <c r="VA42" s="556"/>
      <c r="VB42" s="556"/>
      <c r="VC42" s="556"/>
      <c r="VD42" s="556"/>
      <c r="VE42" s="563"/>
      <c r="VF42" s="556"/>
      <c r="VG42" s="556"/>
      <c r="VH42" s="556"/>
      <c r="VI42" s="556"/>
      <c r="VJ42" s="571"/>
    </row>
    <row r="43" spans="3:582" s="52" customFormat="1" ht="12.75" customHeight="1" x14ac:dyDescent="0.25">
      <c r="C43" s="538"/>
      <c r="D43" s="540">
        <v>2</v>
      </c>
      <c r="E43" s="540"/>
      <c r="F43" s="543"/>
      <c r="G43" s="545"/>
      <c r="H43" s="546"/>
      <c r="I43" s="546"/>
      <c r="J43" s="546"/>
      <c r="K43" s="546"/>
      <c r="L43" s="547"/>
      <c r="M43" s="548"/>
      <c r="N43" s="546"/>
      <c r="O43" s="546"/>
      <c r="P43" s="546"/>
      <c r="Q43" s="546"/>
      <c r="R43" s="547"/>
      <c r="S43" s="548"/>
      <c r="T43" s="546"/>
      <c r="U43" s="546"/>
      <c r="V43" s="546"/>
      <c r="W43" s="546"/>
      <c r="X43" s="547"/>
      <c r="Y43" s="546"/>
      <c r="Z43" s="546"/>
      <c r="AA43" s="546"/>
      <c r="AB43" s="546"/>
      <c r="AC43" s="546"/>
      <c r="AD43" s="546"/>
      <c r="AE43" s="548"/>
      <c r="AF43" s="546"/>
      <c r="AG43" s="546"/>
      <c r="AH43" s="546"/>
      <c r="AI43" s="546"/>
      <c r="AJ43" s="547"/>
      <c r="AK43" s="546"/>
      <c r="AL43" s="546"/>
      <c r="AM43" s="546"/>
      <c r="AN43" s="546"/>
      <c r="AO43" s="546"/>
      <c r="AP43" s="546"/>
      <c r="AQ43" s="548"/>
      <c r="AR43" s="546"/>
      <c r="AS43" s="546"/>
      <c r="AT43" s="546"/>
      <c r="AU43" s="546"/>
      <c r="AV43" s="547"/>
      <c r="AW43" s="546"/>
      <c r="AX43" s="546"/>
      <c r="AY43" s="546"/>
      <c r="AZ43" s="546"/>
      <c r="BA43" s="546"/>
      <c r="BB43" s="546"/>
      <c r="BC43" s="548"/>
      <c r="BD43" s="546"/>
      <c r="BE43" s="546"/>
      <c r="BF43" s="546"/>
      <c r="BG43" s="546"/>
      <c r="BH43" s="547"/>
      <c r="BI43" s="548"/>
      <c r="BJ43" s="546"/>
      <c r="BK43" s="546"/>
      <c r="BL43" s="546"/>
      <c r="BM43" s="546"/>
      <c r="BN43" s="547"/>
      <c r="BO43" s="546"/>
      <c r="BP43" s="546"/>
      <c r="BQ43" s="546"/>
      <c r="BR43" s="546"/>
      <c r="BS43" s="546"/>
      <c r="BT43" s="546"/>
      <c r="BU43" s="548"/>
      <c r="BV43" s="546"/>
      <c r="BW43" s="546"/>
      <c r="BX43" s="546"/>
      <c r="BY43" s="546"/>
      <c r="BZ43" s="549"/>
      <c r="CA43" s="545"/>
      <c r="CB43" s="546"/>
      <c r="CC43" s="546"/>
      <c r="CD43" s="546"/>
      <c r="CE43" s="546"/>
      <c r="CF43" s="547"/>
      <c r="CG43" s="548"/>
      <c r="CH43" s="546"/>
      <c r="CI43" s="546"/>
      <c r="CJ43" s="546"/>
      <c r="CK43" s="546"/>
      <c r="CL43" s="547"/>
      <c r="CM43" s="548"/>
      <c r="CN43" s="546"/>
      <c r="CO43" s="546"/>
      <c r="CP43" s="546"/>
      <c r="CQ43" s="546"/>
      <c r="CR43" s="547"/>
      <c r="CS43" s="546"/>
      <c r="CT43" s="546"/>
      <c r="CU43" s="546"/>
      <c r="CV43" s="546"/>
      <c r="CW43" s="546"/>
      <c r="CX43" s="546"/>
      <c r="CY43" s="548"/>
      <c r="CZ43" s="546"/>
      <c r="DA43" s="546"/>
      <c r="DB43" s="546"/>
      <c r="DC43" s="546"/>
      <c r="DD43" s="547"/>
      <c r="DE43" s="546"/>
      <c r="DF43" s="546"/>
      <c r="DG43" s="546"/>
      <c r="DH43" s="546"/>
      <c r="DI43" s="546"/>
      <c r="DJ43" s="546"/>
      <c r="DK43" s="548"/>
      <c r="DL43" s="546"/>
      <c r="DM43" s="546"/>
      <c r="DN43" s="546"/>
      <c r="DO43" s="546"/>
      <c r="DP43" s="547"/>
      <c r="DQ43" s="546"/>
      <c r="DR43" s="546"/>
      <c r="DS43" s="546"/>
      <c r="DT43" s="546"/>
      <c r="DU43" s="546"/>
      <c r="DV43" s="546"/>
      <c r="DW43" s="548"/>
      <c r="DX43" s="546"/>
      <c r="DY43" s="546"/>
      <c r="DZ43" s="546"/>
      <c r="EA43" s="546"/>
      <c r="EB43" s="547"/>
      <c r="EC43" s="548"/>
      <c r="ED43" s="546"/>
      <c r="EE43" s="546"/>
      <c r="EF43" s="546"/>
      <c r="EG43" s="546"/>
      <c r="EH43" s="547"/>
      <c r="EI43" s="546"/>
      <c r="EJ43" s="546"/>
      <c r="EK43" s="546"/>
      <c r="EL43" s="546"/>
      <c r="EM43" s="546"/>
      <c r="EN43" s="546"/>
      <c r="EO43" s="548"/>
      <c r="EP43" s="546"/>
      <c r="EQ43" s="546"/>
      <c r="ER43" s="546"/>
      <c r="ES43" s="546"/>
      <c r="ET43" s="549"/>
      <c r="EU43" s="545"/>
      <c r="EV43" s="546"/>
      <c r="EW43" s="546"/>
      <c r="EX43" s="546"/>
      <c r="EY43" s="546"/>
      <c r="EZ43" s="547"/>
      <c r="FA43" s="548"/>
      <c r="FB43" s="546"/>
      <c r="FC43" s="546"/>
      <c r="FD43" s="546"/>
      <c r="FE43" s="546"/>
      <c r="FF43" s="547"/>
      <c r="FG43" s="548"/>
      <c r="FH43" s="546"/>
      <c r="FI43" s="546"/>
      <c r="FJ43" s="546"/>
      <c r="FK43" s="546"/>
      <c r="FL43" s="547"/>
      <c r="FM43" s="546"/>
      <c r="FN43" s="546"/>
      <c r="FO43" s="546"/>
      <c r="FP43" s="546"/>
      <c r="FQ43" s="546"/>
      <c r="FR43" s="546"/>
      <c r="FS43" s="548"/>
      <c r="FT43" s="546"/>
      <c r="FU43" s="546"/>
      <c r="FV43" s="546"/>
      <c r="FW43" s="546"/>
      <c r="FX43" s="547"/>
      <c r="FY43" s="546"/>
      <c r="FZ43" s="546"/>
      <c r="GA43" s="546"/>
      <c r="GB43" s="546"/>
      <c r="GC43" s="546"/>
      <c r="GD43" s="546"/>
      <c r="GE43" s="548"/>
      <c r="GF43" s="546"/>
      <c r="GG43" s="546"/>
      <c r="GH43" s="546"/>
      <c r="GI43" s="546"/>
      <c r="GJ43" s="547"/>
      <c r="GK43" s="546"/>
      <c r="GL43" s="546"/>
      <c r="GM43" s="546"/>
      <c r="GN43" s="546"/>
      <c r="GO43" s="546"/>
      <c r="GP43" s="546"/>
      <c r="GQ43" s="548"/>
      <c r="GR43" s="546"/>
      <c r="GS43" s="546"/>
      <c r="GT43" s="546"/>
      <c r="GU43" s="546"/>
      <c r="GV43" s="547"/>
      <c r="GW43" s="548"/>
      <c r="GX43" s="546"/>
      <c r="GY43" s="546"/>
      <c r="GZ43" s="546"/>
      <c r="HA43" s="546"/>
      <c r="HB43" s="547"/>
      <c r="HC43" s="546"/>
      <c r="HD43" s="546"/>
      <c r="HE43" s="546"/>
      <c r="HF43" s="546"/>
      <c r="HG43" s="546"/>
      <c r="HH43" s="546"/>
      <c r="HI43" s="548"/>
      <c r="HJ43" s="546"/>
      <c r="HK43" s="546"/>
      <c r="HL43" s="546"/>
      <c r="HM43" s="546"/>
      <c r="HN43" s="549"/>
      <c r="HO43" s="545"/>
      <c r="HP43" s="546"/>
      <c r="HQ43" s="546"/>
      <c r="HR43" s="546"/>
      <c r="HS43" s="546"/>
      <c r="HT43" s="547"/>
      <c r="HU43" s="548"/>
      <c r="HV43" s="546"/>
      <c r="HW43" s="546"/>
      <c r="HX43" s="546"/>
      <c r="HY43" s="546"/>
      <c r="HZ43" s="547"/>
      <c r="IA43" s="548"/>
      <c r="IB43" s="546"/>
      <c r="IC43" s="546"/>
      <c r="ID43" s="546"/>
      <c r="IE43" s="546"/>
      <c r="IF43" s="547"/>
      <c r="IG43" s="546"/>
      <c r="IH43" s="546"/>
      <c r="II43" s="546"/>
      <c r="IJ43" s="546"/>
      <c r="IK43" s="546"/>
      <c r="IL43" s="546"/>
      <c r="IM43" s="548"/>
      <c r="IN43" s="546"/>
      <c r="IO43" s="546"/>
      <c r="IP43" s="546"/>
      <c r="IQ43" s="546"/>
      <c r="IR43" s="547"/>
      <c r="IS43" s="546"/>
      <c r="IT43" s="546"/>
      <c r="IU43" s="546"/>
      <c r="IV43" s="546"/>
      <c r="IW43" s="546"/>
      <c r="IX43" s="546"/>
      <c r="IY43" s="548"/>
      <c r="IZ43" s="546"/>
      <c r="JA43" s="546"/>
      <c r="JB43" s="546"/>
      <c r="JC43" s="546"/>
      <c r="JD43" s="547"/>
      <c r="JE43" s="546"/>
      <c r="JF43" s="546"/>
      <c r="JG43" s="546"/>
      <c r="JH43" s="546"/>
      <c r="JI43" s="546"/>
      <c r="JJ43" s="546"/>
      <c r="JK43" s="548"/>
      <c r="JL43" s="546"/>
      <c r="JM43" s="546"/>
      <c r="JN43" s="546"/>
      <c r="JO43" s="546"/>
      <c r="JP43" s="547"/>
      <c r="JQ43" s="548"/>
      <c r="JR43" s="546"/>
      <c r="JS43" s="546"/>
      <c r="JT43" s="546"/>
      <c r="JU43" s="546"/>
      <c r="JV43" s="547"/>
      <c r="JW43" s="546"/>
      <c r="JX43" s="546"/>
      <c r="JY43" s="546"/>
      <c r="JZ43" s="546"/>
      <c r="KA43" s="546"/>
      <c r="KB43" s="546"/>
      <c r="KC43" s="548"/>
      <c r="KD43" s="546"/>
      <c r="KE43" s="546"/>
      <c r="KF43" s="546"/>
      <c r="KG43" s="546"/>
      <c r="KH43" s="549"/>
      <c r="KI43" s="545"/>
      <c r="KJ43" s="546"/>
      <c r="KK43" s="546"/>
      <c r="KL43" s="546"/>
      <c r="KM43" s="546"/>
      <c r="KN43" s="547"/>
      <c r="KO43" s="548"/>
      <c r="KP43" s="546"/>
      <c r="KQ43" s="546"/>
      <c r="KR43" s="546"/>
      <c r="KS43" s="546"/>
      <c r="KT43" s="547"/>
      <c r="KU43" s="548"/>
      <c r="KV43" s="546"/>
      <c r="KW43" s="546"/>
      <c r="KX43" s="546"/>
      <c r="KY43" s="546"/>
      <c r="KZ43" s="547"/>
      <c r="LA43" s="546"/>
      <c r="LB43" s="546"/>
      <c r="LC43" s="546"/>
      <c r="LD43" s="546"/>
      <c r="LE43" s="546"/>
      <c r="LF43" s="546"/>
      <c r="LG43" s="548"/>
      <c r="LH43" s="546"/>
      <c r="LI43" s="546"/>
      <c r="LJ43" s="546"/>
      <c r="LK43" s="546"/>
      <c r="LL43" s="547"/>
      <c r="LM43" s="546"/>
      <c r="LN43" s="546"/>
      <c r="LO43" s="546"/>
      <c r="LP43" s="546"/>
      <c r="LQ43" s="546"/>
      <c r="LR43" s="546"/>
      <c r="LS43" s="548"/>
      <c r="LT43" s="546"/>
      <c r="LU43" s="546"/>
      <c r="LV43" s="546"/>
      <c r="LW43" s="546"/>
      <c r="LX43" s="547"/>
      <c r="LY43" s="546"/>
      <c r="LZ43" s="546"/>
      <c r="MA43" s="546"/>
      <c r="MB43" s="546"/>
      <c r="MC43" s="546"/>
      <c r="MD43" s="546"/>
      <c r="ME43" s="548"/>
      <c r="MF43" s="546"/>
      <c r="MG43" s="546"/>
      <c r="MH43" s="546"/>
      <c r="MI43" s="546"/>
      <c r="MJ43" s="547"/>
      <c r="MK43" s="548"/>
      <c r="ML43" s="546"/>
      <c r="MM43" s="546"/>
      <c r="MN43" s="546"/>
      <c r="MO43" s="546"/>
      <c r="MP43" s="547"/>
      <c r="MQ43" s="546"/>
      <c r="MR43" s="546"/>
      <c r="MS43" s="546"/>
      <c r="MT43" s="546"/>
      <c r="MU43" s="546"/>
      <c r="MV43" s="546"/>
      <c r="MW43" s="548"/>
      <c r="MX43" s="546"/>
      <c r="MY43" s="546"/>
      <c r="MZ43" s="546"/>
      <c r="NA43" s="546"/>
      <c r="NB43" s="549"/>
      <c r="NC43" s="545"/>
      <c r="ND43" s="546"/>
      <c r="NE43" s="546"/>
      <c r="NF43" s="546"/>
      <c r="NG43" s="546"/>
      <c r="NH43" s="547"/>
      <c r="NI43" s="548"/>
      <c r="NJ43" s="546"/>
      <c r="NK43" s="546"/>
      <c r="NL43" s="546"/>
      <c r="NM43" s="546"/>
      <c r="NN43" s="547"/>
      <c r="NO43" s="548"/>
      <c r="NP43" s="546"/>
      <c r="NQ43" s="546"/>
      <c r="NR43" s="546"/>
      <c r="NS43" s="546"/>
      <c r="NT43" s="547"/>
      <c r="NU43" s="546"/>
      <c r="NV43" s="546"/>
      <c r="NW43" s="546"/>
      <c r="NX43" s="546"/>
      <c r="NY43" s="546"/>
      <c r="NZ43" s="546"/>
      <c r="OA43" s="548"/>
      <c r="OB43" s="546"/>
      <c r="OC43" s="546"/>
      <c r="OD43" s="546"/>
      <c r="OE43" s="546"/>
      <c r="OF43" s="547"/>
      <c r="OG43" s="546"/>
      <c r="OH43" s="546"/>
      <c r="OI43" s="546"/>
      <c r="OJ43" s="546"/>
      <c r="OK43" s="546"/>
      <c r="OL43" s="546"/>
      <c r="OM43" s="548"/>
      <c r="ON43" s="546"/>
      <c r="OO43" s="546"/>
      <c r="OP43" s="546"/>
      <c r="OQ43" s="546"/>
      <c r="OR43" s="547"/>
      <c r="OS43" s="546"/>
      <c r="OT43" s="546"/>
      <c r="OU43" s="546"/>
      <c r="OV43" s="546"/>
      <c r="OW43" s="546"/>
      <c r="OX43" s="546"/>
      <c r="OY43" s="548"/>
      <c r="OZ43" s="546"/>
      <c r="PA43" s="546"/>
      <c r="PB43" s="546"/>
      <c r="PC43" s="546"/>
      <c r="PD43" s="547"/>
      <c r="PE43" s="548"/>
      <c r="PF43" s="546"/>
      <c r="PG43" s="546"/>
      <c r="PH43" s="546"/>
      <c r="PI43" s="546"/>
      <c r="PJ43" s="547"/>
      <c r="PK43" s="546"/>
      <c r="PL43" s="546"/>
      <c r="PM43" s="546"/>
      <c r="PN43" s="546"/>
      <c r="PO43" s="546"/>
      <c r="PP43" s="546"/>
      <c r="PQ43" s="548"/>
      <c r="PR43" s="546"/>
      <c r="PS43" s="546"/>
      <c r="PT43" s="546"/>
      <c r="PU43" s="546"/>
      <c r="PV43" s="549"/>
      <c r="PW43" s="545"/>
      <c r="PX43" s="546"/>
      <c r="PY43" s="546"/>
      <c r="PZ43" s="546"/>
      <c r="QA43" s="546"/>
      <c r="QB43" s="547"/>
      <c r="QC43" s="548"/>
      <c r="QD43" s="546"/>
      <c r="QE43" s="546"/>
      <c r="QF43" s="546"/>
      <c r="QG43" s="546"/>
      <c r="QH43" s="547"/>
      <c r="QI43" s="548"/>
      <c r="QJ43" s="546"/>
      <c r="QK43" s="546"/>
      <c r="QL43" s="546"/>
      <c r="QM43" s="546"/>
      <c r="QN43" s="547"/>
      <c r="QO43" s="546"/>
      <c r="QP43" s="546"/>
      <c r="QQ43" s="546"/>
      <c r="QR43" s="546"/>
      <c r="QS43" s="546"/>
      <c r="QT43" s="546"/>
      <c r="QU43" s="548"/>
      <c r="QV43" s="546"/>
      <c r="QW43" s="546"/>
      <c r="QX43" s="546"/>
      <c r="QY43" s="546"/>
      <c r="QZ43" s="547"/>
      <c r="RA43" s="546"/>
      <c r="RB43" s="546"/>
      <c r="RC43" s="546"/>
      <c r="RD43" s="546"/>
      <c r="RE43" s="546"/>
      <c r="RF43" s="546"/>
      <c r="RG43" s="548"/>
      <c r="RH43" s="546"/>
      <c r="RI43" s="546"/>
      <c r="RJ43" s="546"/>
      <c r="RK43" s="546"/>
      <c r="RL43" s="547"/>
      <c r="RM43" s="546"/>
      <c r="RN43" s="546"/>
      <c r="RO43" s="546"/>
      <c r="RP43" s="546"/>
      <c r="RQ43" s="546"/>
      <c r="RR43" s="546"/>
      <c r="RS43" s="548"/>
      <c r="RT43" s="546"/>
      <c r="RU43" s="546"/>
      <c r="RV43" s="546"/>
      <c r="RW43" s="546"/>
      <c r="RX43" s="547"/>
      <c r="RY43" s="548"/>
      <c r="RZ43" s="546"/>
      <c r="SA43" s="546"/>
      <c r="SB43" s="546"/>
      <c r="SC43" s="546"/>
      <c r="SD43" s="547"/>
      <c r="SE43" s="546"/>
      <c r="SF43" s="546"/>
      <c r="SG43" s="546"/>
      <c r="SH43" s="546"/>
      <c r="SI43" s="546"/>
      <c r="SJ43" s="546"/>
      <c r="SK43" s="548"/>
      <c r="SL43" s="546"/>
      <c r="SM43" s="546"/>
      <c r="SN43" s="546"/>
      <c r="SO43" s="546"/>
      <c r="SP43" s="549"/>
      <c r="SQ43" s="545"/>
      <c r="SR43" s="546"/>
      <c r="SS43" s="546"/>
      <c r="ST43" s="546"/>
      <c r="SU43" s="546"/>
      <c r="SV43" s="547"/>
      <c r="SW43" s="548"/>
      <c r="SX43" s="546"/>
      <c r="SY43" s="546"/>
      <c r="SZ43" s="546"/>
      <c r="TA43" s="546"/>
      <c r="TB43" s="547"/>
      <c r="TC43" s="548"/>
      <c r="TD43" s="546"/>
      <c r="TE43" s="546"/>
      <c r="TF43" s="546"/>
      <c r="TG43" s="546"/>
      <c r="TH43" s="547"/>
      <c r="TI43" s="546"/>
      <c r="TJ43" s="546"/>
      <c r="TK43" s="546"/>
      <c r="TL43" s="546"/>
      <c r="TM43" s="546"/>
      <c r="TN43" s="546"/>
      <c r="TO43" s="548"/>
      <c r="TP43" s="546"/>
      <c r="TQ43" s="546"/>
      <c r="TR43" s="546"/>
      <c r="TS43" s="546"/>
      <c r="TT43" s="547"/>
      <c r="TU43" s="546"/>
      <c r="TV43" s="546"/>
      <c r="TW43" s="546"/>
      <c r="TX43" s="546"/>
      <c r="TY43" s="546"/>
      <c r="TZ43" s="546"/>
      <c r="UA43" s="548"/>
      <c r="UB43" s="546"/>
      <c r="UC43" s="546"/>
      <c r="UD43" s="546"/>
      <c r="UE43" s="546"/>
      <c r="UF43" s="547"/>
      <c r="UG43" s="546"/>
      <c r="UH43" s="546"/>
      <c r="UI43" s="546"/>
      <c r="UJ43" s="546"/>
      <c r="UK43" s="546"/>
      <c r="UL43" s="546"/>
      <c r="UM43" s="548"/>
      <c r="UN43" s="546"/>
      <c r="UO43" s="546"/>
      <c r="UP43" s="546"/>
      <c r="UQ43" s="546"/>
      <c r="UR43" s="547"/>
      <c r="US43" s="548"/>
      <c r="UT43" s="546"/>
      <c r="UU43" s="546"/>
      <c r="UV43" s="546"/>
      <c r="UW43" s="546"/>
      <c r="UX43" s="547"/>
      <c r="UY43" s="546"/>
      <c r="UZ43" s="546"/>
      <c r="VA43" s="546"/>
      <c r="VB43" s="546"/>
      <c r="VC43" s="546"/>
      <c r="VD43" s="546"/>
      <c r="VE43" s="548"/>
      <c r="VF43" s="546"/>
      <c r="VG43" s="546"/>
      <c r="VH43" s="546"/>
      <c r="VI43" s="546"/>
      <c r="VJ43" s="549"/>
    </row>
    <row r="44" spans="3:582" s="52" customFormat="1" ht="19.5" customHeight="1" x14ac:dyDescent="0.25">
      <c r="C44" s="538"/>
      <c r="D44" s="541"/>
      <c r="E44" s="541"/>
      <c r="F44" s="543"/>
      <c r="G44" s="277"/>
      <c r="H44" s="273"/>
      <c r="I44" s="273"/>
      <c r="J44" s="273"/>
      <c r="K44" s="273"/>
      <c r="L44" s="274"/>
      <c r="M44" s="275"/>
      <c r="N44" s="273"/>
      <c r="O44" s="273"/>
      <c r="P44" s="273"/>
      <c r="Q44" s="273"/>
      <c r="R44" s="274"/>
      <c r="S44" s="275"/>
      <c r="T44" s="273"/>
      <c r="U44" s="273"/>
      <c r="V44" s="273"/>
      <c r="W44" s="273"/>
      <c r="X44" s="274"/>
      <c r="Y44" s="275"/>
      <c r="Z44" s="273"/>
      <c r="AA44" s="273"/>
      <c r="AB44" s="273"/>
      <c r="AC44" s="273"/>
      <c r="AD44" s="273"/>
      <c r="AE44" s="275"/>
      <c r="AF44" s="273"/>
      <c r="AG44" s="273"/>
      <c r="AH44" s="273"/>
      <c r="AI44" s="273"/>
      <c r="AJ44" s="274"/>
      <c r="AK44" s="273"/>
      <c r="AL44" s="273"/>
      <c r="AM44" s="273"/>
      <c r="AN44" s="273"/>
      <c r="AO44" s="273"/>
      <c r="AP44" s="273"/>
      <c r="AQ44" s="275"/>
      <c r="AR44" s="273"/>
      <c r="AS44" s="273"/>
      <c r="AT44" s="273"/>
      <c r="AU44" s="273"/>
      <c r="AV44" s="274"/>
      <c r="AW44" s="273"/>
      <c r="AX44" s="273"/>
      <c r="AY44" s="273"/>
      <c r="AZ44" s="273"/>
      <c r="BA44" s="273"/>
      <c r="BB44" s="273"/>
      <c r="BC44" s="275"/>
      <c r="BD44" s="273"/>
      <c r="BE44" s="273"/>
      <c r="BF44" s="273"/>
      <c r="BG44" s="273"/>
      <c r="BH44" s="274"/>
      <c r="BI44" s="275"/>
      <c r="BJ44" s="273"/>
      <c r="BK44" s="273"/>
      <c r="BL44" s="273"/>
      <c r="BM44" s="273"/>
      <c r="BN44" s="274"/>
      <c r="BO44" s="273"/>
      <c r="BP44" s="273"/>
      <c r="BQ44" s="273"/>
      <c r="BR44" s="273"/>
      <c r="BS44" s="273"/>
      <c r="BT44" s="274"/>
      <c r="BU44" s="273"/>
      <c r="BV44" s="273"/>
      <c r="BW44" s="273"/>
      <c r="BX44" s="273"/>
      <c r="BY44" s="273"/>
      <c r="BZ44" s="276"/>
      <c r="CA44" s="277"/>
      <c r="CB44" s="273"/>
      <c r="CC44" s="273"/>
      <c r="CD44" s="273"/>
      <c r="CE44" s="273"/>
      <c r="CF44" s="274"/>
      <c r="CG44" s="275"/>
      <c r="CH44" s="273"/>
      <c r="CI44" s="273"/>
      <c r="CJ44" s="273"/>
      <c r="CK44" s="273"/>
      <c r="CL44" s="274"/>
      <c r="CM44" s="275"/>
      <c r="CN44" s="273"/>
      <c r="CO44" s="273"/>
      <c r="CP44" s="273"/>
      <c r="CQ44" s="273"/>
      <c r="CR44" s="274"/>
      <c r="CS44" s="275"/>
      <c r="CT44" s="273"/>
      <c r="CU44" s="273"/>
      <c r="CV44" s="273"/>
      <c r="CW44" s="273"/>
      <c r="CX44" s="273"/>
      <c r="CY44" s="275"/>
      <c r="CZ44" s="273"/>
      <c r="DA44" s="273"/>
      <c r="DB44" s="273"/>
      <c r="DC44" s="273"/>
      <c r="DD44" s="274"/>
      <c r="DE44" s="273"/>
      <c r="DF44" s="273"/>
      <c r="DG44" s="273"/>
      <c r="DH44" s="273"/>
      <c r="DI44" s="273"/>
      <c r="DJ44" s="273"/>
      <c r="DK44" s="275"/>
      <c r="DL44" s="273"/>
      <c r="DM44" s="273"/>
      <c r="DN44" s="273"/>
      <c r="DO44" s="273"/>
      <c r="DP44" s="274"/>
      <c r="DQ44" s="273"/>
      <c r="DR44" s="273"/>
      <c r="DS44" s="273"/>
      <c r="DT44" s="273"/>
      <c r="DU44" s="273"/>
      <c r="DV44" s="273"/>
      <c r="DW44" s="275"/>
      <c r="DX44" s="273"/>
      <c r="DY44" s="273"/>
      <c r="DZ44" s="273"/>
      <c r="EA44" s="273"/>
      <c r="EB44" s="274"/>
      <c r="EC44" s="275"/>
      <c r="ED44" s="273"/>
      <c r="EE44" s="273"/>
      <c r="EF44" s="273"/>
      <c r="EG44" s="273"/>
      <c r="EH44" s="274"/>
      <c r="EI44" s="273"/>
      <c r="EJ44" s="273"/>
      <c r="EK44" s="273"/>
      <c r="EL44" s="273"/>
      <c r="EM44" s="273"/>
      <c r="EN44" s="274"/>
      <c r="EO44" s="273"/>
      <c r="EP44" s="273"/>
      <c r="EQ44" s="273"/>
      <c r="ER44" s="273"/>
      <c r="ES44" s="273"/>
      <c r="ET44" s="276"/>
      <c r="EU44" s="273"/>
      <c r="EV44" s="273"/>
      <c r="EW44" s="273"/>
      <c r="EX44" s="273"/>
      <c r="EY44" s="273"/>
      <c r="EZ44" s="274"/>
      <c r="FA44" s="275"/>
      <c r="FB44" s="273"/>
      <c r="FC44" s="273"/>
      <c r="FD44" s="273"/>
      <c r="FE44" s="273"/>
      <c r="FF44" s="274"/>
      <c r="FG44" s="275"/>
      <c r="FH44" s="273"/>
      <c r="FI44" s="273"/>
      <c r="FJ44" s="273"/>
      <c r="FK44" s="273"/>
      <c r="FL44" s="274"/>
      <c r="FM44" s="275"/>
      <c r="FN44" s="273"/>
      <c r="FO44" s="273"/>
      <c r="FP44" s="273"/>
      <c r="FQ44" s="273"/>
      <c r="FR44" s="273"/>
      <c r="FS44" s="275"/>
      <c r="FT44" s="273"/>
      <c r="FU44" s="273"/>
      <c r="FV44" s="273"/>
      <c r="FW44" s="273"/>
      <c r="FX44" s="274"/>
      <c r="FY44" s="273"/>
      <c r="FZ44" s="273"/>
      <c r="GA44" s="273"/>
      <c r="GB44" s="273"/>
      <c r="GC44" s="273"/>
      <c r="GD44" s="273"/>
      <c r="GE44" s="275"/>
      <c r="GF44" s="273"/>
      <c r="GG44" s="273"/>
      <c r="GH44" s="273"/>
      <c r="GI44" s="273"/>
      <c r="GJ44" s="274"/>
      <c r="GK44" s="273"/>
      <c r="GL44" s="273"/>
      <c r="GM44" s="273"/>
      <c r="GN44" s="273"/>
      <c r="GO44" s="273"/>
      <c r="GP44" s="273"/>
      <c r="GQ44" s="275"/>
      <c r="GR44" s="273"/>
      <c r="GS44" s="273"/>
      <c r="GT44" s="273"/>
      <c r="GU44" s="273"/>
      <c r="GV44" s="274"/>
      <c r="GW44" s="275"/>
      <c r="GX44" s="273"/>
      <c r="GY44" s="273"/>
      <c r="GZ44" s="273"/>
      <c r="HA44" s="273"/>
      <c r="HB44" s="274"/>
      <c r="HC44" s="273"/>
      <c r="HD44" s="273"/>
      <c r="HE44" s="273"/>
      <c r="HF44" s="273"/>
      <c r="HG44" s="273"/>
      <c r="HH44" s="273"/>
      <c r="HI44" s="275"/>
      <c r="HJ44" s="273"/>
      <c r="HK44" s="273"/>
      <c r="HL44" s="273"/>
      <c r="HM44" s="273"/>
      <c r="HN44" s="276"/>
      <c r="HO44" s="273"/>
      <c r="HP44" s="273"/>
      <c r="HQ44" s="273"/>
      <c r="HR44" s="273"/>
      <c r="HS44" s="273"/>
      <c r="HT44" s="274"/>
      <c r="HU44" s="275"/>
      <c r="HV44" s="273"/>
      <c r="HW44" s="273"/>
      <c r="HX44" s="273"/>
      <c r="HY44" s="273"/>
      <c r="HZ44" s="274"/>
      <c r="IA44" s="275"/>
      <c r="IB44" s="273"/>
      <c r="IC44" s="273"/>
      <c r="ID44" s="273"/>
      <c r="IE44" s="273"/>
      <c r="IF44" s="274"/>
      <c r="IG44" s="275"/>
      <c r="IH44" s="273"/>
      <c r="II44" s="273"/>
      <c r="IJ44" s="273"/>
      <c r="IK44" s="273"/>
      <c r="IL44" s="273"/>
      <c r="IM44" s="275"/>
      <c r="IN44" s="273"/>
      <c r="IO44" s="273"/>
      <c r="IP44" s="273"/>
      <c r="IQ44" s="273"/>
      <c r="IR44" s="274"/>
      <c r="IS44" s="273"/>
      <c r="IT44" s="273"/>
      <c r="IU44" s="273"/>
      <c r="IV44" s="273"/>
      <c r="IW44" s="273"/>
      <c r="IX44" s="273"/>
      <c r="IY44" s="275"/>
      <c r="IZ44" s="273"/>
      <c r="JA44" s="273"/>
      <c r="JB44" s="273"/>
      <c r="JC44" s="273"/>
      <c r="JD44" s="274"/>
      <c r="JE44" s="273"/>
      <c r="JF44" s="273"/>
      <c r="JG44" s="273"/>
      <c r="JH44" s="273"/>
      <c r="JI44" s="273"/>
      <c r="JJ44" s="273"/>
      <c r="JK44" s="275"/>
      <c r="JL44" s="273"/>
      <c r="JM44" s="273"/>
      <c r="JN44" s="273"/>
      <c r="JO44" s="273"/>
      <c r="JP44" s="274"/>
      <c r="JQ44" s="275"/>
      <c r="JR44" s="273"/>
      <c r="JS44" s="273"/>
      <c r="JT44" s="273"/>
      <c r="JU44" s="273"/>
      <c r="JV44" s="274"/>
      <c r="JW44" s="273"/>
      <c r="JX44" s="273"/>
      <c r="JY44" s="273"/>
      <c r="JZ44" s="273"/>
      <c r="KA44" s="273"/>
      <c r="KB44" s="273"/>
      <c r="KC44" s="275"/>
      <c r="KD44" s="273"/>
      <c r="KE44" s="273"/>
      <c r="KF44" s="273"/>
      <c r="KG44" s="273"/>
      <c r="KH44" s="276"/>
      <c r="KI44" s="273"/>
      <c r="KJ44" s="273"/>
      <c r="KK44" s="273"/>
      <c r="KL44" s="273"/>
      <c r="KM44" s="273"/>
      <c r="KN44" s="274"/>
      <c r="KO44" s="275"/>
      <c r="KP44" s="273"/>
      <c r="KQ44" s="273"/>
      <c r="KR44" s="273"/>
      <c r="KS44" s="273"/>
      <c r="KT44" s="274"/>
      <c r="KU44" s="275"/>
      <c r="KV44" s="273"/>
      <c r="KW44" s="273"/>
      <c r="KX44" s="273"/>
      <c r="KY44" s="273"/>
      <c r="KZ44" s="274"/>
      <c r="LA44" s="275"/>
      <c r="LB44" s="273"/>
      <c r="LC44" s="273"/>
      <c r="LD44" s="273"/>
      <c r="LE44" s="273"/>
      <c r="LF44" s="273"/>
      <c r="LG44" s="275"/>
      <c r="LH44" s="273"/>
      <c r="LI44" s="273"/>
      <c r="LJ44" s="273"/>
      <c r="LK44" s="273"/>
      <c r="LL44" s="274"/>
      <c r="LM44" s="273"/>
      <c r="LN44" s="273"/>
      <c r="LO44" s="273"/>
      <c r="LP44" s="273"/>
      <c r="LQ44" s="273"/>
      <c r="LR44" s="273"/>
      <c r="LS44" s="275"/>
      <c r="LT44" s="273"/>
      <c r="LU44" s="273"/>
      <c r="LV44" s="273"/>
      <c r="LW44" s="273"/>
      <c r="LX44" s="274"/>
      <c r="LY44" s="273"/>
      <c r="LZ44" s="273"/>
      <c r="MA44" s="273"/>
      <c r="MB44" s="273"/>
      <c r="MC44" s="273"/>
      <c r="MD44" s="273"/>
      <c r="ME44" s="275"/>
      <c r="MF44" s="273"/>
      <c r="MG44" s="273"/>
      <c r="MH44" s="273"/>
      <c r="MI44" s="273"/>
      <c r="MJ44" s="274"/>
      <c r="MK44" s="275"/>
      <c r="ML44" s="273"/>
      <c r="MM44" s="273"/>
      <c r="MN44" s="273"/>
      <c r="MO44" s="273"/>
      <c r="MP44" s="274"/>
      <c r="MQ44" s="273"/>
      <c r="MR44" s="273"/>
      <c r="MS44" s="273"/>
      <c r="MT44" s="273"/>
      <c r="MU44" s="273"/>
      <c r="MV44" s="273"/>
      <c r="MW44" s="275"/>
      <c r="MX44" s="273"/>
      <c r="MY44" s="273"/>
      <c r="MZ44" s="273"/>
      <c r="NA44" s="273"/>
      <c r="NB44" s="276"/>
      <c r="NC44" s="273"/>
      <c r="ND44" s="273"/>
      <c r="NE44" s="273"/>
      <c r="NF44" s="273"/>
      <c r="NG44" s="273"/>
      <c r="NH44" s="274"/>
      <c r="NI44" s="275"/>
      <c r="NJ44" s="273"/>
      <c r="NK44" s="273"/>
      <c r="NL44" s="273"/>
      <c r="NM44" s="273"/>
      <c r="NN44" s="274"/>
      <c r="NO44" s="275"/>
      <c r="NP44" s="273"/>
      <c r="NQ44" s="273"/>
      <c r="NR44" s="273"/>
      <c r="NS44" s="273"/>
      <c r="NT44" s="274"/>
      <c r="NU44" s="275"/>
      <c r="NV44" s="273"/>
      <c r="NW44" s="273"/>
      <c r="NX44" s="273"/>
      <c r="NY44" s="273"/>
      <c r="NZ44" s="273"/>
      <c r="OA44" s="275"/>
      <c r="OB44" s="273"/>
      <c r="OC44" s="273"/>
      <c r="OD44" s="273"/>
      <c r="OE44" s="273"/>
      <c r="OF44" s="274"/>
      <c r="OG44" s="273"/>
      <c r="OH44" s="273"/>
      <c r="OI44" s="273"/>
      <c r="OJ44" s="273"/>
      <c r="OK44" s="273"/>
      <c r="OL44" s="273"/>
      <c r="OM44" s="275"/>
      <c r="ON44" s="273"/>
      <c r="OO44" s="273"/>
      <c r="OP44" s="273"/>
      <c r="OQ44" s="273"/>
      <c r="OR44" s="274"/>
      <c r="OS44" s="275"/>
      <c r="OT44" s="273"/>
      <c r="OU44" s="273"/>
      <c r="OV44" s="273"/>
      <c r="OW44" s="273"/>
      <c r="OX44" s="274"/>
      <c r="OY44" s="273"/>
      <c r="OZ44" s="273"/>
      <c r="PA44" s="273"/>
      <c r="PB44" s="273"/>
      <c r="PC44" s="273"/>
      <c r="PD44" s="273"/>
      <c r="PE44" s="275"/>
      <c r="PF44" s="273"/>
      <c r="PG44" s="273"/>
      <c r="PH44" s="273"/>
      <c r="PI44" s="273"/>
      <c r="PJ44" s="273"/>
      <c r="PK44" s="275"/>
      <c r="PL44" s="273"/>
      <c r="PM44" s="273"/>
      <c r="PN44" s="273"/>
      <c r="PO44" s="273"/>
      <c r="PP44" s="273"/>
      <c r="PQ44" s="275"/>
      <c r="PR44" s="273"/>
      <c r="PS44" s="273"/>
      <c r="PT44" s="273"/>
      <c r="PU44" s="273"/>
      <c r="PV44" s="273"/>
      <c r="PW44" s="277"/>
      <c r="PX44" s="273"/>
      <c r="PY44" s="273"/>
      <c r="PZ44" s="273"/>
      <c r="QA44" s="273"/>
      <c r="QB44" s="274"/>
      <c r="QC44" s="273"/>
      <c r="QD44" s="273"/>
      <c r="QE44" s="273"/>
      <c r="QF44" s="273"/>
      <c r="QG44" s="273"/>
      <c r="QH44" s="273"/>
      <c r="QI44" s="275"/>
      <c r="QJ44" s="273"/>
      <c r="QK44" s="273"/>
      <c r="QL44" s="273"/>
      <c r="QM44" s="273"/>
      <c r="QN44" s="273"/>
      <c r="QO44" s="275"/>
      <c r="QP44" s="273"/>
      <c r="QQ44" s="273"/>
      <c r="QR44" s="273"/>
      <c r="QS44" s="273"/>
      <c r="QT44" s="273"/>
      <c r="QU44" s="275"/>
      <c r="QV44" s="273"/>
      <c r="QW44" s="273"/>
      <c r="QX44" s="273"/>
      <c r="QY44" s="273"/>
      <c r="QZ44" s="273"/>
      <c r="RA44" s="275"/>
      <c r="RB44" s="273"/>
      <c r="RC44" s="273"/>
      <c r="RD44" s="273"/>
      <c r="RE44" s="273"/>
      <c r="RF44" s="273"/>
      <c r="RG44" s="275"/>
      <c r="RH44" s="273"/>
      <c r="RI44" s="273"/>
      <c r="RJ44" s="273"/>
      <c r="RK44" s="273"/>
      <c r="RL44" s="274"/>
      <c r="RM44" s="273"/>
      <c r="RN44" s="273"/>
      <c r="RO44" s="273"/>
      <c r="RP44" s="273"/>
      <c r="RQ44" s="273"/>
      <c r="RR44" s="273"/>
      <c r="RS44" s="275"/>
      <c r="RT44" s="273"/>
      <c r="RU44" s="273"/>
      <c r="RV44" s="273"/>
      <c r="RW44" s="273"/>
      <c r="RX44" s="274"/>
      <c r="RY44" s="275"/>
      <c r="RZ44" s="273"/>
      <c r="SA44" s="273"/>
      <c r="SB44" s="273"/>
      <c r="SC44" s="273"/>
      <c r="SD44" s="274"/>
      <c r="SE44" s="273"/>
      <c r="SF44" s="273"/>
      <c r="SG44" s="273"/>
      <c r="SH44" s="273"/>
      <c r="SI44" s="273"/>
      <c r="SJ44" s="273"/>
      <c r="SK44" s="275"/>
      <c r="SL44" s="273"/>
      <c r="SM44" s="273"/>
      <c r="SN44" s="273"/>
      <c r="SO44" s="273"/>
      <c r="SP44" s="276"/>
      <c r="SQ44" s="273"/>
      <c r="SR44" s="273"/>
      <c r="SS44" s="273"/>
      <c r="ST44" s="273"/>
      <c r="SU44" s="273"/>
      <c r="SV44" s="273"/>
      <c r="SW44" s="275"/>
      <c r="SX44" s="273"/>
      <c r="SY44" s="273"/>
      <c r="SZ44" s="273"/>
      <c r="TA44" s="273"/>
      <c r="TB44" s="273"/>
      <c r="TC44" s="275"/>
      <c r="TD44" s="273"/>
      <c r="TE44" s="273"/>
      <c r="TF44" s="273"/>
      <c r="TG44" s="273"/>
      <c r="TH44" s="274"/>
      <c r="TI44" s="273"/>
      <c r="TJ44" s="273"/>
      <c r="TK44" s="273"/>
      <c r="TL44" s="273"/>
      <c r="TM44" s="273"/>
      <c r="TN44" s="273"/>
      <c r="TO44" s="275"/>
      <c r="TP44" s="273"/>
      <c r="TQ44" s="273"/>
      <c r="TR44" s="273"/>
      <c r="TS44" s="273"/>
      <c r="TT44" s="273"/>
      <c r="TU44" s="275"/>
      <c r="TV44" s="273"/>
      <c r="TW44" s="273"/>
      <c r="TX44" s="273"/>
      <c r="TY44" s="273"/>
      <c r="TZ44" s="273"/>
      <c r="UA44" s="275"/>
      <c r="UB44" s="273"/>
      <c r="UC44" s="273"/>
      <c r="UD44" s="273"/>
      <c r="UE44" s="273"/>
      <c r="UF44" s="274"/>
      <c r="UG44" s="273"/>
      <c r="UH44" s="273"/>
      <c r="UI44" s="273"/>
      <c r="UJ44" s="273"/>
      <c r="UK44" s="273"/>
      <c r="UL44" s="273"/>
      <c r="UM44" s="275"/>
      <c r="UN44" s="273"/>
      <c r="UO44" s="273"/>
      <c r="UP44" s="273"/>
      <c r="UQ44" s="273"/>
      <c r="UR44" s="274"/>
      <c r="US44" s="275"/>
      <c r="UT44" s="273"/>
      <c r="UU44" s="273"/>
      <c r="UV44" s="273"/>
      <c r="UW44" s="273"/>
      <c r="UX44" s="274"/>
      <c r="UY44" s="273"/>
      <c r="UZ44" s="273"/>
      <c r="VA44" s="273"/>
      <c r="VB44" s="273"/>
      <c r="VC44" s="273"/>
      <c r="VD44" s="273"/>
      <c r="VE44" s="275"/>
      <c r="VF44" s="273"/>
      <c r="VG44" s="273"/>
      <c r="VH44" s="273"/>
      <c r="VI44" s="273"/>
      <c r="VJ44" s="276"/>
    </row>
    <row r="45" spans="3:582" s="52" customFormat="1" ht="39" customHeight="1" thickBot="1" x14ac:dyDescent="0.3">
      <c r="C45" s="539"/>
      <c r="D45" s="542"/>
      <c r="E45" s="542"/>
      <c r="F45" s="544"/>
      <c r="G45" s="555"/>
      <c r="H45" s="556"/>
      <c r="I45" s="556"/>
      <c r="J45" s="556"/>
      <c r="K45" s="556"/>
      <c r="L45" s="557"/>
      <c r="M45" s="563"/>
      <c r="N45" s="556"/>
      <c r="O45" s="556"/>
      <c r="P45" s="556"/>
      <c r="Q45" s="556"/>
      <c r="R45" s="557"/>
      <c r="S45" s="563"/>
      <c r="T45" s="556"/>
      <c r="U45" s="556"/>
      <c r="V45" s="556"/>
      <c r="W45" s="556"/>
      <c r="X45" s="557"/>
      <c r="Y45" s="564"/>
      <c r="Z45" s="564"/>
      <c r="AA45" s="564"/>
      <c r="AB45" s="564"/>
      <c r="AC45" s="564"/>
      <c r="AD45" s="564"/>
      <c r="AE45" s="565"/>
      <c r="AF45" s="566"/>
      <c r="AG45" s="566"/>
      <c r="AH45" s="566"/>
      <c r="AI45" s="566"/>
      <c r="AJ45" s="567"/>
      <c r="AK45" s="556"/>
      <c r="AL45" s="556"/>
      <c r="AM45" s="556"/>
      <c r="AN45" s="556"/>
      <c r="AO45" s="556"/>
      <c r="AP45" s="556"/>
      <c r="AQ45" s="568"/>
      <c r="AR45" s="569"/>
      <c r="AS45" s="569"/>
      <c r="AT45" s="569"/>
      <c r="AU45" s="569"/>
      <c r="AV45" s="570"/>
      <c r="AW45" s="556"/>
      <c r="AX45" s="556"/>
      <c r="AY45" s="556"/>
      <c r="AZ45" s="556"/>
      <c r="BA45" s="556"/>
      <c r="BB45" s="556"/>
      <c r="BC45" s="563"/>
      <c r="BD45" s="556"/>
      <c r="BE45" s="556"/>
      <c r="BF45" s="556"/>
      <c r="BG45" s="556"/>
      <c r="BH45" s="557"/>
      <c r="BI45" s="563"/>
      <c r="BJ45" s="556"/>
      <c r="BK45" s="556"/>
      <c r="BL45" s="556"/>
      <c r="BM45" s="556"/>
      <c r="BN45" s="557"/>
      <c r="BO45" s="556"/>
      <c r="BP45" s="556"/>
      <c r="BQ45" s="556"/>
      <c r="BR45" s="556"/>
      <c r="BS45" s="556"/>
      <c r="BT45" s="556"/>
      <c r="BU45" s="565"/>
      <c r="BV45" s="566"/>
      <c r="BW45" s="566"/>
      <c r="BX45" s="566"/>
      <c r="BY45" s="566"/>
      <c r="BZ45" s="566"/>
      <c r="CA45" s="584"/>
      <c r="CB45" s="566"/>
      <c r="CC45" s="566"/>
      <c r="CD45" s="566"/>
      <c r="CE45" s="566"/>
      <c r="CF45" s="567"/>
      <c r="CG45" s="563"/>
      <c r="CH45" s="556"/>
      <c r="CI45" s="556"/>
      <c r="CJ45" s="556"/>
      <c r="CK45" s="556"/>
      <c r="CL45" s="557"/>
      <c r="CM45" s="563"/>
      <c r="CN45" s="556"/>
      <c r="CO45" s="556"/>
      <c r="CP45" s="556"/>
      <c r="CQ45" s="556"/>
      <c r="CR45" s="557"/>
      <c r="CS45" s="564"/>
      <c r="CT45" s="564"/>
      <c r="CU45" s="564"/>
      <c r="CV45" s="564"/>
      <c r="CW45" s="564"/>
      <c r="CX45" s="564"/>
      <c r="CY45" s="565"/>
      <c r="CZ45" s="566"/>
      <c r="DA45" s="566"/>
      <c r="DB45" s="566"/>
      <c r="DC45" s="566"/>
      <c r="DD45" s="566"/>
      <c r="DE45" s="563"/>
      <c r="DF45" s="556"/>
      <c r="DG45" s="556"/>
      <c r="DH45" s="556"/>
      <c r="DI45" s="556"/>
      <c r="DJ45" s="557"/>
      <c r="DK45" s="568"/>
      <c r="DL45" s="569"/>
      <c r="DM45" s="569"/>
      <c r="DN45" s="569"/>
      <c r="DO45" s="569"/>
      <c r="DP45" s="570"/>
      <c r="DQ45" s="556"/>
      <c r="DR45" s="556"/>
      <c r="DS45" s="556"/>
      <c r="DT45" s="556"/>
      <c r="DU45" s="556"/>
      <c r="DV45" s="556"/>
      <c r="DW45" s="563"/>
      <c r="DX45" s="556"/>
      <c r="DY45" s="556"/>
      <c r="DZ45" s="556"/>
      <c r="EA45" s="556"/>
      <c r="EB45" s="557"/>
      <c r="EC45" s="563"/>
      <c r="ED45" s="556"/>
      <c r="EE45" s="556"/>
      <c r="EF45" s="556"/>
      <c r="EG45" s="556"/>
      <c r="EH45" s="557"/>
      <c r="EI45" s="556"/>
      <c r="EJ45" s="556"/>
      <c r="EK45" s="556"/>
      <c r="EL45" s="556"/>
      <c r="EM45" s="556"/>
      <c r="EN45" s="556"/>
      <c r="EO45" s="563"/>
      <c r="EP45" s="556"/>
      <c r="EQ45" s="556"/>
      <c r="ER45" s="556"/>
      <c r="ES45" s="556"/>
      <c r="ET45" s="571"/>
      <c r="EU45" s="565"/>
      <c r="EV45" s="566"/>
      <c r="EW45" s="566"/>
      <c r="EX45" s="566"/>
      <c r="EY45" s="566"/>
      <c r="EZ45" s="566"/>
      <c r="FA45" s="563"/>
      <c r="FB45" s="556"/>
      <c r="FC45" s="556"/>
      <c r="FD45" s="556"/>
      <c r="FE45" s="556"/>
      <c r="FF45" s="557"/>
      <c r="FG45" s="563"/>
      <c r="FH45" s="556"/>
      <c r="FI45" s="556"/>
      <c r="FJ45" s="556"/>
      <c r="FK45" s="556"/>
      <c r="FL45" s="557"/>
      <c r="FM45" s="564"/>
      <c r="FN45" s="564"/>
      <c r="FO45" s="564"/>
      <c r="FP45" s="564"/>
      <c r="FQ45" s="564"/>
      <c r="FR45" s="564"/>
      <c r="FS45" s="565"/>
      <c r="FT45" s="566"/>
      <c r="FU45" s="566"/>
      <c r="FV45" s="566"/>
      <c r="FW45" s="566"/>
      <c r="FX45" s="567"/>
      <c r="FY45" s="556"/>
      <c r="FZ45" s="556"/>
      <c r="GA45" s="556"/>
      <c r="GB45" s="556"/>
      <c r="GC45" s="556"/>
      <c r="GD45" s="556"/>
      <c r="GE45" s="568"/>
      <c r="GF45" s="569"/>
      <c r="GG45" s="569"/>
      <c r="GH45" s="569"/>
      <c r="GI45" s="569"/>
      <c r="GJ45" s="570"/>
      <c r="GK45" s="556"/>
      <c r="GL45" s="556"/>
      <c r="GM45" s="556"/>
      <c r="GN45" s="556"/>
      <c r="GO45" s="556"/>
      <c r="GP45" s="556"/>
      <c r="GQ45" s="563"/>
      <c r="GR45" s="556"/>
      <c r="GS45" s="556"/>
      <c r="GT45" s="556"/>
      <c r="GU45" s="556"/>
      <c r="GV45" s="557"/>
      <c r="GW45" s="563"/>
      <c r="GX45" s="556"/>
      <c r="GY45" s="556"/>
      <c r="GZ45" s="556"/>
      <c r="HA45" s="556"/>
      <c r="HB45" s="557"/>
      <c r="HC45" s="556"/>
      <c r="HD45" s="556"/>
      <c r="HE45" s="556"/>
      <c r="HF45" s="556"/>
      <c r="HG45" s="556"/>
      <c r="HH45" s="556"/>
      <c r="HI45" s="563"/>
      <c r="HJ45" s="556"/>
      <c r="HK45" s="556"/>
      <c r="HL45" s="556"/>
      <c r="HM45" s="556"/>
      <c r="HN45" s="571"/>
      <c r="HO45" s="565"/>
      <c r="HP45" s="566"/>
      <c r="HQ45" s="566"/>
      <c r="HR45" s="566"/>
      <c r="HS45" s="566"/>
      <c r="HT45" s="566"/>
      <c r="HU45" s="563"/>
      <c r="HV45" s="556"/>
      <c r="HW45" s="556"/>
      <c r="HX45" s="556"/>
      <c r="HY45" s="556"/>
      <c r="HZ45" s="557"/>
      <c r="IA45" s="563"/>
      <c r="IB45" s="556"/>
      <c r="IC45" s="556"/>
      <c r="ID45" s="556"/>
      <c r="IE45" s="556"/>
      <c r="IF45" s="557"/>
      <c r="IG45" s="564"/>
      <c r="IH45" s="564"/>
      <c r="II45" s="564"/>
      <c r="IJ45" s="564"/>
      <c r="IK45" s="564"/>
      <c r="IL45" s="564"/>
      <c r="IM45" s="565"/>
      <c r="IN45" s="566"/>
      <c r="IO45" s="566"/>
      <c r="IP45" s="566"/>
      <c r="IQ45" s="566"/>
      <c r="IR45" s="567"/>
      <c r="IS45" s="556"/>
      <c r="IT45" s="556"/>
      <c r="IU45" s="556"/>
      <c r="IV45" s="556"/>
      <c r="IW45" s="556"/>
      <c r="IX45" s="556"/>
      <c r="IY45" s="568"/>
      <c r="IZ45" s="569"/>
      <c r="JA45" s="569"/>
      <c r="JB45" s="569"/>
      <c r="JC45" s="569"/>
      <c r="JD45" s="570"/>
      <c r="JE45" s="556"/>
      <c r="JF45" s="556"/>
      <c r="JG45" s="556"/>
      <c r="JH45" s="556"/>
      <c r="JI45" s="556"/>
      <c r="JJ45" s="556"/>
      <c r="JK45" s="563"/>
      <c r="JL45" s="556"/>
      <c r="JM45" s="556"/>
      <c r="JN45" s="556"/>
      <c r="JO45" s="556"/>
      <c r="JP45" s="557"/>
      <c r="JQ45" s="563"/>
      <c r="JR45" s="556"/>
      <c r="JS45" s="556"/>
      <c r="JT45" s="556"/>
      <c r="JU45" s="556"/>
      <c r="JV45" s="557"/>
      <c r="JW45" s="556"/>
      <c r="JX45" s="556"/>
      <c r="JY45" s="556"/>
      <c r="JZ45" s="556"/>
      <c r="KA45" s="556"/>
      <c r="KB45" s="556"/>
      <c r="KC45" s="563"/>
      <c r="KD45" s="556"/>
      <c r="KE45" s="556"/>
      <c r="KF45" s="556"/>
      <c r="KG45" s="556"/>
      <c r="KH45" s="571"/>
      <c r="KI45" s="565"/>
      <c r="KJ45" s="566"/>
      <c r="KK45" s="566"/>
      <c r="KL45" s="566"/>
      <c r="KM45" s="566"/>
      <c r="KN45" s="566"/>
      <c r="KO45" s="563"/>
      <c r="KP45" s="556"/>
      <c r="KQ45" s="556"/>
      <c r="KR45" s="556"/>
      <c r="KS45" s="556"/>
      <c r="KT45" s="557"/>
      <c r="KU45" s="563"/>
      <c r="KV45" s="556"/>
      <c r="KW45" s="556"/>
      <c r="KX45" s="556"/>
      <c r="KY45" s="556"/>
      <c r="KZ45" s="557"/>
      <c r="LA45" s="564"/>
      <c r="LB45" s="564"/>
      <c r="LC45" s="564"/>
      <c r="LD45" s="564"/>
      <c r="LE45" s="564"/>
      <c r="LF45" s="564"/>
      <c r="LG45" s="565"/>
      <c r="LH45" s="566"/>
      <c r="LI45" s="566"/>
      <c r="LJ45" s="566"/>
      <c r="LK45" s="566"/>
      <c r="LL45" s="567"/>
      <c r="LM45" s="556"/>
      <c r="LN45" s="556"/>
      <c r="LO45" s="556"/>
      <c r="LP45" s="556"/>
      <c r="LQ45" s="556"/>
      <c r="LR45" s="556"/>
      <c r="LS45" s="568"/>
      <c r="LT45" s="569"/>
      <c r="LU45" s="569"/>
      <c r="LV45" s="569"/>
      <c r="LW45" s="569"/>
      <c r="LX45" s="570"/>
      <c r="LY45" s="556"/>
      <c r="LZ45" s="556"/>
      <c r="MA45" s="556"/>
      <c r="MB45" s="556"/>
      <c r="MC45" s="556"/>
      <c r="MD45" s="556"/>
      <c r="ME45" s="563"/>
      <c r="MF45" s="556"/>
      <c r="MG45" s="556"/>
      <c r="MH45" s="556"/>
      <c r="MI45" s="556"/>
      <c r="MJ45" s="557"/>
      <c r="MK45" s="563"/>
      <c r="ML45" s="556"/>
      <c r="MM45" s="556"/>
      <c r="MN45" s="556"/>
      <c r="MO45" s="556"/>
      <c r="MP45" s="557"/>
      <c r="MQ45" s="556"/>
      <c r="MR45" s="556"/>
      <c r="MS45" s="556"/>
      <c r="MT45" s="556"/>
      <c r="MU45" s="556"/>
      <c r="MV45" s="556"/>
      <c r="MW45" s="563"/>
      <c r="MX45" s="556"/>
      <c r="MY45" s="556"/>
      <c r="MZ45" s="556"/>
      <c r="NA45" s="556"/>
      <c r="NB45" s="571"/>
      <c r="NC45" s="565"/>
      <c r="ND45" s="566"/>
      <c r="NE45" s="566"/>
      <c r="NF45" s="566"/>
      <c r="NG45" s="566"/>
      <c r="NH45" s="566"/>
      <c r="NI45" s="563"/>
      <c r="NJ45" s="556"/>
      <c r="NK45" s="556"/>
      <c r="NL45" s="556"/>
      <c r="NM45" s="556"/>
      <c r="NN45" s="557"/>
      <c r="NO45" s="563"/>
      <c r="NP45" s="556"/>
      <c r="NQ45" s="556"/>
      <c r="NR45" s="556"/>
      <c r="NS45" s="556"/>
      <c r="NT45" s="557"/>
      <c r="NU45" s="564"/>
      <c r="NV45" s="564"/>
      <c r="NW45" s="564"/>
      <c r="NX45" s="564"/>
      <c r="NY45" s="564"/>
      <c r="NZ45" s="564"/>
      <c r="OA45" s="565"/>
      <c r="OB45" s="566"/>
      <c r="OC45" s="566"/>
      <c r="OD45" s="566"/>
      <c r="OE45" s="566"/>
      <c r="OF45" s="567"/>
      <c r="OG45" s="565"/>
      <c r="OH45" s="566"/>
      <c r="OI45" s="566"/>
      <c r="OJ45" s="566"/>
      <c r="OK45" s="566"/>
      <c r="OL45" s="567"/>
      <c r="OM45" s="565"/>
      <c r="ON45" s="566"/>
      <c r="OO45" s="566"/>
      <c r="OP45" s="566"/>
      <c r="OQ45" s="566"/>
      <c r="OR45" s="567"/>
      <c r="OS45" s="556"/>
      <c r="OT45" s="556"/>
      <c r="OU45" s="556"/>
      <c r="OV45" s="556"/>
      <c r="OW45" s="556"/>
      <c r="OX45" s="556"/>
      <c r="OY45" s="563"/>
      <c r="OZ45" s="556"/>
      <c r="PA45" s="556"/>
      <c r="PB45" s="556"/>
      <c r="PC45" s="556"/>
      <c r="PD45" s="557"/>
      <c r="PE45" s="563"/>
      <c r="PF45" s="556"/>
      <c r="PG45" s="556"/>
      <c r="PH45" s="556"/>
      <c r="PI45" s="556"/>
      <c r="PJ45" s="557"/>
      <c r="PK45" s="556"/>
      <c r="PL45" s="556"/>
      <c r="PM45" s="556"/>
      <c r="PN45" s="556"/>
      <c r="PO45" s="556"/>
      <c r="PP45" s="556"/>
      <c r="PQ45" s="563"/>
      <c r="PR45" s="556"/>
      <c r="PS45" s="556"/>
      <c r="PT45" s="556"/>
      <c r="PU45" s="556"/>
      <c r="PV45" s="571"/>
      <c r="PW45" s="565"/>
      <c r="PX45" s="566"/>
      <c r="PY45" s="566"/>
      <c r="PZ45" s="566"/>
      <c r="QA45" s="566"/>
      <c r="QB45" s="566"/>
      <c r="QC45" s="563"/>
      <c r="QD45" s="556"/>
      <c r="QE45" s="556"/>
      <c r="QF45" s="556"/>
      <c r="QG45" s="556"/>
      <c r="QH45" s="557"/>
      <c r="QI45" s="563"/>
      <c r="QJ45" s="556"/>
      <c r="QK45" s="556"/>
      <c r="QL45" s="556"/>
      <c r="QM45" s="556"/>
      <c r="QN45" s="557"/>
      <c r="QO45" s="564"/>
      <c r="QP45" s="564"/>
      <c r="QQ45" s="564"/>
      <c r="QR45" s="564"/>
      <c r="QS45" s="564"/>
      <c r="QT45" s="564"/>
      <c r="QU45" s="565"/>
      <c r="QV45" s="566"/>
      <c r="QW45" s="566"/>
      <c r="QX45" s="566"/>
      <c r="QY45" s="566"/>
      <c r="QZ45" s="567"/>
      <c r="RA45" s="565"/>
      <c r="RB45" s="566"/>
      <c r="RC45" s="566"/>
      <c r="RD45" s="566"/>
      <c r="RE45" s="566"/>
      <c r="RF45" s="567"/>
      <c r="RG45" s="568"/>
      <c r="RH45" s="569"/>
      <c r="RI45" s="569"/>
      <c r="RJ45" s="569"/>
      <c r="RK45" s="569"/>
      <c r="RL45" s="570"/>
      <c r="RM45" s="556"/>
      <c r="RN45" s="556"/>
      <c r="RO45" s="556"/>
      <c r="RP45" s="556"/>
      <c r="RQ45" s="556"/>
      <c r="RR45" s="556"/>
      <c r="RS45" s="563"/>
      <c r="RT45" s="556"/>
      <c r="RU45" s="556"/>
      <c r="RV45" s="556"/>
      <c r="RW45" s="556"/>
      <c r="RX45" s="557"/>
      <c r="RY45" s="563"/>
      <c r="RZ45" s="556"/>
      <c r="SA45" s="556"/>
      <c r="SB45" s="556"/>
      <c r="SC45" s="556"/>
      <c r="SD45" s="557"/>
      <c r="SE45" s="556"/>
      <c r="SF45" s="556"/>
      <c r="SG45" s="556"/>
      <c r="SH45" s="556"/>
      <c r="SI45" s="556"/>
      <c r="SJ45" s="556"/>
      <c r="SK45" s="563"/>
      <c r="SL45" s="556"/>
      <c r="SM45" s="556"/>
      <c r="SN45" s="556"/>
      <c r="SO45" s="556"/>
      <c r="SP45" s="571"/>
      <c r="SQ45" s="565"/>
      <c r="SR45" s="566"/>
      <c r="SS45" s="566"/>
      <c r="ST45" s="566"/>
      <c r="SU45" s="566"/>
      <c r="SV45" s="566"/>
      <c r="SW45" s="563"/>
      <c r="SX45" s="556"/>
      <c r="SY45" s="556"/>
      <c r="SZ45" s="556"/>
      <c r="TA45" s="556"/>
      <c r="TB45" s="557"/>
      <c r="TC45" s="563"/>
      <c r="TD45" s="556"/>
      <c r="TE45" s="556"/>
      <c r="TF45" s="556"/>
      <c r="TG45" s="556"/>
      <c r="TH45" s="557"/>
      <c r="TI45" s="564"/>
      <c r="TJ45" s="564"/>
      <c r="TK45" s="564"/>
      <c r="TL45" s="564"/>
      <c r="TM45" s="564"/>
      <c r="TN45" s="564"/>
      <c r="TO45" s="565"/>
      <c r="TP45" s="566"/>
      <c r="TQ45" s="566"/>
      <c r="TR45" s="566"/>
      <c r="TS45" s="566"/>
      <c r="TT45" s="567"/>
      <c r="TU45" s="565"/>
      <c r="TV45" s="566"/>
      <c r="TW45" s="566"/>
      <c r="TX45" s="566"/>
      <c r="TY45" s="566"/>
      <c r="TZ45" s="566"/>
      <c r="UA45" s="568"/>
      <c r="UB45" s="569"/>
      <c r="UC45" s="569"/>
      <c r="UD45" s="569"/>
      <c r="UE45" s="569"/>
      <c r="UF45" s="570"/>
      <c r="UG45" s="556"/>
      <c r="UH45" s="556"/>
      <c r="UI45" s="556"/>
      <c r="UJ45" s="556"/>
      <c r="UK45" s="556"/>
      <c r="UL45" s="556"/>
      <c r="UM45" s="563"/>
      <c r="UN45" s="556"/>
      <c r="UO45" s="556"/>
      <c r="UP45" s="556"/>
      <c r="UQ45" s="556"/>
      <c r="UR45" s="557"/>
      <c r="US45" s="563"/>
      <c r="UT45" s="556"/>
      <c r="UU45" s="556"/>
      <c r="UV45" s="556"/>
      <c r="UW45" s="556"/>
      <c r="UX45" s="557"/>
      <c r="UY45" s="556"/>
      <c r="UZ45" s="556"/>
      <c r="VA45" s="556"/>
      <c r="VB45" s="556"/>
      <c r="VC45" s="556"/>
      <c r="VD45" s="556"/>
      <c r="VE45" s="563"/>
      <c r="VF45" s="556"/>
      <c r="VG45" s="556"/>
      <c r="VH45" s="556"/>
      <c r="VI45" s="556"/>
      <c r="VJ45" s="571"/>
    </row>
    <row r="46" spans="3:582" s="52" customFormat="1" ht="12.75" customHeight="1" x14ac:dyDescent="0.25">
      <c r="C46" s="538"/>
      <c r="D46" s="540">
        <v>2</v>
      </c>
      <c r="E46" s="540"/>
      <c r="F46" s="543"/>
      <c r="G46" s="545"/>
      <c r="H46" s="546"/>
      <c r="I46" s="546"/>
      <c r="J46" s="546"/>
      <c r="K46" s="546"/>
      <c r="L46" s="547"/>
      <c r="M46" s="548"/>
      <c r="N46" s="546"/>
      <c r="O46" s="546"/>
      <c r="P46" s="546"/>
      <c r="Q46" s="546"/>
      <c r="R46" s="547"/>
      <c r="S46" s="548"/>
      <c r="T46" s="546"/>
      <c r="U46" s="546"/>
      <c r="V46" s="546"/>
      <c r="W46" s="546"/>
      <c r="X46" s="547"/>
      <c r="Y46" s="546"/>
      <c r="Z46" s="546"/>
      <c r="AA46" s="546"/>
      <c r="AB46" s="546"/>
      <c r="AC46" s="546"/>
      <c r="AD46" s="546"/>
      <c r="AE46" s="548"/>
      <c r="AF46" s="546"/>
      <c r="AG46" s="546"/>
      <c r="AH46" s="546"/>
      <c r="AI46" s="546"/>
      <c r="AJ46" s="547"/>
      <c r="AK46" s="546"/>
      <c r="AL46" s="546"/>
      <c r="AM46" s="546"/>
      <c r="AN46" s="546"/>
      <c r="AO46" s="546"/>
      <c r="AP46" s="546"/>
      <c r="AQ46" s="548"/>
      <c r="AR46" s="546"/>
      <c r="AS46" s="546"/>
      <c r="AT46" s="546"/>
      <c r="AU46" s="546"/>
      <c r="AV46" s="547"/>
      <c r="AW46" s="546"/>
      <c r="AX46" s="546"/>
      <c r="AY46" s="546"/>
      <c r="AZ46" s="546"/>
      <c r="BA46" s="546"/>
      <c r="BB46" s="546"/>
      <c r="BC46" s="548"/>
      <c r="BD46" s="546"/>
      <c r="BE46" s="546"/>
      <c r="BF46" s="546"/>
      <c r="BG46" s="546"/>
      <c r="BH46" s="547"/>
      <c r="BI46" s="548"/>
      <c r="BJ46" s="546"/>
      <c r="BK46" s="546"/>
      <c r="BL46" s="546"/>
      <c r="BM46" s="546"/>
      <c r="BN46" s="547"/>
      <c r="BO46" s="546"/>
      <c r="BP46" s="546"/>
      <c r="BQ46" s="546"/>
      <c r="BR46" s="546"/>
      <c r="BS46" s="546"/>
      <c r="BT46" s="546"/>
      <c r="BU46" s="548"/>
      <c r="BV46" s="546"/>
      <c r="BW46" s="546"/>
      <c r="BX46" s="546"/>
      <c r="BY46" s="546"/>
      <c r="BZ46" s="549"/>
      <c r="CA46" s="545"/>
      <c r="CB46" s="546"/>
      <c r="CC46" s="546"/>
      <c r="CD46" s="546"/>
      <c r="CE46" s="546"/>
      <c r="CF46" s="547"/>
      <c r="CG46" s="548"/>
      <c r="CH46" s="546"/>
      <c r="CI46" s="546"/>
      <c r="CJ46" s="546"/>
      <c r="CK46" s="546"/>
      <c r="CL46" s="547"/>
      <c r="CM46" s="548"/>
      <c r="CN46" s="546"/>
      <c r="CO46" s="546"/>
      <c r="CP46" s="546"/>
      <c r="CQ46" s="546"/>
      <c r="CR46" s="547"/>
      <c r="CS46" s="546"/>
      <c r="CT46" s="546"/>
      <c r="CU46" s="546"/>
      <c r="CV46" s="546"/>
      <c r="CW46" s="546"/>
      <c r="CX46" s="546"/>
      <c r="CY46" s="548"/>
      <c r="CZ46" s="546"/>
      <c r="DA46" s="546"/>
      <c r="DB46" s="546"/>
      <c r="DC46" s="546"/>
      <c r="DD46" s="547"/>
      <c r="DE46" s="546"/>
      <c r="DF46" s="546"/>
      <c r="DG46" s="546"/>
      <c r="DH46" s="546"/>
      <c r="DI46" s="546"/>
      <c r="DJ46" s="546"/>
      <c r="DK46" s="548"/>
      <c r="DL46" s="546"/>
      <c r="DM46" s="546"/>
      <c r="DN46" s="546"/>
      <c r="DO46" s="546"/>
      <c r="DP46" s="547"/>
      <c r="DQ46" s="546"/>
      <c r="DR46" s="546"/>
      <c r="DS46" s="546"/>
      <c r="DT46" s="546"/>
      <c r="DU46" s="546"/>
      <c r="DV46" s="546"/>
      <c r="DW46" s="548"/>
      <c r="DX46" s="546"/>
      <c r="DY46" s="546"/>
      <c r="DZ46" s="546"/>
      <c r="EA46" s="546"/>
      <c r="EB46" s="547"/>
      <c r="EC46" s="548"/>
      <c r="ED46" s="546"/>
      <c r="EE46" s="546"/>
      <c r="EF46" s="546"/>
      <c r="EG46" s="546"/>
      <c r="EH46" s="547"/>
      <c r="EI46" s="546"/>
      <c r="EJ46" s="546"/>
      <c r="EK46" s="546"/>
      <c r="EL46" s="546"/>
      <c r="EM46" s="546"/>
      <c r="EN46" s="546"/>
      <c r="EO46" s="548"/>
      <c r="EP46" s="546"/>
      <c r="EQ46" s="546"/>
      <c r="ER46" s="546"/>
      <c r="ES46" s="546"/>
      <c r="ET46" s="549"/>
      <c r="EU46" s="545"/>
      <c r="EV46" s="546"/>
      <c r="EW46" s="546"/>
      <c r="EX46" s="546"/>
      <c r="EY46" s="546"/>
      <c r="EZ46" s="547"/>
      <c r="FA46" s="548"/>
      <c r="FB46" s="546"/>
      <c r="FC46" s="546"/>
      <c r="FD46" s="546"/>
      <c r="FE46" s="546"/>
      <c r="FF46" s="547"/>
      <c r="FG46" s="548"/>
      <c r="FH46" s="546"/>
      <c r="FI46" s="546"/>
      <c r="FJ46" s="546"/>
      <c r="FK46" s="546"/>
      <c r="FL46" s="547"/>
      <c r="FM46" s="546"/>
      <c r="FN46" s="546"/>
      <c r="FO46" s="546"/>
      <c r="FP46" s="546"/>
      <c r="FQ46" s="546"/>
      <c r="FR46" s="546"/>
      <c r="FS46" s="548"/>
      <c r="FT46" s="546"/>
      <c r="FU46" s="546"/>
      <c r="FV46" s="546"/>
      <c r="FW46" s="546"/>
      <c r="FX46" s="547"/>
      <c r="FY46" s="546"/>
      <c r="FZ46" s="546"/>
      <c r="GA46" s="546"/>
      <c r="GB46" s="546"/>
      <c r="GC46" s="546"/>
      <c r="GD46" s="546"/>
      <c r="GE46" s="548"/>
      <c r="GF46" s="546"/>
      <c r="GG46" s="546"/>
      <c r="GH46" s="546"/>
      <c r="GI46" s="546"/>
      <c r="GJ46" s="547"/>
      <c r="GK46" s="546"/>
      <c r="GL46" s="546"/>
      <c r="GM46" s="546"/>
      <c r="GN46" s="546"/>
      <c r="GO46" s="546"/>
      <c r="GP46" s="546"/>
      <c r="GQ46" s="548"/>
      <c r="GR46" s="546"/>
      <c r="GS46" s="546"/>
      <c r="GT46" s="546"/>
      <c r="GU46" s="546"/>
      <c r="GV46" s="547"/>
      <c r="GW46" s="548"/>
      <c r="GX46" s="546"/>
      <c r="GY46" s="546"/>
      <c r="GZ46" s="546"/>
      <c r="HA46" s="546"/>
      <c r="HB46" s="547"/>
      <c r="HC46" s="546"/>
      <c r="HD46" s="546"/>
      <c r="HE46" s="546"/>
      <c r="HF46" s="546"/>
      <c r="HG46" s="546"/>
      <c r="HH46" s="546"/>
      <c r="HI46" s="548"/>
      <c r="HJ46" s="546"/>
      <c r="HK46" s="546"/>
      <c r="HL46" s="546"/>
      <c r="HM46" s="546"/>
      <c r="HN46" s="549"/>
      <c r="HO46" s="545"/>
      <c r="HP46" s="546"/>
      <c r="HQ46" s="546"/>
      <c r="HR46" s="546"/>
      <c r="HS46" s="546"/>
      <c r="HT46" s="547"/>
      <c r="HU46" s="548"/>
      <c r="HV46" s="546"/>
      <c r="HW46" s="546"/>
      <c r="HX46" s="546"/>
      <c r="HY46" s="546"/>
      <c r="HZ46" s="547"/>
      <c r="IA46" s="548"/>
      <c r="IB46" s="546"/>
      <c r="IC46" s="546"/>
      <c r="ID46" s="546"/>
      <c r="IE46" s="546"/>
      <c r="IF46" s="547"/>
      <c r="IG46" s="546"/>
      <c r="IH46" s="546"/>
      <c r="II46" s="546"/>
      <c r="IJ46" s="546"/>
      <c r="IK46" s="546"/>
      <c r="IL46" s="546"/>
      <c r="IM46" s="548"/>
      <c r="IN46" s="546"/>
      <c r="IO46" s="546"/>
      <c r="IP46" s="546"/>
      <c r="IQ46" s="546"/>
      <c r="IR46" s="547"/>
      <c r="IS46" s="546"/>
      <c r="IT46" s="546"/>
      <c r="IU46" s="546"/>
      <c r="IV46" s="546"/>
      <c r="IW46" s="546"/>
      <c r="IX46" s="546"/>
      <c r="IY46" s="548"/>
      <c r="IZ46" s="546"/>
      <c r="JA46" s="546"/>
      <c r="JB46" s="546"/>
      <c r="JC46" s="546"/>
      <c r="JD46" s="547"/>
      <c r="JE46" s="546"/>
      <c r="JF46" s="546"/>
      <c r="JG46" s="546"/>
      <c r="JH46" s="546"/>
      <c r="JI46" s="546"/>
      <c r="JJ46" s="546"/>
      <c r="JK46" s="548"/>
      <c r="JL46" s="546"/>
      <c r="JM46" s="546"/>
      <c r="JN46" s="546"/>
      <c r="JO46" s="546"/>
      <c r="JP46" s="547"/>
      <c r="JQ46" s="548"/>
      <c r="JR46" s="546"/>
      <c r="JS46" s="546"/>
      <c r="JT46" s="546"/>
      <c r="JU46" s="546"/>
      <c r="JV46" s="547"/>
      <c r="JW46" s="546"/>
      <c r="JX46" s="546"/>
      <c r="JY46" s="546"/>
      <c r="JZ46" s="546"/>
      <c r="KA46" s="546"/>
      <c r="KB46" s="546"/>
      <c r="KC46" s="548"/>
      <c r="KD46" s="546"/>
      <c r="KE46" s="546"/>
      <c r="KF46" s="546"/>
      <c r="KG46" s="546"/>
      <c r="KH46" s="549"/>
      <c r="KI46" s="545"/>
      <c r="KJ46" s="546"/>
      <c r="KK46" s="546"/>
      <c r="KL46" s="546"/>
      <c r="KM46" s="546"/>
      <c r="KN46" s="547"/>
      <c r="KO46" s="548"/>
      <c r="KP46" s="546"/>
      <c r="KQ46" s="546"/>
      <c r="KR46" s="546"/>
      <c r="KS46" s="546"/>
      <c r="KT46" s="547"/>
      <c r="KU46" s="548"/>
      <c r="KV46" s="546"/>
      <c r="KW46" s="546"/>
      <c r="KX46" s="546"/>
      <c r="KY46" s="546"/>
      <c r="KZ46" s="547"/>
      <c r="LA46" s="546"/>
      <c r="LB46" s="546"/>
      <c r="LC46" s="546"/>
      <c r="LD46" s="546"/>
      <c r="LE46" s="546"/>
      <c r="LF46" s="546"/>
      <c r="LG46" s="548"/>
      <c r="LH46" s="546"/>
      <c r="LI46" s="546"/>
      <c r="LJ46" s="546"/>
      <c r="LK46" s="546"/>
      <c r="LL46" s="547"/>
      <c r="LM46" s="546"/>
      <c r="LN46" s="546"/>
      <c r="LO46" s="546"/>
      <c r="LP46" s="546"/>
      <c r="LQ46" s="546"/>
      <c r="LR46" s="546"/>
      <c r="LS46" s="548"/>
      <c r="LT46" s="546"/>
      <c r="LU46" s="546"/>
      <c r="LV46" s="546"/>
      <c r="LW46" s="546"/>
      <c r="LX46" s="547"/>
      <c r="LY46" s="546"/>
      <c r="LZ46" s="546"/>
      <c r="MA46" s="546"/>
      <c r="MB46" s="546"/>
      <c r="MC46" s="546"/>
      <c r="MD46" s="546"/>
      <c r="ME46" s="548"/>
      <c r="MF46" s="546"/>
      <c r="MG46" s="546"/>
      <c r="MH46" s="546"/>
      <c r="MI46" s="546"/>
      <c r="MJ46" s="547"/>
      <c r="MK46" s="548"/>
      <c r="ML46" s="546"/>
      <c r="MM46" s="546"/>
      <c r="MN46" s="546"/>
      <c r="MO46" s="546"/>
      <c r="MP46" s="547"/>
      <c r="MQ46" s="546"/>
      <c r="MR46" s="546"/>
      <c r="MS46" s="546"/>
      <c r="MT46" s="546"/>
      <c r="MU46" s="546"/>
      <c r="MV46" s="546"/>
      <c r="MW46" s="548"/>
      <c r="MX46" s="546"/>
      <c r="MY46" s="546"/>
      <c r="MZ46" s="546"/>
      <c r="NA46" s="546"/>
      <c r="NB46" s="549"/>
      <c r="NC46" s="545"/>
      <c r="ND46" s="546"/>
      <c r="NE46" s="546"/>
      <c r="NF46" s="546"/>
      <c r="NG46" s="546"/>
      <c r="NH46" s="547"/>
      <c r="NI46" s="548"/>
      <c r="NJ46" s="546"/>
      <c r="NK46" s="546"/>
      <c r="NL46" s="546"/>
      <c r="NM46" s="546"/>
      <c r="NN46" s="547"/>
      <c r="NO46" s="548"/>
      <c r="NP46" s="546"/>
      <c r="NQ46" s="546"/>
      <c r="NR46" s="546"/>
      <c r="NS46" s="546"/>
      <c r="NT46" s="547"/>
      <c r="NU46" s="546"/>
      <c r="NV46" s="546"/>
      <c r="NW46" s="546"/>
      <c r="NX46" s="546"/>
      <c r="NY46" s="546"/>
      <c r="NZ46" s="546"/>
      <c r="OA46" s="548"/>
      <c r="OB46" s="546"/>
      <c r="OC46" s="546"/>
      <c r="OD46" s="546"/>
      <c r="OE46" s="546"/>
      <c r="OF46" s="547"/>
      <c r="OG46" s="546"/>
      <c r="OH46" s="546"/>
      <c r="OI46" s="546"/>
      <c r="OJ46" s="546"/>
      <c r="OK46" s="546"/>
      <c r="OL46" s="546"/>
      <c r="OM46" s="548"/>
      <c r="ON46" s="546"/>
      <c r="OO46" s="546"/>
      <c r="OP46" s="546"/>
      <c r="OQ46" s="546"/>
      <c r="OR46" s="547"/>
      <c r="OS46" s="546"/>
      <c r="OT46" s="546"/>
      <c r="OU46" s="546"/>
      <c r="OV46" s="546"/>
      <c r="OW46" s="546"/>
      <c r="OX46" s="546"/>
      <c r="OY46" s="548"/>
      <c r="OZ46" s="546"/>
      <c r="PA46" s="546"/>
      <c r="PB46" s="546"/>
      <c r="PC46" s="546"/>
      <c r="PD46" s="547"/>
      <c r="PE46" s="548"/>
      <c r="PF46" s="546"/>
      <c r="PG46" s="546"/>
      <c r="PH46" s="546"/>
      <c r="PI46" s="546"/>
      <c r="PJ46" s="547"/>
      <c r="PK46" s="546"/>
      <c r="PL46" s="546"/>
      <c r="PM46" s="546"/>
      <c r="PN46" s="546"/>
      <c r="PO46" s="546"/>
      <c r="PP46" s="546"/>
      <c r="PQ46" s="548"/>
      <c r="PR46" s="546"/>
      <c r="PS46" s="546"/>
      <c r="PT46" s="546"/>
      <c r="PU46" s="546"/>
      <c r="PV46" s="549"/>
      <c r="PW46" s="545"/>
      <c r="PX46" s="546"/>
      <c r="PY46" s="546"/>
      <c r="PZ46" s="546"/>
      <c r="QA46" s="546"/>
      <c r="QB46" s="547"/>
      <c r="QC46" s="548"/>
      <c r="QD46" s="546"/>
      <c r="QE46" s="546"/>
      <c r="QF46" s="546"/>
      <c r="QG46" s="546"/>
      <c r="QH46" s="547"/>
      <c r="QI46" s="548"/>
      <c r="QJ46" s="546"/>
      <c r="QK46" s="546"/>
      <c r="QL46" s="546"/>
      <c r="QM46" s="546"/>
      <c r="QN46" s="547"/>
      <c r="QO46" s="546"/>
      <c r="QP46" s="546"/>
      <c r="QQ46" s="546"/>
      <c r="QR46" s="546"/>
      <c r="QS46" s="546"/>
      <c r="QT46" s="546"/>
      <c r="QU46" s="548"/>
      <c r="QV46" s="546"/>
      <c r="QW46" s="546"/>
      <c r="QX46" s="546"/>
      <c r="QY46" s="546"/>
      <c r="QZ46" s="547"/>
      <c r="RA46" s="546"/>
      <c r="RB46" s="546"/>
      <c r="RC46" s="546"/>
      <c r="RD46" s="546"/>
      <c r="RE46" s="546"/>
      <c r="RF46" s="546"/>
      <c r="RG46" s="548"/>
      <c r="RH46" s="546"/>
      <c r="RI46" s="546"/>
      <c r="RJ46" s="546"/>
      <c r="RK46" s="546"/>
      <c r="RL46" s="547"/>
      <c r="RM46" s="546"/>
      <c r="RN46" s="546"/>
      <c r="RO46" s="546"/>
      <c r="RP46" s="546"/>
      <c r="RQ46" s="546"/>
      <c r="RR46" s="546"/>
      <c r="RS46" s="548"/>
      <c r="RT46" s="546"/>
      <c r="RU46" s="546"/>
      <c r="RV46" s="546"/>
      <c r="RW46" s="546"/>
      <c r="RX46" s="547"/>
      <c r="RY46" s="548"/>
      <c r="RZ46" s="546"/>
      <c r="SA46" s="546"/>
      <c r="SB46" s="546"/>
      <c r="SC46" s="546"/>
      <c r="SD46" s="547"/>
      <c r="SE46" s="546"/>
      <c r="SF46" s="546"/>
      <c r="SG46" s="546"/>
      <c r="SH46" s="546"/>
      <c r="SI46" s="546"/>
      <c r="SJ46" s="546"/>
      <c r="SK46" s="548"/>
      <c r="SL46" s="546"/>
      <c r="SM46" s="546"/>
      <c r="SN46" s="546"/>
      <c r="SO46" s="546"/>
      <c r="SP46" s="549"/>
      <c r="SQ46" s="545"/>
      <c r="SR46" s="546"/>
      <c r="SS46" s="546"/>
      <c r="ST46" s="546"/>
      <c r="SU46" s="546"/>
      <c r="SV46" s="547"/>
      <c r="SW46" s="548"/>
      <c r="SX46" s="546"/>
      <c r="SY46" s="546"/>
      <c r="SZ46" s="546"/>
      <c r="TA46" s="546"/>
      <c r="TB46" s="547"/>
      <c r="TC46" s="548"/>
      <c r="TD46" s="546"/>
      <c r="TE46" s="546"/>
      <c r="TF46" s="546"/>
      <c r="TG46" s="546"/>
      <c r="TH46" s="547"/>
      <c r="TI46" s="546"/>
      <c r="TJ46" s="546"/>
      <c r="TK46" s="546"/>
      <c r="TL46" s="546"/>
      <c r="TM46" s="546"/>
      <c r="TN46" s="546"/>
      <c r="TO46" s="548"/>
      <c r="TP46" s="546"/>
      <c r="TQ46" s="546"/>
      <c r="TR46" s="546"/>
      <c r="TS46" s="546"/>
      <c r="TT46" s="547"/>
      <c r="TU46" s="546"/>
      <c r="TV46" s="546"/>
      <c r="TW46" s="546"/>
      <c r="TX46" s="546"/>
      <c r="TY46" s="546"/>
      <c r="TZ46" s="546"/>
      <c r="UA46" s="548"/>
      <c r="UB46" s="546"/>
      <c r="UC46" s="546"/>
      <c r="UD46" s="546"/>
      <c r="UE46" s="546"/>
      <c r="UF46" s="547"/>
      <c r="UG46" s="546"/>
      <c r="UH46" s="546"/>
      <c r="UI46" s="546"/>
      <c r="UJ46" s="546"/>
      <c r="UK46" s="546"/>
      <c r="UL46" s="546"/>
      <c r="UM46" s="548"/>
      <c r="UN46" s="546"/>
      <c r="UO46" s="546"/>
      <c r="UP46" s="546"/>
      <c r="UQ46" s="546"/>
      <c r="UR46" s="547"/>
      <c r="US46" s="548"/>
      <c r="UT46" s="546"/>
      <c r="UU46" s="546"/>
      <c r="UV46" s="546"/>
      <c r="UW46" s="546"/>
      <c r="UX46" s="547"/>
      <c r="UY46" s="546"/>
      <c r="UZ46" s="546"/>
      <c r="VA46" s="546"/>
      <c r="VB46" s="546"/>
      <c r="VC46" s="546"/>
      <c r="VD46" s="546"/>
      <c r="VE46" s="548"/>
      <c r="VF46" s="546"/>
      <c r="VG46" s="546"/>
      <c r="VH46" s="546"/>
      <c r="VI46" s="546"/>
      <c r="VJ46" s="549"/>
    </row>
    <row r="47" spans="3:582" s="52" customFormat="1" ht="19.5" customHeight="1" x14ac:dyDescent="0.25">
      <c r="C47" s="538"/>
      <c r="D47" s="541"/>
      <c r="E47" s="541"/>
      <c r="F47" s="543"/>
      <c r="G47" s="277"/>
      <c r="H47" s="273"/>
      <c r="I47" s="273"/>
      <c r="J47" s="273"/>
      <c r="K47" s="273"/>
      <c r="L47" s="274"/>
      <c r="M47" s="275"/>
      <c r="N47" s="273"/>
      <c r="O47" s="273"/>
      <c r="P47" s="273"/>
      <c r="Q47" s="273"/>
      <c r="R47" s="274"/>
      <c r="S47" s="275"/>
      <c r="T47" s="273"/>
      <c r="U47" s="273"/>
      <c r="V47" s="273"/>
      <c r="W47" s="273"/>
      <c r="X47" s="274"/>
      <c r="Y47" s="275"/>
      <c r="Z47" s="273"/>
      <c r="AA47" s="273"/>
      <c r="AB47" s="273"/>
      <c r="AC47" s="273"/>
      <c r="AD47" s="273"/>
      <c r="AE47" s="275"/>
      <c r="AF47" s="273"/>
      <c r="AG47" s="273"/>
      <c r="AH47" s="273"/>
      <c r="AI47" s="273"/>
      <c r="AJ47" s="274"/>
      <c r="AK47" s="273"/>
      <c r="AL47" s="273"/>
      <c r="AM47" s="273"/>
      <c r="AN47" s="273"/>
      <c r="AO47" s="273"/>
      <c r="AP47" s="273"/>
      <c r="AQ47" s="275"/>
      <c r="AR47" s="273"/>
      <c r="AS47" s="273"/>
      <c r="AT47" s="273"/>
      <c r="AU47" s="273"/>
      <c r="AV47" s="274"/>
      <c r="AW47" s="273"/>
      <c r="AX47" s="273"/>
      <c r="AY47" s="273"/>
      <c r="AZ47" s="273"/>
      <c r="BA47" s="273"/>
      <c r="BB47" s="273"/>
      <c r="BC47" s="275"/>
      <c r="BD47" s="273"/>
      <c r="BE47" s="273"/>
      <c r="BF47" s="273"/>
      <c r="BG47" s="273"/>
      <c r="BH47" s="274"/>
      <c r="BI47" s="275"/>
      <c r="BJ47" s="273"/>
      <c r="BK47" s="273"/>
      <c r="BL47" s="273"/>
      <c r="BM47" s="273"/>
      <c r="BN47" s="274"/>
      <c r="BO47" s="273"/>
      <c r="BP47" s="273"/>
      <c r="BQ47" s="273"/>
      <c r="BR47" s="273"/>
      <c r="BS47" s="273"/>
      <c r="BT47" s="274"/>
      <c r="BU47" s="273"/>
      <c r="BV47" s="273"/>
      <c r="BW47" s="273"/>
      <c r="BX47" s="273"/>
      <c r="BY47" s="273"/>
      <c r="BZ47" s="276"/>
      <c r="CA47" s="277"/>
      <c r="CB47" s="273"/>
      <c r="CC47" s="273"/>
      <c r="CD47" s="273"/>
      <c r="CE47" s="273"/>
      <c r="CF47" s="274"/>
      <c r="CG47" s="275"/>
      <c r="CH47" s="273"/>
      <c r="CI47" s="273"/>
      <c r="CJ47" s="273"/>
      <c r="CK47" s="273"/>
      <c r="CL47" s="274"/>
      <c r="CM47" s="275"/>
      <c r="CN47" s="273"/>
      <c r="CO47" s="273"/>
      <c r="CP47" s="273"/>
      <c r="CQ47" s="273"/>
      <c r="CR47" s="274"/>
      <c r="CS47" s="275"/>
      <c r="CT47" s="273"/>
      <c r="CU47" s="273"/>
      <c r="CV47" s="273"/>
      <c r="CW47" s="273"/>
      <c r="CX47" s="273"/>
      <c r="CY47" s="275"/>
      <c r="CZ47" s="273"/>
      <c r="DA47" s="273"/>
      <c r="DB47" s="273"/>
      <c r="DC47" s="273"/>
      <c r="DD47" s="274"/>
      <c r="DE47" s="273"/>
      <c r="DF47" s="273"/>
      <c r="DG47" s="273"/>
      <c r="DH47" s="273"/>
      <c r="DI47" s="273"/>
      <c r="DJ47" s="273"/>
      <c r="DK47" s="275"/>
      <c r="DL47" s="273"/>
      <c r="DM47" s="273"/>
      <c r="DN47" s="273"/>
      <c r="DO47" s="273"/>
      <c r="DP47" s="274"/>
      <c r="DQ47" s="273"/>
      <c r="DR47" s="273"/>
      <c r="DS47" s="273"/>
      <c r="DT47" s="273"/>
      <c r="DU47" s="273"/>
      <c r="DV47" s="273"/>
      <c r="DW47" s="275"/>
      <c r="DX47" s="273"/>
      <c r="DY47" s="273"/>
      <c r="DZ47" s="273"/>
      <c r="EA47" s="273"/>
      <c r="EB47" s="274"/>
      <c r="EC47" s="275"/>
      <c r="ED47" s="273"/>
      <c r="EE47" s="273"/>
      <c r="EF47" s="273"/>
      <c r="EG47" s="273"/>
      <c r="EH47" s="274"/>
      <c r="EI47" s="273"/>
      <c r="EJ47" s="273"/>
      <c r="EK47" s="273"/>
      <c r="EL47" s="273"/>
      <c r="EM47" s="273"/>
      <c r="EN47" s="274"/>
      <c r="EO47" s="273"/>
      <c r="EP47" s="273"/>
      <c r="EQ47" s="273"/>
      <c r="ER47" s="273"/>
      <c r="ES47" s="273"/>
      <c r="ET47" s="276"/>
      <c r="EU47" s="273"/>
      <c r="EV47" s="273"/>
      <c r="EW47" s="273"/>
      <c r="EX47" s="273"/>
      <c r="EY47" s="273"/>
      <c r="EZ47" s="274"/>
      <c r="FA47" s="275"/>
      <c r="FB47" s="273"/>
      <c r="FC47" s="273"/>
      <c r="FD47" s="273"/>
      <c r="FE47" s="273"/>
      <c r="FF47" s="274"/>
      <c r="FG47" s="275"/>
      <c r="FH47" s="273"/>
      <c r="FI47" s="273"/>
      <c r="FJ47" s="273"/>
      <c r="FK47" s="273"/>
      <c r="FL47" s="274"/>
      <c r="FM47" s="275"/>
      <c r="FN47" s="273"/>
      <c r="FO47" s="273"/>
      <c r="FP47" s="273"/>
      <c r="FQ47" s="273"/>
      <c r="FR47" s="273"/>
      <c r="FS47" s="275"/>
      <c r="FT47" s="273"/>
      <c r="FU47" s="273"/>
      <c r="FV47" s="273"/>
      <c r="FW47" s="273"/>
      <c r="FX47" s="274"/>
      <c r="FY47" s="273"/>
      <c r="FZ47" s="273"/>
      <c r="GA47" s="273"/>
      <c r="GB47" s="273"/>
      <c r="GC47" s="273"/>
      <c r="GD47" s="273"/>
      <c r="GE47" s="275"/>
      <c r="GF47" s="273"/>
      <c r="GG47" s="273"/>
      <c r="GH47" s="273"/>
      <c r="GI47" s="273"/>
      <c r="GJ47" s="274"/>
      <c r="GK47" s="273"/>
      <c r="GL47" s="273"/>
      <c r="GM47" s="273"/>
      <c r="GN47" s="273"/>
      <c r="GO47" s="273"/>
      <c r="GP47" s="273"/>
      <c r="GQ47" s="275"/>
      <c r="GR47" s="273"/>
      <c r="GS47" s="273"/>
      <c r="GT47" s="273"/>
      <c r="GU47" s="273"/>
      <c r="GV47" s="274"/>
      <c r="GW47" s="275"/>
      <c r="GX47" s="273"/>
      <c r="GY47" s="273"/>
      <c r="GZ47" s="273"/>
      <c r="HA47" s="273"/>
      <c r="HB47" s="274"/>
      <c r="HC47" s="273"/>
      <c r="HD47" s="273"/>
      <c r="HE47" s="273"/>
      <c r="HF47" s="273"/>
      <c r="HG47" s="273"/>
      <c r="HH47" s="273"/>
      <c r="HI47" s="275"/>
      <c r="HJ47" s="273"/>
      <c r="HK47" s="273"/>
      <c r="HL47" s="273"/>
      <c r="HM47" s="273"/>
      <c r="HN47" s="276"/>
      <c r="HO47" s="273"/>
      <c r="HP47" s="273"/>
      <c r="HQ47" s="273"/>
      <c r="HR47" s="273"/>
      <c r="HS47" s="273"/>
      <c r="HT47" s="274"/>
      <c r="HU47" s="275"/>
      <c r="HV47" s="273"/>
      <c r="HW47" s="273"/>
      <c r="HX47" s="273"/>
      <c r="HY47" s="273"/>
      <c r="HZ47" s="274"/>
      <c r="IA47" s="275"/>
      <c r="IB47" s="273"/>
      <c r="IC47" s="273"/>
      <c r="ID47" s="273"/>
      <c r="IE47" s="273"/>
      <c r="IF47" s="274"/>
      <c r="IG47" s="275"/>
      <c r="IH47" s="273"/>
      <c r="II47" s="273"/>
      <c r="IJ47" s="273"/>
      <c r="IK47" s="273"/>
      <c r="IL47" s="273"/>
      <c r="IM47" s="275"/>
      <c r="IN47" s="273"/>
      <c r="IO47" s="273"/>
      <c r="IP47" s="273"/>
      <c r="IQ47" s="273"/>
      <c r="IR47" s="274"/>
      <c r="IS47" s="273"/>
      <c r="IT47" s="273"/>
      <c r="IU47" s="273"/>
      <c r="IV47" s="273"/>
      <c r="IW47" s="273"/>
      <c r="IX47" s="273"/>
      <c r="IY47" s="275"/>
      <c r="IZ47" s="273"/>
      <c r="JA47" s="273"/>
      <c r="JB47" s="273"/>
      <c r="JC47" s="273"/>
      <c r="JD47" s="274"/>
      <c r="JE47" s="273"/>
      <c r="JF47" s="273"/>
      <c r="JG47" s="273"/>
      <c r="JH47" s="273"/>
      <c r="JI47" s="273"/>
      <c r="JJ47" s="273"/>
      <c r="JK47" s="275"/>
      <c r="JL47" s="273"/>
      <c r="JM47" s="273"/>
      <c r="JN47" s="273"/>
      <c r="JO47" s="273"/>
      <c r="JP47" s="274"/>
      <c r="JQ47" s="275"/>
      <c r="JR47" s="273"/>
      <c r="JS47" s="273"/>
      <c r="JT47" s="273"/>
      <c r="JU47" s="273"/>
      <c r="JV47" s="274"/>
      <c r="JW47" s="273"/>
      <c r="JX47" s="273"/>
      <c r="JY47" s="273"/>
      <c r="JZ47" s="273"/>
      <c r="KA47" s="273"/>
      <c r="KB47" s="273"/>
      <c r="KC47" s="275"/>
      <c r="KD47" s="273"/>
      <c r="KE47" s="273"/>
      <c r="KF47" s="273"/>
      <c r="KG47" s="273"/>
      <c r="KH47" s="276"/>
      <c r="KI47" s="273"/>
      <c r="KJ47" s="273"/>
      <c r="KK47" s="273"/>
      <c r="KL47" s="273"/>
      <c r="KM47" s="273"/>
      <c r="KN47" s="274"/>
      <c r="KO47" s="275"/>
      <c r="KP47" s="273"/>
      <c r="KQ47" s="273"/>
      <c r="KR47" s="273"/>
      <c r="KS47" s="273"/>
      <c r="KT47" s="274"/>
      <c r="KU47" s="275"/>
      <c r="KV47" s="273"/>
      <c r="KW47" s="273"/>
      <c r="KX47" s="273"/>
      <c r="KY47" s="273"/>
      <c r="KZ47" s="274"/>
      <c r="LA47" s="275"/>
      <c r="LB47" s="273"/>
      <c r="LC47" s="273"/>
      <c r="LD47" s="273"/>
      <c r="LE47" s="273"/>
      <c r="LF47" s="273"/>
      <c r="LG47" s="275"/>
      <c r="LH47" s="273"/>
      <c r="LI47" s="273"/>
      <c r="LJ47" s="273"/>
      <c r="LK47" s="273"/>
      <c r="LL47" s="274"/>
      <c r="LM47" s="273"/>
      <c r="LN47" s="273"/>
      <c r="LO47" s="273"/>
      <c r="LP47" s="273"/>
      <c r="LQ47" s="273"/>
      <c r="LR47" s="273"/>
      <c r="LS47" s="275"/>
      <c r="LT47" s="273"/>
      <c r="LU47" s="273"/>
      <c r="LV47" s="273"/>
      <c r="LW47" s="273"/>
      <c r="LX47" s="274"/>
      <c r="LY47" s="273"/>
      <c r="LZ47" s="273"/>
      <c r="MA47" s="273"/>
      <c r="MB47" s="273"/>
      <c r="MC47" s="273"/>
      <c r="MD47" s="273"/>
      <c r="ME47" s="275"/>
      <c r="MF47" s="273"/>
      <c r="MG47" s="273"/>
      <c r="MH47" s="273"/>
      <c r="MI47" s="273"/>
      <c r="MJ47" s="274"/>
      <c r="MK47" s="275"/>
      <c r="ML47" s="273"/>
      <c r="MM47" s="273"/>
      <c r="MN47" s="273"/>
      <c r="MO47" s="273"/>
      <c r="MP47" s="274"/>
      <c r="MQ47" s="273"/>
      <c r="MR47" s="273"/>
      <c r="MS47" s="273"/>
      <c r="MT47" s="273"/>
      <c r="MU47" s="273"/>
      <c r="MV47" s="273"/>
      <c r="MW47" s="275"/>
      <c r="MX47" s="273"/>
      <c r="MY47" s="273"/>
      <c r="MZ47" s="273"/>
      <c r="NA47" s="273"/>
      <c r="NB47" s="276"/>
      <c r="NC47" s="273"/>
      <c r="ND47" s="273"/>
      <c r="NE47" s="273"/>
      <c r="NF47" s="273"/>
      <c r="NG47" s="273"/>
      <c r="NH47" s="274"/>
      <c r="NI47" s="275"/>
      <c r="NJ47" s="273"/>
      <c r="NK47" s="273"/>
      <c r="NL47" s="273"/>
      <c r="NM47" s="273"/>
      <c r="NN47" s="274"/>
      <c r="NO47" s="275"/>
      <c r="NP47" s="273"/>
      <c r="NQ47" s="273"/>
      <c r="NR47" s="273"/>
      <c r="NS47" s="273"/>
      <c r="NT47" s="274"/>
      <c r="NU47" s="275"/>
      <c r="NV47" s="273"/>
      <c r="NW47" s="273"/>
      <c r="NX47" s="273"/>
      <c r="NY47" s="273"/>
      <c r="NZ47" s="273"/>
      <c r="OA47" s="275"/>
      <c r="OB47" s="273"/>
      <c r="OC47" s="273"/>
      <c r="OD47" s="273"/>
      <c r="OE47" s="273"/>
      <c r="OF47" s="274"/>
      <c r="OG47" s="273"/>
      <c r="OH47" s="273"/>
      <c r="OI47" s="273"/>
      <c r="OJ47" s="273"/>
      <c r="OK47" s="273"/>
      <c r="OL47" s="273"/>
      <c r="OM47" s="275"/>
      <c r="ON47" s="273"/>
      <c r="OO47" s="273"/>
      <c r="OP47" s="273"/>
      <c r="OQ47" s="273"/>
      <c r="OR47" s="274"/>
      <c r="OS47" s="275"/>
      <c r="OT47" s="273"/>
      <c r="OU47" s="273"/>
      <c r="OV47" s="273"/>
      <c r="OW47" s="273"/>
      <c r="OX47" s="274"/>
      <c r="OY47" s="273"/>
      <c r="OZ47" s="273"/>
      <c r="PA47" s="273"/>
      <c r="PB47" s="273"/>
      <c r="PC47" s="273"/>
      <c r="PD47" s="273"/>
      <c r="PE47" s="275"/>
      <c r="PF47" s="273"/>
      <c r="PG47" s="273"/>
      <c r="PH47" s="273"/>
      <c r="PI47" s="273"/>
      <c r="PJ47" s="273"/>
      <c r="PK47" s="275"/>
      <c r="PL47" s="273"/>
      <c r="PM47" s="273"/>
      <c r="PN47" s="273"/>
      <c r="PO47" s="273"/>
      <c r="PP47" s="273"/>
      <c r="PQ47" s="275"/>
      <c r="PR47" s="273"/>
      <c r="PS47" s="273"/>
      <c r="PT47" s="273"/>
      <c r="PU47" s="273"/>
      <c r="PV47" s="273"/>
      <c r="PW47" s="277"/>
      <c r="PX47" s="273"/>
      <c r="PY47" s="273"/>
      <c r="PZ47" s="273"/>
      <c r="QA47" s="273"/>
      <c r="QB47" s="274"/>
      <c r="QC47" s="273"/>
      <c r="QD47" s="273"/>
      <c r="QE47" s="273"/>
      <c r="QF47" s="273"/>
      <c r="QG47" s="273"/>
      <c r="QH47" s="273"/>
      <c r="QI47" s="275"/>
      <c r="QJ47" s="273"/>
      <c r="QK47" s="273"/>
      <c r="QL47" s="273"/>
      <c r="QM47" s="273"/>
      <c r="QN47" s="273"/>
      <c r="QO47" s="275"/>
      <c r="QP47" s="273"/>
      <c r="QQ47" s="273"/>
      <c r="QR47" s="273"/>
      <c r="QS47" s="273"/>
      <c r="QT47" s="273"/>
      <c r="QU47" s="275"/>
      <c r="QV47" s="273"/>
      <c r="QW47" s="273"/>
      <c r="QX47" s="273"/>
      <c r="QY47" s="273"/>
      <c r="QZ47" s="273"/>
      <c r="RA47" s="275"/>
      <c r="RB47" s="273"/>
      <c r="RC47" s="273"/>
      <c r="RD47" s="273"/>
      <c r="RE47" s="273"/>
      <c r="RF47" s="273"/>
      <c r="RG47" s="275"/>
      <c r="RH47" s="273"/>
      <c r="RI47" s="273"/>
      <c r="RJ47" s="273"/>
      <c r="RK47" s="273"/>
      <c r="RL47" s="274"/>
      <c r="RM47" s="273"/>
      <c r="RN47" s="273"/>
      <c r="RO47" s="273"/>
      <c r="RP47" s="273"/>
      <c r="RQ47" s="273"/>
      <c r="RR47" s="273"/>
      <c r="RS47" s="275"/>
      <c r="RT47" s="273"/>
      <c r="RU47" s="273"/>
      <c r="RV47" s="273"/>
      <c r="RW47" s="273"/>
      <c r="RX47" s="274"/>
      <c r="RY47" s="275"/>
      <c r="RZ47" s="273"/>
      <c r="SA47" s="273"/>
      <c r="SB47" s="273"/>
      <c r="SC47" s="273"/>
      <c r="SD47" s="274"/>
      <c r="SE47" s="273"/>
      <c r="SF47" s="273"/>
      <c r="SG47" s="273"/>
      <c r="SH47" s="273"/>
      <c r="SI47" s="273"/>
      <c r="SJ47" s="273"/>
      <c r="SK47" s="275"/>
      <c r="SL47" s="273"/>
      <c r="SM47" s="273"/>
      <c r="SN47" s="273"/>
      <c r="SO47" s="273"/>
      <c r="SP47" s="273"/>
      <c r="SQ47" s="277"/>
      <c r="SR47" s="273"/>
      <c r="SS47" s="273"/>
      <c r="ST47" s="273"/>
      <c r="SU47" s="273"/>
      <c r="SV47" s="273"/>
      <c r="SW47" s="275"/>
      <c r="SX47" s="273"/>
      <c r="SY47" s="273"/>
      <c r="SZ47" s="273"/>
      <c r="TA47" s="273"/>
      <c r="TB47" s="274"/>
      <c r="TC47" s="273"/>
      <c r="TD47" s="273"/>
      <c r="TE47" s="273"/>
      <c r="TF47" s="273"/>
      <c r="TG47" s="273"/>
      <c r="TH47" s="273"/>
      <c r="TI47" s="275"/>
      <c r="TJ47" s="273"/>
      <c r="TK47" s="273"/>
      <c r="TL47" s="273"/>
      <c r="TM47" s="273"/>
      <c r="TN47" s="274"/>
      <c r="TO47" s="273"/>
      <c r="TP47" s="273"/>
      <c r="TQ47" s="273"/>
      <c r="TR47" s="273"/>
      <c r="TS47" s="273"/>
      <c r="TT47" s="273"/>
      <c r="TU47" s="275"/>
      <c r="TV47" s="273"/>
      <c r="TW47" s="273"/>
      <c r="TX47" s="273"/>
      <c r="TY47" s="273"/>
      <c r="TZ47" s="273"/>
      <c r="UA47" s="275"/>
      <c r="UB47" s="273"/>
      <c r="UC47" s="273"/>
      <c r="UD47" s="273"/>
      <c r="UE47" s="273"/>
      <c r="UF47" s="274"/>
      <c r="UG47" s="273"/>
      <c r="UH47" s="273"/>
      <c r="UI47" s="273"/>
      <c r="UJ47" s="273"/>
      <c r="UK47" s="273"/>
      <c r="UL47" s="273"/>
      <c r="UM47" s="275"/>
      <c r="UN47" s="273"/>
      <c r="UO47" s="273"/>
      <c r="UP47" s="273"/>
      <c r="UQ47" s="273"/>
      <c r="UR47" s="274"/>
      <c r="US47" s="275"/>
      <c r="UT47" s="273"/>
      <c r="UU47" s="273"/>
      <c r="UV47" s="273"/>
      <c r="UW47" s="273"/>
      <c r="UX47" s="274"/>
      <c r="UY47" s="273"/>
      <c r="UZ47" s="273"/>
      <c r="VA47" s="273"/>
      <c r="VB47" s="273"/>
      <c r="VC47" s="273"/>
      <c r="VD47" s="273"/>
      <c r="VE47" s="275"/>
      <c r="VF47" s="273"/>
      <c r="VG47" s="273"/>
      <c r="VH47" s="273"/>
      <c r="VI47" s="273"/>
      <c r="VJ47" s="276"/>
    </row>
    <row r="48" spans="3:582" s="52" customFormat="1" ht="39" customHeight="1" thickBot="1" x14ac:dyDescent="0.3">
      <c r="C48" s="539"/>
      <c r="D48" s="542"/>
      <c r="E48" s="542"/>
      <c r="F48" s="544"/>
      <c r="G48" s="555"/>
      <c r="H48" s="556"/>
      <c r="I48" s="556"/>
      <c r="J48" s="556"/>
      <c r="K48" s="556"/>
      <c r="L48" s="557"/>
      <c r="M48" s="563"/>
      <c r="N48" s="556"/>
      <c r="O48" s="556"/>
      <c r="P48" s="556"/>
      <c r="Q48" s="556"/>
      <c r="R48" s="557"/>
      <c r="S48" s="563"/>
      <c r="T48" s="556"/>
      <c r="U48" s="556"/>
      <c r="V48" s="556"/>
      <c r="W48" s="556"/>
      <c r="X48" s="557"/>
      <c r="Y48" s="564"/>
      <c r="Z48" s="564"/>
      <c r="AA48" s="564"/>
      <c r="AB48" s="564"/>
      <c r="AC48" s="564"/>
      <c r="AD48" s="564"/>
      <c r="AE48" s="565"/>
      <c r="AF48" s="566"/>
      <c r="AG48" s="566"/>
      <c r="AH48" s="566"/>
      <c r="AI48" s="566"/>
      <c r="AJ48" s="567"/>
      <c r="AK48" s="556"/>
      <c r="AL48" s="556"/>
      <c r="AM48" s="556"/>
      <c r="AN48" s="556"/>
      <c r="AO48" s="556"/>
      <c r="AP48" s="556"/>
      <c r="AQ48" s="568"/>
      <c r="AR48" s="569"/>
      <c r="AS48" s="569"/>
      <c r="AT48" s="569"/>
      <c r="AU48" s="569"/>
      <c r="AV48" s="570"/>
      <c r="AW48" s="556"/>
      <c r="AX48" s="556"/>
      <c r="AY48" s="556"/>
      <c r="AZ48" s="556"/>
      <c r="BA48" s="556"/>
      <c r="BB48" s="556"/>
      <c r="BC48" s="563"/>
      <c r="BD48" s="556"/>
      <c r="BE48" s="556"/>
      <c r="BF48" s="556"/>
      <c r="BG48" s="556"/>
      <c r="BH48" s="557"/>
      <c r="BI48" s="563"/>
      <c r="BJ48" s="556"/>
      <c r="BK48" s="556"/>
      <c r="BL48" s="556"/>
      <c r="BM48" s="556"/>
      <c r="BN48" s="557"/>
      <c r="BO48" s="556"/>
      <c r="BP48" s="556"/>
      <c r="BQ48" s="556"/>
      <c r="BR48" s="556"/>
      <c r="BS48" s="556"/>
      <c r="BT48" s="556"/>
      <c r="BU48" s="565"/>
      <c r="BV48" s="566"/>
      <c r="BW48" s="566"/>
      <c r="BX48" s="566"/>
      <c r="BY48" s="566"/>
      <c r="BZ48" s="566"/>
      <c r="CA48" s="584"/>
      <c r="CB48" s="566"/>
      <c r="CC48" s="566"/>
      <c r="CD48" s="566"/>
      <c r="CE48" s="566"/>
      <c r="CF48" s="567"/>
      <c r="CG48" s="563"/>
      <c r="CH48" s="556"/>
      <c r="CI48" s="556"/>
      <c r="CJ48" s="556"/>
      <c r="CK48" s="556"/>
      <c r="CL48" s="557"/>
      <c r="CM48" s="590"/>
      <c r="CN48" s="591"/>
      <c r="CO48" s="591"/>
      <c r="CP48" s="591"/>
      <c r="CQ48" s="591"/>
      <c r="CR48" s="592"/>
      <c r="CS48" s="593"/>
      <c r="CT48" s="593"/>
      <c r="CU48" s="593"/>
      <c r="CV48" s="593"/>
      <c r="CW48" s="593"/>
      <c r="CX48" s="593"/>
      <c r="CY48" s="594"/>
      <c r="CZ48" s="595"/>
      <c r="DA48" s="595"/>
      <c r="DB48" s="595"/>
      <c r="DC48" s="595"/>
      <c r="DD48" s="595"/>
      <c r="DE48" s="590"/>
      <c r="DF48" s="591"/>
      <c r="DG48" s="591"/>
      <c r="DH48" s="591"/>
      <c r="DI48" s="591"/>
      <c r="DJ48" s="592"/>
      <c r="DK48" s="568"/>
      <c r="DL48" s="569"/>
      <c r="DM48" s="569"/>
      <c r="DN48" s="569"/>
      <c r="DO48" s="569"/>
      <c r="DP48" s="570"/>
      <c r="DQ48" s="556"/>
      <c r="DR48" s="556"/>
      <c r="DS48" s="556"/>
      <c r="DT48" s="556"/>
      <c r="DU48" s="556"/>
      <c r="DV48" s="556"/>
      <c r="DW48" s="563"/>
      <c r="DX48" s="556"/>
      <c r="DY48" s="556"/>
      <c r="DZ48" s="556"/>
      <c r="EA48" s="556"/>
      <c r="EB48" s="557"/>
      <c r="EC48" s="563"/>
      <c r="ED48" s="556"/>
      <c r="EE48" s="556"/>
      <c r="EF48" s="556"/>
      <c r="EG48" s="556"/>
      <c r="EH48" s="557"/>
      <c r="EI48" s="556"/>
      <c r="EJ48" s="556"/>
      <c r="EK48" s="556"/>
      <c r="EL48" s="556"/>
      <c r="EM48" s="556"/>
      <c r="EN48" s="556"/>
      <c r="EO48" s="563"/>
      <c r="EP48" s="556"/>
      <c r="EQ48" s="556"/>
      <c r="ER48" s="556"/>
      <c r="ES48" s="556"/>
      <c r="ET48" s="571"/>
      <c r="EU48" s="565"/>
      <c r="EV48" s="566"/>
      <c r="EW48" s="566"/>
      <c r="EX48" s="566"/>
      <c r="EY48" s="566"/>
      <c r="EZ48" s="566"/>
      <c r="FA48" s="563"/>
      <c r="FB48" s="556"/>
      <c r="FC48" s="556"/>
      <c r="FD48" s="556"/>
      <c r="FE48" s="556"/>
      <c r="FF48" s="557"/>
      <c r="FG48" s="563"/>
      <c r="FH48" s="556"/>
      <c r="FI48" s="556"/>
      <c r="FJ48" s="556"/>
      <c r="FK48" s="556"/>
      <c r="FL48" s="557"/>
      <c r="FM48" s="564"/>
      <c r="FN48" s="564"/>
      <c r="FO48" s="564"/>
      <c r="FP48" s="564"/>
      <c r="FQ48" s="564"/>
      <c r="FR48" s="564"/>
      <c r="FS48" s="565"/>
      <c r="FT48" s="566"/>
      <c r="FU48" s="566"/>
      <c r="FV48" s="566"/>
      <c r="FW48" s="566"/>
      <c r="FX48" s="567"/>
      <c r="FY48" s="556"/>
      <c r="FZ48" s="556"/>
      <c r="GA48" s="556"/>
      <c r="GB48" s="556"/>
      <c r="GC48" s="556"/>
      <c r="GD48" s="556"/>
      <c r="GE48" s="568"/>
      <c r="GF48" s="569"/>
      <c r="GG48" s="569"/>
      <c r="GH48" s="569"/>
      <c r="GI48" s="569"/>
      <c r="GJ48" s="570"/>
      <c r="GK48" s="556"/>
      <c r="GL48" s="556"/>
      <c r="GM48" s="556"/>
      <c r="GN48" s="556"/>
      <c r="GO48" s="556"/>
      <c r="GP48" s="556"/>
      <c r="GQ48" s="563"/>
      <c r="GR48" s="556"/>
      <c r="GS48" s="556"/>
      <c r="GT48" s="556"/>
      <c r="GU48" s="556"/>
      <c r="GV48" s="557"/>
      <c r="GW48" s="563"/>
      <c r="GX48" s="556"/>
      <c r="GY48" s="556"/>
      <c r="GZ48" s="556"/>
      <c r="HA48" s="556"/>
      <c r="HB48" s="557"/>
      <c r="HC48" s="556"/>
      <c r="HD48" s="556"/>
      <c r="HE48" s="556"/>
      <c r="HF48" s="556"/>
      <c r="HG48" s="556"/>
      <c r="HH48" s="556"/>
      <c r="HI48" s="563"/>
      <c r="HJ48" s="556"/>
      <c r="HK48" s="556"/>
      <c r="HL48" s="556"/>
      <c r="HM48" s="556"/>
      <c r="HN48" s="571"/>
      <c r="HO48" s="565"/>
      <c r="HP48" s="566"/>
      <c r="HQ48" s="566"/>
      <c r="HR48" s="566"/>
      <c r="HS48" s="566"/>
      <c r="HT48" s="566"/>
      <c r="HU48" s="563"/>
      <c r="HV48" s="556"/>
      <c r="HW48" s="556"/>
      <c r="HX48" s="556"/>
      <c r="HY48" s="556"/>
      <c r="HZ48" s="557"/>
      <c r="IA48" s="563"/>
      <c r="IB48" s="556"/>
      <c r="IC48" s="556"/>
      <c r="ID48" s="556"/>
      <c r="IE48" s="556"/>
      <c r="IF48" s="557"/>
      <c r="IG48" s="564"/>
      <c r="IH48" s="564"/>
      <c r="II48" s="564"/>
      <c r="IJ48" s="564"/>
      <c r="IK48" s="564"/>
      <c r="IL48" s="564"/>
      <c r="IM48" s="565"/>
      <c r="IN48" s="566"/>
      <c r="IO48" s="566"/>
      <c r="IP48" s="566"/>
      <c r="IQ48" s="566"/>
      <c r="IR48" s="567"/>
      <c r="IS48" s="556"/>
      <c r="IT48" s="556"/>
      <c r="IU48" s="556"/>
      <c r="IV48" s="556"/>
      <c r="IW48" s="556"/>
      <c r="IX48" s="556"/>
      <c r="IY48" s="568"/>
      <c r="IZ48" s="569"/>
      <c r="JA48" s="569"/>
      <c r="JB48" s="569"/>
      <c r="JC48" s="569"/>
      <c r="JD48" s="570"/>
      <c r="JE48" s="556"/>
      <c r="JF48" s="556"/>
      <c r="JG48" s="556"/>
      <c r="JH48" s="556"/>
      <c r="JI48" s="556"/>
      <c r="JJ48" s="556"/>
      <c r="JK48" s="563"/>
      <c r="JL48" s="556"/>
      <c r="JM48" s="556"/>
      <c r="JN48" s="556"/>
      <c r="JO48" s="556"/>
      <c r="JP48" s="557"/>
      <c r="JQ48" s="563"/>
      <c r="JR48" s="556"/>
      <c r="JS48" s="556"/>
      <c r="JT48" s="556"/>
      <c r="JU48" s="556"/>
      <c r="JV48" s="557"/>
      <c r="JW48" s="556"/>
      <c r="JX48" s="556"/>
      <c r="JY48" s="556"/>
      <c r="JZ48" s="556"/>
      <c r="KA48" s="556"/>
      <c r="KB48" s="556"/>
      <c r="KC48" s="563"/>
      <c r="KD48" s="556"/>
      <c r="KE48" s="556"/>
      <c r="KF48" s="556"/>
      <c r="KG48" s="556"/>
      <c r="KH48" s="571"/>
      <c r="KI48" s="565"/>
      <c r="KJ48" s="566"/>
      <c r="KK48" s="566"/>
      <c r="KL48" s="566"/>
      <c r="KM48" s="566"/>
      <c r="KN48" s="566"/>
      <c r="KO48" s="563"/>
      <c r="KP48" s="556"/>
      <c r="KQ48" s="556"/>
      <c r="KR48" s="556"/>
      <c r="KS48" s="556"/>
      <c r="KT48" s="557"/>
      <c r="KU48" s="563"/>
      <c r="KV48" s="556"/>
      <c r="KW48" s="556"/>
      <c r="KX48" s="556"/>
      <c r="KY48" s="556"/>
      <c r="KZ48" s="557"/>
      <c r="LA48" s="564"/>
      <c r="LB48" s="564"/>
      <c r="LC48" s="564"/>
      <c r="LD48" s="564"/>
      <c r="LE48" s="564"/>
      <c r="LF48" s="564"/>
      <c r="LG48" s="565"/>
      <c r="LH48" s="566"/>
      <c r="LI48" s="566"/>
      <c r="LJ48" s="566"/>
      <c r="LK48" s="566"/>
      <c r="LL48" s="567"/>
      <c r="LM48" s="556"/>
      <c r="LN48" s="556"/>
      <c r="LO48" s="556"/>
      <c r="LP48" s="556"/>
      <c r="LQ48" s="556"/>
      <c r="LR48" s="556"/>
      <c r="LS48" s="568"/>
      <c r="LT48" s="569"/>
      <c r="LU48" s="569"/>
      <c r="LV48" s="569"/>
      <c r="LW48" s="569"/>
      <c r="LX48" s="570"/>
      <c r="LY48" s="556"/>
      <c r="LZ48" s="556"/>
      <c r="MA48" s="556"/>
      <c r="MB48" s="556"/>
      <c r="MC48" s="556"/>
      <c r="MD48" s="556"/>
      <c r="ME48" s="563"/>
      <c r="MF48" s="556"/>
      <c r="MG48" s="556"/>
      <c r="MH48" s="556"/>
      <c r="MI48" s="556"/>
      <c r="MJ48" s="557"/>
      <c r="MK48" s="563"/>
      <c r="ML48" s="556"/>
      <c r="MM48" s="556"/>
      <c r="MN48" s="556"/>
      <c r="MO48" s="556"/>
      <c r="MP48" s="557"/>
      <c r="MQ48" s="556"/>
      <c r="MR48" s="556"/>
      <c r="MS48" s="556"/>
      <c r="MT48" s="556"/>
      <c r="MU48" s="556"/>
      <c r="MV48" s="556"/>
      <c r="MW48" s="563"/>
      <c r="MX48" s="556"/>
      <c r="MY48" s="556"/>
      <c r="MZ48" s="556"/>
      <c r="NA48" s="556"/>
      <c r="NB48" s="571"/>
      <c r="NC48" s="565"/>
      <c r="ND48" s="566"/>
      <c r="NE48" s="566"/>
      <c r="NF48" s="566"/>
      <c r="NG48" s="566"/>
      <c r="NH48" s="566"/>
      <c r="NI48" s="563"/>
      <c r="NJ48" s="556"/>
      <c r="NK48" s="556"/>
      <c r="NL48" s="556"/>
      <c r="NM48" s="556"/>
      <c r="NN48" s="557"/>
      <c r="NO48" s="563"/>
      <c r="NP48" s="556"/>
      <c r="NQ48" s="556"/>
      <c r="NR48" s="556"/>
      <c r="NS48" s="556"/>
      <c r="NT48" s="557"/>
      <c r="NU48" s="564"/>
      <c r="NV48" s="564"/>
      <c r="NW48" s="564"/>
      <c r="NX48" s="564"/>
      <c r="NY48" s="564"/>
      <c r="NZ48" s="564"/>
      <c r="OA48" s="565"/>
      <c r="OB48" s="566"/>
      <c r="OC48" s="566"/>
      <c r="OD48" s="566"/>
      <c r="OE48" s="566"/>
      <c r="OF48" s="567"/>
      <c r="OG48" s="565"/>
      <c r="OH48" s="566"/>
      <c r="OI48" s="566"/>
      <c r="OJ48" s="566"/>
      <c r="OK48" s="566"/>
      <c r="OL48" s="567"/>
      <c r="OM48" s="566"/>
      <c r="ON48" s="566"/>
      <c r="OO48" s="566"/>
      <c r="OP48" s="566"/>
      <c r="OQ48" s="566"/>
      <c r="OR48" s="567"/>
      <c r="OS48" s="556"/>
      <c r="OT48" s="556"/>
      <c r="OU48" s="556"/>
      <c r="OV48" s="556"/>
      <c r="OW48" s="556"/>
      <c r="OX48" s="556"/>
      <c r="OY48" s="563"/>
      <c r="OZ48" s="556"/>
      <c r="PA48" s="556"/>
      <c r="PB48" s="556"/>
      <c r="PC48" s="556"/>
      <c r="PD48" s="557"/>
      <c r="PE48" s="563"/>
      <c r="PF48" s="556"/>
      <c r="PG48" s="556"/>
      <c r="PH48" s="556"/>
      <c r="PI48" s="556"/>
      <c r="PJ48" s="557"/>
      <c r="PK48" s="556"/>
      <c r="PL48" s="556"/>
      <c r="PM48" s="556"/>
      <c r="PN48" s="556"/>
      <c r="PO48" s="556"/>
      <c r="PP48" s="556"/>
      <c r="PQ48" s="563"/>
      <c r="PR48" s="556"/>
      <c r="PS48" s="556"/>
      <c r="PT48" s="556"/>
      <c r="PU48" s="556"/>
      <c r="PV48" s="571"/>
      <c r="PW48" s="565"/>
      <c r="PX48" s="566"/>
      <c r="PY48" s="566"/>
      <c r="PZ48" s="566"/>
      <c r="QA48" s="566"/>
      <c r="QB48" s="566"/>
      <c r="QC48" s="563"/>
      <c r="QD48" s="556"/>
      <c r="QE48" s="556"/>
      <c r="QF48" s="556"/>
      <c r="QG48" s="556"/>
      <c r="QH48" s="557"/>
      <c r="QI48" s="563"/>
      <c r="QJ48" s="556"/>
      <c r="QK48" s="556"/>
      <c r="QL48" s="556"/>
      <c r="QM48" s="556"/>
      <c r="QN48" s="557"/>
      <c r="QO48" s="564"/>
      <c r="QP48" s="564"/>
      <c r="QQ48" s="564"/>
      <c r="QR48" s="564"/>
      <c r="QS48" s="564"/>
      <c r="QT48" s="564"/>
      <c r="QU48" s="565"/>
      <c r="QV48" s="566"/>
      <c r="QW48" s="566"/>
      <c r="QX48" s="566"/>
      <c r="QY48" s="566"/>
      <c r="QZ48" s="567"/>
      <c r="RA48" s="565"/>
      <c r="RB48" s="566"/>
      <c r="RC48" s="566"/>
      <c r="RD48" s="566"/>
      <c r="RE48" s="566"/>
      <c r="RF48" s="567"/>
      <c r="RG48" s="565"/>
      <c r="RH48" s="566"/>
      <c r="RI48" s="566"/>
      <c r="RJ48" s="566"/>
      <c r="RK48" s="566"/>
      <c r="RL48" s="567"/>
      <c r="RM48" s="556"/>
      <c r="RN48" s="556"/>
      <c r="RO48" s="556"/>
      <c r="RP48" s="556"/>
      <c r="RQ48" s="556"/>
      <c r="RR48" s="556"/>
      <c r="RS48" s="563"/>
      <c r="RT48" s="556"/>
      <c r="RU48" s="556"/>
      <c r="RV48" s="556"/>
      <c r="RW48" s="556"/>
      <c r="RX48" s="557"/>
      <c r="RY48" s="563"/>
      <c r="RZ48" s="556"/>
      <c r="SA48" s="556"/>
      <c r="SB48" s="556"/>
      <c r="SC48" s="556"/>
      <c r="SD48" s="557"/>
      <c r="SE48" s="556"/>
      <c r="SF48" s="556"/>
      <c r="SG48" s="556"/>
      <c r="SH48" s="556"/>
      <c r="SI48" s="556"/>
      <c r="SJ48" s="556"/>
      <c r="SK48" s="563"/>
      <c r="SL48" s="556"/>
      <c r="SM48" s="556"/>
      <c r="SN48" s="556"/>
      <c r="SO48" s="556"/>
      <c r="SP48" s="571"/>
      <c r="SQ48" s="565"/>
      <c r="SR48" s="566"/>
      <c r="SS48" s="566"/>
      <c r="ST48" s="566"/>
      <c r="SU48" s="566"/>
      <c r="SV48" s="566"/>
      <c r="SW48" s="563"/>
      <c r="SX48" s="556"/>
      <c r="SY48" s="556"/>
      <c r="SZ48" s="556"/>
      <c r="TA48" s="556"/>
      <c r="TB48" s="557"/>
      <c r="TC48" s="563"/>
      <c r="TD48" s="556"/>
      <c r="TE48" s="556"/>
      <c r="TF48" s="556"/>
      <c r="TG48" s="556"/>
      <c r="TH48" s="557"/>
      <c r="TI48" s="565"/>
      <c r="TJ48" s="566"/>
      <c r="TK48" s="566"/>
      <c r="TL48" s="566"/>
      <c r="TM48" s="566"/>
      <c r="TN48" s="566"/>
      <c r="TO48" s="565"/>
      <c r="TP48" s="566"/>
      <c r="TQ48" s="566"/>
      <c r="TR48" s="566"/>
      <c r="TS48" s="566"/>
      <c r="TT48" s="567"/>
      <c r="TU48" s="565"/>
      <c r="TV48" s="566"/>
      <c r="TW48" s="566"/>
      <c r="TX48" s="566"/>
      <c r="TY48" s="566"/>
      <c r="TZ48" s="566"/>
      <c r="UA48" s="568"/>
      <c r="UB48" s="569"/>
      <c r="UC48" s="569"/>
      <c r="UD48" s="569"/>
      <c r="UE48" s="569"/>
      <c r="UF48" s="570"/>
      <c r="UG48" s="563"/>
      <c r="UH48" s="556"/>
      <c r="UI48" s="556"/>
      <c r="UJ48" s="556"/>
      <c r="UK48" s="556"/>
      <c r="UL48" s="557"/>
      <c r="UM48" s="563"/>
      <c r="UN48" s="556"/>
      <c r="UO48" s="556"/>
      <c r="UP48" s="556"/>
      <c r="UQ48" s="556"/>
      <c r="UR48" s="557"/>
      <c r="US48" s="563"/>
      <c r="UT48" s="556"/>
      <c r="UU48" s="556"/>
      <c r="UV48" s="556"/>
      <c r="UW48" s="556"/>
      <c r="UX48" s="557"/>
      <c r="UY48" s="556"/>
      <c r="UZ48" s="556"/>
      <c r="VA48" s="556"/>
      <c r="VB48" s="556"/>
      <c r="VC48" s="556"/>
      <c r="VD48" s="556"/>
      <c r="VE48" s="563"/>
      <c r="VF48" s="556"/>
      <c r="VG48" s="556"/>
      <c r="VH48" s="556"/>
      <c r="VI48" s="556"/>
      <c r="VJ48" s="571"/>
    </row>
    <row r="49" spans="3:582" s="47" customFormat="1" ht="27.75" customHeight="1" x14ac:dyDescent="0.25">
      <c r="C49" s="63"/>
      <c r="D49" s="63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  <c r="HU49" s="64"/>
      <c r="HV49" s="64"/>
      <c r="HW49" s="64"/>
      <c r="HX49" s="64"/>
      <c r="HY49" s="64"/>
      <c r="HZ49" s="64"/>
      <c r="IA49" s="64"/>
      <c r="IB49" s="64"/>
      <c r="IC49" s="64"/>
      <c r="ID49" s="64"/>
      <c r="IE49" s="64"/>
      <c r="IF49" s="64"/>
      <c r="IG49" s="64"/>
      <c r="IH49" s="64"/>
      <c r="II49" s="64"/>
      <c r="IJ49" s="64"/>
      <c r="IK49" s="64"/>
      <c r="IL49" s="64"/>
      <c r="IM49" s="64"/>
      <c r="IN49" s="64"/>
      <c r="IO49" s="64"/>
      <c r="IP49" s="64"/>
      <c r="IQ49" s="64"/>
      <c r="IR49" s="64"/>
      <c r="IS49" s="64"/>
      <c r="IT49" s="64"/>
      <c r="IU49" s="64"/>
      <c r="IV49" s="64"/>
      <c r="IW49" s="64"/>
      <c r="IX49" s="64"/>
      <c r="IY49" s="64"/>
      <c r="IZ49" s="64"/>
      <c r="JA49" s="64"/>
      <c r="JB49" s="64"/>
      <c r="JC49" s="64"/>
      <c r="JD49" s="64"/>
      <c r="JE49" s="64"/>
      <c r="JF49" s="64"/>
      <c r="JG49" s="64"/>
      <c r="JH49" s="64"/>
      <c r="JI49" s="64"/>
      <c r="JJ49" s="64"/>
      <c r="JK49" s="64"/>
      <c r="JL49" s="64"/>
      <c r="JM49" s="64"/>
      <c r="JN49" s="64"/>
      <c r="JO49" s="64"/>
      <c r="JP49" s="64"/>
      <c r="JQ49" s="64"/>
      <c r="JR49" s="64"/>
      <c r="JS49" s="64"/>
      <c r="JT49" s="64"/>
      <c r="JU49" s="64"/>
      <c r="JV49" s="64"/>
      <c r="JW49" s="64"/>
      <c r="JX49" s="64"/>
      <c r="JY49" s="64"/>
      <c r="JZ49" s="64"/>
      <c r="KA49" s="64"/>
      <c r="KB49" s="64"/>
      <c r="KC49" s="64"/>
      <c r="KD49" s="64"/>
      <c r="KE49" s="64"/>
      <c r="KF49" s="64"/>
      <c r="KG49" s="64"/>
      <c r="KH49" s="64"/>
      <c r="KI49" s="64"/>
      <c r="KJ49" s="64"/>
      <c r="KK49" s="64"/>
      <c r="KL49" s="64"/>
      <c r="KM49" s="64"/>
      <c r="KN49" s="64"/>
      <c r="KO49" s="64"/>
      <c r="KP49" s="64"/>
      <c r="KQ49" s="64"/>
      <c r="KR49" s="64"/>
      <c r="KS49" s="64"/>
      <c r="KT49" s="64"/>
      <c r="KU49" s="64"/>
      <c r="KV49" s="64"/>
      <c r="KW49" s="64"/>
      <c r="KX49" s="64"/>
      <c r="KY49" s="64"/>
      <c r="KZ49" s="64"/>
      <c r="LA49" s="64"/>
      <c r="LB49" s="64"/>
      <c r="LC49" s="64"/>
      <c r="LD49" s="64"/>
      <c r="LE49" s="64"/>
      <c r="LF49" s="64"/>
      <c r="LG49" s="64"/>
      <c r="LH49" s="64"/>
      <c r="LI49" s="64"/>
      <c r="LJ49" s="64"/>
      <c r="LK49" s="64"/>
      <c r="LL49" s="64"/>
      <c r="LM49" s="64"/>
      <c r="LN49" s="64"/>
      <c r="LO49" s="64"/>
      <c r="LP49" s="64"/>
      <c r="LQ49" s="64"/>
      <c r="LR49" s="64"/>
      <c r="LS49" s="64"/>
      <c r="LT49" s="64"/>
      <c r="LU49" s="64"/>
      <c r="LV49" s="64"/>
      <c r="LW49" s="64"/>
      <c r="LX49" s="64"/>
      <c r="LY49" s="64"/>
      <c r="LZ49" s="64"/>
      <c r="MA49" s="64"/>
      <c r="MB49" s="64"/>
      <c r="MC49" s="64"/>
      <c r="MD49" s="64"/>
      <c r="ME49" s="64"/>
      <c r="MF49" s="64"/>
      <c r="MG49" s="64"/>
      <c r="MH49" s="64"/>
      <c r="MI49" s="64"/>
      <c r="MJ49" s="64"/>
      <c r="MK49" s="64"/>
      <c r="ML49" s="64"/>
      <c r="MM49" s="64"/>
      <c r="MN49" s="64"/>
      <c r="MO49" s="64"/>
      <c r="MP49" s="64"/>
      <c r="MQ49" s="64"/>
      <c r="MR49" s="64"/>
      <c r="MS49" s="64"/>
      <c r="MT49" s="64"/>
      <c r="MU49" s="64"/>
      <c r="MV49" s="64"/>
      <c r="MW49" s="64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64"/>
      <c r="NK49" s="64"/>
      <c r="NL49" s="64"/>
      <c r="NM49" s="64"/>
      <c r="NN49" s="64"/>
      <c r="NO49" s="64"/>
      <c r="NP49" s="64"/>
      <c r="NQ49" s="64"/>
      <c r="NR49" s="64"/>
      <c r="NS49" s="64"/>
      <c r="NT49" s="64"/>
      <c r="NU49" s="64"/>
      <c r="NV49" s="64"/>
      <c r="NW49" s="64"/>
      <c r="NX49" s="64"/>
      <c r="NY49" s="64"/>
      <c r="NZ49" s="64"/>
      <c r="OA49" s="64"/>
      <c r="OB49" s="64"/>
      <c r="OC49" s="64"/>
      <c r="OD49" s="64"/>
      <c r="OE49" s="64"/>
      <c r="OF49" s="64"/>
      <c r="OG49" s="64"/>
      <c r="OH49" s="64"/>
      <c r="OI49" s="64"/>
      <c r="OJ49" s="64"/>
      <c r="OK49" s="64"/>
      <c r="OL49" s="64"/>
      <c r="OM49" s="64"/>
      <c r="ON49" s="64"/>
      <c r="OO49" s="64"/>
      <c r="OP49" s="64"/>
      <c r="OQ49" s="64"/>
      <c r="OR49" s="64"/>
      <c r="OS49" s="64"/>
      <c r="OT49" s="64"/>
      <c r="OU49" s="64"/>
      <c r="OV49" s="64"/>
      <c r="OW49" s="64"/>
      <c r="OX49" s="64"/>
      <c r="OY49" s="64"/>
      <c r="OZ49" s="64"/>
      <c r="PA49" s="64"/>
      <c r="PB49" s="64"/>
      <c r="PC49" s="64"/>
      <c r="PD49" s="64"/>
      <c r="PE49" s="64"/>
      <c r="PF49" s="64"/>
      <c r="PG49" s="64"/>
      <c r="PH49" s="64"/>
      <c r="PI49" s="64"/>
      <c r="PJ49" s="64"/>
      <c r="PK49" s="64"/>
      <c r="PL49" s="64"/>
      <c r="PM49" s="64"/>
      <c r="PN49" s="64"/>
      <c r="PO49" s="64"/>
      <c r="PP49" s="64"/>
      <c r="PQ49" s="64"/>
      <c r="PR49" s="64"/>
      <c r="PS49" s="64"/>
      <c r="PT49" s="64"/>
      <c r="PU49" s="64"/>
      <c r="PV49" s="64"/>
      <c r="PW49" s="64"/>
      <c r="PX49" s="64"/>
      <c r="PY49" s="64"/>
      <c r="PZ49" s="64"/>
      <c r="QA49" s="64"/>
      <c r="QB49" s="64"/>
      <c r="QC49" s="64"/>
      <c r="QD49" s="64"/>
      <c r="QE49" s="64"/>
      <c r="QF49" s="64"/>
      <c r="QG49" s="64"/>
      <c r="QH49" s="64"/>
      <c r="QI49" s="64"/>
      <c r="QJ49" s="64"/>
      <c r="QK49" s="64"/>
      <c r="QL49" s="64"/>
      <c r="QM49" s="64"/>
      <c r="QN49" s="64"/>
      <c r="QO49" s="64"/>
      <c r="QP49" s="64"/>
      <c r="QQ49" s="64"/>
      <c r="QR49" s="64"/>
      <c r="QS49" s="64"/>
      <c r="QT49" s="64"/>
      <c r="QU49" s="64"/>
      <c r="QV49" s="64"/>
      <c r="QW49" s="64"/>
      <c r="QX49" s="64"/>
      <c r="QY49" s="64"/>
      <c r="QZ49" s="64"/>
      <c r="RA49" s="64"/>
      <c r="RB49" s="64"/>
      <c r="RC49" s="64"/>
      <c r="RD49" s="64"/>
      <c r="RE49" s="64"/>
      <c r="RF49" s="64"/>
      <c r="RG49" s="64"/>
      <c r="RH49" s="64"/>
      <c r="RI49" s="64"/>
      <c r="RJ49" s="64"/>
      <c r="RK49" s="64"/>
      <c r="RL49" s="64"/>
      <c r="RM49" s="64"/>
      <c r="RN49" s="64"/>
      <c r="RO49" s="64"/>
      <c r="RP49" s="64"/>
      <c r="RQ49" s="64"/>
      <c r="RR49" s="64"/>
      <c r="RS49" s="64"/>
      <c r="RT49" s="64"/>
      <c r="RU49" s="64"/>
      <c r="RV49" s="64"/>
      <c r="RW49" s="64"/>
      <c r="RX49" s="64"/>
      <c r="RY49" s="64"/>
      <c r="RZ49" s="64"/>
      <c r="SA49" s="64"/>
      <c r="SB49" s="64"/>
      <c r="SC49" s="64"/>
      <c r="SD49" s="64"/>
      <c r="SE49" s="64"/>
      <c r="SF49" s="64"/>
      <c r="SG49" s="64"/>
      <c r="SH49" s="64"/>
      <c r="SI49" s="64"/>
      <c r="SJ49" s="64"/>
      <c r="SK49" s="64"/>
      <c r="SL49" s="64"/>
      <c r="SM49" s="64"/>
      <c r="SN49" s="64"/>
      <c r="SO49" s="64"/>
      <c r="SP49" s="64"/>
      <c r="SQ49" s="64"/>
      <c r="SR49" s="64"/>
      <c r="SS49" s="64"/>
      <c r="ST49" s="64"/>
      <c r="SU49" s="64"/>
      <c r="SV49" s="64"/>
      <c r="SW49" s="64"/>
      <c r="SX49" s="64"/>
      <c r="SY49" s="64"/>
      <c r="SZ49" s="64"/>
      <c r="TA49" s="64"/>
      <c r="TB49" s="64"/>
      <c r="TC49" s="64"/>
      <c r="TD49" s="64"/>
      <c r="TE49" s="64"/>
      <c r="TF49" s="64"/>
      <c r="TG49" s="64"/>
      <c r="TH49" s="64"/>
      <c r="TI49" s="64"/>
      <c r="TJ49" s="64"/>
      <c r="TK49" s="64"/>
      <c r="TL49" s="64"/>
      <c r="TM49" s="64"/>
      <c r="TN49" s="64"/>
      <c r="TO49" s="64"/>
      <c r="TP49" s="64"/>
      <c r="TQ49" s="64"/>
      <c r="TR49" s="64"/>
      <c r="TS49" s="64"/>
      <c r="TT49" s="64"/>
      <c r="TU49" s="64"/>
      <c r="TV49" s="64"/>
      <c r="TW49" s="64"/>
      <c r="TX49" s="64"/>
      <c r="TY49" s="64"/>
      <c r="TZ49" s="64"/>
      <c r="UA49" s="64"/>
      <c r="UB49" s="64"/>
      <c r="UC49" s="64"/>
      <c r="UD49" s="64"/>
      <c r="UE49" s="64"/>
      <c r="UF49" s="64"/>
      <c r="UG49" s="64"/>
      <c r="UH49" s="64"/>
      <c r="UI49" s="64"/>
      <c r="UJ49" s="64"/>
      <c r="UK49" s="64"/>
      <c r="UL49" s="64"/>
      <c r="UM49" s="64"/>
      <c r="UN49" s="64"/>
      <c r="UO49" s="64"/>
      <c r="UP49" s="64"/>
      <c r="UQ49" s="64"/>
      <c r="UR49" s="64"/>
      <c r="US49" s="64"/>
      <c r="UT49" s="64"/>
      <c r="UU49" s="64"/>
      <c r="UV49" s="64"/>
      <c r="UW49" s="64"/>
      <c r="UX49" s="64"/>
      <c r="UY49" s="64"/>
      <c r="UZ49" s="64"/>
      <c r="VA49" s="64"/>
      <c r="VB49" s="64"/>
      <c r="VC49" s="64"/>
      <c r="VD49" s="64"/>
      <c r="VE49" s="64"/>
      <c r="VF49" s="64"/>
      <c r="VG49" s="64"/>
      <c r="VH49" s="64"/>
      <c r="VI49" s="64"/>
      <c r="VJ49" s="64"/>
    </row>
    <row r="50" spans="3:582" s="47" customFormat="1" ht="14.25" customHeight="1" x14ac:dyDescent="0.25">
      <c r="C50" s="64"/>
      <c r="D50" s="64"/>
      <c r="E50" s="64"/>
      <c r="F50" s="68" t="s">
        <v>89</v>
      </c>
      <c r="G50" s="600" t="s">
        <v>90</v>
      </c>
      <c r="H50" s="600"/>
      <c r="I50" s="600"/>
      <c r="J50" s="600"/>
      <c r="K50" s="600"/>
      <c r="L50" s="600"/>
      <c r="M50" s="600"/>
      <c r="N50" s="600"/>
      <c r="O50" s="600"/>
      <c r="P50" s="600"/>
      <c r="Q50" s="600"/>
      <c r="R50" s="600"/>
      <c r="S50" s="600"/>
      <c r="T50" s="600"/>
      <c r="U50" s="600"/>
      <c r="V50" s="600"/>
      <c r="W50" s="600"/>
      <c r="X50" s="600"/>
      <c r="Y50" s="600"/>
      <c r="Z50" s="600"/>
      <c r="AA50" s="600"/>
      <c r="AB50" s="600"/>
      <c r="AC50" s="600"/>
      <c r="AD50" s="600"/>
      <c r="AE50" s="600"/>
      <c r="AF50" s="600"/>
      <c r="AG50" s="600"/>
      <c r="AH50" s="600"/>
      <c r="AI50" s="600"/>
      <c r="AJ50" s="600"/>
      <c r="AK50" s="600"/>
      <c r="AL50" s="600"/>
      <c r="AM50" s="600"/>
      <c r="AN50" s="600"/>
      <c r="AO50" s="600"/>
      <c r="AP50" s="600"/>
      <c r="AQ50" s="600"/>
      <c r="AR50" s="600"/>
      <c r="AS50" s="600"/>
      <c r="AT50" s="600"/>
      <c r="AU50" s="600"/>
      <c r="AV50" s="600"/>
      <c r="AW50" s="600"/>
      <c r="AX50" s="600"/>
      <c r="AY50" s="600"/>
      <c r="AZ50" s="600"/>
      <c r="BA50" s="600"/>
      <c r="BB50" s="600"/>
      <c r="BC50" s="600"/>
      <c r="BD50" s="600"/>
      <c r="BE50" s="600"/>
      <c r="BF50" s="600"/>
      <c r="BG50" s="600"/>
      <c r="BH50" s="600"/>
      <c r="BI50" s="600"/>
      <c r="BJ50" s="600"/>
      <c r="BK50" s="600"/>
      <c r="BL50" s="600"/>
      <c r="BM50" s="600"/>
      <c r="BN50" s="600"/>
      <c r="BO50" s="600"/>
      <c r="BP50" s="600"/>
      <c r="BQ50" s="600"/>
      <c r="BR50" s="600"/>
      <c r="BS50" s="600"/>
      <c r="BT50" s="600"/>
      <c r="BU50" s="600"/>
      <c r="BV50" s="600"/>
      <c r="BW50" s="600"/>
      <c r="BX50" s="600"/>
      <c r="BY50" s="600"/>
      <c r="BZ50" s="600"/>
      <c r="CA50" s="600"/>
      <c r="CB50" s="600"/>
      <c r="CC50" s="600"/>
      <c r="CD50" s="600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/>
      <c r="IF50" s="64"/>
      <c r="IG50" s="64"/>
      <c r="IH50" s="64"/>
      <c r="II50" s="64"/>
      <c r="IJ50" s="64"/>
      <c r="IK50" s="64"/>
      <c r="IL50" s="64"/>
      <c r="IM50" s="64"/>
      <c r="IN50" s="64"/>
      <c r="IO50" s="64"/>
      <c r="IP50" s="64"/>
      <c r="IQ50" s="64"/>
      <c r="IR50" s="64"/>
      <c r="IS50" s="64"/>
      <c r="IT50" s="64"/>
      <c r="IU50" s="64"/>
      <c r="IV50" s="64"/>
      <c r="IW50" s="64"/>
      <c r="IX50" s="64"/>
      <c r="IY50" s="64"/>
      <c r="IZ50" s="64"/>
      <c r="JA50" s="64"/>
      <c r="JB50" s="64"/>
      <c r="JC50" s="64"/>
      <c r="JD50" s="64"/>
      <c r="JE50" s="64"/>
      <c r="JF50" s="64"/>
      <c r="JG50" s="64"/>
      <c r="JH50" s="64"/>
      <c r="JI50" s="64"/>
      <c r="JJ50" s="64"/>
      <c r="JK50" s="64"/>
      <c r="JL50" s="64"/>
      <c r="JM50" s="64"/>
      <c r="JN50" s="64"/>
      <c r="JO50" s="64"/>
      <c r="JP50" s="64"/>
      <c r="JQ50" s="64"/>
      <c r="JR50" s="64"/>
      <c r="JS50" s="64"/>
      <c r="JT50" s="64"/>
      <c r="JU50" s="64"/>
      <c r="JV50" s="64"/>
      <c r="JW50" s="64"/>
      <c r="JX50" s="64"/>
      <c r="JY50" s="64"/>
      <c r="JZ50" s="64"/>
      <c r="KA50" s="64"/>
      <c r="KB50" s="64"/>
      <c r="KC50" s="64"/>
      <c r="KD50" s="64"/>
      <c r="KE50" s="64"/>
      <c r="KF50" s="64"/>
      <c r="KG50" s="64"/>
      <c r="KH50" s="64"/>
      <c r="KI50" s="64"/>
      <c r="KJ50" s="64"/>
      <c r="KK50" s="64"/>
      <c r="KL50" s="64"/>
      <c r="KM50" s="64"/>
      <c r="KN50" s="64"/>
      <c r="KO50" s="64"/>
      <c r="KP50" s="64"/>
      <c r="KQ50" s="64"/>
      <c r="KR50" s="64"/>
      <c r="KS50" s="64"/>
      <c r="KT50" s="64"/>
      <c r="KU50" s="64"/>
      <c r="KV50" s="64"/>
      <c r="KW50" s="64"/>
      <c r="KX50" s="64"/>
      <c r="KY50" s="64"/>
      <c r="KZ50" s="64"/>
      <c r="LA50" s="64"/>
      <c r="LB50" s="64"/>
      <c r="LC50" s="64"/>
      <c r="LD50" s="64"/>
      <c r="LE50" s="64"/>
      <c r="LF50" s="64"/>
      <c r="LG50" s="64"/>
      <c r="LH50" s="64"/>
      <c r="LI50" s="64"/>
      <c r="LJ50" s="64"/>
      <c r="LK50" s="64"/>
      <c r="LL50" s="64"/>
      <c r="LM50" s="64"/>
      <c r="LN50" s="64"/>
      <c r="LO50" s="64"/>
      <c r="LP50" s="64"/>
      <c r="LQ50" s="64"/>
      <c r="LR50" s="64"/>
      <c r="LS50" s="64"/>
      <c r="LT50" s="64"/>
      <c r="LU50" s="64"/>
      <c r="LV50" s="64"/>
      <c r="LW50" s="64"/>
      <c r="LX50" s="64"/>
      <c r="LY50" s="64"/>
      <c r="LZ50" s="64"/>
      <c r="MA50" s="64"/>
      <c r="MB50" s="64"/>
      <c r="MC50" s="64"/>
      <c r="MD50" s="64"/>
      <c r="ME50" s="64"/>
      <c r="MF50" s="64"/>
      <c r="MG50" s="64"/>
      <c r="MH50" s="64"/>
      <c r="MI50" s="64"/>
      <c r="MJ50" s="64"/>
      <c r="MK50" s="64"/>
      <c r="ML50" s="64"/>
      <c r="MM50" s="64"/>
      <c r="MN50" s="64"/>
      <c r="MO50" s="64"/>
      <c r="MP50" s="64"/>
      <c r="MQ50" s="64"/>
      <c r="MR50" s="64"/>
      <c r="MS50" s="64"/>
      <c r="MT50" s="64"/>
      <c r="MU50" s="64"/>
      <c r="MV50" s="64"/>
      <c r="MW50" s="64"/>
      <c r="MX50" s="64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64"/>
      <c r="NK50" s="64"/>
      <c r="NL50" s="64"/>
      <c r="NM50" s="64"/>
      <c r="NN50" s="64"/>
      <c r="NO50" s="64"/>
      <c r="NP50" s="64"/>
      <c r="NQ50" s="64"/>
      <c r="NR50" s="64"/>
      <c r="NS50" s="64"/>
      <c r="NT50" s="64"/>
      <c r="NU50" s="64"/>
      <c r="NV50" s="64"/>
      <c r="NW50" s="64"/>
      <c r="NX50" s="64"/>
      <c r="NY50" s="64"/>
      <c r="NZ50" s="64"/>
      <c r="OA50" s="64"/>
      <c r="OB50" s="64"/>
      <c r="OC50" s="64"/>
      <c r="OD50" s="64"/>
      <c r="OE50" s="64"/>
      <c r="OF50" s="64"/>
      <c r="OG50" s="64"/>
      <c r="OH50" s="64"/>
      <c r="OI50" s="64"/>
      <c r="OJ50" s="64"/>
      <c r="OK50" s="64"/>
      <c r="OL50" s="64"/>
      <c r="OM50" s="64"/>
      <c r="ON50" s="64"/>
      <c r="OO50" s="64"/>
      <c r="OP50" s="64"/>
      <c r="OQ50" s="64"/>
      <c r="OR50" s="64"/>
      <c r="OS50" s="64"/>
      <c r="OT50" s="64"/>
      <c r="OU50" s="64"/>
      <c r="OV50" s="64"/>
      <c r="OW50" s="64"/>
      <c r="OX50" s="64"/>
      <c r="OY50" s="64"/>
      <c r="OZ50" s="64"/>
      <c r="PA50" s="64"/>
      <c r="PB50" s="64"/>
      <c r="PC50" s="64"/>
      <c r="PD50" s="64"/>
      <c r="PE50" s="64"/>
      <c r="PF50" s="64"/>
      <c r="PG50" s="64"/>
      <c r="PH50" s="64"/>
      <c r="PI50" s="64"/>
      <c r="PJ50" s="64"/>
      <c r="PK50" s="64"/>
      <c r="PL50" s="64"/>
      <c r="PM50" s="64"/>
      <c r="PN50" s="64"/>
      <c r="PO50" s="64"/>
      <c r="PP50" s="64"/>
      <c r="PQ50" s="64"/>
      <c r="PR50" s="64"/>
      <c r="PS50" s="64"/>
      <c r="PT50" s="64"/>
      <c r="PU50" s="64"/>
      <c r="PV50" s="64"/>
      <c r="PW50" s="64"/>
      <c r="PX50" s="64"/>
      <c r="PY50" s="64"/>
      <c r="PZ50" s="64"/>
      <c r="QA50" s="64"/>
      <c r="QB50" s="64"/>
      <c r="QC50" s="64"/>
      <c r="QD50" s="64"/>
      <c r="QE50" s="64"/>
      <c r="QF50" s="64"/>
      <c r="QG50" s="64"/>
      <c r="QH50" s="64"/>
      <c r="QI50" s="64"/>
      <c r="QJ50" s="64"/>
      <c r="QK50" s="64"/>
      <c r="QL50" s="64"/>
      <c r="QM50" s="64"/>
      <c r="QN50" s="64"/>
      <c r="QO50" s="64"/>
      <c r="QP50" s="64"/>
      <c r="QQ50" s="64"/>
      <c r="QR50" s="64"/>
      <c r="QS50" s="64"/>
      <c r="QT50" s="64"/>
      <c r="QU50" s="64"/>
      <c r="QV50" s="64"/>
      <c r="QW50" s="64"/>
      <c r="QX50" s="64"/>
      <c r="QY50" s="64"/>
      <c r="QZ50" s="64"/>
      <c r="RA50" s="64"/>
      <c r="RB50" s="64"/>
      <c r="RC50" s="64"/>
      <c r="RD50" s="64"/>
      <c r="RE50" s="64"/>
      <c r="RF50" s="64"/>
      <c r="RG50" s="64"/>
      <c r="RH50" s="64"/>
      <c r="RI50" s="64"/>
      <c r="RJ50" s="64"/>
      <c r="RK50" s="64"/>
      <c r="RL50" s="64"/>
      <c r="RM50" s="64"/>
      <c r="RN50" s="64"/>
      <c r="RO50" s="64"/>
      <c r="RP50" s="64"/>
      <c r="RQ50" s="64"/>
      <c r="RR50" s="64"/>
      <c r="RS50" s="64"/>
      <c r="RT50" s="64"/>
      <c r="RU50" s="64"/>
      <c r="RV50" s="64"/>
      <c r="RW50" s="64"/>
      <c r="RX50" s="64"/>
      <c r="RY50" s="64"/>
      <c r="RZ50" s="64"/>
      <c r="SA50" s="64"/>
      <c r="SB50" s="64"/>
      <c r="SC50" s="64"/>
      <c r="SD50" s="64"/>
      <c r="SE50" s="64"/>
      <c r="SF50" s="64"/>
      <c r="SG50" s="64"/>
      <c r="SH50" s="64"/>
      <c r="SI50" s="64"/>
      <c r="SJ50" s="64"/>
      <c r="SK50" s="64"/>
      <c r="SL50" s="64"/>
      <c r="SM50" s="64"/>
      <c r="SN50" s="64"/>
      <c r="SO50" s="64"/>
      <c r="SP50" s="64"/>
      <c r="SQ50" s="64"/>
      <c r="SR50" s="64"/>
      <c r="SS50" s="64"/>
      <c r="ST50" s="64"/>
      <c r="SU50" s="64"/>
      <c r="SV50" s="64"/>
      <c r="SW50" s="64"/>
      <c r="SX50" s="64"/>
      <c r="SY50" s="64"/>
      <c r="SZ50" s="64"/>
      <c r="TA50" s="64"/>
      <c r="TB50" s="64"/>
      <c r="TC50" s="64"/>
      <c r="TD50" s="64"/>
      <c r="TE50" s="64"/>
      <c r="TF50" s="64"/>
      <c r="TG50" s="64"/>
      <c r="TH50" s="64"/>
      <c r="TI50" s="64"/>
      <c r="TJ50" s="64"/>
      <c r="TK50" s="64"/>
      <c r="TL50" s="64"/>
      <c r="TM50" s="64"/>
      <c r="TN50" s="64"/>
      <c r="TO50" s="64"/>
      <c r="TP50" s="64"/>
      <c r="TQ50" s="64"/>
      <c r="TR50" s="64"/>
      <c r="TS50" s="64"/>
      <c r="TT50" s="64"/>
      <c r="TU50" s="64"/>
      <c r="TV50" s="64"/>
      <c r="TW50" s="64"/>
      <c r="TX50" s="64"/>
      <c r="TY50" s="64"/>
      <c r="TZ50" s="64"/>
      <c r="UA50" s="64"/>
      <c r="UB50" s="64"/>
      <c r="UC50" s="64"/>
      <c r="UD50" s="64"/>
      <c r="UE50" s="64"/>
      <c r="UF50" s="64"/>
      <c r="UG50" s="64"/>
      <c r="UH50" s="64"/>
      <c r="UI50" s="64"/>
      <c r="UJ50" s="64"/>
      <c r="UK50" s="64"/>
      <c r="UL50" s="64"/>
      <c r="UM50" s="64"/>
      <c r="UN50" s="64"/>
      <c r="UO50" s="64"/>
      <c r="UP50" s="64"/>
      <c r="UQ50" s="64"/>
      <c r="UR50" s="64"/>
      <c r="US50" s="64"/>
      <c r="UT50" s="64"/>
      <c r="UU50" s="64"/>
      <c r="UV50" s="64"/>
      <c r="UW50" s="64"/>
      <c r="UX50" s="64"/>
      <c r="UY50" s="64"/>
      <c r="UZ50" s="64"/>
      <c r="VA50" s="64"/>
      <c r="VB50" s="64"/>
      <c r="VC50" s="64"/>
      <c r="VD50" s="64"/>
      <c r="VE50" s="64"/>
      <c r="VF50" s="64"/>
      <c r="VG50" s="64"/>
      <c r="VH50" s="64"/>
      <c r="VI50" s="64"/>
      <c r="VJ50" s="64"/>
    </row>
    <row r="51" spans="3:582" s="47" customFormat="1" ht="14.25" customHeight="1" x14ac:dyDescent="0.25">
      <c r="C51" s="63"/>
      <c r="D51" s="63"/>
      <c r="E51" s="64"/>
      <c r="F51" s="64"/>
      <c r="G51" s="600" t="s">
        <v>91</v>
      </c>
      <c r="H51" s="600"/>
      <c r="I51" s="600"/>
      <c r="J51" s="600"/>
      <c r="K51" s="600"/>
      <c r="L51" s="600"/>
      <c r="M51" s="600"/>
      <c r="N51" s="600"/>
      <c r="O51" s="600"/>
      <c r="P51" s="600"/>
      <c r="Q51" s="600"/>
      <c r="R51" s="600"/>
      <c r="S51" s="600"/>
      <c r="T51" s="600"/>
      <c r="U51" s="600"/>
      <c r="V51" s="600"/>
      <c r="W51" s="600"/>
      <c r="X51" s="600"/>
      <c r="Y51" s="600"/>
      <c r="Z51" s="600"/>
      <c r="AA51" s="600"/>
      <c r="AB51" s="600"/>
      <c r="AC51" s="600"/>
      <c r="AD51" s="600"/>
      <c r="AE51" s="600"/>
      <c r="AF51" s="600"/>
      <c r="AG51" s="600"/>
      <c r="AH51" s="600"/>
      <c r="AI51" s="600"/>
      <c r="AJ51" s="600"/>
      <c r="AK51" s="600"/>
      <c r="AL51" s="600"/>
      <c r="AM51" s="600"/>
      <c r="AN51" s="600"/>
      <c r="AO51" s="600"/>
      <c r="AP51" s="600"/>
      <c r="AQ51" s="600"/>
      <c r="AR51" s="600"/>
      <c r="AS51" s="600"/>
      <c r="AT51" s="600"/>
      <c r="AU51" s="600"/>
      <c r="AV51" s="600"/>
      <c r="AW51" s="600"/>
      <c r="AX51" s="600"/>
      <c r="AY51" s="600"/>
      <c r="AZ51" s="600"/>
      <c r="BA51" s="600"/>
      <c r="BB51" s="600"/>
      <c r="BC51" s="600"/>
      <c r="BD51" s="600"/>
      <c r="BE51" s="600"/>
      <c r="BF51" s="600"/>
      <c r="BG51" s="600"/>
      <c r="BH51" s="600"/>
      <c r="BI51" s="600"/>
      <c r="BJ51" s="600"/>
      <c r="BK51" s="600"/>
      <c r="BL51" s="600"/>
      <c r="BM51" s="600"/>
      <c r="BN51" s="600"/>
      <c r="BO51" s="600"/>
      <c r="BP51" s="600"/>
      <c r="BQ51" s="600"/>
      <c r="BR51" s="600"/>
      <c r="BS51" s="600"/>
      <c r="BT51" s="600"/>
      <c r="BU51" s="600"/>
      <c r="BV51" s="600"/>
      <c r="BW51" s="600"/>
      <c r="BX51" s="600"/>
      <c r="BY51" s="600"/>
      <c r="BZ51" s="600"/>
      <c r="CA51" s="600"/>
      <c r="CB51" s="600"/>
      <c r="CC51" s="600"/>
      <c r="CD51" s="600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5"/>
      <c r="CV51" s="65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64"/>
      <c r="IK51" s="64"/>
      <c r="IL51" s="64"/>
      <c r="IM51" s="64"/>
      <c r="IN51" s="64"/>
      <c r="IO51" s="64"/>
      <c r="IP51" s="64"/>
      <c r="IQ51" s="64"/>
      <c r="IR51" s="64"/>
      <c r="IS51" s="64"/>
      <c r="IT51" s="64"/>
      <c r="IU51" s="64"/>
      <c r="IV51" s="64"/>
      <c r="IW51" s="64"/>
      <c r="IX51" s="64"/>
      <c r="IY51" s="64"/>
      <c r="IZ51" s="64"/>
      <c r="JA51" s="64"/>
      <c r="JB51" s="64"/>
      <c r="JC51" s="64"/>
      <c r="JD51" s="64"/>
      <c r="JE51" s="64"/>
      <c r="JF51" s="64"/>
      <c r="JG51" s="64"/>
      <c r="JH51" s="64"/>
      <c r="JI51" s="64"/>
      <c r="JJ51" s="64"/>
      <c r="JK51" s="64"/>
      <c r="JL51" s="64"/>
      <c r="JM51" s="64"/>
      <c r="JN51" s="64"/>
      <c r="JO51" s="64"/>
      <c r="JP51" s="64"/>
      <c r="JQ51" s="64"/>
      <c r="JR51" s="64"/>
      <c r="JS51" s="64"/>
      <c r="JT51" s="64"/>
      <c r="JU51" s="64"/>
      <c r="JV51" s="64"/>
      <c r="JW51" s="64"/>
      <c r="JX51" s="64"/>
      <c r="JY51" s="64"/>
      <c r="JZ51" s="64"/>
      <c r="KA51" s="64"/>
      <c r="KB51" s="64"/>
      <c r="KC51" s="64"/>
      <c r="KD51" s="64"/>
      <c r="KE51" s="64"/>
      <c r="KF51" s="64"/>
      <c r="KG51" s="64"/>
      <c r="KH51" s="64"/>
      <c r="KI51" s="64"/>
      <c r="KJ51" s="64"/>
      <c r="KK51" s="64"/>
      <c r="KL51" s="64"/>
      <c r="KM51" s="64"/>
      <c r="KN51" s="64"/>
      <c r="KO51" s="64"/>
      <c r="KP51" s="64"/>
      <c r="KQ51" s="64"/>
      <c r="KR51" s="64"/>
      <c r="KS51" s="64"/>
      <c r="KT51" s="64"/>
      <c r="KU51" s="64"/>
      <c r="KV51" s="64"/>
      <c r="KW51" s="64"/>
      <c r="KX51" s="64"/>
      <c r="KY51" s="64"/>
      <c r="KZ51" s="64"/>
      <c r="LA51" s="64"/>
      <c r="LB51" s="64"/>
      <c r="LC51" s="64"/>
      <c r="LD51" s="64"/>
      <c r="LE51" s="64"/>
      <c r="LF51" s="64"/>
      <c r="LG51" s="64"/>
      <c r="LH51" s="64"/>
      <c r="LI51" s="64"/>
      <c r="LJ51" s="64"/>
      <c r="LK51" s="64"/>
      <c r="LL51" s="64"/>
      <c r="LM51" s="64"/>
      <c r="LN51" s="64"/>
      <c r="LO51" s="64"/>
      <c r="LP51" s="64"/>
      <c r="LQ51" s="64"/>
      <c r="LR51" s="64"/>
      <c r="LS51" s="64"/>
      <c r="LT51" s="64"/>
      <c r="LU51" s="64"/>
      <c r="LV51" s="64"/>
      <c r="LW51" s="64"/>
      <c r="LX51" s="64"/>
      <c r="LY51" s="64"/>
      <c r="LZ51" s="64"/>
      <c r="MA51" s="64"/>
      <c r="MB51" s="64"/>
      <c r="MC51" s="64"/>
      <c r="MD51" s="64"/>
      <c r="ME51" s="64"/>
      <c r="MF51" s="64"/>
      <c r="MG51" s="64"/>
      <c r="MH51" s="64"/>
      <c r="MI51" s="64"/>
      <c r="MJ51" s="64"/>
      <c r="MK51" s="64"/>
      <c r="ML51" s="64"/>
      <c r="MM51" s="64"/>
      <c r="MN51" s="64"/>
      <c r="MO51" s="64"/>
      <c r="MP51" s="64"/>
      <c r="MQ51" s="64"/>
      <c r="MR51" s="64"/>
      <c r="MS51" s="64"/>
      <c r="MT51" s="64"/>
      <c r="MU51" s="64"/>
      <c r="MV51" s="64"/>
      <c r="MW51" s="64"/>
      <c r="MX51" s="64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  <c r="NS51" s="64"/>
      <c r="NT51" s="64"/>
      <c r="NU51" s="64"/>
      <c r="NV51" s="64"/>
      <c r="NW51" s="64"/>
      <c r="NX51" s="64"/>
      <c r="NY51" s="64"/>
      <c r="NZ51" s="64"/>
      <c r="OA51" s="64"/>
      <c r="OB51" s="64"/>
      <c r="OC51" s="64"/>
      <c r="OD51" s="64"/>
      <c r="OE51" s="64"/>
      <c r="OF51" s="64"/>
      <c r="OG51" s="64"/>
      <c r="OH51" s="64"/>
      <c r="OI51" s="64"/>
      <c r="OJ51" s="64"/>
      <c r="OK51" s="64"/>
      <c r="OL51" s="64"/>
      <c r="OM51" s="64"/>
      <c r="ON51" s="64"/>
      <c r="OO51" s="64"/>
      <c r="OP51" s="64"/>
      <c r="OQ51" s="64"/>
      <c r="OR51" s="64"/>
      <c r="OS51" s="64"/>
      <c r="OT51" s="64"/>
      <c r="OU51" s="64"/>
      <c r="OV51" s="64"/>
      <c r="OW51" s="64"/>
      <c r="OX51" s="64"/>
      <c r="OY51" s="64"/>
      <c r="OZ51" s="64"/>
      <c r="PA51" s="64"/>
      <c r="PB51" s="64"/>
      <c r="PC51" s="64"/>
      <c r="PD51" s="64"/>
      <c r="PE51" s="64"/>
      <c r="PF51" s="64"/>
      <c r="PG51" s="64"/>
      <c r="PH51" s="64"/>
      <c r="PI51" s="64"/>
      <c r="PJ51" s="64"/>
      <c r="PK51" s="64"/>
      <c r="PL51" s="64"/>
      <c r="PM51" s="64"/>
      <c r="PN51" s="64"/>
      <c r="PO51" s="64"/>
      <c r="PP51" s="64"/>
      <c r="PQ51" s="64"/>
      <c r="PR51" s="64"/>
      <c r="PS51" s="64"/>
      <c r="PT51" s="64"/>
      <c r="PU51" s="64"/>
      <c r="PV51" s="64"/>
      <c r="PW51" s="64"/>
      <c r="PX51" s="64"/>
      <c r="PY51" s="64"/>
      <c r="PZ51" s="64"/>
      <c r="QA51" s="64"/>
      <c r="QB51" s="64"/>
      <c r="QC51" s="64"/>
      <c r="QD51" s="64"/>
      <c r="QE51" s="64"/>
      <c r="QF51" s="64"/>
      <c r="QG51" s="64"/>
      <c r="QH51" s="64"/>
      <c r="QI51" s="64"/>
      <c r="QJ51" s="64"/>
      <c r="QK51" s="64"/>
      <c r="QL51" s="64"/>
      <c r="QM51" s="64"/>
      <c r="QN51" s="64"/>
      <c r="QO51" s="64"/>
      <c r="QP51" s="64"/>
      <c r="QQ51" s="64"/>
      <c r="QR51" s="64"/>
      <c r="QS51" s="64"/>
      <c r="QT51" s="64"/>
      <c r="QU51" s="64"/>
      <c r="QV51" s="64"/>
      <c r="QW51" s="64"/>
      <c r="QX51" s="64"/>
      <c r="QY51" s="64"/>
      <c r="QZ51" s="64"/>
      <c r="RA51" s="64"/>
      <c r="RB51" s="64"/>
      <c r="RC51" s="64"/>
      <c r="RD51" s="64"/>
      <c r="RE51" s="64"/>
      <c r="RF51" s="64"/>
      <c r="RG51" s="64"/>
      <c r="RH51" s="64"/>
      <c r="RI51" s="64"/>
      <c r="RJ51" s="64"/>
      <c r="RK51" s="64"/>
      <c r="RL51" s="64"/>
      <c r="RM51" s="64"/>
      <c r="RN51" s="64"/>
      <c r="RO51" s="64"/>
      <c r="RP51" s="64"/>
      <c r="RQ51" s="64"/>
      <c r="RR51" s="64"/>
      <c r="RS51" s="64"/>
      <c r="RT51" s="64"/>
      <c r="RU51" s="64"/>
      <c r="RV51" s="64"/>
      <c r="RW51" s="64"/>
      <c r="RX51" s="64"/>
      <c r="RY51" s="64"/>
      <c r="RZ51" s="64"/>
      <c r="SA51" s="64"/>
      <c r="SB51" s="64"/>
      <c r="SC51" s="64"/>
      <c r="SD51" s="64"/>
      <c r="SE51" s="64"/>
      <c r="SF51" s="64"/>
      <c r="SG51" s="64"/>
      <c r="SH51" s="64"/>
      <c r="SI51" s="64"/>
      <c r="SJ51" s="64"/>
      <c r="SK51" s="64"/>
      <c r="SL51" s="64"/>
      <c r="SM51" s="64"/>
      <c r="SN51" s="64"/>
      <c r="SO51" s="64"/>
      <c r="SP51" s="64"/>
      <c r="SQ51" s="64"/>
      <c r="SR51" s="64"/>
      <c r="SS51" s="64"/>
      <c r="ST51" s="64"/>
      <c r="SU51" s="64"/>
      <c r="SV51" s="64"/>
      <c r="SW51" s="64"/>
      <c r="SX51" s="64"/>
      <c r="SY51" s="64"/>
      <c r="SZ51" s="64"/>
      <c r="TA51" s="64"/>
      <c r="TB51" s="64"/>
      <c r="TC51" s="64"/>
      <c r="TD51" s="64"/>
      <c r="TE51" s="64"/>
      <c r="TF51" s="64"/>
      <c r="TG51" s="64"/>
      <c r="TH51" s="64"/>
      <c r="TI51" s="64"/>
      <c r="TJ51" s="64"/>
      <c r="TK51" s="64"/>
      <c r="TL51" s="64"/>
      <c r="TM51" s="64"/>
      <c r="TN51" s="64"/>
      <c r="TO51" s="64"/>
      <c r="TP51" s="64"/>
      <c r="TQ51" s="64"/>
      <c r="TR51" s="64"/>
      <c r="TS51" s="64"/>
      <c r="TT51" s="64"/>
      <c r="TU51" s="64"/>
      <c r="TV51" s="64"/>
      <c r="TW51" s="64"/>
      <c r="TX51" s="64"/>
      <c r="TY51" s="64"/>
      <c r="TZ51" s="64"/>
      <c r="UA51" s="64"/>
      <c r="UB51" s="64"/>
      <c r="UC51" s="64"/>
      <c r="UD51" s="64"/>
      <c r="UE51" s="64"/>
      <c r="UF51" s="64"/>
      <c r="UG51" s="64"/>
      <c r="UH51" s="64"/>
      <c r="UI51" s="64"/>
      <c r="UJ51" s="64"/>
      <c r="UK51" s="64"/>
      <c r="UL51" s="64"/>
      <c r="UM51" s="64"/>
      <c r="UN51" s="64"/>
      <c r="UO51" s="64"/>
      <c r="UP51" s="64"/>
      <c r="UQ51" s="64"/>
      <c r="UR51" s="64"/>
      <c r="US51" s="64"/>
      <c r="UT51" s="64"/>
      <c r="UU51" s="64"/>
      <c r="UV51" s="64"/>
      <c r="UW51" s="64"/>
      <c r="UX51" s="64"/>
      <c r="UY51" s="64"/>
      <c r="UZ51" s="64"/>
      <c r="VA51" s="64"/>
      <c r="VB51" s="64"/>
      <c r="VC51" s="64"/>
      <c r="VD51" s="64"/>
      <c r="VE51" s="64"/>
      <c r="VF51" s="64"/>
      <c r="VG51" s="64"/>
      <c r="VH51" s="64"/>
      <c r="VI51" s="64"/>
      <c r="VJ51" s="64"/>
    </row>
    <row r="52" spans="3:582" s="47" customFormat="1" ht="12" customHeight="1" x14ac:dyDescent="0.25">
      <c r="C52" s="64"/>
      <c r="D52" s="64"/>
      <c r="E52" s="66"/>
      <c r="F52" s="67"/>
      <c r="G52" s="600" t="s">
        <v>92</v>
      </c>
      <c r="H52" s="600"/>
      <c r="I52" s="600"/>
      <c r="J52" s="600"/>
      <c r="K52" s="600"/>
      <c r="L52" s="600"/>
      <c r="M52" s="600"/>
      <c r="N52" s="600"/>
      <c r="O52" s="600"/>
      <c r="P52" s="600"/>
      <c r="Q52" s="600"/>
      <c r="R52" s="600"/>
      <c r="S52" s="600"/>
      <c r="T52" s="600"/>
      <c r="U52" s="600"/>
      <c r="V52" s="600"/>
      <c r="W52" s="600"/>
      <c r="X52" s="600"/>
      <c r="Y52" s="600"/>
      <c r="Z52" s="600"/>
      <c r="AA52" s="600"/>
      <c r="AB52" s="600"/>
      <c r="AC52" s="600"/>
      <c r="AD52" s="600"/>
      <c r="AE52" s="600"/>
      <c r="AF52" s="600"/>
      <c r="AG52" s="600"/>
      <c r="AH52" s="600"/>
      <c r="AI52" s="600"/>
      <c r="AJ52" s="600"/>
      <c r="AK52" s="600"/>
      <c r="AL52" s="600"/>
      <c r="AM52" s="600"/>
      <c r="AN52" s="600"/>
      <c r="AO52" s="600"/>
      <c r="AP52" s="600"/>
      <c r="AQ52" s="600"/>
      <c r="AR52" s="600"/>
      <c r="AS52" s="600"/>
      <c r="AT52" s="600"/>
      <c r="AU52" s="600"/>
      <c r="AV52" s="600"/>
      <c r="AW52" s="600"/>
      <c r="AX52" s="600"/>
      <c r="AY52" s="600"/>
      <c r="AZ52" s="600"/>
      <c r="BA52" s="600"/>
      <c r="BB52" s="600"/>
      <c r="BC52" s="600"/>
      <c r="BD52" s="600"/>
      <c r="BE52" s="600"/>
      <c r="BF52" s="600"/>
      <c r="BG52" s="600"/>
      <c r="BH52" s="600"/>
      <c r="BI52" s="600"/>
      <c r="BJ52" s="600"/>
      <c r="BK52" s="600"/>
      <c r="BL52" s="600"/>
      <c r="BM52" s="600"/>
      <c r="BN52" s="600"/>
      <c r="BO52" s="600"/>
      <c r="BP52" s="600"/>
      <c r="BQ52" s="600"/>
      <c r="BR52" s="600"/>
      <c r="BS52" s="600"/>
      <c r="BT52" s="600"/>
      <c r="BU52" s="600"/>
      <c r="BV52" s="600"/>
      <c r="BW52" s="600"/>
      <c r="BX52" s="600"/>
      <c r="BY52" s="600"/>
      <c r="BZ52" s="600"/>
      <c r="CA52" s="600"/>
      <c r="CB52" s="600"/>
      <c r="CC52" s="600"/>
      <c r="CD52" s="600"/>
      <c r="CE52" s="67"/>
      <c r="CF52" s="67"/>
      <c r="CG52" s="67"/>
      <c r="CH52" s="67"/>
      <c r="CI52" s="67"/>
      <c r="CJ52" s="67"/>
      <c r="CK52" s="67"/>
      <c r="CL52" s="67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/>
      <c r="IP52" s="64"/>
      <c r="IQ52" s="64"/>
      <c r="IR52" s="64"/>
      <c r="IS52" s="64"/>
      <c r="IT52" s="64"/>
      <c r="IU52" s="64"/>
      <c r="IV52" s="64"/>
      <c r="IW52" s="64"/>
      <c r="IX52" s="64"/>
      <c r="IY52" s="64"/>
      <c r="IZ52" s="64"/>
      <c r="JA52" s="64"/>
      <c r="JB52" s="64"/>
      <c r="JC52" s="64"/>
      <c r="JD52" s="64"/>
      <c r="JE52" s="64"/>
      <c r="JF52" s="64"/>
      <c r="JG52" s="64"/>
      <c r="JH52" s="64"/>
      <c r="JI52" s="64"/>
      <c r="JJ52" s="64"/>
      <c r="JK52" s="64"/>
      <c r="JL52" s="64"/>
      <c r="JM52" s="64"/>
      <c r="JN52" s="64"/>
      <c r="JO52" s="64"/>
      <c r="JP52" s="64"/>
      <c r="JQ52" s="64"/>
      <c r="JR52" s="64"/>
      <c r="JS52" s="64"/>
      <c r="JT52" s="64"/>
      <c r="JU52" s="64"/>
      <c r="JV52" s="64"/>
      <c r="JW52" s="64"/>
      <c r="JX52" s="64"/>
      <c r="JY52" s="64"/>
      <c r="JZ52" s="64"/>
      <c r="KA52" s="64"/>
      <c r="KB52" s="64"/>
      <c r="KC52" s="64"/>
      <c r="KD52" s="64"/>
      <c r="KE52" s="64"/>
      <c r="KF52" s="64"/>
      <c r="KG52" s="64"/>
      <c r="KH52" s="64"/>
      <c r="KI52" s="64"/>
      <c r="KJ52" s="64"/>
      <c r="KK52" s="64"/>
      <c r="KL52" s="64"/>
      <c r="KM52" s="64"/>
      <c r="KN52" s="64"/>
      <c r="KO52" s="64"/>
      <c r="KP52" s="64"/>
      <c r="KQ52" s="64"/>
      <c r="KR52" s="64"/>
      <c r="KS52" s="64"/>
      <c r="KT52" s="64"/>
      <c r="KU52" s="64"/>
      <c r="KV52" s="64"/>
      <c r="KW52" s="64"/>
      <c r="KX52" s="64"/>
      <c r="KY52" s="64"/>
      <c r="KZ52" s="64"/>
      <c r="LA52" s="64"/>
      <c r="LB52" s="64"/>
      <c r="LC52" s="64"/>
      <c r="LD52" s="64"/>
      <c r="LE52" s="64"/>
      <c r="LF52" s="64"/>
      <c r="LG52" s="64"/>
      <c r="LH52" s="64"/>
      <c r="LI52" s="64"/>
      <c r="LJ52" s="64"/>
      <c r="LK52" s="64"/>
      <c r="LL52" s="64"/>
      <c r="LM52" s="64"/>
      <c r="LN52" s="64"/>
      <c r="LO52" s="64"/>
      <c r="LP52" s="64"/>
      <c r="LQ52" s="64"/>
      <c r="LR52" s="64"/>
      <c r="LS52" s="64"/>
      <c r="LT52" s="64"/>
      <c r="LU52" s="64"/>
      <c r="LV52" s="64"/>
      <c r="LW52" s="64"/>
      <c r="LX52" s="64"/>
      <c r="LY52" s="64"/>
      <c r="LZ52" s="64"/>
      <c r="MA52" s="64"/>
      <c r="MB52" s="64"/>
      <c r="MC52" s="64"/>
      <c r="MD52" s="64"/>
      <c r="ME52" s="64"/>
      <c r="MF52" s="64"/>
      <c r="MG52" s="64"/>
      <c r="MH52" s="64"/>
      <c r="MI52" s="64"/>
      <c r="MJ52" s="64"/>
      <c r="MK52" s="64"/>
      <c r="ML52" s="64"/>
      <c r="MM52" s="64"/>
      <c r="MN52" s="64"/>
      <c r="MO52" s="64"/>
      <c r="MP52" s="64"/>
      <c r="MQ52" s="64"/>
      <c r="MR52" s="64"/>
      <c r="MS52" s="64"/>
      <c r="MT52" s="64"/>
      <c r="MU52" s="64"/>
      <c r="MV52" s="64"/>
      <c r="MW52" s="64"/>
      <c r="MX52" s="64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  <c r="NS52" s="64"/>
      <c r="NT52" s="64"/>
      <c r="NU52" s="64"/>
      <c r="NV52" s="64"/>
      <c r="NW52" s="64"/>
      <c r="NX52" s="64"/>
      <c r="NY52" s="64"/>
      <c r="NZ52" s="64"/>
      <c r="OA52" s="64"/>
      <c r="OB52" s="64"/>
      <c r="OC52" s="64"/>
      <c r="OD52" s="64"/>
      <c r="OE52" s="64"/>
      <c r="OF52" s="64"/>
      <c r="OG52" s="64"/>
      <c r="OH52" s="64"/>
      <c r="OI52" s="64"/>
      <c r="OJ52" s="64"/>
      <c r="OK52" s="64"/>
      <c r="OL52" s="64"/>
      <c r="OM52" s="64"/>
      <c r="ON52" s="64"/>
      <c r="OO52" s="64"/>
      <c r="OP52" s="64"/>
      <c r="OQ52" s="64"/>
      <c r="OR52" s="64"/>
      <c r="OS52" s="64"/>
      <c r="OT52" s="64"/>
      <c r="OU52" s="64"/>
      <c r="OV52" s="64"/>
      <c r="OW52" s="64"/>
      <c r="OX52" s="64"/>
      <c r="OY52" s="64"/>
      <c r="OZ52" s="64"/>
      <c r="PA52" s="64"/>
      <c r="PB52" s="64"/>
      <c r="PC52" s="64"/>
      <c r="PD52" s="64"/>
      <c r="PE52" s="64"/>
      <c r="PF52" s="64"/>
      <c r="PG52" s="64"/>
      <c r="PH52" s="64"/>
      <c r="PI52" s="64"/>
      <c r="PJ52" s="64"/>
      <c r="PK52" s="64"/>
      <c r="PL52" s="64"/>
      <c r="PM52" s="64"/>
      <c r="PN52" s="64"/>
      <c r="PO52" s="64"/>
      <c r="PP52" s="64"/>
      <c r="PQ52" s="64"/>
      <c r="PR52" s="64"/>
      <c r="PS52" s="64"/>
      <c r="PT52" s="64"/>
      <c r="PU52" s="64"/>
      <c r="PV52" s="64"/>
      <c r="PW52" s="64"/>
      <c r="PX52" s="64"/>
      <c r="PY52" s="64"/>
      <c r="PZ52" s="64"/>
      <c r="QA52" s="64"/>
      <c r="QB52" s="64"/>
      <c r="QC52" s="64"/>
      <c r="QD52" s="64"/>
      <c r="QE52" s="64"/>
      <c r="QF52" s="64"/>
      <c r="QG52" s="64"/>
      <c r="QH52" s="64"/>
      <c r="QI52" s="64"/>
      <c r="QJ52" s="64"/>
      <c r="QK52" s="64"/>
      <c r="QL52" s="64"/>
      <c r="QM52" s="64"/>
      <c r="QN52" s="64"/>
      <c r="QO52" s="64"/>
      <c r="QP52" s="64"/>
      <c r="QQ52" s="64"/>
      <c r="QR52" s="64"/>
      <c r="QS52" s="64"/>
      <c r="QT52" s="64"/>
      <c r="QU52" s="64"/>
      <c r="QV52" s="64"/>
      <c r="QW52" s="64"/>
      <c r="QX52" s="64"/>
      <c r="QY52" s="64"/>
      <c r="QZ52" s="64"/>
      <c r="RA52" s="64"/>
      <c r="RB52" s="64"/>
      <c r="RC52" s="64"/>
      <c r="RD52" s="64"/>
      <c r="RE52" s="64"/>
      <c r="RF52" s="64"/>
      <c r="RG52" s="64"/>
      <c r="RH52" s="64"/>
      <c r="RI52" s="64"/>
      <c r="RJ52" s="64"/>
      <c r="RK52" s="64"/>
      <c r="RL52" s="64"/>
      <c r="RM52" s="64"/>
      <c r="RN52" s="64"/>
      <c r="RO52" s="64"/>
      <c r="RP52" s="64"/>
      <c r="RQ52" s="64"/>
      <c r="RR52" s="64"/>
      <c r="RS52" s="64"/>
      <c r="RT52" s="64"/>
      <c r="RU52" s="64"/>
      <c r="RV52" s="64"/>
      <c r="RW52" s="64"/>
      <c r="RX52" s="64"/>
      <c r="RY52" s="64"/>
      <c r="RZ52" s="64"/>
      <c r="SA52" s="64"/>
      <c r="SB52" s="64"/>
      <c r="SC52" s="64"/>
      <c r="SD52" s="64"/>
      <c r="SE52" s="64"/>
      <c r="SF52" s="64"/>
      <c r="SG52" s="64"/>
      <c r="SH52" s="64"/>
      <c r="SI52" s="64"/>
      <c r="SJ52" s="64"/>
      <c r="SK52" s="64"/>
      <c r="SL52" s="64"/>
      <c r="SM52" s="64"/>
      <c r="SN52" s="64"/>
      <c r="SO52" s="64"/>
      <c r="SP52" s="64"/>
      <c r="SQ52" s="64"/>
      <c r="SR52" s="64"/>
      <c r="SS52" s="64"/>
      <c r="ST52" s="64"/>
      <c r="SU52" s="64"/>
      <c r="SV52" s="64"/>
      <c r="SW52" s="64"/>
      <c r="SX52" s="64"/>
      <c r="SY52" s="64"/>
      <c r="SZ52" s="64"/>
      <c r="TA52" s="64"/>
      <c r="TB52" s="64"/>
      <c r="TC52" s="64"/>
      <c r="TD52" s="64"/>
      <c r="TE52" s="64"/>
      <c r="TF52" s="64"/>
      <c r="TG52" s="64"/>
      <c r="TH52" s="64"/>
      <c r="TI52" s="64"/>
      <c r="TJ52" s="64"/>
      <c r="TK52" s="64"/>
      <c r="TL52" s="64"/>
      <c r="TM52" s="64"/>
      <c r="TN52" s="64"/>
      <c r="TO52" s="64"/>
      <c r="TP52" s="64"/>
      <c r="TQ52" s="64"/>
      <c r="TR52" s="64"/>
      <c r="TS52" s="64"/>
      <c r="TT52" s="64"/>
      <c r="TU52" s="64"/>
      <c r="TV52" s="64"/>
      <c r="TW52" s="64"/>
      <c r="TX52" s="64"/>
      <c r="TY52" s="64"/>
      <c r="TZ52" s="64"/>
      <c r="UA52" s="64"/>
      <c r="UB52" s="64"/>
      <c r="UC52" s="64"/>
      <c r="UD52" s="64"/>
      <c r="UE52" s="64"/>
      <c r="UF52" s="64"/>
      <c r="UG52" s="64"/>
      <c r="UH52" s="64"/>
      <c r="UI52" s="64"/>
      <c r="UJ52" s="64"/>
      <c r="UK52" s="64"/>
      <c r="UL52" s="64"/>
      <c r="UM52" s="64"/>
      <c r="UN52" s="64"/>
      <c r="UO52" s="64"/>
      <c r="UP52" s="64"/>
      <c r="UQ52" s="64"/>
      <c r="UR52" s="64"/>
      <c r="US52" s="64"/>
      <c r="UT52" s="64"/>
      <c r="UU52" s="64"/>
      <c r="UV52" s="64"/>
      <c r="UW52" s="64"/>
      <c r="UX52" s="64"/>
      <c r="UY52" s="64"/>
      <c r="UZ52" s="64"/>
      <c r="VA52" s="64"/>
      <c r="VB52" s="64"/>
      <c r="VC52" s="64"/>
      <c r="VD52" s="64"/>
      <c r="VE52" s="64"/>
      <c r="VF52" s="64"/>
      <c r="VG52" s="64"/>
      <c r="VH52" s="64"/>
      <c r="VI52" s="64"/>
      <c r="VJ52" s="64"/>
    </row>
    <row r="53" spans="3:582" s="47" customFormat="1" ht="14.25" customHeight="1" x14ac:dyDescent="0.25">
      <c r="C53" s="64"/>
      <c r="D53" s="64"/>
      <c r="E53" s="66"/>
      <c r="F53" s="67"/>
      <c r="G53" s="600" t="s">
        <v>93</v>
      </c>
      <c r="H53" s="600"/>
      <c r="I53" s="600"/>
      <c r="J53" s="600"/>
      <c r="K53" s="600"/>
      <c r="L53" s="600"/>
      <c r="M53" s="600"/>
      <c r="N53" s="600"/>
      <c r="O53" s="600"/>
      <c r="P53" s="600"/>
      <c r="Q53" s="600"/>
      <c r="R53" s="600"/>
      <c r="S53" s="600"/>
      <c r="T53" s="600"/>
      <c r="U53" s="600"/>
      <c r="V53" s="600"/>
      <c r="W53" s="600"/>
      <c r="X53" s="600"/>
      <c r="Y53" s="600"/>
      <c r="Z53" s="600"/>
      <c r="AA53" s="600"/>
      <c r="AB53" s="600"/>
      <c r="AC53" s="600"/>
      <c r="AD53" s="600"/>
      <c r="AE53" s="600"/>
      <c r="AF53" s="600"/>
      <c r="AG53" s="600"/>
      <c r="AH53" s="600"/>
      <c r="AI53" s="600"/>
      <c r="AJ53" s="600"/>
      <c r="AK53" s="600"/>
      <c r="AL53" s="600"/>
      <c r="AM53" s="600"/>
      <c r="AN53" s="600"/>
      <c r="AO53" s="600"/>
      <c r="AP53" s="600"/>
      <c r="AQ53" s="600"/>
      <c r="AR53" s="600"/>
      <c r="AS53" s="600"/>
      <c r="AT53" s="600"/>
      <c r="AU53" s="600"/>
      <c r="AV53" s="600"/>
      <c r="AW53" s="600"/>
      <c r="AX53" s="600"/>
      <c r="AY53" s="600"/>
      <c r="AZ53" s="600"/>
      <c r="BA53" s="600"/>
      <c r="BB53" s="600"/>
      <c r="BC53" s="600"/>
      <c r="BD53" s="600"/>
      <c r="BE53" s="600"/>
      <c r="BF53" s="600"/>
      <c r="BG53" s="600"/>
      <c r="BH53" s="600"/>
      <c r="BI53" s="600"/>
      <c r="BJ53" s="600"/>
      <c r="BK53" s="600"/>
      <c r="BL53" s="600"/>
      <c r="BM53" s="600"/>
      <c r="BN53" s="600"/>
      <c r="BO53" s="600"/>
      <c r="BP53" s="600"/>
      <c r="BQ53" s="600"/>
      <c r="BR53" s="600"/>
      <c r="BS53" s="600"/>
      <c r="BT53" s="600"/>
      <c r="BU53" s="600"/>
      <c r="BV53" s="600"/>
      <c r="BW53" s="600"/>
      <c r="BX53" s="600"/>
      <c r="BY53" s="600"/>
      <c r="BZ53" s="600"/>
      <c r="CA53" s="600"/>
      <c r="CB53" s="600"/>
      <c r="CC53" s="600"/>
      <c r="CD53" s="600"/>
      <c r="CE53" s="67"/>
      <c r="CF53" s="67"/>
      <c r="CG53" s="67"/>
      <c r="CH53" s="67"/>
      <c r="CI53" s="67"/>
      <c r="CJ53" s="67"/>
      <c r="CK53" s="67"/>
      <c r="CL53" s="67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  <c r="GI53" s="64"/>
      <c r="GJ53" s="64"/>
      <c r="GK53" s="64"/>
      <c r="GL53" s="64"/>
      <c r="GM53" s="64"/>
      <c r="GN53" s="64"/>
      <c r="GO53" s="64"/>
      <c r="GP53" s="64"/>
      <c r="GQ53" s="64"/>
      <c r="GR53" s="64"/>
      <c r="GS53" s="64"/>
      <c r="GT53" s="64"/>
      <c r="GU53" s="64"/>
      <c r="GV53" s="64"/>
      <c r="GW53" s="64"/>
      <c r="GX53" s="64"/>
      <c r="GY53" s="64"/>
      <c r="GZ53" s="64"/>
      <c r="HA53" s="64"/>
      <c r="HB53" s="64"/>
      <c r="HC53" s="64"/>
      <c r="HD53" s="64"/>
      <c r="HE53" s="64"/>
      <c r="HF53" s="64"/>
      <c r="HG53" s="64"/>
      <c r="HH53" s="64"/>
      <c r="HI53" s="64"/>
      <c r="HJ53" s="64"/>
      <c r="HK53" s="64"/>
      <c r="HL53" s="64"/>
      <c r="HM53" s="64"/>
      <c r="HN53" s="64"/>
      <c r="HO53" s="64"/>
      <c r="HP53" s="64"/>
      <c r="HQ53" s="64"/>
      <c r="HR53" s="64"/>
      <c r="HS53" s="64"/>
      <c r="HT53" s="64"/>
      <c r="HU53" s="64"/>
      <c r="HV53" s="64"/>
      <c r="HW53" s="64"/>
      <c r="HX53" s="64"/>
      <c r="HY53" s="64"/>
      <c r="HZ53" s="64"/>
      <c r="IA53" s="64"/>
      <c r="IB53" s="64"/>
      <c r="IC53" s="64"/>
      <c r="ID53" s="64"/>
      <c r="IE53" s="64"/>
      <c r="IF53" s="64"/>
      <c r="IG53" s="64"/>
      <c r="IH53" s="64"/>
      <c r="II53" s="64"/>
      <c r="IJ53" s="64"/>
      <c r="IK53" s="64"/>
      <c r="IL53" s="64"/>
      <c r="IM53" s="64"/>
      <c r="IN53" s="64"/>
      <c r="IO53" s="64"/>
      <c r="IP53" s="64"/>
      <c r="IQ53" s="64"/>
      <c r="IR53" s="64"/>
      <c r="IS53" s="64"/>
      <c r="IT53" s="64"/>
      <c r="IU53" s="64"/>
      <c r="IV53" s="64"/>
      <c r="IW53" s="64"/>
      <c r="IX53" s="64"/>
      <c r="IY53" s="64"/>
      <c r="IZ53" s="64"/>
      <c r="JA53" s="64"/>
      <c r="JB53" s="64"/>
      <c r="JC53" s="64"/>
      <c r="JD53" s="64"/>
      <c r="JE53" s="64"/>
      <c r="JF53" s="64"/>
      <c r="JG53" s="64"/>
      <c r="JH53" s="64"/>
      <c r="JI53" s="64"/>
      <c r="JJ53" s="64"/>
      <c r="JK53" s="64"/>
      <c r="JL53" s="64"/>
      <c r="JM53" s="64"/>
      <c r="JN53" s="64"/>
      <c r="JO53" s="64"/>
      <c r="JP53" s="64"/>
      <c r="JQ53" s="64"/>
      <c r="JR53" s="64"/>
      <c r="JS53" s="64"/>
      <c r="JT53" s="64"/>
      <c r="JU53" s="64"/>
      <c r="JV53" s="64"/>
      <c r="JW53" s="64"/>
      <c r="JX53" s="64"/>
      <c r="JY53" s="64"/>
      <c r="JZ53" s="64"/>
      <c r="KA53" s="64"/>
      <c r="KB53" s="64"/>
      <c r="KC53" s="64"/>
      <c r="KD53" s="64"/>
      <c r="KE53" s="64"/>
      <c r="KF53" s="64"/>
      <c r="KG53" s="64"/>
      <c r="KH53" s="64"/>
      <c r="KI53" s="64"/>
      <c r="KJ53" s="64"/>
      <c r="KK53" s="64"/>
      <c r="KL53" s="64"/>
      <c r="KM53" s="64"/>
      <c r="KN53" s="64"/>
      <c r="KO53" s="64"/>
      <c r="KP53" s="64"/>
      <c r="KQ53" s="64"/>
      <c r="KR53" s="64"/>
      <c r="KS53" s="64"/>
      <c r="KT53" s="64"/>
      <c r="KU53" s="64"/>
      <c r="KV53" s="64"/>
      <c r="KW53" s="64"/>
      <c r="KX53" s="64"/>
      <c r="KY53" s="64"/>
      <c r="KZ53" s="64"/>
      <c r="LA53" s="64"/>
      <c r="LB53" s="64"/>
      <c r="LC53" s="64"/>
      <c r="LD53" s="64"/>
      <c r="LE53" s="64"/>
      <c r="LF53" s="64"/>
      <c r="LG53" s="64"/>
      <c r="LH53" s="64"/>
      <c r="LI53" s="64"/>
      <c r="LJ53" s="64"/>
      <c r="LK53" s="64"/>
      <c r="LL53" s="64"/>
      <c r="LM53" s="64"/>
      <c r="LN53" s="64"/>
      <c r="LO53" s="64"/>
      <c r="LP53" s="64"/>
      <c r="LQ53" s="64"/>
      <c r="LR53" s="64"/>
      <c r="LS53" s="64"/>
      <c r="LT53" s="64"/>
      <c r="LU53" s="64"/>
      <c r="LV53" s="64"/>
      <c r="LW53" s="64"/>
      <c r="LX53" s="64"/>
      <c r="LY53" s="64"/>
      <c r="LZ53" s="64"/>
      <c r="MA53" s="64"/>
      <c r="MB53" s="64"/>
      <c r="MC53" s="64"/>
      <c r="MD53" s="64"/>
      <c r="ME53" s="64"/>
      <c r="MF53" s="64"/>
      <c r="MG53" s="64"/>
      <c r="MH53" s="64"/>
      <c r="MI53" s="64"/>
      <c r="MJ53" s="64"/>
      <c r="MK53" s="64"/>
      <c r="ML53" s="64"/>
      <c r="MM53" s="64"/>
      <c r="MN53" s="64"/>
      <c r="MO53" s="64"/>
      <c r="MP53" s="64"/>
      <c r="MQ53" s="64"/>
      <c r="MR53" s="64"/>
      <c r="MS53" s="64"/>
      <c r="MT53" s="64"/>
      <c r="MU53" s="64"/>
      <c r="MV53" s="64"/>
      <c r="MW53" s="64"/>
      <c r="MX53" s="64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64"/>
      <c r="NK53" s="64"/>
      <c r="NL53" s="64"/>
      <c r="NM53" s="64"/>
      <c r="NN53" s="64"/>
      <c r="NO53" s="64"/>
      <c r="NP53" s="64"/>
      <c r="NQ53" s="64"/>
      <c r="NR53" s="64"/>
      <c r="NS53" s="64"/>
      <c r="NT53" s="64"/>
      <c r="NU53" s="64"/>
      <c r="NV53" s="64"/>
      <c r="NW53" s="64"/>
      <c r="NX53" s="64"/>
      <c r="NY53" s="64"/>
      <c r="NZ53" s="64"/>
      <c r="OA53" s="64"/>
      <c r="OB53" s="64"/>
      <c r="OC53" s="64"/>
      <c r="OD53" s="64"/>
      <c r="OE53" s="64"/>
      <c r="OF53" s="64"/>
      <c r="OG53" s="64"/>
      <c r="OH53" s="64"/>
      <c r="OI53" s="64"/>
      <c r="OJ53" s="64"/>
      <c r="OK53" s="64"/>
      <c r="OL53" s="64"/>
      <c r="OM53" s="64"/>
      <c r="ON53" s="64"/>
      <c r="OO53" s="64"/>
      <c r="OP53" s="64"/>
      <c r="OQ53" s="64"/>
      <c r="OR53" s="64"/>
      <c r="OS53" s="64"/>
      <c r="OT53" s="64"/>
      <c r="OU53" s="64"/>
      <c r="OV53" s="64"/>
      <c r="OW53" s="64"/>
      <c r="OX53" s="64"/>
      <c r="OY53" s="64"/>
      <c r="OZ53" s="64"/>
      <c r="PA53" s="64"/>
      <c r="PB53" s="64"/>
      <c r="PC53" s="64"/>
      <c r="PD53" s="64"/>
      <c r="PE53" s="64"/>
      <c r="PF53" s="64"/>
      <c r="PG53" s="64"/>
      <c r="PH53" s="64"/>
      <c r="PI53" s="64"/>
      <c r="PJ53" s="64"/>
      <c r="PK53" s="64"/>
      <c r="PL53" s="64"/>
      <c r="PM53" s="64"/>
      <c r="PN53" s="64"/>
      <c r="PO53" s="64"/>
      <c r="PP53" s="64"/>
      <c r="PQ53" s="64"/>
      <c r="PR53" s="64"/>
      <c r="PS53" s="64"/>
      <c r="PT53" s="64"/>
      <c r="PU53" s="64"/>
      <c r="PV53" s="64"/>
      <c r="PW53" s="64"/>
      <c r="PX53" s="64"/>
      <c r="PY53" s="64"/>
      <c r="PZ53" s="64"/>
      <c r="QA53" s="64"/>
      <c r="QB53" s="64"/>
      <c r="QC53" s="64"/>
      <c r="QD53" s="64"/>
      <c r="QE53" s="64"/>
      <c r="QF53" s="64"/>
      <c r="QG53" s="64"/>
      <c r="QH53" s="64"/>
      <c r="QI53" s="64"/>
      <c r="QJ53" s="64"/>
      <c r="QK53" s="64"/>
      <c r="QL53" s="64"/>
      <c r="QM53" s="64"/>
      <c r="QN53" s="64"/>
      <c r="QO53" s="64"/>
      <c r="QP53" s="64"/>
      <c r="QQ53" s="64"/>
      <c r="QR53" s="64"/>
      <c r="QS53" s="64"/>
      <c r="QT53" s="64"/>
      <c r="QU53" s="64"/>
      <c r="QV53" s="64"/>
      <c r="QW53" s="64"/>
      <c r="QX53" s="64"/>
      <c r="QY53" s="64"/>
      <c r="QZ53" s="64"/>
      <c r="RA53" s="64"/>
      <c r="RB53" s="64"/>
      <c r="RC53" s="64"/>
      <c r="RD53" s="64"/>
      <c r="RE53" s="64"/>
      <c r="RF53" s="64"/>
      <c r="RG53" s="64"/>
      <c r="RH53" s="64"/>
      <c r="RI53" s="64"/>
      <c r="RJ53" s="64"/>
      <c r="RK53" s="64"/>
      <c r="RL53" s="64"/>
      <c r="RM53" s="64"/>
      <c r="RN53" s="64"/>
      <c r="RO53" s="64"/>
      <c r="RP53" s="64"/>
      <c r="RQ53" s="64"/>
      <c r="RR53" s="64"/>
      <c r="RS53" s="64"/>
      <c r="RT53" s="64"/>
      <c r="RU53" s="64"/>
      <c r="RV53" s="64"/>
      <c r="RW53" s="64"/>
      <c r="RX53" s="64"/>
      <c r="RY53" s="64"/>
      <c r="RZ53" s="64"/>
      <c r="SA53" s="64"/>
      <c r="SB53" s="64"/>
      <c r="SC53" s="64"/>
      <c r="SD53" s="64"/>
      <c r="SE53" s="64"/>
      <c r="SF53" s="64"/>
      <c r="SG53" s="64"/>
      <c r="SH53" s="64"/>
      <c r="SI53" s="64"/>
      <c r="SJ53" s="64"/>
      <c r="SK53" s="64"/>
      <c r="SL53" s="64"/>
      <c r="SM53" s="64"/>
      <c r="SN53" s="64"/>
      <c r="SO53" s="64"/>
      <c r="SP53" s="64"/>
      <c r="SQ53" s="64"/>
      <c r="SR53" s="64"/>
      <c r="SS53" s="64"/>
      <c r="ST53" s="64"/>
      <c r="SU53" s="64"/>
      <c r="SV53" s="64"/>
      <c r="SW53" s="64"/>
      <c r="SX53" s="64"/>
      <c r="SY53" s="64"/>
      <c r="SZ53" s="64"/>
      <c r="TA53" s="64"/>
      <c r="TB53" s="64"/>
      <c r="TC53" s="64"/>
      <c r="TD53" s="64"/>
      <c r="TE53" s="64"/>
      <c r="TF53" s="64"/>
      <c r="TG53" s="64"/>
      <c r="TH53" s="64"/>
      <c r="TI53" s="64"/>
      <c r="TJ53" s="64"/>
      <c r="TK53" s="64"/>
      <c r="TL53" s="64"/>
      <c r="TM53" s="64"/>
      <c r="TN53" s="64"/>
      <c r="TO53" s="64"/>
      <c r="TP53" s="64"/>
      <c r="TQ53" s="64"/>
      <c r="TR53" s="64"/>
      <c r="TS53" s="64"/>
      <c r="TT53" s="64"/>
      <c r="TU53" s="64"/>
      <c r="TV53" s="64"/>
      <c r="TW53" s="64"/>
      <c r="TX53" s="64"/>
      <c r="TY53" s="64"/>
      <c r="TZ53" s="64"/>
      <c r="UA53" s="64"/>
      <c r="UB53" s="64"/>
      <c r="UC53" s="64"/>
      <c r="UD53" s="64"/>
      <c r="UE53" s="64"/>
      <c r="UF53" s="64"/>
      <c r="UG53" s="64"/>
      <c r="UH53" s="64"/>
      <c r="UI53" s="64"/>
      <c r="UJ53" s="64"/>
      <c r="UK53" s="64"/>
      <c r="UL53" s="64"/>
      <c r="UM53" s="64"/>
      <c r="UN53" s="64"/>
      <c r="UO53" s="64"/>
      <c r="UP53" s="64"/>
      <c r="UQ53" s="64"/>
      <c r="UR53" s="64"/>
      <c r="US53" s="64"/>
      <c r="UT53" s="64"/>
      <c r="UU53" s="64"/>
      <c r="UV53" s="64"/>
      <c r="UW53" s="64"/>
      <c r="UX53" s="64"/>
      <c r="UY53" s="64"/>
      <c r="UZ53" s="64"/>
      <c r="VA53" s="64"/>
      <c r="VB53" s="64"/>
      <c r="VC53" s="64"/>
      <c r="VD53" s="64"/>
      <c r="VE53" s="64"/>
      <c r="VF53" s="64"/>
      <c r="VG53" s="64"/>
      <c r="VH53" s="64"/>
      <c r="VI53" s="64"/>
      <c r="VJ53" s="64"/>
    </row>
    <row r="54" spans="3:582" s="47" customFormat="1" ht="12.75" customHeight="1" x14ac:dyDescent="0.25">
      <c r="C54" s="64"/>
      <c r="D54" s="64"/>
      <c r="E54" s="66"/>
      <c r="F54" s="67"/>
      <c r="G54" s="600" t="s">
        <v>94</v>
      </c>
      <c r="H54" s="600"/>
      <c r="I54" s="600"/>
      <c r="J54" s="600"/>
      <c r="K54" s="600"/>
      <c r="L54" s="600"/>
      <c r="M54" s="600"/>
      <c r="N54" s="600"/>
      <c r="O54" s="600"/>
      <c r="P54" s="600"/>
      <c r="Q54" s="600"/>
      <c r="R54" s="600"/>
      <c r="S54" s="600"/>
      <c r="T54" s="600"/>
      <c r="U54" s="600"/>
      <c r="V54" s="600"/>
      <c r="W54" s="600"/>
      <c r="X54" s="600"/>
      <c r="Y54" s="600"/>
      <c r="Z54" s="600"/>
      <c r="AA54" s="600"/>
      <c r="AB54" s="600"/>
      <c r="AC54" s="600"/>
      <c r="AD54" s="600"/>
      <c r="AE54" s="600"/>
      <c r="AF54" s="600"/>
      <c r="AG54" s="600"/>
      <c r="AH54" s="600"/>
      <c r="AI54" s="600"/>
      <c r="AJ54" s="600"/>
      <c r="AK54" s="600"/>
      <c r="AL54" s="600"/>
      <c r="AM54" s="600"/>
      <c r="AN54" s="600"/>
      <c r="AO54" s="600"/>
      <c r="AP54" s="600"/>
      <c r="AQ54" s="600"/>
      <c r="AR54" s="600"/>
      <c r="AS54" s="600"/>
      <c r="AT54" s="600"/>
      <c r="AU54" s="600"/>
      <c r="AV54" s="600"/>
      <c r="AW54" s="600"/>
      <c r="AX54" s="600"/>
      <c r="AY54" s="600"/>
      <c r="AZ54" s="600"/>
      <c r="BA54" s="600"/>
      <c r="BB54" s="600"/>
      <c r="BC54" s="600"/>
      <c r="BD54" s="600"/>
      <c r="BE54" s="600"/>
      <c r="BF54" s="600"/>
      <c r="BG54" s="600"/>
      <c r="BH54" s="600"/>
      <c r="BI54" s="600"/>
      <c r="BJ54" s="600"/>
      <c r="BK54" s="600"/>
      <c r="BL54" s="600"/>
      <c r="BM54" s="600"/>
      <c r="BN54" s="600"/>
      <c r="BO54" s="600"/>
      <c r="BP54" s="600"/>
      <c r="BQ54" s="600"/>
      <c r="BR54" s="600"/>
      <c r="BS54" s="600"/>
      <c r="BT54" s="600"/>
      <c r="BU54" s="600"/>
      <c r="BV54" s="600"/>
      <c r="BW54" s="600"/>
      <c r="BX54" s="600"/>
      <c r="BY54" s="600"/>
      <c r="BZ54" s="600"/>
      <c r="CA54" s="600"/>
      <c r="CB54" s="600"/>
      <c r="CC54" s="600"/>
      <c r="CD54" s="600"/>
      <c r="CE54" s="67"/>
      <c r="CF54" s="67"/>
      <c r="CG54" s="67"/>
      <c r="CH54" s="67"/>
      <c r="CI54" s="67"/>
      <c r="CJ54" s="67"/>
      <c r="CK54" s="67"/>
      <c r="CL54" s="67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  <c r="NS54" s="64"/>
      <c r="NT54" s="64"/>
      <c r="NU54" s="64"/>
      <c r="NV54" s="64"/>
      <c r="NW54" s="64"/>
      <c r="NX54" s="64"/>
      <c r="NY54" s="64"/>
      <c r="NZ54" s="64"/>
      <c r="OA54" s="64"/>
      <c r="OB54" s="64"/>
      <c r="OC54" s="64"/>
      <c r="OD54" s="64"/>
      <c r="OE54" s="64"/>
      <c r="OF54" s="64"/>
      <c r="OG54" s="64"/>
      <c r="OH54" s="64"/>
      <c r="OI54" s="64"/>
      <c r="OJ54" s="64"/>
      <c r="OK54" s="64"/>
      <c r="OL54" s="64"/>
      <c r="OM54" s="64"/>
      <c r="ON54" s="64"/>
      <c r="OO54" s="64"/>
      <c r="OP54" s="64"/>
      <c r="OQ54" s="64"/>
      <c r="OR54" s="64"/>
      <c r="OS54" s="64"/>
      <c r="OT54" s="64"/>
      <c r="OU54" s="64"/>
      <c r="OV54" s="64"/>
      <c r="OW54" s="64"/>
      <c r="OX54" s="64"/>
      <c r="OY54" s="64"/>
      <c r="OZ54" s="64"/>
      <c r="PA54" s="64"/>
      <c r="PB54" s="64"/>
      <c r="PC54" s="64"/>
      <c r="PD54" s="64"/>
      <c r="PE54" s="64"/>
      <c r="PF54" s="64"/>
      <c r="PG54" s="64"/>
      <c r="PH54" s="64"/>
      <c r="PI54" s="64"/>
      <c r="PJ54" s="64"/>
      <c r="PK54" s="64"/>
      <c r="PL54" s="64"/>
      <c r="PM54" s="64"/>
      <c r="PN54" s="64"/>
      <c r="PO54" s="64"/>
      <c r="PP54" s="64"/>
      <c r="PQ54" s="64"/>
      <c r="PR54" s="64"/>
      <c r="PS54" s="64"/>
      <c r="PT54" s="64"/>
      <c r="PU54" s="64"/>
      <c r="PV54" s="64"/>
      <c r="PW54" s="64"/>
      <c r="PX54" s="64"/>
      <c r="PY54" s="64"/>
      <c r="PZ54" s="64"/>
      <c r="QA54" s="64"/>
      <c r="QB54" s="64"/>
      <c r="QC54" s="64"/>
      <c r="QD54" s="64"/>
      <c r="QE54" s="64"/>
      <c r="QF54" s="64"/>
      <c r="QG54" s="64"/>
      <c r="QH54" s="64"/>
      <c r="QI54" s="64"/>
      <c r="QJ54" s="64"/>
      <c r="QK54" s="64"/>
      <c r="QL54" s="64"/>
      <c r="QM54" s="64"/>
      <c r="QN54" s="64"/>
      <c r="QO54" s="64"/>
      <c r="QP54" s="64"/>
      <c r="QQ54" s="64"/>
      <c r="QR54" s="64"/>
      <c r="QS54" s="64"/>
      <c r="QT54" s="64"/>
      <c r="QU54" s="64"/>
      <c r="QV54" s="64"/>
      <c r="QW54" s="64"/>
      <c r="QX54" s="64"/>
      <c r="QY54" s="64"/>
      <c r="QZ54" s="64"/>
      <c r="RA54" s="64"/>
      <c r="RB54" s="64"/>
      <c r="RC54" s="64"/>
      <c r="RD54" s="64"/>
      <c r="RE54" s="64"/>
      <c r="RF54" s="64"/>
      <c r="RG54" s="64"/>
      <c r="RH54" s="64"/>
      <c r="RI54" s="64"/>
      <c r="RJ54" s="64"/>
      <c r="RK54" s="64"/>
      <c r="RL54" s="64"/>
      <c r="RM54" s="64"/>
      <c r="RN54" s="64"/>
      <c r="RO54" s="64"/>
      <c r="RP54" s="64"/>
      <c r="RQ54" s="64"/>
      <c r="RR54" s="64"/>
      <c r="RS54" s="64"/>
      <c r="RT54" s="64"/>
      <c r="RU54" s="64"/>
      <c r="RV54" s="64"/>
      <c r="RW54" s="64"/>
      <c r="RX54" s="64"/>
      <c r="RY54" s="64"/>
      <c r="RZ54" s="64"/>
      <c r="SA54" s="64"/>
      <c r="SB54" s="64"/>
      <c r="SC54" s="64"/>
      <c r="SD54" s="64"/>
      <c r="SE54" s="64"/>
      <c r="SF54" s="64"/>
      <c r="SG54" s="64"/>
      <c r="SH54" s="64"/>
      <c r="SI54" s="64"/>
      <c r="SJ54" s="64"/>
      <c r="SK54" s="64"/>
      <c r="SL54" s="64"/>
      <c r="SM54" s="64"/>
      <c r="SN54" s="64"/>
      <c r="SO54" s="64"/>
      <c r="SP54" s="64"/>
      <c r="SQ54" s="64"/>
      <c r="SR54" s="64"/>
      <c r="SS54" s="64"/>
      <c r="ST54" s="64"/>
      <c r="SU54" s="64"/>
      <c r="SV54" s="64"/>
      <c r="SW54" s="64"/>
      <c r="SX54" s="64"/>
      <c r="SY54" s="64"/>
      <c r="SZ54" s="64"/>
      <c r="TA54" s="64"/>
      <c r="TB54" s="64"/>
      <c r="TC54" s="64"/>
      <c r="TD54" s="64"/>
      <c r="TE54" s="64"/>
      <c r="TF54" s="64"/>
      <c r="TG54" s="64"/>
      <c r="TH54" s="64"/>
      <c r="TI54" s="64"/>
      <c r="TJ54" s="64"/>
      <c r="TK54" s="64"/>
      <c r="TL54" s="64"/>
      <c r="TM54" s="64"/>
      <c r="TN54" s="64"/>
      <c r="TO54" s="64"/>
      <c r="TP54" s="64"/>
      <c r="TQ54" s="64"/>
      <c r="TR54" s="64"/>
      <c r="TS54" s="64"/>
      <c r="TT54" s="64"/>
      <c r="TU54" s="64"/>
      <c r="TV54" s="64"/>
      <c r="TW54" s="64"/>
      <c r="TX54" s="64"/>
      <c r="TY54" s="64"/>
      <c r="TZ54" s="64"/>
      <c r="UA54" s="64"/>
      <c r="UB54" s="64"/>
      <c r="UC54" s="64"/>
      <c r="UD54" s="64"/>
      <c r="UE54" s="64"/>
      <c r="UF54" s="64"/>
      <c r="UG54" s="64"/>
      <c r="UH54" s="64"/>
      <c r="UI54" s="64"/>
      <c r="UJ54" s="64"/>
      <c r="UK54" s="64"/>
      <c r="UL54" s="64"/>
      <c r="UM54" s="64"/>
      <c r="UN54" s="64"/>
      <c r="UO54" s="64"/>
      <c r="UP54" s="64"/>
      <c r="UQ54" s="64"/>
      <c r="UR54" s="64"/>
      <c r="US54" s="64"/>
      <c r="UT54" s="64"/>
      <c r="UU54" s="64"/>
      <c r="UV54" s="64"/>
      <c r="UW54" s="64"/>
      <c r="UX54" s="64"/>
      <c r="UY54" s="64"/>
      <c r="UZ54" s="64"/>
      <c r="VA54" s="64"/>
      <c r="VB54" s="64"/>
      <c r="VC54" s="64"/>
      <c r="VD54" s="64"/>
      <c r="VE54" s="64"/>
      <c r="VF54" s="64"/>
      <c r="VG54" s="64"/>
      <c r="VH54" s="64"/>
      <c r="VI54" s="64"/>
      <c r="VJ54" s="64"/>
    </row>
    <row r="55" spans="3:582" s="47" customFormat="1" ht="21.75" customHeight="1" x14ac:dyDescent="0.25">
      <c r="C55" s="64"/>
      <c r="D55" s="64"/>
      <c r="E55" s="64"/>
      <c r="F55" s="67"/>
      <c r="G55" s="600" t="s">
        <v>636</v>
      </c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0"/>
      <c r="Y55" s="600"/>
      <c r="Z55" s="600"/>
      <c r="AA55" s="600"/>
      <c r="AB55" s="600"/>
      <c r="AC55" s="600"/>
      <c r="AD55" s="600"/>
      <c r="AE55" s="600"/>
      <c r="AF55" s="600"/>
      <c r="AG55" s="600"/>
      <c r="AH55" s="600"/>
      <c r="AI55" s="600"/>
      <c r="AJ55" s="600"/>
      <c r="AK55" s="600"/>
      <c r="AL55" s="600"/>
      <c r="AM55" s="600"/>
      <c r="AN55" s="600"/>
      <c r="AO55" s="600"/>
      <c r="AP55" s="600"/>
      <c r="AQ55" s="600"/>
      <c r="AR55" s="600"/>
      <c r="AS55" s="600"/>
      <c r="AT55" s="600"/>
      <c r="AU55" s="600"/>
      <c r="AV55" s="600"/>
      <c r="AW55" s="600"/>
      <c r="AX55" s="600"/>
      <c r="AY55" s="600"/>
      <c r="AZ55" s="600"/>
      <c r="BA55" s="600"/>
      <c r="BB55" s="600"/>
      <c r="BC55" s="600"/>
      <c r="BD55" s="600"/>
      <c r="BE55" s="600"/>
      <c r="BF55" s="600"/>
      <c r="BG55" s="600"/>
      <c r="BH55" s="600"/>
      <c r="BI55" s="600"/>
      <c r="BJ55" s="600"/>
      <c r="BK55" s="600"/>
      <c r="BL55" s="600"/>
      <c r="BM55" s="600"/>
      <c r="BN55" s="600"/>
      <c r="BO55" s="600"/>
      <c r="BP55" s="600"/>
      <c r="BQ55" s="600"/>
      <c r="BR55" s="600"/>
      <c r="BS55" s="600"/>
      <c r="BT55" s="600"/>
      <c r="BU55" s="600"/>
      <c r="BV55" s="600"/>
      <c r="BW55" s="600"/>
      <c r="BX55" s="600"/>
      <c r="BY55" s="600"/>
      <c r="BZ55" s="600"/>
      <c r="CA55" s="600"/>
      <c r="CB55" s="600"/>
      <c r="CC55" s="600"/>
      <c r="CD55" s="600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  <c r="QI55" s="64"/>
      <c r="QJ55" s="64"/>
      <c r="QK55" s="64"/>
      <c r="QL55" s="64"/>
      <c r="QM55" s="64"/>
      <c r="QN55" s="64"/>
      <c r="QO55" s="64"/>
      <c r="QP55" s="64"/>
      <c r="QQ55" s="64"/>
      <c r="QR55" s="64"/>
      <c r="QS55" s="64"/>
      <c r="QT55" s="64"/>
      <c r="QU55" s="64"/>
      <c r="QV55" s="64"/>
      <c r="QW55" s="64"/>
      <c r="QX55" s="64"/>
      <c r="QY55" s="64"/>
      <c r="QZ55" s="64"/>
      <c r="RA55" s="64"/>
      <c r="RB55" s="64"/>
      <c r="RC55" s="64"/>
      <c r="RD55" s="64"/>
      <c r="RE55" s="64"/>
      <c r="RF55" s="64"/>
      <c r="RG55" s="64"/>
      <c r="RH55" s="64"/>
      <c r="RI55" s="64"/>
      <c r="RJ55" s="64"/>
      <c r="RK55" s="64"/>
      <c r="RL55" s="64"/>
      <c r="RM55" s="64"/>
      <c r="RN55" s="64"/>
      <c r="RO55" s="64"/>
      <c r="RP55" s="64"/>
      <c r="RQ55" s="64"/>
      <c r="RR55" s="64"/>
      <c r="RS55" s="64"/>
      <c r="RT55" s="64"/>
      <c r="RU55" s="64"/>
      <c r="RV55" s="64"/>
      <c r="RW55" s="64"/>
      <c r="RX55" s="64"/>
      <c r="RY55" s="64"/>
      <c r="RZ55" s="64"/>
      <c r="SA55" s="64"/>
      <c r="SB55" s="64"/>
      <c r="SC55" s="64"/>
      <c r="SD55" s="64"/>
      <c r="SE55" s="64"/>
      <c r="SF55" s="64"/>
      <c r="SG55" s="64"/>
      <c r="SH55" s="64"/>
      <c r="SI55" s="64"/>
      <c r="SJ55" s="64"/>
      <c r="SK55" s="64"/>
      <c r="SL55" s="64"/>
      <c r="SM55" s="64"/>
      <c r="SN55" s="64"/>
      <c r="SO55" s="64"/>
      <c r="SP55" s="64"/>
      <c r="SQ55" s="64"/>
      <c r="SR55" s="64"/>
      <c r="SS55" s="64"/>
      <c r="ST55" s="64"/>
      <c r="SU55" s="64"/>
      <c r="SV55" s="64"/>
      <c r="SW55" s="64"/>
      <c r="SX55" s="64"/>
      <c r="SY55" s="64"/>
      <c r="SZ55" s="64"/>
      <c r="TA55" s="64"/>
      <c r="TB55" s="64"/>
      <c r="TC55" s="64"/>
      <c r="TD55" s="64"/>
      <c r="TE55" s="64"/>
      <c r="TF55" s="64"/>
      <c r="TG55" s="64"/>
      <c r="TH55" s="64"/>
      <c r="TI55" s="64"/>
      <c r="TJ55" s="64"/>
      <c r="TK55" s="64"/>
      <c r="TL55" s="64"/>
      <c r="TM55" s="64"/>
      <c r="TN55" s="64"/>
      <c r="TO55" s="64"/>
      <c r="TP55" s="64"/>
      <c r="TQ55" s="64"/>
      <c r="TR55" s="64"/>
      <c r="TS55" s="64"/>
      <c r="TT55" s="64"/>
      <c r="TU55" s="64"/>
      <c r="TV55" s="64"/>
      <c r="TW55" s="64"/>
      <c r="TX55" s="64"/>
      <c r="TY55" s="64"/>
      <c r="TZ55" s="64"/>
      <c r="UA55" s="64"/>
      <c r="UB55" s="64"/>
      <c r="UC55" s="64"/>
      <c r="UD55" s="64"/>
      <c r="UE55" s="64"/>
      <c r="UF55" s="64"/>
      <c r="UG55" s="64"/>
      <c r="UH55" s="64"/>
      <c r="UI55" s="64"/>
      <c r="UJ55" s="64"/>
      <c r="UK55" s="64"/>
      <c r="UL55" s="64"/>
      <c r="UM55" s="64"/>
      <c r="UN55" s="64"/>
      <c r="UO55" s="64"/>
      <c r="UP55" s="64"/>
      <c r="UQ55" s="64"/>
      <c r="UR55" s="64"/>
      <c r="US55" s="64"/>
      <c r="UT55" s="64"/>
      <c r="UU55" s="64"/>
      <c r="UV55" s="64"/>
      <c r="UW55" s="64"/>
      <c r="UX55" s="64"/>
      <c r="UY55" s="64"/>
      <c r="UZ55" s="64"/>
      <c r="VA55" s="64"/>
      <c r="VB55" s="64"/>
      <c r="VC55" s="64"/>
      <c r="VD55" s="64"/>
      <c r="VE55" s="64"/>
      <c r="VF55" s="64"/>
      <c r="VG55" s="64"/>
      <c r="VH55" s="64"/>
      <c r="VI55" s="64"/>
      <c r="VJ55" s="64"/>
    </row>
    <row r="56" spans="3:582" s="47" customFormat="1" ht="16.149999999999999" customHeight="1" x14ac:dyDescent="0.25">
      <c r="C56" s="64"/>
      <c r="D56" s="64"/>
      <c r="E56" s="64"/>
      <c r="F56" s="64"/>
      <c r="G56" s="599" t="s">
        <v>95</v>
      </c>
      <c r="H56" s="599"/>
      <c r="I56" s="599"/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  <c r="AH56" s="599"/>
      <c r="AI56" s="599"/>
      <c r="AJ56" s="599"/>
      <c r="AK56" s="599"/>
      <c r="AL56" s="599"/>
      <c r="AM56" s="599"/>
      <c r="AN56" s="599"/>
      <c r="AO56" s="599"/>
      <c r="AP56" s="599"/>
      <c r="AQ56" s="599"/>
      <c r="AR56" s="599"/>
      <c r="AS56" s="599"/>
      <c r="AT56" s="599"/>
      <c r="AU56" s="599"/>
      <c r="AV56" s="599"/>
      <c r="AW56" s="599"/>
      <c r="AX56" s="599"/>
      <c r="AY56" s="599"/>
      <c r="AZ56" s="599"/>
      <c r="BA56" s="599"/>
      <c r="BB56" s="599"/>
      <c r="BC56" s="599"/>
      <c r="BD56" s="599"/>
      <c r="BE56" s="599"/>
      <c r="BF56" s="599"/>
      <c r="BG56" s="599"/>
      <c r="BH56" s="599"/>
      <c r="BI56" s="599"/>
      <c r="BJ56" s="599"/>
      <c r="BK56" s="599"/>
      <c r="BL56" s="599"/>
      <c r="BM56" s="599"/>
      <c r="BN56" s="599"/>
      <c r="BO56" s="599"/>
      <c r="BP56" s="599"/>
      <c r="BQ56" s="599"/>
      <c r="BR56" s="599"/>
      <c r="BS56" s="599"/>
      <c r="BT56" s="599"/>
      <c r="BU56" s="599"/>
      <c r="BV56" s="599"/>
      <c r="BW56" s="599"/>
      <c r="BX56" s="599"/>
      <c r="BY56" s="599"/>
      <c r="BZ56" s="599"/>
      <c r="CA56" s="599"/>
      <c r="CB56" s="599"/>
      <c r="CC56" s="599"/>
      <c r="CD56" s="599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  <c r="QI56" s="64"/>
      <c r="QJ56" s="64"/>
      <c r="QK56" s="64"/>
      <c r="QL56" s="64"/>
      <c r="QM56" s="64"/>
      <c r="QN56" s="64"/>
      <c r="QO56" s="64"/>
      <c r="QP56" s="64"/>
      <c r="QQ56" s="64"/>
      <c r="QR56" s="64"/>
      <c r="QS56" s="64"/>
      <c r="QT56" s="64"/>
      <c r="QU56" s="64"/>
      <c r="QV56" s="64"/>
      <c r="QW56" s="64"/>
      <c r="QX56" s="64"/>
      <c r="QY56" s="64"/>
      <c r="QZ56" s="64"/>
      <c r="RA56" s="64"/>
      <c r="RB56" s="64"/>
      <c r="RC56" s="64"/>
      <c r="RD56" s="64"/>
      <c r="RE56" s="64"/>
      <c r="RF56" s="64"/>
      <c r="RG56" s="64"/>
      <c r="RH56" s="64"/>
      <c r="RI56" s="64"/>
      <c r="RJ56" s="64"/>
      <c r="RK56" s="64"/>
      <c r="RL56" s="64"/>
      <c r="RM56" s="64"/>
      <c r="RN56" s="64"/>
      <c r="RO56" s="64"/>
      <c r="RP56" s="64"/>
      <c r="RQ56" s="64"/>
      <c r="RR56" s="64"/>
      <c r="RS56" s="64"/>
      <c r="RT56" s="64"/>
      <c r="RU56" s="64"/>
      <c r="RV56" s="64"/>
      <c r="RW56" s="64"/>
      <c r="RX56" s="64"/>
      <c r="RY56" s="64"/>
      <c r="RZ56" s="64"/>
      <c r="SA56" s="64"/>
      <c r="SB56" s="64"/>
      <c r="SC56" s="64"/>
      <c r="SD56" s="64"/>
      <c r="SE56" s="64"/>
      <c r="SF56" s="64"/>
      <c r="SG56" s="64"/>
      <c r="SH56" s="64"/>
      <c r="SI56" s="64"/>
      <c r="SJ56" s="64"/>
      <c r="SK56" s="64"/>
      <c r="SL56" s="64"/>
      <c r="SM56" s="64"/>
      <c r="SN56" s="64"/>
      <c r="SO56" s="64"/>
      <c r="SP56" s="64"/>
      <c r="SQ56" s="64"/>
      <c r="SR56" s="64"/>
      <c r="SS56" s="64"/>
      <c r="ST56" s="64"/>
      <c r="SU56" s="64"/>
      <c r="SV56" s="64"/>
      <c r="SW56" s="64"/>
      <c r="SX56" s="64"/>
      <c r="SY56" s="64"/>
      <c r="SZ56" s="64"/>
      <c r="TA56" s="64"/>
      <c r="TB56" s="64"/>
      <c r="TC56" s="64"/>
      <c r="TD56" s="64"/>
      <c r="TE56" s="64"/>
      <c r="TF56" s="64"/>
      <c r="TG56" s="64"/>
      <c r="TH56" s="64"/>
      <c r="TI56" s="64"/>
      <c r="TJ56" s="64"/>
      <c r="TK56" s="64"/>
      <c r="TL56" s="64"/>
      <c r="TM56" s="64"/>
      <c r="TN56" s="64"/>
      <c r="TO56" s="64"/>
      <c r="TP56" s="64"/>
      <c r="TQ56" s="64"/>
      <c r="TR56" s="64"/>
      <c r="TS56" s="64"/>
      <c r="TT56" s="64"/>
      <c r="TU56" s="64"/>
      <c r="TV56" s="64"/>
      <c r="TW56" s="64"/>
      <c r="TX56" s="64"/>
      <c r="TY56" s="64"/>
      <c r="TZ56" s="64"/>
      <c r="UA56" s="64"/>
      <c r="UB56" s="64"/>
      <c r="UC56" s="64"/>
      <c r="UD56" s="64"/>
      <c r="UE56" s="64"/>
      <c r="UF56" s="64"/>
      <c r="UG56" s="64"/>
      <c r="UH56" s="64"/>
      <c r="UI56" s="64"/>
      <c r="UJ56" s="64"/>
      <c r="UK56" s="64"/>
      <c r="UL56" s="64"/>
      <c r="UM56" s="64"/>
      <c r="UN56" s="64"/>
      <c r="UO56" s="64"/>
      <c r="UP56" s="64"/>
      <c r="UQ56" s="64"/>
      <c r="UR56" s="64"/>
      <c r="US56" s="64"/>
      <c r="UT56" s="64"/>
      <c r="UU56" s="64"/>
      <c r="UV56" s="64"/>
      <c r="UW56" s="64"/>
      <c r="UX56" s="64"/>
      <c r="UY56" s="64"/>
      <c r="UZ56" s="64"/>
      <c r="VA56" s="64"/>
      <c r="VB56" s="64"/>
      <c r="VC56" s="64"/>
      <c r="VD56" s="64"/>
      <c r="VE56" s="64"/>
      <c r="VF56" s="64"/>
      <c r="VG56" s="64"/>
      <c r="VH56" s="64"/>
      <c r="VI56" s="64"/>
      <c r="VJ56" s="64"/>
    </row>
    <row r="57" spans="3:582" s="47" customFormat="1" ht="6" hidden="1" customHeight="1" x14ac:dyDescent="0.2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  <c r="QI57" s="64"/>
      <c r="QJ57" s="64"/>
      <c r="QK57" s="64"/>
      <c r="QL57" s="64"/>
      <c r="QM57" s="64"/>
      <c r="QN57" s="64"/>
      <c r="QO57" s="64"/>
      <c r="QP57" s="64"/>
      <c r="QQ57" s="64"/>
      <c r="QR57" s="64"/>
      <c r="QS57" s="64"/>
      <c r="QT57" s="64"/>
      <c r="QU57" s="64"/>
      <c r="QV57" s="64"/>
      <c r="QW57" s="64"/>
      <c r="QX57" s="64"/>
      <c r="QY57" s="64"/>
      <c r="QZ57" s="64"/>
      <c r="RA57" s="64"/>
      <c r="RB57" s="64"/>
      <c r="RC57" s="64"/>
      <c r="RD57" s="64"/>
      <c r="RE57" s="64"/>
      <c r="RF57" s="64"/>
      <c r="RG57" s="64"/>
      <c r="RH57" s="64"/>
      <c r="RI57" s="64"/>
      <c r="RJ57" s="64"/>
      <c r="RK57" s="64"/>
      <c r="RL57" s="64"/>
      <c r="RM57" s="64"/>
      <c r="RN57" s="64"/>
      <c r="RO57" s="64"/>
      <c r="RP57" s="64"/>
      <c r="RQ57" s="64"/>
      <c r="RR57" s="64"/>
      <c r="RS57" s="64"/>
      <c r="RT57" s="64"/>
      <c r="RU57" s="64"/>
      <c r="RV57" s="64"/>
      <c r="RW57" s="64"/>
      <c r="RX57" s="64"/>
      <c r="RY57" s="64"/>
      <c r="RZ57" s="64"/>
      <c r="SA57" s="64"/>
      <c r="SB57" s="64"/>
      <c r="SC57" s="64"/>
      <c r="SD57" s="64"/>
      <c r="SE57" s="64"/>
      <c r="SF57" s="64"/>
      <c r="SG57" s="64"/>
      <c r="SH57" s="64"/>
      <c r="SI57" s="64"/>
      <c r="SJ57" s="64"/>
      <c r="SK57" s="64"/>
      <c r="SL57" s="64"/>
      <c r="SM57" s="64"/>
      <c r="SN57" s="64"/>
      <c r="SO57" s="64"/>
      <c r="SP57" s="64"/>
      <c r="SQ57" s="64"/>
      <c r="SR57" s="64"/>
      <c r="SS57" s="64"/>
      <c r="ST57" s="64"/>
      <c r="SU57" s="64"/>
      <c r="SV57" s="64"/>
      <c r="SW57" s="64"/>
      <c r="SX57" s="64"/>
      <c r="SY57" s="64"/>
      <c r="SZ57" s="64"/>
      <c r="TA57" s="64"/>
      <c r="TB57" s="64"/>
      <c r="TC57" s="64"/>
      <c r="TD57" s="64"/>
      <c r="TE57" s="64"/>
      <c r="TF57" s="64"/>
      <c r="TG57" s="64"/>
      <c r="TH57" s="64"/>
      <c r="TI57" s="64"/>
      <c r="TJ57" s="64"/>
      <c r="TK57" s="64"/>
      <c r="TL57" s="64"/>
      <c r="TM57" s="64"/>
      <c r="TN57" s="64"/>
      <c r="TO57" s="64"/>
      <c r="TP57" s="64"/>
      <c r="TQ57" s="64"/>
      <c r="TR57" s="64"/>
      <c r="TS57" s="64"/>
      <c r="TT57" s="64"/>
      <c r="TU57" s="64"/>
      <c r="TV57" s="64"/>
      <c r="TW57" s="64"/>
      <c r="TX57" s="64"/>
      <c r="TY57" s="64"/>
      <c r="TZ57" s="64"/>
      <c r="UA57" s="64"/>
      <c r="UB57" s="64"/>
      <c r="UC57" s="64"/>
      <c r="UD57" s="64"/>
      <c r="UE57" s="64"/>
      <c r="UF57" s="64"/>
      <c r="UG57" s="64"/>
      <c r="UH57" s="64"/>
      <c r="UI57" s="64"/>
      <c r="UJ57" s="64"/>
      <c r="UK57" s="64"/>
      <c r="UL57" s="64"/>
      <c r="UM57" s="64"/>
      <c r="UN57" s="64"/>
      <c r="UO57" s="64"/>
      <c r="UP57" s="64"/>
      <c r="UQ57" s="64"/>
      <c r="UR57" s="64"/>
      <c r="US57" s="64"/>
      <c r="UT57" s="64"/>
      <c r="UU57" s="64"/>
      <c r="UV57" s="64"/>
      <c r="UW57" s="64"/>
      <c r="UX57" s="64"/>
      <c r="UY57" s="64"/>
      <c r="UZ57" s="64"/>
      <c r="VA57" s="64"/>
      <c r="VB57" s="64"/>
      <c r="VC57" s="64"/>
      <c r="VD57" s="64"/>
      <c r="VE57" s="64"/>
      <c r="VF57" s="64"/>
      <c r="VG57" s="64"/>
      <c r="VH57" s="64"/>
      <c r="VI57" s="64"/>
      <c r="VJ57" s="64"/>
    </row>
    <row r="58" spans="3:582" s="47" customFormat="1" ht="3" hidden="1" customHeight="1" x14ac:dyDescent="0.25">
      <c r="C58" s="64"/>
      <c r="D58" s="64"/>
      <c r="E58" s="64"/>
      <c r="F58" s="64"/>
      <c r="G58" s="596" t="s">
        <v>616</v>
      </c>
      <c r="H58" s="596"/>
      <c r="I58" s="596"/>
      <c r="J58" s="596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96"/>
      <c r="AB58" s="596"/>
      <c r="AC58" s="596"/>
      <c r="AD58" s="596"/>
      <c r="AE58" s="596"/>
      <c r="AF58" s="596"/>
      <c r="AG58" s="596"/>
      <c r="AH58" s="596"/>
      <c r="AI58" s="596"/>
      <c r="AJ58" s="596"/>
      <c r="AK58" s="596"/>
      <c r="AL58" s="596"/>
      <c r="AM58" s="596"/>
      <c r="AN58" s="596"/>
      <c r="AO58" s="596"/>
      <c r="AP58" s="596"/>
      <c r="AQ58" s="596"/>
      <c r="AR58" s="596"/>
      <c r="AS58" s="596"/>
      <c r="AT58" s="596"/>
      <c r="AU58" s="596"/>
      <c r="AV58" s="596"/>
      <c r="AW58" s="596"/>
      <c r="AX58" s="596"/>
      <c r="AY58" s="596"/>
      <c r="AZ58" s="596"/>
      <c r="BA58" s="596"/>
      <c r="BB58" s="596"/>
      <c r="BC58" s="596"/>
      <c r="BD58" s="596"/>
      <c r="BE58" s="596"/>
      <c r="BF58" s="596"/>
      <c r="BG58" s="596"/>
      <c r="BH58" s="596"/>
      <c r="BI58" s="596"/>
      <c r="BJ58" s="596"/>
      <c r="BK58" s="596"/>
      <c r="BL58" s="596"/>
      <c r="BM58" s="596"/>
      <c r="BN58" s="596"/>
      <c r="BO58" s="596"/>
      <c r="BP58" s="596"/>
      <c r="BQ58" s="596"/>
      <c r="BR58" s="596"/>
      <c r="BS58" s="596"/>
      <c r="BT58" s="596"/>
      <c r="BU58" s="596"/>
      <c r="BV58" s="596"/>
      <c r="BW58" s="596"/>
      <c r="BX58" s="596"/>
      <c r="BY58" s="596"/>
      <c r="BZ58" s="596"/>
      <c r="CA58" s="596"/>
      <c r="CB58" s="596"/>
      <c r="CC58" s="596"/>
      <c r="CD58" s="596"/>
      <c r="CE58" s="596"/>
      <c r="CF58" s="596"/>
      <c r="CG58" s="596"/>
      <c r="CH58" s="596"/>
      <c r="CI58" s="596"/>
      <c r="CJ58" s="596"/>
      <c r="CK58" s="596"/>
      <c r="CL58" s="596"/>
      <c r="CM58" s="596"/>
      <c r="CN58" s="596"/>
      <c r="CO58" s="596"/>
      <c r="CP58" s="596"/>
      <c r="CQ58" s="596"/>
      <c r="CR58" s="596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  <c r="QI58" s="64"/>
      <c r="QJ58" s="64"/>
      <c r="QK58" s="64"/>
      <c r="QL58" s="64"/>
      <c r="QM58" s="64"/>
      <c r="QN58" s="64"/>
      <c r="QO58" s="64"/>
      <c r="QP58" s="64"/>
      <c r="QQ58" s="64"/>
      <c r="QR58" s="64"/>
      <c r="QS58" s="64"/>
      <c r="QT58" s="64"/>
      <c r="QU58" s="64"/>
      <c r="QV58" s="64"/>
      <c r="QW58" s="64"/>
      <c r="QX58" s="64"/>
      <c r="QY58" s="64"/>
      <c r="QZ58" s="64"/>
      <c r="RA58" s="64"/>
      <c r="RB58" s="64"/>
      <c r="RC58" s="64"/>
      <c r="RD58" s="64"/>
      <c r="RE58" s="64"/>
      <c r="RF58" s="64"/>
      <c r="RG58" s="64"/>
      <c r="RH58" s="64"/>
      <c r="RI58" s="64"/>
      <c r="RJ58" s="64"/>
      <c r="RK58" s="64"/>
      <c r="RL58" s="64"/>
      <c r="RM58" s="64"/>
      <c r="RN58" s="64"/>
      <c r="RO58" s="64"/>
      <c r="RP58" s="64"/>
      <c r="RQ58" s="64"/>
      <c r="RR58" s="64"/>
      <c r="RS58" s="64"/>
      <c r="RT58" s="64"/>
      <c r="RU58" s="64"/>
      <c r="RV58" s="64"/>
      <c r="RW58" s="64"/>
      <c r="RX58" s="64"/>
      <c r="RY58" s="64"/>
      <c r="RZ58" s="64"/>
      <c r="SA58" s="64"/>
      <c r="SB58" s="64"/>
      <c r="SC58" s="64"/>
      <c r="SD58" s="64"/>
      <c r="SE58" s="64"/>
      <c r="SF58" s="64"/>
      <c r="SG58" s="64"/>
      <c r="SH58" s="64"/>
      <c r="SI58" s="64"/>
      <c r="SJ58" s="64"/>
      <c r="SK58" s="64"/>
      <c r="SL58" s="64"/>
      <c r="SM58" s="64"/>
      <c r="SN58" s="64"/>
      <c r="SO58" s="64"/>
      <c r="SP58" s="64"/>
      <c r="SQ58" s="64"/>
      <c r="SR58" s="64"/>
      <c r="SS58" s="64"/>
      <c r="ST58" s="64"/>
      <c r="SU58" s="64"/>
      <c r="SV58" s="64"/>
      <c r="SW58" s="64"/>
      <c r="SX58" s="64"/>
      <c r="SY58" s="64"/>
      <c r="SZ58" s="64"/>
      <c r="TA58" s="64"/>
      <c r="TB58" s="64"/>
      <c r="TC58" s="64"/>
      <c r="TD58" s="64"/>
      <c r="TE58" s="64"/>
      <c r="TF58" s="64"/>
      <c r="TG58" s="64"/>
      <c r="TH58" s="64"/>
      <c r="TI58" s="64"/>
      <c r="TJ58" s="64"/>
      <c r="TK58" s="64"/>
      <c r="TL58" s="64"/>
      <c r="TM58" s="64"/>
      <c r="TN58" s="64"/>
      <c r="TO58" s="64"/>
      <c r="TP58" s="64"/>
      <c r="TQ58" s="64"/>
      <c r="TR58" s="64"/>
      <c r="TS58" s="64"/>
      <c r="TT58" s="64"/>
      <c r="TU58" s="64"/>
      <c r="TV58" s="64"/>
      <c r="TW58" s="64"/>
      <c r="TX58" s="64"/>
      <c r="TY58" s="64"/>
      <c r="TZ58" s="64"/>
      <c r="UA58" s="64"/>
      <c r="UB58" s="64"/>
      <c r="UC58" s="64"/>
      <c r="UD58" s="64"/>
      <c r="UE58" s="64"/>
      <c r="UF58" s="64"/>
      <c r="UG58" s="64"/>
      <c r="UH58" s="64"/>
      <c r="UI58" s="64"/>
      <c r="UJ58" s="64"/>
      <c r="UK58" s="64"/>
      <c r="UL58" s="64"/>
      <c r="UM58" s="64"/>
      <c r="UN58" s="64"/>
      <c r="UO58" s="64"/>
      <c r="UP58" s="64"/>
      <c r="UQ58" s="64"/>
      <c r="UR58" s="64"/>
      <c r="US58" s="64"/>
      <c r="UT58" s="64"/>
      <c r="UU58" s="64"/>
      <c r="UV58" s="64"/>
      <c r="UW58" s="64"/>
      <c r="UX58" s="64"/>
      <c r="UY58" s="64"/>
      <c r="UZ58" s="64"/>
      <c r="VA58" s="64"/>
      <c r="VB58" s="64"/>
      <c r="VC58" s="64"/>
      <c r="VD58" s="64"/>
      <c r="VE58" s="64"/>
      <c r="VF58" s="64"/>
      <c r="VG58" s="64"/>
      <c r="VH58" s="64"/>
      <c r="VI58" s="64"/>
      <c r="VJ58" s="64"/>
    </row>
    <row r="59" spans="3:582" ht="13.9" hidden="1" customHeight="1" x14ac:dyDescent="0.25">
      <c r="C59" s="64"/>
      <c r="D59" s="64"/>
      <c r="E59" s="64"/>
      <c r="F59" s="64"/>
      <c r="G59" s="596"/>
      <c r="H59" s="596"/>
      <c r="I59" s="596"/>
      <c r="J59" s="596"/>
      <c r="K59" s="596"/>
      <c r="L59" s="596"/>
      <c r="M59" s="596"/>
      <c r="N59" s="596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  <c r="Z59" s="596"/>
      <c r="AA59" s="596"/>
      <c r="AB59" s="596"/>
      <c r="AC59" s="596"/>
      <c r="AD59" s="596"/>
      <c r="AE59" s="596"/>
      <c r="AF59" s="596"/>
      <c r="AG59" s="596"/>
      <c r="AH59" s="596"/>
      <c r="AI59" s="596"/>
      <c r="AJ59" s="596"/>
      <c r="AK59" s="596"/>
      <c r="AL59" s="596"/>
      <c r="AM59" s="596"/>
      <c r="AN59" s="596"/>
      <c r="AO59" s="596"/>
      <c r="AP59" s="596"/>
      <c r="AQ59" s="596"/>
      <c r="AR59" s="596"/>
      <c r="AS59" s="596"/>
      <c r="AT59" s="596"/>
      <c r="AU59" s="596"/>
      <c r="AV59" s="596"/>
      <c r="AW59" s="596"/>
      <c r="AX59" s="596"/>
      <c r="AY59" s="596"/>
      <c r="AZ59" s="596"/>
      <c r="BA59" s="596"/>
      <c r="BB59" s="596"/>
      <c r="BC59" s="596"/>
      <c r="BD59" s="596"/>
      <c r="BE59" s="596"/>
      <c r="BF59" s="596"/>
      <c r="BG59" s="596"/>
      <c r="BH59" s="596"/>
      <c r="BI59" s="596"/>
      <c r="BJ59" s="596"/>
      <c r="BK59" s="596"/>
      <c r="BL59" s="596"/>
      <c r="BM59" s="596"/>
      <c r="BN59" s="596"/>
      <c r="BO59" s="596"/>
      <c r="BP59" s="596"/>
      <c r="BQ59" s="596"/>
      <c r="BR59" s="596"/>
      <c r="BS59" s="596"/>
      <c r="BT59" s="596"/>
      <c r="BU59" s="596"/>
      <c r="BV59" s="596"/>
      <c r="BW59" s="596"/>
      <c r="BX59" s="596"/>
      <c r="BY59" s="596"/>
      <c r="BZ59" s="596"/>
      <c r="CA59" s="596"/>
      <c r="CB59" s="596"/>
      <c r="CC59" s="596"/>
      <c r="CD59" s="596"/>
      <c r="CE59" s="596"/>
      <c r="CF59" s="596"/>
      <c r="CG59" s="596"/>
      <c r="CH59" s="596"/>
      <c r="CI59" s="596"/>
      <c r="CJ59" s="596"/>
      <c r="CK59" s="596"/>
      <c r="CL59" s="596"/>
      <c r="CM59" s="596"/>
      <c r="CN59" s="596"/>
      <c r="CO59" s="596"/>
      <c r="CP59" s="596"/>
      <c r="CQ59" s="596"/>
      <c r="CR59" s="596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  <c r="QI59" s="64"/>
      <c r="QJ59" s="64"/>
      <c r="QK59" s="64"/>
      <c r="QL59" s="64"/>
      <c r="QM59" s="64"/>
      <c r="QN59" s="64"/>
      <c r="QO59" s="64"/>
      <c r="QP59" s="64"/>
      <c r="QQ59" s="64"/>
      <c r="QR59" s="64"/>
      <c r="QS59" s="64"/>
      <c r="QT59" s="64"/>
      <c r="QU59" s="64"/>
      <c r="QV59" s="64"/>
      <c r="QW59" s="64"/>
      <c r="QX59" s="64"/>
      <c r="QY59" s="64"/>
      <c r="QZ59" s="64"/>
      <c r="RA59" s="64"/>
      <c r="RB59" s="64"/>
      <c r="RC59" s="64"/>
      <c r="RD59" s="64"/>
      <c r="RE59" s="64"/>
      <c r="RF59" s="64"/>
      <c r="RG59" s="64"/>
      <c r="RH59" s="64"/>
      <c r="RI59" s="64"/>
      <c r="RJ59" s="64"/>
      <c r="RK59" s="64"/>
      <c r="RL59" s="64"/>
      <c r="RM59" s="64"/>
      <c r="RN59" s="64"/>
      <c r="RO59" s="64"/>
      <c r="RP59" s="64"/>
      <c r="RQ59" s="64"/>
      <c r="RR59" s="64"/>
      <c r="RS59" s="64"/>
      <c r="RT59" s="64"/>
      <c r="RU59" s="64"/>
      <c r="RV59" s="64"/>
      <c r="RW59" s="64"/>
      <c r="RX59" s="64"/>
      <c r="RY59" s="64"/>
      <c r="RZ59" s="64"/>
      <c r="SA59" s="64"/>
      <c r="SB59" s="64"/>
      <c r="SC59" s="64"/>
      <c r="SD59" s="64"/>
      <c r="SE59" s="64"/>
      <c r="SF59" s="64"/>
      <c r="SG59" s="64"/>
      <c r="SH59" s="64"/>
      <c r="SI59" s="64"/>
      <c r="SJ59" s="64"/>
      <c r="SK59" s="64"/>
      <c r="SL59" s="64"/>
      <c r="SM59" s="64"/>
      <c r="SN59" s="64"/>
      <c r="SO59" s="64"/>
      <c r="SP59" s="64"/>
      <c r="SQ59" s="64"/>
      <c r="SR59" s="64"/>
      <c r="SS59" s="64"/>
      <c r="ST59" s="64"/>
      <c r="SU59" s="64"/>
      <c r="SV59" s="64"/>
      <c r="SW59" s="64"/>
      <c r="SX59" s="64"/>
      <c r="SY59" s="64"/>
      <c r="SZ59" s="64"/>
      <c r="TA59" s="64"/>
      <c r="TB59" s="64"/>
      <c r="TC59" s="64"/>
      <c r="TD59" s="64"/>
      <c r="TE59" s="64"/>
      <c r="TF59" s="64"/>
      <c r="TG59" s="64"/>
      <c r="TH59" s="64"/>
      <c r="TI59" s="64"/>
      <c r="TJ59" s="64"/>
      <c r="TK59" s="64"/>
      <c r="TL59" s="64"/>
      <c r="TM59" s="64"/>
      <c r="TN59" s="64"/>
      <c r="TO59" s="64"/>
      <c r="TP59" s="64"/>
      <c r="TQ59" s="64"/>
      <c r="TR59" s="64"/>
      <c r="TS59" s="64"/>
      <c r="TT59" s="64"/>
      <c r="TU59" s="64"/>
      <c r="TV59" s="64"/>
      <c r="TW59" s="64"/>
      <c r="TX59" s="64"/>
      <c r="TY59" s="64"/>
      <c r="TZ59" s="64"/>
      <c r="UA59" s="64"/>
      <c r="UB59" s="64"/>
      <c r="UC59" s="64"/>
      <c r="UD59" s="64"/>
      <c r="UE59" s="64"/>
      <c r="UF59" s="64"/>
      <c r="UG59" s="64"/>
      <c r="UH59" s="64"/>
      <c r="UI59" s="64"/>
      <c r="UJ59" s="64"/>
      <c r="UK59" s="64"/>
      <c r="UL59" s="64"/>
      <c r="UM59" s="64"/>
      <c r="UN59" s="64"/>
      <c r="UO59" s="64"/>
      <c r="UP59" s="64"/>
      <c r="UQ59" s="64"/>
      <c r="UR59" s="64"/>
      <c r="US59" s="64"/>
      <c r="UT59" s="64"/>
      <c r="UU59" s="64"/>
      <c r="UV59" s="64"/>
      <c r="UW59" s="64"/>
      <c r="UX59" s="64"/>
      <c r="UY59" s="64"/>
      <c r="UZ59" s="64"/>
      <c r="VA59" s="64"/>
      <c r="VB59" s="64"/>
      <c r="VC59" s="64"/>
      <c r="VD59" s="64"/>
      <c r="VE59" s="64"/>
      <c r="VF59" s="64"/>
      <c r="VG59" s="64"/>
      <c r="VH59" s="64"/>
      <c r="VI59" s="64"/>
      <c r="VJ59" s="64"/>
    </row>
    <row r="60" spans="3:582" ht="13.15" hidden="1" customHeight="1" x14ac:dyDescent="0.25">
      <c r="C60" s="64"/>
      <c r="D60" s="64"/>
      <c r="E60" s="64"/>
      <c r="F60" s="64"/>
      <c r="G60" s="596"/>
      <c r="H60" s="596"/>
      <c r="I60" s="596"/>
      <c r="J60" s="596"/>
      <c r="K60" s="596"/>
      <c r="L60" s="596"/>
      <c r="M60" s="596"/>
      <c r="N60" s="596"/>
      <c r="O60" s="596"/>
      <c r="P60" s="596"/>
      <c r="Q60" s="596"/>
      <c r="R60" s="596"/>
      <c r="S60" s="596"/>
      <c r="T60" s="596"/>
      <c r="U60" s="596"/>
      <c r="V60" s="596"/>
      <c r="W60" s="596"/>
      <c r="X60" s="596"/>
      <c r="Y60" s="596"/>
      <c r="Z60" s="596"/>
      <c r="AA60" s="596"/>
      <c r="AB60" s="596"/>
      <c r="AC60" s="596"/>
      <c r="AD60" s="596"/>
      <c r="AE60" s="596"/>
      <c r="AF60" s="596"/>
      <c r="AG60" s="596"/>
      <c r="AH60" s="596"/>
      <c r="AI60" s="596"/>
      <c r="AJ60" s="596"/>
      <c r="AK60" s="596"/>
      <c r="AL60" s="596"/>
      <c r="AM60" s="596"/>
      <c r="AN60" s="596"/>
      <c r="AO60" s="596"/>
      <c r="AP60" s="596"/>
      <c r="AQ60" s="596"/>
      <c r="AR60" s="596"/>
      <c r="AS60" s="596"/>
      <c r="AT60" s="596"/>
      <c r="AU60" s="596"/>
      <c r="AV60" s="596"/>
      <c r="AW60" s="596"/>
      <c r="AX60" s="596"/>
      <c r="AY60" s="596"/>
      <c r="AZ60" s="596"/>
      <c r="BA60" s="596"/>
      <c r="BB60" s="596"/>
      <c r="BC60" s="596"/>
      <c r="BD60" s="596"/>
      <c r="BE60" s="596"/>
      <c r="BF60" s="596"/>
      <c r="BG60" s="596"/>
      <c r="BH60" s="596"/>
      <c r="BI60" s="596"/>
      <c r="BJ60" s="596"/>
      <c r="BK60" s="596"/>
      <c r="BL60" s="596"/>
      <c r="BM60" s="596"/>
      <c r="BN60" s="596"/>
      <c r="BO60" s="596"/>
      <c r="BP60" s="596"/>
      <c r="BQ60" s="596"/>
      <c r="BR60" s="596"/>
      <c r="BS60" s="596"/>
      <c r="BT60" s="596"/>
      <c r="BU60" s="596"/>
      <c r="BV60" s="596"/>
      <c r="BW60" s="596"/>
      <c r="BX60" s="596"/>
      <c r="BY60" s="596"/>
      <c r="BZ60" s="596"/>
      <c r="CA60" s="596"/>
      <c r="CB60" s="596"/>
      <c r="CC60" s="596"/>
      <c r="CD60" s="596"/>
      <c r="CE60" s="596"/>
      <c r="CF60" s="596"/>
      <c r="CG60" s="596"/>
      <c r="CH60" s="596"/>
      <c r="CI60" s="596"/>
      <c r="CJ60" s="596"/>
      <c r="CK60" s="596"/>
      <c r="CL60" s="596"/>
      <c r="CM60" s="596"/>
      <c r="CN60" s="596"/>
      <c r="CO60" s="596"/>
      <c r="CP60" s="596"/>
      <c r="CQ60" s="596"/>
      <c r="CR60" s="596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  <c r="QI60" s="64"/>
      <c r="QJ60" s="64"/>
      <c r="QK60" s="64"/>
      <c r="QL60" s="64"/>
      <c r="QM60" s="64"/>
      <c r="QN60" s="64"/>
      <c r="QO60" s="64"/>
      <c r="QP60" s="64"/>
      <c r="QQ60" s="64"/>
      <c r="QR60" s="64"/>
      <c r="QS60" s="64"/>
      <c r="QT60" s="64"/>
      <c r="QU60" s="64"/>
      <c r="QV60" s="64"/>
      <c r="QW60" s="64"/>
      <c r="QX60" s="64"/>
      <c r="QY60" s="64"/>
      <c r="QZ60" s="64"/>
      <c r="RA60" s="64"/>
      <c r="RB60" s="64"/>
      <c r="RC60" s="64"/>
      <c r="RD60" s="64"/>
      <c r="RE60" s="64"/>
      <c r="RF60" s="64"/>
      <c r="RG60" s="64"/>
      <c r="RH60" s="64"/>
      <c r="RI60" s="64"/>
      <c r="RJ60" s="64"/>
      <c r="RK60" s="64"/>
      <c r="RL60" s="64"/>
      <c r="RM60" s="64"/>
      <c r="RN60" s="64"/>
      <c r="RO60" s="64"/>
      <c r="RP60" s="64"/>
      <c r="RQ60" s="64"/>
      <c r="RR60" s="64"/>
      <c r="RS60" s="64"/>
      <c r="RT60" s="64"/>
      <c r="RU60" s="64"/>
      <c r="RV60" s="64"/>
      <c r="RW60" s="64"/>
      <c r="RX60" s="64"/>
      <c r="RY60" s="64"/>
      <c r="RZ60" s="64"/>
      <c r="SA60" s="64"/>
      <c r="SB60" s="64"/>
      <c r="SC60" s="64"/>
      <c r="SD60" s="64"/>
      <c r="SE60" s="64"/>
      <c r="SF60" s="64"/>
      <c r="SG60" s="64"/>
      <c r="SH60" s="64"/>
      <c r="SI60" s="64"/>
      <c r="SJ60" s="64"/>
      <c r="SK60" s="64"/>
      <c r="SL60" s="64"/>
      <c r="SM60" s="64"/>
      <c r="SN60" s="64"/>
      <c r="SO60" s="64"/>
      <c r="SP60" s="64"/>
      <c r="SQ60" s="64"/>
      <c r="SR60" s="64"/>
      <c r="SS60" s="64"/>
      <c r="ST60" s="64"/>
      <c r="SU60" s="64"/>
      <c r="SV60" s="64"/>
      <c r="SW60" s="64"/>
      <c r="SX60" s="64"/>
      <c r="SY60" s="64"/>
      <c r="SZ60" s="64"/>
      <c r="TA60" s="64"/>
      <c r="TB60" s="64"/>
      <c r="TC60" s="64"/>
      <c r="TD60" s="64"/>
      <c r="TE60" s="64"/>
      <c r="TF60" s="64"/>
      <c r="TG60" s="64"/>
      <c r="TH60" s="64"/>
      <c r="TI60" s="64"/>
      <c r="TJ60" s="64"/>
      <c r="TK60" s="64"/>
      <c r="TL60" s="64"/>
      <c r="TM60" s="64"/>
      <c r="TN60" s="64"/>
      <c r="TO60" s="64"/>
      <c r="TP60" s="64"/>
      <c r="TQ60" s="64"/>
      <c r="TR60" s="64"/>
      <c r="TS60" s="64"/>
      <c r="TT60" s="64"/>
      <c r="TU60" s="64"/>
      <c r="TV60" s="64"/>
      <c r="TW60" s="64"/>
      <c r="TX60" s="64"/>
      <c r="TY60" s="64"/>
      <c r="TZ60" s="64"/>
      <c r="UA60" s="64"/>
      <c r="UB60" s="64"/>
      <c r="UC60" s="64"/>
      <c r="UD60" s="64"/>
      <c r="UE60" s="64"/>
      <c r="UF60" s="64"/>
      <c r="UG60" s="64"/>
      <c r="UH60" s="64"/>
      <c r="UI60" s="64"/>
      <c r="UJ60" s="64"/>
      <c r="UK60" s="64"/>
      <c r="UL60" s="64"/>
      <c r="UM60" s="64"/>
      <c r="UN60" s="64"/>
      <c r="UO60" s="64"/>
      <c r="UP60" s="64"/>
      <c r="UQ60" s="64"/>
      <c r="UR60" s="64"/>
      <c r="US60" s="64"/>
      <c r="UT60" s="64"/>
      <c r="UU60" s="64"/>
      <c r="UV60" s="64"/>
      <c r="UW60" s="64"/>
      <c r="UX60" s="64"/>
      <c r="UY60" s="64"/>
      <c r="UZ60" s="64"/>
      <c r="VA60" s="64"/>
      <c r="VB60" s="64"/>
      <c r="VC60" s="64"/>
      <c r="VD60" s="64"/>
      <c r="VE60" s="64"/>
      <c r="VF60" s="64"/>
      <c r="VG60" s="64"/>
      <c r="VH60" s="64"/>
      <c r="VI60" s="64"/>
      <c r="VJ60" s="64"/>
    </row>
    <row r="61" spans="3:582" ht="13.15" hidden="1" customHeight="1" x14ac:dyDescent="0.25">
      <c r="C61" s="64"/>
      <c r="D61" s="64"/>
      <c r="E61" s="64"/>
      <c r="F61" s="64"/>
      <c r="G61" s="596"/>
      <c r="H61" s="596"/>
      <c r="I61" s="596"/>
      <c r="J61" s="596"/>
      <c r="K61" s="596"/>
      <c r="L61" s="596"/>
      <c r="M61" s="596"/>
      <c r="N61" s="596"/>
      <c r="O61" s="596"/>
      <c r="P61" s="596"/>
      <c r="Q61" s="596"/>
      <c r="R61" s="596"/>
      <c r="S61" s="596"/>
      <c r="T61" s="596"/>
      <c r="U61" s="596"/>
      <c r="V61" s="596"/>
      <c r="W61" s="596"/>
      <c r="X61" s="596"/>
      <c r="Y61" s="596"/>
      <c r="Z61" s="596"/>
      <c r="AA61" s="596"/>
      <c r="AB61" s="596"/>
      <c r="AC61" s="596"/>
      <c r="AD61" s="596"/>
      <c r="AE61" s="596"/>
      <c r="AF61" s="596"/>
      <c r="AG61" s="596"/>
      <c r="AH61" s="596"/>
      <c r="AI61" s="596"/>
      <c r="AJ61" s="596"/>
      <c r="AK61" s="596"/>
      <c r="AL61" s="596"/>
      <c r="AM61" s="596"/>
      <c r="AN61" s="596"/>
      <c r="AO61" s="596"/>
      <c r="AP61" s="596"/>
      <c r="AQ61" s="596"/>
      <c r="AR61" s="596"/>
      <c r="AS61" s="596"/>
      <c r="AT61" s="596"/>
      <c r="AU61" s="596"/>
      <c r="AV61" s="596"/>
      <c r="AW61" s="596"/>
      <c r="AX61" s="596"/>
      <c r="AY61" s="596"/>
      <c r="AZ61" s="596"/>
      <c r="BA61" s="596"/>
      <c r="BB61" s="596"/>
      <c r="BC61" s="596"/>
      <c r="BD61" s="596"/>
      <c r="BE61" s="596"/>
      <c r="BF61" s="596"/>
      <c r="BG61" s="596"/>
      <c r="BH61" s="596"/>
      <c r="BI61" s="596"/>
      <c r="BJ61" s="596"/>
      <c r="BK61" s="596"/>
      <c r="BL61" s="596"/>
      <c r="BM61" s="596"/>
      <c r="BN61" s="596"/>
      <c r="BO61" s="596"/>
      <c r="BP61" s="596"/>
      <c r="BQ61" s="596"/>
      <c r="BR61" s="596"/>
      <c r="BS61" s="596"/>
      <c r="BT61" s="596"/>
      <c r="BU61" s="596"/>
      <c r="BV61" s="596"/>
      <c r="BW61" s="596"/>
      <c r="BX61" s="596"/>
      <c r="BY61" s="596"/>
      <c r="BZ61" s="596"/>
      <c r="CA61" s="596"/>
      <c r="CB61" s="596"/>
      <c r="CC61" s="596"/>
      <c r="CD61" s="596"/>
      <c r="CE61" s="596"/>
      <c r="CF61" s="596"/>
      <c r="CG61" s="596"/>
      <c r="CH61" s="596"/>
      <c r="CI61" s="596"/>
      <c r="CJ61" s="596"/>
      <c r="CK61" s="596"/>
      <c r="CL61" s="596"/>
      <c r="CM61" s="596"/>
      <c r="CN61" s="596"/>
      <c r="CO61" s="596"/>
      <c r="CP61" s="596"/>
      <c r="CQ61" s="596"/>
      <c r="CR61" s="596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  <c r="QI61" s="64"/>
      <c r="QJ61" s="64"/>
      <c r="QK61" s="64"/>
      <c r="QL61" s="64"/>
      <c r="QM61" s="64"/>
      <c r="QN61" s="64"/>
      <c r="QO61" s="64"/>
      <c r="QP61" s="64"/>
      <c r="QQ61" s="64"/>
      <c r="QR61" s="64"/>
      <c r="QS61" s="64"/>
      <c r="QT61" s="64"/>
      <c r="QU61" s="64"/>
      <c r="QV61" s="64"/>
      <c r="QW61" s="64"/>
      <c r="QX61" s="64"/>
      <c r="QY61" s="64"/>
      <c r="QZ61" s="64"/>
      <c r="RA61" s="64"/>
      <c r="RB61" s="64"/>
      <c r="RC61" s="64"/>
      <c r="RD61" s="64"/>
      <c r="RE61" s="64"/>
      <c r="RF61" s="64"/>
      <c r="RG61" s="64"/>
      <c r="RH61" s="64"/>
      <c r="RI61" s="64"/>
      <c r="RJ61" s="64"/>
      <c r="RK61" s="64"/>
      <c r="RL61" s="64"/>
      <c r="RM61" s="64"/>
      <c r="RN61" s="64"/>
      <c r="RO61" s="64"/>
      <c r="RP61" s="64"/>
      <c r="RQ61" s="64"/>
      <c r="RR61" s="64"/>
      <c r="RS61" s="64"/>
      <c r="RT61" s="64"/>
      <c r="RU61" s="64"/>
      <c r="RV61" s="64"/>
      <c r="RW61" s="64"/>
      <c r="RX61" s="64"/>
      <c r="RY61" s="64"/>
      <c r="RZ61" s="64"/>
      <c r="SA61" s="64"/>
      <c r="SB61" s="64"/>
      <c r="SC61" s="64"/>
      <c r="SD61" s="64"/>
      <c r="SE61" s="64"/>
      <c r="SF61" s="64"/>
      <c r="SG61" s="64"/>
      <c r="SH61" s="64"/>
      <c r="SI61" s="64"/>
      <c r="SJ61" s="64"/>
      <c r="SK61" s="64"/>
      <c r="SL61" s="64"/>
      <c r="SM61" s="64"/>
      <c r="SN61" s="64"/>
      <c r="SO61" s="64"/>
      <c r="SP61" s="64"/>
      <c r="SQ61" s="64"/>
      <c r="SR61" s="64"/>
      <c r="SS61" s="64"/>
      <c r="ST61" s="64"/>
      <c r="SU61" s="64"/>
      <c r="SV61" s="64"/>
      <c r="SW61" s="64"/>
      <c r="SX61" s="64"/>
      <c r="SY61" s="64"/>
      <c r="SZ61" s="64"/>
      <c r="TA61" s="64"/>
      <c r="TB61" s="64"/>
      <c r="TC61" s="64"/>
      <c r="TD61" s="64"/>
      <c r="TE61" s="64"/>
      <c r="TF61" s="64"/>
      <c r="TG61" s="64"/>
      <c r="TH61" s="64"/>
      <c r="TI61" s="64"/>
      <c r="TJ61" s="64"/>
      <c r="TK61" s="64"/>
      <c r="TL61" s="64"/>
      <c r="TM61" s="64"/>
      <c r="TN61" s="64"/>
      <c r="TO61" s="64"/>
      <c r="TP61" s="64"/>
      <c r="TQ61" s="64"/>
      <c r="TR61" s="64"/>
      <c r="TS61" s="64"/>
      <c r="TT61" s="64"/>
      <c r="TU61" s="64"/>
      <c r="TV61" s="64"/>
      <c r="TW61" s="64"/>
      <c r="TX61" s="64"/>
      <c r="TY61" s="64"/>
      <c r="TZ61" s="64"/>
      <c r="UA61" s="64"/>
      <c r="UB61" s="64"/>
      <c r="UC61" s="64"/>
      <c r="UD61" s="64"/>
      <c r="UE61" s="64"/>
      <c r="UF61" s="64"/>
      <c r="UG61" s="64"/>
      <c r="UH61" s="64"/>
      <c r="UI61" s="64"/>
      <c r="UJ61" s="64"/>
      <c r="UK61" s="64"/>
      <c r="UL61" s="64"/>
      <c r="UM61" s="64"/>
      <c r="UN61" s="64"/>
      <c r="UO61" s="64"/>
      <c r="UP61" s="64"/>
      <c r="UQ61" s="64"/>
      <c r="UR61" s="64"/>
      <c r="US61" s="64"/>
      <c r="UT61" s="64"/>
      <c r="UU61" s="64"/>
      <c r="UV61" s="64"/>
      <c r="UW61" s="64"/>
      <c r="UX61" s="64"/>
      <c r="UY61" s="64"/>
      <c r="UZ61" s="64"/>
      <c r="VA61" s="64"/>
      <c r="VB61" s="64"/>
      <c r="VC61" s="64"/>
      <c r="VD61" s="64"/>
      <c r="VE61" s="64"/>
      <c r="VF61" s="64"/>
      <c r="VG61" s="64"/>
      <c r="VH61" s="64"/>
      <c r="VI61" s="64"/>
      <c r="VJ61" s="64"/>
    </row>
    <row r="62" spans="3:582" ht="13.9" hidden="1" customHeight="1" x14ac:dyDescent="0.25">
      <c r="C62" s="64"/>
      <c r="D62" s="64"/>
      <c r="E62" s="64"/>
      <c r="F62" s="64"/>
      <c r="G62" s="596"/>
      <c r="H62" s="596"/>
      <c r="I62" s="596"/>
      <c r="J62" s="596"/>
      <c r="K62" s="596"/>
      <c r="L62" s="596"/>
      <c r="M62" s="596"/>
      <c r="N62" s="596"/>
      <c r="O62" s="596"/>
      <c r="P62" s="596"/>
      <c r="Q62" s="596"/>
      <c r="R62" s="596"/>
      <c r="S62" s="596"/>
      <c r="T62" s="596"/>
      <c r="U62" s="596"/>
      <c r="V62" s="596"/>
      <c r="W62" s="596"/>
      <c r="X62" s="596"/>
      <c r="Y62" s="596"/>
      <c r="Z62" s="596"/>
      <c r="AA62" s="596"/>
      <c r="AB62" s="596"/>
      <c r="AC62" s="596"/>
      <c r="AD62" s="596"/>
      <c r="AE62" s="596"/>
      <c r="AF62" s="596"/>
      <c r="AG62" s="596"/>
      <c r="AH62" s="596"/>
      <c r="AI62" s="596"/>
      <c r="AJ62" s="596"/>
      <c r="AK62" s="596"/>
      <c r="AL62" s="596"/>
      <c r="AM62" s="596"/>
      <c r="AN62" s="596"/>
      <c r="AO62" s="596"/>
      <c r="AP62" s="596"/>
      <c r="AQ62" s="596"/>
      <c r="AR62" s="596"/>
      <c r="AS62" s="596"/>
      <c r="AT62" s="596"/>
      <c r="AU62" s="596"/>
      <c r="AV62" s="596"/>
      <c r="AW62" s="596"/>
      <c r="AX62" s="596"/>
      <c r="AY62" s="596"/>
      <c r="AZ62" s="596"/>
      <c r="BA62" s="596"/>
      <c r="BB62" s="596"/>
      <c r="BC62" s="596"/>
      <c r="BD62" s="596"/>
      <c r="BE62" s="596"/>
      <c r="BF62" s="596"/>
      <c r="BG62" s="596"/>
      <c r="BH62" s="596"/>
      <c r="BI62" s="596"/>
      <c r="BJ62" s="596"/>
      <c r="BK62" s="596"/>
      <c r="BL62" s="596"/>
      <c r="BM62" s="596"/>
      <c r="BN62" s="596"/>
      <c r="BO62" s="596"/>
      <c r="BP62" s="596"/>
      <c r="BQ62" s="596"/>
      <c r="BR62" s="596"/>
      <c r="BS62" s="596"/>
      <c r="BT62" s="596"/>
      <c r="BU62" s="596"/>
      <c r="BV62" s="596"/>
      <c r="BW62" s="596"/>
      <c r="BX62" s="596"/>
      <c r="BY62" s="596"/>
      <c r="BZ62" s="596"/>
      <c r="CA62" s="596"/>
      <c r="CB62" s="596"/>
      <c r="CC62" s="596"/>
      <c r="CD62" s="596"/>
      <c r="CE62" s="596"/>
      <c r="CF62" s="596"/>
      <c r="CG62" s="596"/>
      <c r="CH62" s="596"/>
      <c r="CI62" s="596"/>
      <c r="CJ62" s="596"/>
      <c r="CK62" s="596"/>
      <c r="CL62" s="596"/>
      <c r="CM62" s="596"/>
      <c r="CN62" s="596"/>
      <c r="CO62" s="596"/>
      <c r="CP62" s="596"/>
      <c r="CQ62" s="596"/>
      <c r="CR62" s="596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  <c r="QI62" s="64"/>
      <c r="QJ62" s="64"/>
      <c r="QK62" s="64"/>
      <c r="QL62" s="64"/>
      <c r="QM62" s="64"/>
      <c r="QN62" s="64"/>
      <c r="QO62" s="64"/>
      <c r="QP62" s="64"/>
      <c r="QQ62" s="64"/>
      <c r="QR62" s="64"/>
      <c r="QS62" s="64"/>
      <c r="QT62" s="64"/>
      <c r="QU62" s="64"/>
      <c r="QV62" s="64"/>
      <c r="QW62" s="64"/>
      <c r="QX62" s="64"/>
      <c r="QY62" s="64"/>
      <c r="QZ62" s="64"/>
      <c r="RA62" s="64"/>
      <c r="RB62" s="64"/>
      <c r="RC62" s="64"/>
      <c r="RD62" s="64"/>
      <c r="RE62" s="64"/>
      <c r="RF62" s="64"/>
      <c r="RG62" s="64"/>
      <c r="RH62" s="64"/>
      <c r="RI62" s="64"/>
      <c r="RJ62" s="64"/>
      <c r="RK62" s="64"/>
      <c r="RL62" s="64"/>
      <c r="RM62" s="64"/>
      <c r="RN62" s="64"/>
      <c r="RO62" s="64"/>
      <c r="RP62" s="64"/>
      <c r="RQ62" s="64"/>
      <c r="RR62" s="64"/>
      <c r="RS62" s="64"/>
      <c r="RT62" s="64"/>
      <c r="RU62" s="64"/>
      <c r="RV62" s="64"/>
      <c r="RW62" s="64"/>
      <c r="RX62" s="64"/>
      <c r="RY62" s="64"/>
      <c r="RZ62" s="64"/>
      <c r="SA62" s="64"/>
      <c r="SB62" s="64"/>
      <c r="SC62" s="64"/>
      <c r="SD62" s="64"/>
      <c r="SE62" s="64"/>
      <c r="SF62" s="64"/>
      <c r="SG62" s="64"/>
      <c r="SH62" s="64"/>
      <c r="SI62" s="64"/>
      <c r="SJ62" s="64"/>
      <c r="SK62" s="64"/>
      <c r="SL62" s="64"/>
      <c r="SM62" s="64"/>
      <c r="SN62" s="64"/>
      <c r="SO62" s="64"/>
      <c r="SP62" s="64"/>
      <c r="SQ62" s="64"/>
      <c r="SR62" s="64"/>
      <c r="SS62" s="64"/>
      <c r="ST62" s="64"/>
      <c r="SU62" s="64"/>
      <c r="SV62" s="64"/>
      <c r="SW62" s="64"/>
      <c r="SX62" s="64"/>
      <c r="SY62" s="64"/>
      <c r="SZ62" s="64"/>
      <c r="TA62" s="64"/>
      <c r="TB62" s="64"/>
      <c r="TC62" s="64"/>
      <c r="TD62" s="64"/>
      <c r="TE62" s="64"/>
      <c r="TF62" s="64"/>
      <c r="TG62" s="64"/>
      <c r="TH62" s="64"/>
      <c r="TI62" s="64"/>
      <c r="TJ62" s="64"/>
      <c r="TK62" s="64"/>
      <c r="TL62" s="64"/>
      <c r="TM62" s="64"/>
      <c r="TN62" s="64"/>
      <c r="TO62" s="64"/>
      <c r="TP62" s="64"/>
      <c r="TQ62" s="64"/>
      <c r="TR62" s="64"/>
      <c r="TS62" s="64"/>
      <c r="TT62" s="64"/>
      <c r="TU62" s="64"/>
      <c r="TV62" s="64"/>
      <c r="TW62" s="64"/>
      <c r="TX62" s="64"/>
      <c r="TY62" s="64"/>
      <c r="TZ62" s="64"/>
      <c r="UA62" s="64"/>
      <c r="UB62" s="64"/>
      <c r="UC62" s="64"/>
      <c r="UD62" s="64"/>
      <c r="UE62" s="64"/>
      <c r="UF62" s="64"/>
      <c r="UG62" s="64"/>
      <c r="UH62" s="64"/>
      <c r="UI62" s="64"/>
      <c r="UJ62" s="64"/>
      <c r="UK62" s="64"/>
      <c r="UL62" s="64"/>
      <c r="UM62" s="64"/>
      <c r="UN62" s="64"/>
      <c r="UO62" s="64"/>
      <c r="UP62" s="64"/>
      <c r="UQ62" s="64"/>
      <c r="UR62" s="64"/>
      <c r="US62" s="64"/>
      <c r="UT62" s="64"/>
      <c r="UU62" s="64"/>
      <c r="UV62" s="64"/>
      <c r="UW62" s="64"/>
      <c r="UX62" s="64"/>
      <c r="UY62" s="64"/>
      <c r="UZ62" s="64"/>
      <c r="VA62" s="64"/>
      <c r="VB62" s="64"/>
      <c r="VC62" s="64"/>
      <c r="VD62" s="64"/>
      <c r="VE62" s="64"/>
      <c r="VF62" s="64"/>
      <c r="VG62" s="64"/>
      <c r="VH62" s="64"/>
      <c r="VI62" s="64"/>
      <c r="VJ62" s="64"/>
    </row>
    <row r="63" spans="3:582" ht="13.15" hidden="1" customHeight="1" x14ac:dyDescent="0.25">
      <c r="C63" s="64"/>
      <c r="D63" s="64"/>
      <c r="E63" s="64"/>
      <c r="F63" s="64"/>
      <c r="G63" s="596"/>
      <c r="H63" s="596"/>
      <c r="I63" s="596"/>
      <c r="J63" s="596"/>
      <c r="K63" s="596"/>
      <c r="L63" s="596"/>
      <c r="M63" s="596"/>
      <c r="N63" s="596"/>
      <c r="O63" s="596"/>
      <c r="P63" s="596"/>
      <c r="Q63" s="596"/>
      <c r="R63" s="596"/>
      <c r="S63" s="596"/>
      <c r="T63" s="596"/>
      <c r="U63" s="596"/>
      <c r="V63" s="596"/>
      <c r="W63" s="596"/>
      <c r="X63" s="596"/>
      <c r="Y63" s="596"/>
      <c r="Z63" s="596"/>
      <c r="AA63" s="596"/>
      <c r="AB63" s="596"/>
      <c r="AC63" s="596"/>
      <c r="AD63" s="596"/>
      <c r="AE63" s="596"/>
      <c r="AF63" s="596"/>
      <c r="AG63" s="596"/>
      <c r="AH63" s="596"/>
      <c r="AI63" s="596"/>
      <c r="AJ63" s="596"/>
      <c r="AK63" s="596"/>
      <c r="AL63" s="596"/>
      <c r="AM63" s="596"/>
      <c r="AN63" s="596"/>
      <c r="AO63" s="596"/>
      <c r="AP63" s="596"/>
      <c r="AQ63" s="596"/>
      <c r="AR63" s="596"/>
      <c r="AS63" s="596"/>
      <c r="AT63" s="596"/>
      <c r="AU63" s="596"/>
      <c r="AV63" s="596"/>
      <c r="AW63" s="596"/>
      <c r="AX63" s="596"/>
      <c r="AY63" s="596"/>
      <c r="AZ63" s="596"/>
      <c r="BA63" s="596"/>
      <c r="BB63" s="596"/>
      <c r="BC63" s="596"/>
      <c r="BD63" s="596"/>
      <c r="BE63" s="596"/>
      <c r="BF63" s="596"/>
      <c r="BG63" s="596"/>
      <c r="BH63" s="596"/>
      <c r="BI63" s="596"/>
      <c r="BJ63" s="596"/>
      <c r="BK63" s="596"/>
      <c r="BL63" s="596"/>
      <c r="BM63" s="596"/>
      <c r="BN63" s="596"/>
      <c r="BO63" s="596"/>
      <c r="BP63" s="596"/>
      <c r="BQ63" s="596"/>
      <c r="BR63" s="596"/>
      <c r="BS63" s="596"/>
      <c r="BT63" s="596"/>
      <c r="BU63" s="596"/>
      <c r="BV63" s="596"/>
      <c r="BW63" s="596"/>
      <c r="BX63" s="596"/>
      <c r="BY63" s="596"/>
      <c r="BZ63" s="596"/>
      <c r="CA63" s="596"/>
      <c r="CB63" s="596"/>
      <c r="CC63" s="596"/>
      <c r="CD63" s="596"/>
      <c r="CE63" s="596"/>
      <c r="CF63" s="596"/>
      <c r="CG63" s="596"/>
      <c r="CH63" s="596"/>
      <c r="CI63" s="596"/>
      <c r="CJ63" s="596"/>
      <c r="CK63" s="596"/>
      <c r="CL63" s="596"/>
      <c r="CM63" s="596"/>
      <c r="CN63" s="596"/>
      <c r="CO63" s="596"/>
      <c r="CP63" s="596"/>
      <c r="CQ63" s="596"/>
      <c r="CR63" s="596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  <c r="QI63" s="64"/>
      <c r="QJ63" s="64"/>
      <c r="QK63" s="64"/>
      <c r="QL63" s="64"/>
      <c r="QM63" s="64"/>
      <c r="QN63" s="64"/>
      <c r="QO63" s="64"/>
      <c r="QP63" s="64"/>
      <c r="QQ63" s="64"/>
      <c r="QR63" s="64"/>
      <c r="QS63" s="64"/>
      <c r="QT63" s="64"/>
      <c r="QU63" s="64"/>
      <c r="QV63" s="64"/>
      <c r="QW63" s="64"/>
      <c r="QX63" s="64"/>
      <c r="QY63" s="64"/>
      <c r="QZ63" s="64"/>
      <c r="RA63" s="64"/>
      <c r="RB63" s="64"/>
      <c r="RC63" s="64"/>
      <c r="RD63" s="64"/>
      <c r="RE63" s="64"/>
      <c r="RF63" s="64"/>
      <c r="RG63" s="64"/>
      <c r="RH63" s="64"/>
      <c r="RI63" s="64"/>
      <c r="RJ63" s="64"/>
      <c r="RK63" s="64"/>
      <c r="RL63" s="64"/>
      <c r="RM63" s="64"/>
      <c r="RN63" s="64"/>
      <c r="RO63" s="64"/>
      <c r="RP63" s="64"/>
      <c r="RQ63" s="64"/>
      <c r="RR63" s="64"/>
      <c r="RS63" s="64"/>
      <c r="RT63" s="64"/>
      <c r="RU63" s="64"/>
      <c r="RV63" s="64"/>
      <c r="RW63" s="64"/>
      <c r="RX63" s="64"/>
      <c r="RY63" s="64"/>
      <c r="RZ63" s="64"/>
      <c r="SA63" s="64"/>
      <c r="SB63" s="64"/>
      <c r="SC63" s="64"/>
      <c r="SD63" s="64"/>
      <c r="SE63" s="64"/>
      <c r="SF63" s="64"/>
      <c r="SG63" s="64"/>
      <c r="SH63" s="64"/>
      <c r="SI63" s="64"/>
      <c r="SJ63" s="64"/>
      <c r="SK63" s="64"/>
      <c r="SL63" s="64"/>
      <c r="SM63" s="64"/>
      <c r="SN63" s="64"/>
      <c r="SO63" s="64"/>
      <c r="SP63" s="64"/>
      <c r="SQ63" s="64"/>
      <c r="SR63" s="64"/>
      <c r="SS63" s="64"/>
      <c r="ST63" s="64"/>
      <c r="SU63" s="64"/>
      <c r="SV63" s="64"/>
      <c r="SW63" s="64"/>
      <c r="SX63" s="64"/>
      <c r="SY63" s="64"/>
      <c r="SZ63" s="64"/>
      <c r="TA63" s="64"/>
      <c r="TB63" s="64"/>
      <c r="TC63" s="64"/>
      <c r="TD63" s="64"/>
      <c r="TE63" s="64"/>
      <c r="TF63" s="64"/>
      <c r="TG63" s="64"/>
      <c r="TH63" s="64"/>
      <c r="TI63" s="64"/>
      <c r="TJ63" s="64"/>
      <c r="TK63" s="64"/>
      <c r="TL63" s="64"/>
      <c r="TM63" s="64"/>
      <c r="TN63" s="64"/>
      <c r="TO63" s="64"/>
      <c r="TP63" s="64"/>
      <c r="TQ63" s="64"/>
      <c r="TR63" s="64"/>
      <c r="TS63" s="64"/>
      <c r="TT63" s="64"/>
      <c r="TU63" s="64"/>
      <c r="TV63" s="64"/>
      <c r="TW63" s="64"/>
      <c r="TX63" s="64"/>
      <c r="TY63" s="64"/>
      <c r="TZ63" s="64"/>
      <c r="UA63" s="64"/>
      <c r="UB63" s="64"/>
      <c r="UC63" s="64"/>
      <c r="UD63" s="64"/>
      <c r="UE63" s="64"/>
      <c r="UF63" s="64"/>
      <c r="UG63" s="64"/>
      <c r="UH63" s="64"/>
      <c r="UI63" s="64"/>
      <c r="UJ63" s="64"/>
      <c r="UK63" s="64"/>
      <c r="UL63" s="64"/>
      <c r="UM63" s="64"/>
      <c r="UN63" s="64"/>
      <c r="UO63" s="64"/>
      <c r="UP63" s="64"/>
      <c r="UQ63" s="64"/>
      <c r="UR63" s="64"/>
      <c r="US63" s="64"/>
      <c r="UT63" s="64"/>
      <c r="UU63" s="64"/>
      <c r="UV63" s="64"/>
      <c r="UW63" s="64"/>
      <c r="UX63" s="64"/>
      <c r="UY63" s="64"/>
      <c r="UZ63" s="64"/>
      <c r="VA63" s="64"/>
      <c r="VB63" s="64"/>
      <c r="VC63" s="64"/>
      <c r="VD63" s="64"/>
      <c r="VE63" s="64"/>
      <c r="VF63" s="64"/>
      <c r="VG63" s="64"/>
      <c r="VH63" s="64"/>
      <c r="VI63" s="64"/>
      <c r="VJ63" s="64"/>
    </row>
    <row r="64" spans="3:582" ht="13.15" hidden="1" customHeight="1" x14ac:dyDescent="0.25">
      <c r="C64" s="64"/>
      <c r="D64" s="64"/>
      <c r="E64" s="64"/>
      <c r="F64" s="64"/>
      <c r="G64" s="596"/>
      <c r="H64" s="596"/>
      <c r="I64" s="596"/>
      <c r="J64" s="596"/>
      <c r="K64" s="596"/>
      <c r="L64" s="596"/>
      <c r="M64" s="596"/>
      <c r="N64" s="596"/>
      <c r="O64" s="596"/>
      <c r="P64" s="596"/>
      <c r="Q64" s="596"/>
      <c r="R64" s="596"/>
      <c r="S64" s="596"/>
      <c r="T64" s="596"/>
      <c r="U64" s="596"/>
      <c r="V64" s="596"/>
      <c r="W64" s="596"/>
      <c r="X64" s="596"/>
      <c r="Y64" s="596"/>
      <c r="Z64" s="596"/>
      <c r="AA64" s="596"/>
      <c r="AB64" s="596"/>
      <c r="AC64" s="596"/>
      <c r="AD64" s="596"/>
      <c r="AE64" s="596"/>
      <c r="AF64" s="596"/>
      <c r="AG64" s="596"/>
      <c r="AH64" s="596"/>
      <c r="AI64" s="596"/>
      <c r="AJ64" s="596"/>
      <c r="AK64" s="596"/>
      <c r="AL64" s="596"/>
      <c r="AM64" s="596"/>
      <c r="AN64" s="596"/>
      <c r="AO64" s="596"/>
      <c r="AP64" s="596"/>
      <c r="AQ64" s="596"/>
      <c r="AR64" s="596"/>
      <c r="AS64" s="596"/>
      <c r="AT64" s="596"/>
      <c r="AU64" s="596"/>
      <c r="AV64" s="596"/>
      <c r="AW64" s="596"/>
      <c r="AX64" s="596"/>
      <c r="AY64" s="596"/>
      <c r="AZ64" s="596"/>
      <c r="BA64" s="596"/>
      <c r="BB64" s="596"/>
      <c r="BC64" s="596"/>
      <c r="BD64" s="596"/>
      <c r="BE64" s="596"/>
      <c r="BF64" s="596"/>
      <c r="BG64" s="596"/>
      <c r="BH64" s="596"/>
      <c r="BI64" s="596"/>
      <c r="BJ64" s="596"/>
      <c r="BK64" s="596"/>
      <c r="BL64" s="596"/>
      <c r="BM64" s="596"/>
      <c r="BN64" s="596"/>
      <c r="BO64" s="596"/>
      <c r="BP64" s="596"/>
      <c r="BQ64" s="596"/>
      <c r="BR64" s="596"/>
      <c r="BS64" s="596"/>
      <c r="BT64" s="596"/>
      <c r="BU64" s="596"/>
      <c r="BV64" s="596"/>
      <c r="BW64" s="596"/>
      <c r="BX64" s="596"/>
      <c r="BY64" s="596"/>
      <c r="BZ64" s="596"/>
      <c r="CA64" s="596"/>
      <c r="CB64" s="596"/>
      <c r="CC64" s="596"/>
      <c r="CD64" s="596"/>
      <c r="CE64" s="596"/>
      <c r="CF64" s="596"/>
      <c r="CG64" s="596"/>
      <c r="CH64" s="596"/>
      <c r="CI64" s="596"/>
      <c r="CJ64" s="596"/>
      <c r="CK64" s="596"/>
      <c r="CL64" s="596"/>
      <c r="CM64" s="596"/>
      <c r="CN64" s="596"/>
      <c r="CO64" s="596"/>
      <c r="CP64" s="596"/>
      <c r="CQ64" s="596"/>
      <c r="CR64" s="596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  <c r="QI64" s="64"/>
      <c r="QJ64" s="64"/>
      <c r="QK64" s="64"/>
      <c r="QL64" s="64"/>
      <c r="QM64" s="64"/>
      <c r="QN64" s="64"/>
      <c r="QO64" s="64"/>
      <c r="QP64" s="64"/>
      <c r="QQ64" s="64"/>
      <c r="QR64" s="64"/>
      <c r="QS64" s="64"/>
      <c r="QT64" s="64"/>
      <c r="QU64" s="64"/>
      <c r="QV64" s="64"/>
      <c r="QW64" s="64"/>
      <c r="QX64" s="64"/>
      <c r="QY64" s="64"/>
      <c r="QZ64" s="64"/>
      <c r="RA64" s="64"/>
      <c r="RB64" s="64"/>
      <c r="RC64" s="64"/>
      <c r="RD64" s="64"/>
      <c r="RE64" s="64"/>
      <c r="RF64" s="64"/>
      <c r="RG64" s="64"/>
      <c r="RH64" s="64"/>
      <c r="RI64" s="64"/>
      <c r="RJ64" s="64"/>
      <c r="RK64" s="64"/>
      <c r="RL64" s="64"/>
      <c r="RM64" s="64"/>
      <c r="RN64" s="64"/>
      <c r="RO64" s="64"/>
      <c r="RP64" s="64"/>
      <c r="RQ64" s="64"/>
      <c r="RR64" s="64"/>
      <c r="RS64" s="64"/>
      <c r="RT64" s="64"/>
      <c r="RU64" s="64"/>
      <c r="RV64" s="64"/>
      <c r="RW64" s="64"/>
      <c r="RX64" s="64"/>
      <c r="RY64" s="64"/>
      <c r="RZ64" s="64"/>
      <c r="SA64" s="64"/>
      <c r="SB64" s="64"/>
      <c r="SC64" s="64"/>
      <c r="SD64" s="64"/>
      <c r="SE64" s="64"/>
      <c r="SF64" s="64"/>
      <c r="SG64" s="64"/>
      <c r="SH64" s="64"/>
      <c r="SI64" s="64"/>
      <c r="SJ64" s="64"/>
      <c r="SK64" s="64"/>
      <c r="SL64" s="64"/>
      <c r="SM64" s="64"/>
      <c r="SN64" s="64"/>
      <c r="SO64" s="64"/>
      <c r="SP64" s="64"/>
      <c r="SQ64" s="64"/>
      <c r="SR64" s="64"/>
      <c r="SS64" s="64"/>
      <c r="ST64" s="64"/>
      <c r="SU64" s="64"/>
      <c r="SV64" s="64"/>
      <c r="SW64" s="64"/>
      <c r="SX64" s="64"/>
      <c r="SY64" s="64"/>
      <c r="SZ64" s="64"/>
      <c r="TA64" s="64"/>
      <c r="TB64" s="64"/>
      <c r="TC64" s="64"/>
      <c r="TD64" s="64"/>
      <c r="TE64" s="64"/>
      <c r="TF64" s="64"/>
      <c r="TG64" s="64"/>
      <c r="TH64" s="64"/>
      <c r="TI64" s="64"/>
      <c r="TJ64" s="64"/>
      <c r="TK64" s="64"/>
      <c r="TL64" s="64"/>
      <c r="TM64" s="64"/>
      <c r="TN64" s="64"/>
      <c r="TO64" s="64"/>
      <c r="TP64" s="64"/>
      <c r="TQ64" s="64"/>
      <c r="TR64" s="64"/>
      <c r="TS64" s="64"/>
      <c r="TT64" s="64"/>
      <c r="TU64" s="64"/>
      <c r="TV64" s="64"/>
      <c r="TW64" s="64"/>
      <c r="TX64" s="64"/>
      <c r="TY64" s="64"/>
      <c r="TZ64" s="64"/>
      <c r="UA64" s="64"/>
      <c r="UB64" s="64"/>
      <c r="UC64" s="64"/>
      <c r="UD64" s="64"/>
      <c r="UE64" s="64"/>
      <c r="UF64" s="64"/>
      <c r="UG64" s="64"/>
      <c r="UH64" s="64"/>
      <c r="UI64" s="64"/>
      <c r="UJ64" s="64"/>
      <c r="UK64" s="64"/>
      <c r="UL64" s="64"/>
      <c r="UM64" s="64"/>
      <c r="UN64" s="64"/>
      <c r="UO64" s="64"/>
      <c r="UP64" s="64"/>
      <c r="UQ64" s="64"/>
      <c r="UR64" s="64"/>
      <c r="US64" s="64"/>
      <c r="UT64" s="64"/>
      <c r="UU64" s="64"/>
      <c r="UV64" s="64"/>
      <c r="UW64" s="64"/>
      <c r="UX64" s="64"/>
      <c r="UY64" s="64"/>
      <c r="UZ64" s="64"/>
      <c r="VA64" s="64"/>
      <c r="VB64" s="64"/>
      <c r="VC64" s="64"/>
      <c r="VD64" s="64"/>
      <c r="VE64" s="64"/>
      <c r="VF64" s="64"/>
      <c r="VG64" s="64"/>
      <c r="VH64" s="64"/>
      <c r="VI64" s="64"/>
      <c r="VJ64" s="64"/>
    </row>
    <row r="65" spans="3:582" ht="13.9" hidden="1" customHeight="1" x14ac:dyDescent="0.25">
      <c r="C65" s="64"/>
      <c r="D65" s="64"/>
      <c r="E65" s="64"/>
      <c r="F65" s="64"/>
      <c r="G65" s="596"/>
      <c r="H65" s="596"/>
      <c r="I65" s="596"/>
      <c r="J65" s="596"/>
      <c r="K65" s="596"/>
      <c r="L65" s="596"/>
      <c r="M65" s="596"/>
      <c r="N65" s="596"/>
      <c r="O65" s="596"/>
      <c r="P65" s="596"/>
      <c r="Q65" s="596"/>
      <c r="R65" s="596"/>
      <c r="S65" s="596"/>
      <c r="T65" s="596"/>
      <c r="U65" s="596"/>
      <c r="V65" s="596"/>
      <c r="W65" s="596"/>
      <c r="X65" s="596"/>
      <c r="Y65" s="596"/>
      <c r="Z65" s="596"/>
      <c r="AA65" s="596"/>
      <c r="AB65" s="596"/>
      <c r="AC65" s="596"/>
      <c r="AD65" s="596"/>
      <c r="AE65" s="596"/>
      <c r="AF65" s="596"/>
      <c r="AG65" s="596"/>
      <c r="AH65" s="596"/>
      <c r="AI65" s="596"/>
      <c r="AJ65" s="596"/>
      <c r="AK65" s="596"/>
      <c r="AL65" s="596"/>
      <c r="AM65" s="596"/>
      <c r="AN65" s="596"/>
      <c r="AO65" s="596"/>
      <c r="AP65" s="596"/>
      <c r="AQ65" s="596"/>
      <c r="AR65" s="596"/>
      <c r="AS65" s="596"/>
      <c r="AT65" s="596"/>
      <c r="AU65" s="596"/>
      <c r="AV65" s="596"/>
      <c r="AW65" s="596"/>
      <c r="AX65" s="596"/>
      <c r="AY65" s="596"/>
      <c r="AZ65" s="596"/>
      <c r="BA65" s="596"/>
      <c r="BB65" s="596"/>
      <c r="BC65" s="596"/>
      <c r="BD65" s="596"/>
      <c r="BE65" s="596"/>
      <c r="BF65" s="596"/>
      <c r="BG65" s="596"/>
      <c r="BH65" s="596"/>
      <c r="BI65" s="596"/>
      <c r="BJ65" s="596"/>
      <c r="BK65" s="596"/>
      <c r="BL65" s="596"/>
      <c r="BM65" s="596"/>
      <c r="BN65" s="596"/>
      <c r="BO65" s="596"/>
      <c r="BP65" s="596"/>
      <c r="BQ65" s="596"/>
      <c r="BR65" s="596"/>
      <c r="BS65" s="596"/>
      <c r="BT65" s="596"/>
      <c r="BU65" s="596"/>
      <c r="BV65" s="596"/>
      <c r="BW65" s="596"/>
      <c r="BX65" s="596"/>
      <c r="BY65" s="596"/>
      <c r="BZ65" s="596"/>
      <c r="CA65" s="596"/>
      <c r="CB65" s="596"/>
      <c r="CC65" s="596"/>
      <c r="CD65" s="596"/>
      <c r="CE65" s="596"/>
      <c r="CF65" s="596"/>
      <c r="CG65" s="596"/>
      <c r="CH65" s="596"/>
      <c r="CI65" s="596"/>
      <c r="CJ65" s="596"/>
      <c r="CK65" s="596"/>
      <c r="CL65" s="596"/>
      <c r="CM65" s="596"/>
      <c r="CN65" s="596"/>
      <c r="CO65" s="596"/>
      <c r="CP65" s="596"/>
      <c r="CQ65" s="596"/>
      <c r="CR65" s="596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  <c r="QI65" s="64"/>
      <c r="QJ65" s="64"/>
      <c r="QK65" s="64"/>
      <c r="QL65" s="64"/>
      <c r="QM65" s="64"/>
      <c r="QN65" s="64"/>
      <c r="QO65" s="64"/>
      <c r="QP65" s="64"/>
      <c r="QQ65" s="64"/>
      <c r="QR65" s="64"/>
      <c r="QS65" s="64"/>
      <c r="QT65" s="64"/>
      <c r="QU65" s="64"/>
      <c r="QV65" s="64"/>
      <c r="QW65" s="64"/>
      <c r="QX65" s="64"/>
      <c r="QY65" s="64"/>
      <c r="QZ65" s="64"/>
      <c r="RA65" s="64"/>
      <c r="RB65" s="64"/>
      <c r="RC65" s="64"/>
      <c r="RD65" s="64"/>
      <c r="RE65" s="64"/>
      <c r="RF65" s="64"/>
      <c r="RG65" s="64"/>
      <c r="RH65" s="64"/>
      <c r="RI65" s="64"/>
      <c r="RJ65" s="64"/>
      <c r="RK65" s="64"/>
      <c r="RL65" s="64"/>
      <c r="RM65" s="64"/>
      <c r="RN65" s="64"/>
      <c r="RO65" s="64"/>
      <c r="RP65" s="64"/>
      <c r="RQ65" s="64"/>
      <c r="RR65" s="64"/>
      <c r="RS65" s="64"/>
      <c r="RT65" s="64"/>
      <c r="RU65" s="64"/>
      <c r="RV65" s="64"/>
      <c r="RW65" s="64"/>
      <c r="RX65" s="64"/>
      <c r="RY65" s="64"/>
      <c r="RZ65" s="64"/>
      <c r="SA65" s="64"/>
      <c r="SB65" s="64"/>
      <c r="SC65" s="64"/>
      <c r="SD65" s="64"/>
      <c r="SE65" s="64"/>
      <c r="SF65" s="64"/>
      <c r="SG65" s="64"/>
      <c r="SH65" s="64"/>
      <c r="SI65" s="64"/>
      <c r="SJ65" s="64"/>
      <c r="SK65" s="64"/>
      <c r="SL65" s="64"/>
      <c r="SM65" s="64"/>
      <c r="SN65" s="64"/>
      <c r="SO65" s="64"/>
      <c r="SP65" s="64"/>
      <c r="SQ65" s="64"/>
      <c r="SR65" s="64"/>
      <c r="SS65" s="64"/>
      <c r="ST65" s="64"/>
      <c r="SU65" s="64"/>
      <c r="SV65" s="64"/>
      <c r="SW65" s="64"/>
      <c r="SX65" s="64"/>
      <c r="SY65" s="64"/>
      <c r="SZ65" s="64"/>
      <c r="TA65" s="64"/>
      <c r="TB65" s="64"/>
      <c r="TC65" s="64"/>
      <c r="TD65" s="64"/>
      <c r="TE65" s="64"/>
      <c r="TF65" s="64"/>
      <c r="TG65" s="64"/>
      <c r="TH65" s="64"/>
      <c r="TI65" s="64"/>
      <c r="TJ65" s="64"/>
      <c r="TK65" s="64"/>
      <c r="TL65" s="64"/>
      <c r="TM65" s="64"/>
      <c r="TN65" s="64"/>
      <c r="TO65" s="64"/>
      <c r="TP65" s="64"/>
      <c r="TQ65" s="64"/>
      <c r="TR65" s="64"/>
      <c r="TS65" s="64"/>
      <c r="TT65" s="64"/>
      <c r="TU65" s="64"/>
      <c r="TV65" s="64"/>
      <c r="TW65" s="64"/>
      <c r="TX65" s="64"/>
      <c r="TY65" s="64"/>
      <c r="TZ65" s="64"/>
      <c r="UA65" s="64"/>
      <c r="UB65" s="64"/>
      <c r="UC65" s="64"/>
      <c r="UD65" s="64"/>
      <c r="UE65" s="64"/>
      <c r="UF65" s="64"/>
      <c r="UG65" s="64"/>
      <c r="UH65" s="64"/>
      <c r="UI65" s="64"/>
      <c r="UJ65" s="64"/>
      <c r="UK65" s="64"/>
      <c r="UL65" s="64"/>
      <c r="UM65" s="64"/>
      <c r="UN65" s="64"/>
      <c r="UO65" s="64"/>
      <c r="UP65" s="64"/>
      <c r="UQ65" s="64"/>
      <c r="UR65" s="64"/>
      <c r="US65" s="64"/>
      <c r="UT65" s="64"/>
      <c r="UU65" s="64"/>
      <c r="UV65" s="64"/>
      <c r="UW65" s="64"/>
      <c r="UX65" s="64"/>
      <c r="UY65" s="64"/>
      <c r="UZ65" s="64"/>
      <c r="VA65" s="64"/>
      <c r="VB65" s="64"/>
      <c r="VC65" s="64"/>
      <c r="VD65" s="64"/>
      <c r="VE65" s="64"/>
      <c r="VF65" s="64"/>
      <c r="VG65" s="64"/>
      <c r="VH65" s="64"/>
      <c r="VI65" s="64"/>
      <c r="VJ65" s="64"/>
    </row>
    <row r="66" spans="3:582" ht="166.5" customHeight="1" x14ac:dyDescent="0.25">
      <c r="C66" s="64"/>
      <c r="D66" s="64"/>
      <c r="E66" s="64"/>
      <c r="F66" s="64"/>
      <c r="G66" s="596"/>
      <c r="H66" s="596"/>
      <c r="I66" s="596"/>
      <c r="J66" s="596"/>
      <c r="K66" s="596"/>
      <c r="L66" s="596"/>
      <c r="M66" s="596"/>
      <c r="N66" s="596"/>
      <c r="O66" s="596"/>
      <c r="P66" s="596"/>
      <c r="Q66" s="596"/>
      <c r="R66" s="596"/>
      <c r="S66" s="596"/>
      <c r="T66" s="596"/>
      <c r="U66" s="596"/>
      <c r="V66" s="596"/>
      <c r="W66" s="596"/>
      <c r="X66" s="596"/>
      <c r="Y66" s="596"/>
      <c r="Z66" s="596"/>
      <c r="AA66" s="596"/>
      <c r="AB66" s="596"/>
      <c r="AC66" s="596"/>
      <c r="AD66" s="596"/>
      <c r="AE66" s="596"/>
      <c r="AF66" s="596"/>
      <c r="AG66" s="596"/>
      <c r="AH66" s="596"/>
      <c r="AI66" s="596"/>
      <c r="AJ66" s="596"/>
      <c r="AK66" s="596"/>
      <c r="AL66" s="596"/>
      <c r="AM66" s="596"/>
      <c r="AN66" s="596"/>
      <c r="AO66" s="596"/>
      <c r="AP66" s="596"/>
      <c r="AQ66" s="596"/>
      <c r="AR66" s="596"/>
      <c r="AS66" s="596"/>
      <c r="AT66" s="596"/>
      <c r="AU66" s="596"/>
      <c r="AV66" s="596"/>
      <c r="AW66" s="596"/>
      <c r="AX66" s="596"/>
      <c r="AY66" s="596"/>
      <c r="AZ66" s="596"/>
      <c r="BA66" s="596"/>
      <c r="BB66" s="596"/>
      <c r="BC66" s="596"/>
      <c r="BD66" s="596"/>
      <c r="BE66" s="596"/>
      <c r="BF66" s="596"/>
      <c r="BG66" s="596"/>
      <c r="BH66" s="596"/>
      <c r="BI66" s="596"/>
      <c r="BJ66" s="596"/>
      <c r="BK66" s="596"/>
      <c r="BL66" s="596"/>
      <c r="BM66" s="596"/>
      <c r="BN66" s="596"/>
      <c r="BO66" s="596"/>
      <c r="BP66" s="596"/>
      <c r="BQ66" s="596"/>
      <c r="BR66" s="596"/>
      <c r="BS66" s="596"/>
      <c r="BT66" s="596"/>
      <c r="BU66" s="596"/>
      <c r="BV66" s="596"/>
      <c r="BW66" s="596"/>
      <c r="BX66" s="596"/>
      <c r="BY66" s="596"/>
      <c r="BZ66" s="596"/>
      <c r="CA66" s="596"/>
      <c r="CB66" s="596"/>
      <c r="CC66" s="596"/>
      <c r="CD66" s="596"/>
      <c r="CE66" s="596"/>
      <c r="CF66" s="596"/>
      <c r="CG66" s="596"/>
      <c r="CH66" s="596"/>
      <c r="CI66" s="596"/>
      <c r="CJ66" s="596"/>
      <c r="CK66" s="596"/>
      <c r="CL66" s="596"/>
      <c r="CM66" s="596"/>
      <c r="CN66" s="596"/>
      <c r="CO66" s="596"/>
      <c r="CP66" s="596"/>
      <c r="CQ66" s="596"/>
      <c r="CR66" s="596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  <c r="QI66" s="64"/>
      <c r="QJ66" s="64"/>
      <c r="QK66" s="64"/>
      <c r="QL66" s="64"/>
      <c r="QM66" s="64"/>
      <c r="QN66" s="64"/>
      <c r="QO66" s="64"/>
      <c r="QP66" s="64"/>
      <c r="QQ66" s="64"/>
      <c r="QR66" s="64"/>
      <c r="QS66" s="64"/>
      <c r="QT66" s="64"/>
      <c r="QU66" s="64"/>
      <c r="QV66" s="64"/>
      <c r="QW66" s="64"/>
      <c r="QX66" s="64"/>
      <c r="QY66" s="64"/>
      <c r="QZ66" s="64"/>
      <c r="RA66" s="64"/>
      <c r="RB66" s="64"/>
      <c r="RC66" s="64"/>
      <c r="RD66" s="64"/>
      <c r="RE66" s="64"/>
      <c r="RF66" s="64"/>
      <c r="RG66" s="64"/>
      <c r="RH66" s="64"/>
      <c r="RI66" s="64"/>
      <c r="RJ66" s="64"/>
      <c r="RK66" s="64"/>
      <c r="RL66" s="64"/>
      <c r="RM66" s="64"/>
      <c r="RN66" s="64"/>
      <c r="RO66" s="64"/>
      <c r="RP66" s="64"/>
      <c r="RQ66" s="64"/>
      <c r="RR66" s="64"/>
      <c r="RS66" s="64"/>
      <c r="RT66" s="64"/>
      <c r="RU66" s="64"/>
      <c r="RV66" s="64"/>
      <c r="RW66" s="64"/>
      <c r="RX66" s="64"/>
      <c r="RY66" s="64"/>
      <c r="RZ66" s="64"/>
      <c r="SA66" s="64"/>
      <c r="SB66" s="64"/>
      <c r="SC66" s="64"/>
      <c r="SD66" s="64"/>
      <c r="SE66" s="64"/>
      <c r="SF66" s="64"/>
      <c r="SG66" s="64"/>
      <c r="SH66" s="64"/>
      <c r="SI66" s="64"/>
      <c r="SJ66" s="64"/>
      <c r="SK66" s="64"/>
      <c r="SL66" s="64"/>
      <c r="SM66" s="64"/>
      <c r="SN66" s="64"/>
      <c r="SO66" s="64"/>
      <c r="SP66" s="64"/>
      <c r="SQ66" s="64"/>
      <c r="SR66" s="64"/>
      <c r="SS66" s="64"/>
      <c r="ST66" s="64"/>
      <c r="SU66" s="64"/>
      <c r="SV66" s="64"/>
      <c r="SW66" s="64"/>
      <c r="SX66" s="64"/>
      <c r="SY66" s="64"/>
      <c r="SZ66" s="64"/>
      <c r="TA66" s="64"/>
      <c r="TB66" s="64"/>
      <c r="TC66" s="64"/>
      <c r="TD66" s="64"/>
      <c r="TE66" s="64"/>
      <c r="TF66" s="64"/>
      <c r="TG66" s="64"/>
      <c r="TH66" s="64"/>
      <c r="TI66" s="64"/>
      <c r="TJ66" s="64"/>
      <c r="TK66" s="64"/>
      <c r="TL66" s="64"/>
      <c r="TM66" s="64"/>
      <c r="TN66" s="64"/>
      <c r="TO66" s="64"/>
      <c r="TP66" s="64"/>
      <c r="TQ66" s="64"/>
      <c r="TR66" s="64"/>
      <c r="TS66" s="64"/>
      <c r="TT66" s="64"/>
      <c r="TU66" s="64"/>
      <c r="TV66" s="64"/>
      <c r="TW66" s="64"/>
      <c r="TX66" s="64"/>
      <c r="TY66" s="64"/>
      <c r="TZ66" s="64"/>
      <c r="UA66" s="64"/>
      <c r="UB66" s="64"/>
      <c r="UC66" s="64"/>
      <c r="UD66" s="64"/>
      <c r="UE66" s="64"/>
      <c r="UF66" s="64"/>
      <c r="UG66" s="64"/>
      <c r="UH66" s="64"/>
      <c r="UI66" s="64"/>
      <c r="UJ66" s="64"/>
      <c r="UK66" s="64"/>
      <c r="UL66" s="64"/>
      <c r="UM66" s="64"/>
      <c r="UN66" s="64"/>
      <c r="UO66" s="64"/>
      <c r="UP66" s="64"/>
      <c r="UQ66" s="64"/>
      <c r="UR66" s="64"/>
      <c r="US66" s="64"/>
      <c r="UT66" s="64"/>
      <c r="UU66" s="64"/>
      <c r="UV66" s="64"/>
      <c r="UW66" s="64"/>
      <c r="UX66" s="64"/>
      <c r="UY66" s="64"/>
      <c r="UZ66" s="64"/>
      <c r="VA66" s="64"/>
      <c r="VB66" s="64"/>
      <c r="VC66" s="64"/>
      <c r="VD66" s="64"/>
      <c r="VE66" s="64"/>
      <c r="VF66" s="64"/>
      <c r="VG66" s="64"/>
      <c r="VH66" s="64"/>
      <c r="VI66" s="64"/>
      <c r="VJ66" s="64"/>
    </row>
    <row r="67" spans="3:582" ht="13.5" customHeight="1" x14ac:dyDescent="0.25"/>
    <row r="68" spans="3:582" ht="14.25" customHeight="1" x14ac:dyDescent="0.25"/>
    <row r="71" spans="3:582" ht="13.5" customHeight="1" x14ac:dyDescent="0.25"/>
    <row r="72" spans="3:582" ht="13.5" customHeight="1" x14ac:dyDescent="0.25"/>
    <row r="73" spans="3:582" ht="14.25" customHeight="1" x14ac:dyDescent="0.25"/>
    <row r="76" spans="3:582" ht="13.5" customHeight="1" x14ac:dyDescent="0.25"/>
    <row r="77" spans="3:582" ht="13.5" customHeight="1" x14ac:dyDescent="0.25"/>
    <row r="78" spans="3:582" ht="14.25" customHeight="1" x14ac:dyDescent="0.25"/>
  </sheetData>
  <mergeCells count="2471">
    <mergeCell ref="G58:CR66"/>
    <mergeCell ref="C7:F10"/>
    <mergeCell ref="G56:CD56"/>
    <mergeCell ref="G50:CD50"/>
    <mergeCell ref="G51:CD51"/>
    <mergeCell ref="G52:CD52"/>
    <mergeCell ref="G53:CD53"/>
    <mergeCell ref="G54:CD54"/>
    <mergeCell ref="G55:CD55"/>
    <mergeCell ref="UA48:UF48"/>
    <mergeCell ref="UG48:UL48"/>
    <mergeCell ref="UM48:UR48"/>
    <mergeCell ref="US48:UX48"/>
    <mergeCell ref="UY48:VD48"/>
    <mergeCell ref="VE48:VJ48"/>
    <mergeCell ref="SQ48:SV48"/>
    <mergeCell ref="SW48:TB48"/>
    <mergeCell ref="TC48:TH48"/>
    <mergeCell ref="TI48:TN48"/>
    <mergeCell ref="TO48:TT48"/>
    <mergeCell ref="TU48:TZ48"/>
    <mergeCell ref="RG48:RL48"/>
    <mergeCell ref="RM48:RR48"/>
    <mergeCell ref="RS48:RX48"/>
    <mergeCell ref="RY48:SD48"/>
    <mergeCell ref="SE48:SJ48"/>
    <mergeCell ref="SK48:SP48"/>
    <mergeCell ref="PW48:QB48"/>
    <mergeCell ref="QC48:QH48"/>
    <mergeCell ref="QI48:QN48"/>
    <mergeCell ref="QO48:QT48"/>
    <mergeCell ref="QU48:QZ48"/>
    <mergeCell ref="RA48:RF48"/>
    <mergeCell ref="OM48:OR48"/>
    <mergeCell ref="OS48:OX48"/>
    <mergeCell ref="OY48:PD48"/>
    <mergeCell ref="PE48:PJ48"/>
    <mergeCell ref="PK48:PP48"/>
    <mergeCell ref="PQ48:PV48"/>
    <mergeCell ref="NC48:NH48"/>
    <mergeCell ref="NI48:NN48"/>
    <mergeCell ref="NO48:NT48"/>
    <mergeCell ref="NU48:NZ48"/>
    <mergeCell ref="OA48:OF48"/>
    <mergeCell ref="OG48:OL48"/>
    <mergeCell ref="LS48:LX48"/>
    <mergeCell ref="LY48:MD48"/>
    <mergeCell ref="ME48:MJ48"/>
    <mergeCell ref="MK48:MP48"/>
    <mergeCell ref="MQ48:MV48"/>
    <mergeCell ref="MW48:NB48"/>
    <mergeCell ref="KI48:KN48"/>
    <mergeCell ref="KO48:KT48"/>
    <mergeCell ref="KU48:KZ48"/>
    <mergeCell ref="LA48:LF48"/>
    <mergeCell ref="LG48:LL48"/>
    <mergeCell ref="LM48:LR48"/>
    <mergeCell ref="IY48:JD48"/>
    <mergeCell ref="JE48:JJ48"/>
    <mergeCell ref="JK48:JP48"/>
    <mergeCell ref="JQ48:JV48"/>
    <mergeCell ref="JW48:KB48"/>
    <mergeCell ref="KC48:KH48"/>
    <mergeCell ref="HO48:HT48"/>
    <mergeCell ref="HU48:HZ48"/>
    <mergeCell ref="IA48:IF48"/>
    <mergeCell ref="IG48:IL48"/>
    <mergeCell ref="IM48:IR48"/>
    <mergeCell ref="IS48:IX48"/>
    <mergeCell ref="GE48:GJ48"/>
    <mergeCell ref="GK48:GP48"/>
    <mergeCell ref="GQ48:GV48"/>
    <mergeCell ref="GW48:HB48"/>
    <mergeCell ref="HC48:HH48"/>
    <mergeCell ref="HI48:HN48"/>
    <mergeCell ref="EU48:EZ48"/>
    <mergeCell ref="FA48:FF48"/>
    <mergeCell ref="FG48:FL48"/>
    <mergeCell ref="FM48:FR48"/>
    <mergeCell ref="FS48:FX48"/>
    <mergeCell ref="FY48:GD48"/>
    <mergeCell ref="DK48:DP48"/>
    <mergeCell ref="DQ48:DV48"/>
    <mergeCell ref="DW48:EB48"/>
    <mergeCell ref="EC48:EH48"/>
    <mergeCell ref="EI48:EN48"/>
    <mergeCell ref="EO48:ET48"/>
    <mergeCell ref="CA48:CF48"/>
    <mergeCell ref="CG48:CL48"/>
    <mergeCell ref="CM48:CR48"/>
    <mergeCell ref="CS48:CX48"/>
    <mergeCell ref="CY48:DD48"/>
    <mergeCell ref="DE48:DJ48"/>
    <mergeCell ref="AQ48:AV48"/>
    <mergeCell ref="AW48:BB48"/>
    <mergeCell ref="BC48:BH48"/>
    <mergeCell ref="BI48:BN48"/>
    <mergeCell ref="BO48:BT48"/>
    <mergeCell ref="BU48:BZ48"/>
    <mergeCell ref="UM46:UR46"/>
    <mergeCell ref="US46:UX46"/>
    <mergeCell ref="UY46:VD46"/>
    <mergeCell ref="VE46:VJ46"/>
    <mergeCell ref="G48:L48"/>
    <mergeCell ref="M48:R48"/>
    <mergeCell ref="S48:X48"/>
    <mergeCell ref="Y48:AD48"/>
    <mergeCell ref="AE48:AJ48"/>
    <mergeCell ref="AK48:AP48"/>
    <mergeCell ref="TC46:TH46"/>
    <mergeCell ref="TI46:TN46"/>
    <mergeCell ref="TO46:TT46"/>
    <mergeCell ref="TU46:TZ46"/>
    <mergeCell ref="UA46:UF46"/>
    <mergeCell ref="UG46:UL46"/>
    <mergeCell ref="RS46:RX46"/>
    <mergeCell ref="RY46:SD46"/>
    <mergeCell ref="SE46:SJ46"/>
    <mergeCell ref="SK46:SP46"/>
    <mergeCell ref="SQ46:SV46"/>
    <mergeCell ref="SW46:TB46"/>
    <mergeCell ref="QI46:QN46"/>
    <mergeCell ref="QO46:QT46"/>
    <mergeCell ref="QU46:QZ46"/>
    <mergeCell ref="RA46:RF46"/>
    <mergeCell ref="RG46:RL46"/>
    <mergeCell ref="RM46:RR46"/>
    <mergeCell ref="OY46:PD46"/>
    <mergeCell ref="PE46:PJ46"/>
    <mergeCell ref="PK46:PP46"/>
    <mergeCell ref="PQ46:PV46"/>
    <mergeCell ref="PW46:QB46"/>
    <mergeCell ref="QC46:QH46"/>
    <mergeCell ref="NO46:NT46"/>
    <mergeCell ref="NU46:NZ46"/>
    <mergeCell ref="OA46:OF46"/>
    <mergeCell ref="OG46:OL46"/>
    <mergeCell ref="OM46:OR46"/>
    <mergeCell ref="OS46:OX46"/>
    <mergeCell ref="ME46:MJ46"/>
    <mergeCell ref="MK46:MP46"/>
    <mergeCell ref="MQ46:MV46"/>
    <mergeCell ref="MW46:NB46"/>
    <mergeCell ref="NC46:NH46"/>
    <mergeCell ref="NI46:NN46"/>
    <mergeCell ref="KU46:KZ46"/>
    <mergeCell ref="LA46:LF46"/>
    <mergeCell ref="LG46:LL46"/>
    <mergeCell ref="LM46:LR46"/>
    <mergeCell ref="LS46:LX46"/>
    <mergeCell ref="LY46:MD46"/>
    <mergeCell ref="JK46:JP46"/>
    <mergeCell ref="JQ46:JV46"/>
    <mergeCell ref="JW46:KB46"/>
    <mergeCell ref="KC46:KH46"/>
    <mergeCell ref="KI46:KN46"/>
    <mergeCell ref="KO46:KT46"/>
    <mergeCell ref="IA46:IF46"/>
    <mergeCell ref="IG46:IL46"/>
    <mergeCell ref="IM46:IR46"/>
    <mergeCell ref="IS46:IX46"/>
    <mergeCell ref="IY46:JD46"/>
    <mergeCell ref="JE46:JJ46"/>
    <mergeCell ref="GQ46:GV46"/>
    <mergeCell ref="GW46:HB46"/>
    <mergeCell ref="HC46:HH46"/>
    <mergeCell ref="HI46:HN46"/>
    <mergeCell ref="HO46:HT46"/>
    <mergeCell ref="HU46:HZ46"/>
    <mergeCell ref="FG46:FL46"/>
    <mergeCell ref="FM46:FR46"/>
    <mergeCell ref="FS46:FX46"/>
    <mergeCell ref="FY46:GD46"/>
    <mergeCell ref="GE46:GJ46"/>
    <mergeCell ref="GK46:GP46"/>
    <mergeCell ref="DW46:EB46"/>
    <mergeCell ref="EC46:EH46"/>
    <mergeCell ref="EI46:EN46"/>
    <mergeCell ref="EO46:ET46"/>
    <mergeCell ref="EU46:EZ46"/>
    <mergeCell ref="FA46:FF46"/>
    <mergeCell ref="CM46:CR46"/>
    <mergeCell ref="CS46:CX46"/>
    <mergeCell ref="CY46:DD46"/>
    <mergeCell ref="DE46:DJ46"/>
    <mergeCell ref="DK46:DP46"/>
    <mergeCell ref="DQ46:DV46"/>
    <mergeCell ref="BC46:BH46"/>
    <mergeCell ref="BI46:BN46"/>
    <mergeCell ref="BO46:BT46"/>
    <mergeCell ref="BU46:BZ46"/>
    <mergeCell ref="CA46:CF46"/>
    <mergeCell ref="CG46:CL46"/>
    <mergeCell ref="S46:X46"/>
    <mergeCell ref="Y46:AD46"/>
    <mergeCell ref="AE46:AJ46"/>
    <mergeCell ref="AK46:AP46"/>
    <mergeCell ref="AQ46:AV46"/>
    <mergeCell ref="AW46:BB46"/>
    <mergeCell ref="C46:C48"/>
    <mergeCell ref="D46:D48"/>
    <mergeCell ref="E46:E48"/>
    <mergeCell ref="F46:F48"/>
    <mergeCell ref="G46:L46"/>
    <mergeCell ref="M46:R46"/>
    <mergeCell ref="UA45:UF45"/>
    <mergeCell ref="UG45:UL45"/>
    <mergeCell ref="UM45:UR45"/>
    <mergeCell ref="US45:UX45"/>
    <mergeCell ref="UY45:VD45"/>
    <mergeCell ref="OM45:OR45"/>
    <mergeCell ref="OS45:OX45"/>
    <mergeCell ref="OY45:PD45"/>
    <mergeCell ref="PE45:PJ45"/>
    <mergeCell ref="PK45:PP45"/>
    <mergeCell ref="PQ45:PV45"/>
    <mergeCell ref="NC45:NH45"/>
    <mergeCell ref="NI45:NN45"/>
    <mergeCell ref="NO45:NT45"/>
    <mergeCell ref="NU45:NZ45"/>
    <mergeCell ref="OA45:OF45"/>
    <mergeCell ref="OG45:OL45"/>
    <mergeCell ref="LS45:LX45"/>
    <mergeCell ref="LY45:MD45"/>
    <mergeCell ref="ME45:MJ45"/>
    <mergeCell ref="VE45:VJ45"/>
    <mergeCell ref="SQ45:SV45"/>
    <mergeCell ref="SW45:TB45"/>
    <mergeCell ref="TC45:TH45"/>
    <mergeCell ref="TI45:TN45"/>
    <mergeCell ref="TO45:TT45"/>
    <mergeCell ref="TU45:TZ45"/>
    <mergeCell ref="RG45:RL45"/>
    <mergeCell ref="RM45:RR45"/>
    <mergeCell ref="RS45:RX45"/>
    <mergeCell ref="RY45:SD45"/>
    <mergeCell ref="SE45:SJ45"/>
    <mergeCell ref="SK45:SP45"/>
    <mergeCell ref="PW45:QB45"/>
    <mergeCell ref="QC45:QH45"/>
    <mergeCell ref="QI45:QN45"/>
    <mergeCell ref="QO45:QT45"/>
    <mergeCell ref="QU45:QZ45"/>
    <mergeCell ref="RA45:RF45"/>
    <mergeCell ref="MK45:MP45"/>
    <mergeCell ref="MQ45:MV45"/>
    <mergeCell ref="MW45:NB45"/>
    <mergeCell ref="KI45:KN45"/>
    <mergeCell ref="KO45:KT45"/>
    <mergeCell ref="KU45:KZ45"/>
    <mergeCell ref="LA45:LF45"/>
    <mergeCell ref="LG45:LL45"/>
    <mergeCell ref="LM45:LR45"/>
    <mergeCell ref="IY45:JD45"/>
    <mergeCell ref="JE45:JJ45"/>
    <mergeCell ref="JK45:JP45"/>
    <mergeCell ref="JQ45:JV45"/>
    <mergeCell ref="JW45:KB45"/>
    <mergeCell ref="KC45:KH45"/>
    <mergeCell ref="HO45:HT45"/>
    <mergeCell ref="HU45:HZ45"/>
    <mergeCell ref="IA45:IF45"/>
    <mergeCell ref="IG45:IL45"/>
    <mergeCell ref="IM45:IR45"/>
    <mergeCell ref="IS45:IX45"/>
    <mergeCell ref="GE45:GJ45"/>
    <mergeCell ref="GK45:GP45"/>
    <mergeCell ref="GQ45:GV45"/>
    <mergeCell ref="GW45:HB45"/>
    <mergeCell ref="HC45:HH45"/>
    <mergeCell ref="HI45:HN45"/>
    <mergeCell ref="EU45:EZ45"/>
    <mergeCell ref="FA45:FF45"/>
    <mergeCell ref="FG45:FL45"/>
    <mergeCell ref="FM45:FR45"/>
    <mergeCell ref="FS45:FX45"/>
    <mergeCell ref="FY45:GD45"/>
    <mergeCell ref="DK45:DP45"/>
    <mergeCell ref="DQ45:DV45"/>
    <mergeCell ref="DW45:EB45"/>
    <mergeCell ref="EC45:EH45"/>
    <mergeCell ref="EI45:EN45"/>
    <mergeCell ref="EO45:ET45"/>
    <mergeCell ref="CA45:CF45"/>
    <mergeCell ref="CG45:CL45"/>
    <mergeCell ref="CM45:CR45"/>
    <mergeCell ref="CS45:CX45"/>
    <mergeCell ref="CY45:DD45"/>
    <mergeCell ref="DE45:DJ45"/>
    <mergeCell ref="AQ45:AV45"/>
    <mergeCell ref="AW45:BB45"/>
    <mergeCell ref="BC45:BH45"/>
    <mergeCell ref="BI45:BN45"/>
    <mergeCell ref="BO45:BT45"/>
    <mergeCell ref="BU45:BZ45"/>
    <mergeCell ref="UM43:UR43"/>
    <mergeCell ref="US43:UX43"/>
    <mergeCell ref="UY43:VD43"/>
    <mergeCell ref="VE43:VJ43"/>
    <mergeCell ref="G45:L45"/>
    <mergeCell ref="M45:R45"/>
    <mergeCell ref="S45:X45"/>
    <mergeCell ref="Y45:AD45"/>
    <mergeCell ref="AE45:AJ45"/>
    <mergeCell ref="AK45:AP45"/>
    <mergeCell ref="TC43:TH43"/>
    <mergeCell ref="TI43:TN43"/>
    <mergeCell ref="TO43:TT43"/>
    <mergeCell ref="TU43:TZ43"/>
    <mergeCell ref="UA43:UF43"/>
    <mergeCell ref="UG43:UL43"/>
    <mergeCell ref="RS43:RX43"/>
    <mergeCell ref="RY43:SD43"/>
    <mergeCell ref="SE43:SJ43"/>
    <mergeCell ref="SK43:SP43"/>
    <mergeCell ref="SQ43:SV43"/>
    <mergeCell ref="SW43:TB43"/>
    <mergeCell ref="QI43:QN43"/>
    <mergeCell ref="QO43:QT43"/>
    <mergeCell ref="QU43:QZ43"/>
    <mergeCell ref="RA43:RF43"/>
    <mergeCell ref="RG43:RL43"/>
    <mergeCell ref="RM43:RR43"/>
    <mergeCell ref="OY43:PD43"/>
    <mergeCell ref="PE43:PJ43"/>
    <mergeCell ref="PK43:PP43"/>
    <mergeCell ref="PQ43:PV43"/>
    <mergeCell ref="PW43:QB43"/>
    <mergeCell ref="QC43:QH43"/>
    <mergeCell ref="NO43:NT43"/>
    <mergeCell ref="NU43:NZ43"/>
    <mergeCell ref="OA43:OF43"/>
    <mergeCell ref="OG43:OL43"/>
    <mergeCell ref="OM43:OR43"/>
    <mergeCell ref="OS43:OX43"/>
    <mergeCell ref="ME43:MJ43"/>
    <mergeCell ref="MK43:MP43"/>
    <mergeCell ref="MQ43:MV43"/>
    <mergeCell ref="MW43:NB43"/>
    <mergeCell ref="NC43:NH43"/>
    <mergeCell ref="NI43:NN43"/>
    <mergeCell ref="KU43:KZ43"/>
    <mergeCell ref="LA43:LF43"/>
    <mergeCell ref="LG43:LL43"/>
    <mergeCell ref="LM43:LR43"/>
    <mergeCell ref="LS43:LX43"/>
    <mergeCell ref="LY43:MD43"/>
    <mergeCell ref="JK43:JP43"/>
    <mergeCell ref="JQ43:JV43"/>
    <mergeCell ref="JW43:KB43"/>
    <mergeCell ref="KC43:KH43"/>
    <mergeCell ref="KI43:KN43"/>
    <mergeCell ref="KO43:KT43"/>
    <mergeCell ref="IA43:IF43"/>
    <mergeCell ref="IG43:IL43"/>
    <mergeCell ref="IM43:IR43"/>
    <mergeCell ref="IS43:IX43"/>
    <mergeCell ref="IY43:JD43"/>
    <mergeCell ref="JE43:JJ43"/>
    <mergeCell ref="GQ43:GV43"/>
    <mergeCell ref="GW43:HB43"/>
    <mergeCell ref="HC43:HH43"/>
    <mergeCell ref="HI43:HN43"/>
    <mergeCell ref="HO43:HT43"/>
    <mergeCell ref="HU43:HZ43"/>
    <mergeCell ref="FG43:FL43"/>
    <mergeCell ref="FM43:FR43"/>
    <mergeCell ref="FS43:FX43"/>
    <mergeCell ref="FY43:GD43"/>
    <mergeCell ref="GE43:GJ43"/>
    <mergeCell ref="GK43:GP43"/>
    <mergeCell ref="DW43:EB43"/>
    <mergeCell ref="EC43:EH43"/>
    <mergeCell ref="EI43:EN43"/>
    <mergeCell ref="EO43:ET43"/>
    <mergeCell ref="EU43:EZ43"/>
    <mergeCell ref="FA43:FF43"/>
    <mergeCell ref="CM43:CR43"/>
    <mergeCell ref="CS43:CX43"/>
    <mergeCell ref="CY43:DD43"/>
    <mergeCell ref="DE43:DJ43"/>
    <mergeCell ref="DK43:DP43"/>
    <mergeCell ref="DQ43:DV43"/>
    <mergeCell ref="BC43:BH43"/>
    <mergeCell ref="BI43:BN43"/>
    <mergeCell ref="BO43:BT43"/>
    <mergeCell ref="BU43:BZ43"/>
    <mergeCell ref="CA43:CF43"/>
    <mergeCell ref="CG43:CL43"/>
    <mergeCell ref="S43:X43"/>
    <mergeCell ref="Y43:AD43"/>
    <mergeCell ref="AE43:AJ43"/>
    <mergeCell ref="AK43:AP43"/>
    <mergeCell ref="AQ43:AV43"/>
    <mergeCell ref="AW43:BB43"/>
    <mergeCell ref="C43:C45"/>
    <mergeCell ref="D43:D45"/>
    <mergeCell ref="E43:E45"/>
    <mergeCell ref="F43:F45"/>
    <mergeCell ref="G43:L43"/>
    <mergeCell ref="M43:R43"/>
    <mergeCell ref="UA42:UF42"/>
    <mergeCell ref="UG42:UL42"/>
    <mergeCell ref="UM42:UR42"/>
    <mergeCell ref="US42:UX42"/>
    <mergeCell ref="UY42:VD42"/>
    <mergeCell ref="OM42:OR42"/>
    <mergeCell ref="OS42:OX42"/>
    <mergeCell ref="OY42:PD42"/>
    <mergeCell ref="PE42:PJ42"/>
    <mergeCell ref="PK42:PP42"/>
    <mergeCell ref="PQ42:PV42"/>
    <mergeCell ref="NC42:NH42"/>
    <mergeCell ref="NI42:NN42"/>
    <mergeCell ref="NO42:NT42"/>
    <mergeCell ref="NU42:NZ42"/>
    <mergeCell ref="OA42:OF42"/>
    <mergeCell ref="OG42:OL42"/>
    <mergeCell ref="LS42:LX42"/>
    <mergeCell ref="LY42:MD42"/>
    <mergeCell ref="ME42:MJ42"/>
    <mergeCell ref="VE42:VJ42"/>
    <mergeCell ref="SQ42:SV42"/>
    <mergeCell ref="SW42:TB42"/>
    <mergeCell ref="TC42:TH42"/>
    <mergeCell ref="TI42:TN42"/>
    <mergeCell ref="TO42:TT42"/>
    <mergeCell ref="TU42:TZ42"/>
    <mergeCell ref="RG42:RL42"/>
    <mergeCell ref="RM42:RR42"/>
    <mergeCell ref="RS42:RX42"/>
    <mergeCell ref="RY42:SD42"/>
    <mergeCell ref="SE42:SJ42"/>
    <mergeCell ref="SK42:SP42"/>
    <mergeCell ref="PW42:QB42"/>
    <mergeCell ref="QC42:QH42"/>
    <mergeCell ref="QI42:QN42"/>
    <mergeCell ref="QO42:QT42"/>
    <mergeCell ref="QU42:QZ42"/>
    <mergeCell ref="RA42:RF42"/>
    <mergeCell ref="MK42:MP42"/>
    <mergeCell ref="MQ42:MV42"/>
    <mergeCell ref="MW42:NB42"/>
    <mergeCell ref="KI42:KN42"/>
    <mergeCell ref="KO42:KT42"/>
    <mergeCell ref="KU42:KZ42"/>
    <mergeCell ref="LA42:LF42"/>
    <mergeCell ref="LG42:LL42"/>
    <mergeCell ref="LM42:LR42"/>
    <mergeCell ref="IY42:JD42"/>
    <mergeCell ref="JE42:JJ42"/>
    <mergeCell ref="JK42:JP42"/>
    <mergeCell ref="JQ42:JV42"/>
    <mergeCell ref="JW42:KB42"/>
    <mergeCell ref="KC42:KH42"/>
    <mergeCell ref="HO42:HT42"/>
    <mergeCell ref="HU42:HZ42"/>
    <mergeCell ref="IA42:IF42"/>
    <mergeCell ref="IG42:IL42"/>
    <mergeCell ref="IM42:IR42"/>
    <mergeCell ref="IS42:IX42"/>
    <mergeCell ref="GE42:GJ42"/>
    <mergeCell ref="GK42:GP42"/>
    <mergeCell ref="GQ42:GV42"/>
    <mergeCell ref="GW42:HB42"/>
    <mergeCell ref="HC42:HH42"/>
    <mergeCell ref="HI42:HN42"/>
    <mergeCell ref="EU42:EZ42"/>
    <mergeCell ref="FA42:FF42"/>
    <mergeCell ref="FG42:FL42"/>
    <mergeCell ref="FM42:FR42"/>
    <mergeCell ref="FS42:FX42"/>
    <mergeCell ref="FY42:GD42"/>
    <mergeCell ref="DK42:DP42"/>
    <mergeCell ref="DQ42:DV42"/>
    <mergeCell ref="DW42:EB42"/>
    <mergeCell ref="EC42:EH42"/>
    <mergeCell ref="EI42:EN42"/>
    <mergeCell ref="EO42:ET42"/>
    <mergeCell ref="CA42:CF42"/>
    <mergeCell ref="CG42:CL42"/>
    <mergeCell ref="CM42:CR42"/>
    <mergeCell ref="CS42:CX42"/>
    <mergeCell ref="CY42:DD42"/>
    <mergeCell ref="DE42:DJ42"/>
    <mergeCell ref="AQ42:AV42"/>
    <mergeCell ref="AW42:BB42"/>
    <mergeCell ref="BC42:BH42"/>
    <mergeCell ref="BI42:BN42"/>
    <mergeCell ref="BO42:BT42"/>
    <mergeCell ref="BU42:BZ42"/>
    <mergeCell ref="UM40:UR40"/>
    <mergeCell ref="US40:UX40"/>
    <mergeCell ref="UY40:VD40"/>
    <mergeCell ref="VE40:VJ40"/>
    <mergeCell ref="G42:L42"/>
    <mergeCell ref="M42:R42"/>
    <mergeCell ref="S42:X42"/>
    <mergeCell ref="Y42:AD42"/>
    <mergeCell ref="AE42:AJ42"/>
    <mergeCell ref="AK42:AP42"/>
    <mergeCell ref="TC40:TH40"/>
    <mergeCell ref="TI40:TN40"/>
    <mergeCell ref="TO40:TT40"/>
    <mergeCell ref="TU40:TZ40"/>
    <mergeCell ref="UA40:UF40"/>
    <mergeCell ref="UG40:UL40"/>
    <mergeCell ref="RS40:RX40"/>
    <mergeCell ref="RY40:SD40"/>
    <mergeCell ref="SE40:SJ40"/>
    <mergeCell ref="SK40:SP40"/>
    <mergeCell ref="SQ40:SV40"/>
    <mergeCell ref="SW40:TB40"/>
    <mergeCell ref="QI40:QN40"/>
    <mergeCell ref="QO40:QT40"/>
    <mergeCell ref="QU40:QZ40"/>
    <mergeCell ref="RA40:RF40"/>
    <mergeCell ref="RG40:RL40"/>
    <mergeCell ref="RM40:RR40"/>
    <mergeCell ref="OY40:PD40"/>
    <mergeCell ref="PE40:PJ40"/>
    <mergeCell ref="PK40:PP40"/>
    <mergeCell ref="PQ40:PV40"/>
    <mergeCell ref="PW40:QB40"/>
    <mergeCell ref="QC40:QH40"/>
    <mergeCell ref="NO40:NT40"/>
    <mergeCell ref="NU40:NZ40"/>
    <mergeCell ref="OA40:OF40"/>
    <mergeCell ref="OG40:OL40"/>
    <mergeCell ref="OM40:OR40"/>
    <mergeCell ref="OS40:OX40"/>
    <mergeCell ref="ME40:MJ40"/>
    <mergeCell ref="MK40:MP40"/>
    <mergeCell ref="MQ40:MV40"/>
    <mergeCell ref="MW40:NB40"/>
    <mergeCell ref="NC40:NH40"/>
    <mergeCell ref="NI40:NN40"/>
    <mergeCell ref="KU40:KZ40"/>
    <mergeCell ref="LA40:LF40"/>
    <mergeCell ref="LG40:LL40"/>
    <mergeCell ref="LM40:LR40"/>
    <mergeCell ref="LS40:LX40"/>
    <mergeCell ref="LY40:MD40"/>
    <mergeCell ref="JK40:JP40"/>
    <mergeCell ref="JQ40:JV40"/>
    <mergeCell ref="JW40:KB40"/>
    <mergeCell ref="KC40:KH40"/>
    <mergeCell ref="KI40:KN40"/>
    <mergeCell ref="KO40:KT40"/>
    <mergeCell ref="IA40:IF40"/>
    <mergeCell ref="IG40:IL40"/>
    <mergeCell ref="IM40:IR40"/>
    <mergeCell ref="IS40:IX40"/>
    <mergeCell ref="IY40:JD40"/>
    <mergeCell ref="JE40:JJ40"/>
    <mergeCell ref="GQ40:GV40"/>
    <mergeCell ref="GW40:HB40"/>
    <mergeCell ref="HC40:HH40"/>
    <mergeCell ref="HI40:HN40"/>
    <mergeCell ref="HO40:HT40"/>
    <mergeCell ref="HU40:HZ40"/>
    <mergeCell ref="FG40:FL40"/>
    <mergeCell ref="FM40:FR40"/>
    <mergeCell ref="FS40:FX40"/>
    <mergeCell ref="FY40:GD40"/>
    <mergeCell ref="GE40:GJ40"/>
    <mergeCell ref="GK40:GP40"/>
    <mergeCell ref="DW40:EB40"/>
    <mergeCell ref="EC40:EH40"/>
    <mergeCell ref="EI40:EN40"/>
    <mergeCell ref="EO40:ET40"/>
    <mergeCell ref="EU40:EZ40"/>
    <mergeCell ref="FA40:FF40"/>
    <mergeCell ref="CM40:CR40"/>
    <mergeCell ref="CS40:CX40"/>
    <mergeCell ref="CY40:DD40"/>
    <mergeCell ref="DE40:DJ40"/>
    <mergeCell ref="DK40:DP40"/>
    <mergeCell ref="DQ40:DV40"/>
    <mergeCell ref="BC40:BH40"/>
    <mergeCell ref="BI40:BN40"/>
    <mergeCell ref="BO40:BT40"/>
    <mergeCell ref="BU40:BZ40"/>
    <mergeCell ref="CA40:CF40"/>
    <mergeCell ref="CG40:CL40"/>
    <mergeCell ref="S40:X40"/>
    <mergeCell ref="Y40:AD40"/>
    <mergeCell ref="AE40:AJ40"/>
    <mergeCell ref="AK40:AP40"/>
    <mergeCell ref="AQ40:AV40"/>
    <mergeCell ref="AW40:BB40"/>
    <mergeCell ref="C40:C42"/>
    <mergeCell ref="D40:D42"/>
    <mergeCell ref="E40:E42"/>
    <mergeCell ref="F40:F42"/>
    <mergeCell ref="G40:L40"/>
    <mergeCell ref="M40:R40"/>
    <mergeCell ref="UA39:UF39"/>
    <mergeCell ref="UG39:UL39"/>
    <mergeCell ref="UM39:UR39"/>
    <mergeCell ref="US39:UX39"/>
    <mergeCell ref="UY39:VD39"/>
    <mergeCell ref="OM39:OR39"/>
    <mergeCell ref="OS39:OX39"/>
    <mergeCell ref="OY39:PD39"/>
    <mergeCell ref="PE39:PJ39"/>
    <mergeCell ref="PK39:PP39"/>
    <mergeCell ref="PQ39:PV39"/>
    <mergeCell ref="NC39:NH39"/>
    <mergeCell ref="NI39:NN39"/>
    <mergeCell ref="NO39:NT39"/>
    <mergeCell ref="NU39:NZ39"/>
    <mergeCell ref="OA39:OF39"/>
    <mergeCell ref="OG39:OL39"/>
    <mergeCell ref="LS39:LX39"/>
    <mergeCell ref="LY39:MD39"/>
    <mergeCell ref="ME39:MJ39"/>
    <mergeCell ref="VE39:VJ39"/>
    <mergeCell ref="SQ39:SV39"/>
    <mergeCell ref="SW39:TB39"/>
    <mergeCell ref="TC39:TH39"/>
    <mergeCell ref="TI39:TN39"/>
    <mergeCell ref="TO39:TT39"/>
    <mergeCell ref="TU39:TZ39"/>
    <mergeCell ref="RG39:RL39"/>
    <mergeCell ref="RM39:RR39"/>
    <mergeCell ref="RS39:RX39"/>
    <mergeCell ref="RY39:SD39"/>
    <mergeCell ref="SE39:SJ39"/>
    <mergeCell ref="SK39:SP39"/>
    <mergeCell ref="PW39:QB39"/>
    <mergeCell ref="QC39:QH39"/>
    <mergeCell ref="QI39:QN39"/>
    <mergeCell ref="QO39:QT39"/>
    <mergeCell ref="QU39:QZ39"/>
    <mergeCell ref="RA39:RF39"/>
    <mergeCell ref="MK39:MP39"/>
    <mergeCell ref="MQ39:MV39"/>
    <mergeCell ref="MW39:NB39"/>
    <mergeCell ref="KI39:KN39"/>
    <mergeCell ref="KO39:KT39"/>
    <mergeCell ref="KU39:KZ39"/>
    <mergeCell ref="LA39:LF39"/>
    <mergeCell ref="LG39:LL39"/>
    <mergeCell ref="LM39:LR39"/>
    <mergeCell ref="IY39:JD39"/>
    <mergeCell ref="JE39:JJ39"/>
    <mergeCell ref="JK39:JP39"/>
    <mergeCell ref="JQ39:JV39"/>
    <mergeCell ref="JW39:KB39"/>
    <mergeCell ref="KC39:KH39"/>
    <mergeCell ref="HO39:HT39"/>
    <mergeCell ref="HU39:HZ39"/>
    <mergeCell ref="IA39:IF39"/>
    <mergeCell ref="IG39:IL39"/>
    <mergeCell ref="IM39:IR39"/>
    <mergeCell ref="IS39:IX39"/>
    <mergeCell ref="GE39:GJ39"/>
    <mergeCell ref="GK39:GP39"/>
    <mergeCell ref="GQ39:GV39"/>
    <mergeCell ref="GW39:HB39"/>
    <mergeCell ref="HC39:HH39"/>
    <mergeCell ref="HI39:HN39"/>
    <mergeCell ref="EU39:EZ39"/>
    <mergeCell ref="FA39:FF39"/>
    <mergeCell ref="FG39:FL39"/>
    <mergeCell ref="FM39:FR39"/>
    <mergeCell ref="FS39:FX39"/>
    <mergeCell ref="FY39:GD39"/>
    <mergeCell ref="DK39:DP39"/>
    <mergeCell ref="DQ39:DV39"/>
    <mergeCell ref="DW39:EB39"/>
    <mergeCell ref="EC39:EH39"/>
    <mergeCell ref="EI39:EN39"/>
    <mergeCell ref="EO39:ET39"/>
    <mergeCell ref="CA39:CF39"/>
    <mergeCell ref="CG39:CL39"/>
    <mergeCell ref="CM39:CR39"/>
    <mergeCell ref="CS39:CX39"/>
    <mergeCell ref="CY39:DD39"/>
    <mergeCell ref="DE39:DJ39"/>
    <mergeCell ref="AQ39:AV39"/>
    <mergeCell ref="AW39:BB39"/>
    <mergeCell ref="BC39:BH39"/>
    <mergeCell ref="BI39:BN39"/>
    <mergeCell ref="BO39:BT39"/>
    <mergeCell ref="BU39:BZ39"/>
    <mergeCell ref="UM37:UR37"/>
    <mergeCell ref="US37:UX37"/>
    <mergeCell ref="UY37:VD37"/>
    <mergeCell ref="VE37:VJ37"/>
    <mergeCell ref="G39:L39"/>
    <mergeCell ref="M39:R39"/>
    <mergeCell ref="S39:X39"/>
    <mergeCell ref="Y39:AD39"/>
    <mergeCell ref="AE39:AJ39"/>
    <mergeCell ref="AK39:AP39"/>
    <mergeCell ref="TC37:TH37"/>
    <mergeCell ref="TI37:TN37"/>
    <mergeCell ref="TO37:TT37"/>
    <mergeCell ref="TU37:TZ37"/>
    <mergeCell ref="UA37:UF37"/>
    <mergeCell ref="UG37:UL37"/>
    <mergeCell ref="RS37:RX37"/>
    <mergeCell ref="RY37:SD37"/>
    <mergeCell ref="SE37:SJ37"/>
    <mergeCell ref="SK37:SP37"/>
    <mergeCell ref="SQ37:SV37"/>
    <mergeCell ref="SW37:TB37"/>
    <mergeCell ref="QI37:QN37"/>
    <mergeCell ref="QO37:QT37"/>
    <mergeCell ref="QU37:QZ37"/>
    <mergeCell ref="RA37:RF37"/>
    <mergeCell ref="RG37:RL37"/>
    <mergeCell ref="RM37:RR37"/>
    <mergeCell ref="OY37:PD37"/>
    <mergeCell ref="PE37:PJ37"/>
    <mergeCell ref="PK37:PP37"/>
    <mergeCell ref="PQ37:PV37"/>
    <mergeCell ref="PW37:QB37"/>
    <mergeCell ref="QC37:QH37"/>
    <mergeCell ref="NO37:NT37"/>
    <mergeCell ref="NU37:NZ37"/>
    <mergeCell ref="OA37:OF37"/>
    <mergeCell ref="OG37:OL37"/>
    <mergeCell ref="OM37:OR37"/>
    <mergeCell ref="OS37:OX37"/>
    <mergeCell ref="ME37:MJ37"/>
    <mergeCell ref="MK37:MP37"/>
    <mergeCell ref="MQ37:MV37"/>
    <mergeCell ref="MW37:NB37"/>
    <mergeCell ref="NC37:NH37"/>
    <mergeCell ref="NI37:NN37"/>
    <mergeCell ref="KU37:KZ37"/>
    <mergeCell ref="LA37:LF37"/>
    <mergeCell ref="LG37:LL37"/>
    <mergeCell ref="LM37:LR37"/>
    <mergeCell ref="LS37:LX37"/>
    <mergeCell ref="LY37:MD37"/>
    <mergeCell ref="JK37:JP37"/>
    <mergeCell ref="JQ37:JV37"/>
    <mergeCell ref="JW37:KB37"/>
    <mergeCell ref="KC37:KH37"/>
    <mergeCell ref="KI37:KN37"/>
    <mergeCell ref="KO37:KT37"/>
    <mergeCell ref="IA37:IF37"/>
    <mergeCell ref="IG37:IL37"/>
    <mergeCell ref="IM37:IR37"/>
    <mergeCell ref="IS37:IX37"/>
    <mergeCell ref="IY37:JD37"/>
    <mergeCell ref="JE37:JJ37"/>
    <mergeCell ref="GQ37:GV37"/>
    <mergeCell ref="GW37:HB37"/>
    <mergeCell ref="HC37:HH37"/>
    <mergeCell ref="HI37:HN37"/>
    <mergeCell ref="HO37:HT37"/>
    <mergeCell ref="HU37:HZ37"/>
    <mergeCell ref="FG37:FL37"/>
    <mergeCell ref="FM37:FR37"/>
    <mergeCell ref="FS37:FX37"/>
    <mergeCell ref="FY37:GD37"/>
    <mergeCell ref="GE37:GJ37"/>
    <mergeCell ref="GK37:GP37"/>
    <mergeCell ref="DW37:EB37"/>
    <mergeCell ref="EC37:EH37"/>
    <mergeCell ref="EI37:EN37"/>
    <mergeCell ref="EO37:ET37"/>
    <mergeCell ref="EU37:EZ37"/>
    <mergeCell ref="FA37:FF37"/>
    <mergeCell ref="CM37:CR37"/>
    <mergeCell ref="CS37:CX37"/>
    <mergeCell ref="CY37:DD37"/>
    <mergeCell ref="DE37:DJ37"/>
    <mergeCell ref="DK37:DP37"/>
    <mergeCell ref="DQ37:DV37"/>
    <mergeCell ref="BC37:BH37"/>
    <mergeCell ref="BI37:BN37"/>
    <mergeCell ref="BO37:BT37"/>
    <mergeCell ref="BU37:BZ37"/>
    <mergeCell ref="CA37:CF37"/>
    <mergeCell ref="CG37:CL37"/>
    <mergeCell ref="S37:X37"/>
    <mergeCell ref="Y37:AD37"/>
    <mergeCell ref="AE37:AJ37"/>
    <mergeCell ref="AK37:AP37"/>
    <mergeCell ref="AQ37:AV37"/>
    <mergeCell ref="AW37:BB37"/>
    <mergeCell ref="C37:C39"/>
    <mergeCell ref="D37:D39"/>
    <mergeCell ref="E37:E39"/>
    <mergeCell ref="F37:F39"/>
    <mergeCell ref="G37:L37"/>
    <mergeCell ref="M37:R37"/>
    <mergeCell ref="UA36:UF36"/>
    <mergeCell ref="UG36:UL36"/>
    <mergeCell ref="UM36:UR36"/>
    <mergeCell ref="US36:UX36"/>
    <mergeCell ref="UY36:VD36"/>
    <mergeCell ref="OM36:OR36"/>
    <mergeCell ref="OS36:OX36"/>
    <mergeCell ref="OY36:PD36"/>
    <mergeCell ref="PE36:PJ36"/>
    <mergeCell ref="PK36:PP36"/>
    <mergeCell ref="PQ36:PV36"/>
    <mergeCell ref="NC36:NH36"/>
    <mergeCell ref="NI36:NN36"/>
    <mergeCell ref="NO36:NT36"/>
    <mergeCell ref="NU36:NZ36"/>
    <mergeCell ref="OA36:OF36"/>
    <mergeCell ref="OG36:OL36"/>
    <mergeCell ref="LS36:LX36"/>
    <mergeCell ref="LY36:MD36"/>
    <mergeCell ref="ME36:MJ36"/>
    <mergeCell ref="VE36:VJ36"/>
    <mergeCell ref="SQ36:SV36"/>
    <mergeCell ref="SW36:TB36"/>
    <mergeCell ref="TC36:TH36"/>
    <mergeCell ref="TI36:TN36"/>
    <mergeCell ref="TO36:TT36"/>
    <mergeCell ref="TU36:TZ36"/>
    <mergeCell ref="RG36:RL36"/>
    <mergeCell ref="RM36:RR36"/>
    <mergeCell ref="RS36:RX36"/>
    <mergeCell ref="RY36:SD36"/>
    <mergeCell ref="SE36:SJ36"/>
    <mergeCell ref="SK36:SP36"/>
    <mergeCell ref="PW36:QB36"/>
    <mergeCell ref="QC36:QH36"/>
    <mergeCell ref="QI36:QN36"/>
    <mergeCell ref="QO36:QT36"/>
    <mergeCell ref="QU36:QZ36"/>
    <mergeCell ref="RA36:RF36"/>
    <mergeCell ref="MK36:MP36"/>
    <mergeCell ref="MQ36:MV36"/>
    <mergeCell ref="MW36:NB36"/>
    <mergeCell ref="KI36:KN36"/>
    <mergeCell ref="KO36:KT36"/>
    <mergeCell ref="KU36:KZ36"/>
    <mergeCell ref="LA36:LF36"/>
    <mergeCell ref="LG36:LL36"/>
    <mergeCell ref="LM36:LR36"/>
    <mergeCell ref="IY36:JD36"/>
    <mergeCell ref="JE36:JJ36"/>
    <mergeCell ref="JK36:JP36"/>
    <mergeCell ref="JQ36:JV36"/>
    <mergeCell ref="JW36:KB36"/>
    <mergeCell ref="KC36:KH36"/>
    <mergeCell ref="HO36:HT36"/>
    <mergeCell ref="HU36:HZ36"/>
    <mergeCell ref="IA36:IF36"/>
    <mergeCell ref="IG36:IL36"/>
    <mergeCell ref="IM36:IR36"/>
    <mergeCell ref="IS36:IX36"/>
    <mergeCell ref="GE36:GJ36"/>
    <mergeCell ref="GK36:GP36"/>
    <mergeCell ref="GQ36:GV36"/>
    <mergeCell ref="GW36:HB36"/>
    <mergeCell ref="HC36:HH36"/>
    <mergeCell ref="HI36:HN36"/>
    <mergeCell ref="EU36:EZ36"/>
    <mergeCell ref="FA36:FF36"/>
    <mergeCell ref="FG36:FL36"/>
    <mergeCell ref="FM36:FR36"/>
    <mergeCell ref="FS36:FX36"/>
    <mergeCell ref="FY36:GD36"/>
    <mergeCell ref="DK36:DP36"/>
    <mergeCell ref="DQ36:DV36"/>
    <mergeCell ref="DW36:EB36"/>
    <mergeCell ref="EC36:EH36"/>
    <mergeCell ref="EI36:EN36"/>
    <mergeCell ref="EO36:ET36"/>
    <mergeCell ref="CA36:CF36"/>
    <mergeCell ref="CG36:CL36"/>
    <mergeCell ref="CM36:CR36"/>
    <mergeCell ref="CS36:CX36"/>
    <mergeCell ref="CY36:DD36"/>
    <mergeCell ref="DE36:DJ36"/>
    <mergeCell ref="AQ36:AV36"/>
    <mergeCell ref="AW36:BB36"/>
    <mergeCell ref="BC36:BH36"/>
    <mergeCell ref="BI36:BN36"/>
    <mergeCell ref="BO36:BT36"/>
    <mergeCell ref="BU36:BZ36"/>
    <mergeCell ref="UM34:UR34"/>
    <mergeCell ref="US34:UX34"/>
    <mergeCell ref="UY34:VD34"/>
    <mergeCell ref="VE34:VJ34"/>
    <mergeCell ref="G36:L36"/>
    <mergeCell ref="M36:R36"/>
    <mergeCell ref="S36:X36"/>
    <mergeCell ref="Y36:AD36"/>
    <mergeCell ref="AE36:AJ36"/>
    <mergeCell ref="AK36:AP36"/>
    <mergeCell ref="TC34:TH34"/>
    <mergeCell ref="TI34:TN34"/>
    <mergeCell ref="TO34:TT34"/>
    <mergeCell ref="TU34:TZ34"/>
    <mergeCell ref="UA34:UF34"/>
    <mergeCell ref="UG34:UL34"/>
    <mergeCell ref="RS34:RX34"/>
    <mergeCell ref="RY34:SD34"/>
    <mergeCell ref="SE34:SJ34"/>
    <mergeCell ref="SK34:SP34"/>
    <mergeCell ref="SQ34:SV34"/>
    <mergeCell ref="SW34:TB34"/>
    <mergeCell ref="QI34:QN34"/>
    <mergeCell ref="QO34:QT34"/>
    <mergeCell ref="QU34:QZ34"/>
    <mergeCell ref="RA34:RF34"/>
    <mergeCell ref="RG34:RL34"/>
    <mergeCell ref="RM34:RR34"/>
    <mergeCell ref="OY34:PD34"/>
    <mergeCell ref="PE34:PJ34"/>
    <mergeCell ref="PK34:PP34"/>
    <mergeCell ref="PQ34:PV34"/>
    <mergeCell ref="PW34:QB34"/>
    <mergeCell ref="QC34:QH34"/>
    <mergeCell ref="NO34:NT34"/>
    <mergeCell ref="NU34:NZ34"/>
    <mergeCell ref="OA34:OF34"/>
    <mergeCell ref="OG34:OL34"/>
    <mergeCell ref="OM34:OR34"/>
    <mergeCell ref="OS34:OX34"/>
    <mergeCell ref="ME34:MJ34"/>
    <mergeCell ref="MK34:MP34"/>
    <mergeCell ref="MQ34:MV34"/>
    <mergeCell ref="MW34:NB34"/>
    <mergeCell ref="NC34:NH34"/>
    <mergeCell ref="NI34:NN34"/>
    <mergeCell ref="KU34:KZ34"/>
    <mergeCell ref="LA34:LF34"/>
    <mergeCell ref="LG34:LL34"/>
    <mergeCell ref="LM34:LR34"/>
    <mergeCell ref="LS34:LX34"/>
    <mergeCell ref="LY34:MD34"/>
    <mergeCell ref="JK34:JP34"/>
    <mergeCell ref="JQ34:JV34"/>
    <mergeCell ref="JW34:KB34"/>
    <mergeCell ref="KC34:KH34"/>
    <mergeCell ref="KI34:KN34"/>
    <mergeCell ref="KO34:KT34"/>
    <mergeCell ref="IA34:IF34"/>
    <mergeCell ref="IG34:IL34"/>
    <mergeCell ref="IM34:IR34"/>
    <mergeCell ref="IS34:IX34"/>
    <mergeCell ref="IY34:JD34"/>
    <mergeCell ref="JE34:JJ34"/>
    <mergeCell ref="GQ34:GV34"/>
    <mergeCell ref="GW34:HB34"/>
    <mergeCell ref="HC34:HH34"/>
    <mergeCell ref="HI34:HN34"/>
    <mergeCell ref="HO34:HT34"/>
    <mergeCell ref="HU34:HZ34"/>
    <mergeCell ref="FG34:FL34"/>
    <mergeCell ref="FM34:FR34"/>
    <mergeCell ref="FS34:FX34"/>
    <mergeCell ref="FY34:GD34"/>
    <mergeCell ref="GE34:GJ34"/>
    <mergeCell ref="GK34:GP34"/>
    <mergeCell ref="DW34:EB34"/>
    <mergeCell ref="EC34:EH34"/>
    <mergeCell ref="EI34:EN34"/>
    <mergeCell ref="EO34:ET34"/>
    <mergeCell ref="EU34:EZ34"/>
    <mergeCell ref="FA34:FF34"/>
    <mergeCell ref="CM34:CR34"/>
    <mergeCell ref="CS34:CX34"/>
    <mergeCell ref="CY34:DD34"/>
    <mergeCell ref="DE34:DJ34"/>
    <mergeCell ref="DK34:DP34"/>
    <mergeCell ref="DQ34:DV34"/>
    <mergeCell ref="BC34:BH34"/>
    <mergeCell ref="BI34:BN34"/>
    <mergeCell ref="BO34:BT34"/>
    <mergeCell ref="BU34:BZ34"/>
    <mergeCell ref="CA34:CF34"/>
    <mergeCell ref="CG34:CL34"/>
    <mergeCell ref="S34:X34"/>
    <mergeCell ref="Y34:AD34"/>
    <mergeCell ref="AE34:AJ34"/>
    <mergeCell ref="AK34:AP34"/>
    <mergeCell ref="AQ34:AV34"/>
    <mergeCell ref="AW34:BB34"/>
    <mergeCell ref="C34:C36"/>
    <mergeCell ref="D34:D36"/>
    <mergeCell ref="E34:E36"/>
    <mergeCell ref="F34:F36"/>
    <mergeCell ref="G34:L34"/>
    <mergeCell ref="M34:R34"/>
    <mergeCell ref="UA33:UF33"/>
    <mergeCell ref="UG33:UL33"/>
    <mergeCell ref="UM33:UR33"/>
    <mergeCell ref="US33:UX33"/>
    <mergeCell ref="UY33:VD33"/>
    <mergeCell ref="OM33:OR33"/>
    <mergeCell ref="OS33:OX33"/>
    <mergeCell ref="OY33:PD33"/>
    <mergeCell ref="PE33:PJ33"/>
    <mergeCell ref="PK33:PP33"/>
    <mergeCell ref="PQ33:PV33"/>
    <mergeCell ref="NC33:NH33"/>
    <mergeCell ref="NI33:NN33"/>
    <mergeCell ref="NO33:NT33"/>
    <mergeCell ref="NU33:NZ33"/>
    <mergeCell ref="OA33:OF33"/>
    <mergeCell ref="OG33:OL33"/>
    <mergeCell ref="LS33:LX33"/>
    <mergeCell ref="LY33:MD33"/>
    <mergeCell ref="ME33:MJ33"/>
    <mergeCell ref="VE33:VJ33"/>
    <mergeCell ref="SQ33:SV33"/>
    <mergeCell ref="SW33:TB33"/>
    <mergeCell ref="TC33:TH33"/>
    <mergeCell ref="TI33:TN33"/>
    <mergeCell ref="TO33:TT33"/>
    <mergeCell ref="TU33:TZ33"/>
    <mergeCell ref="RG33:RL33"/>
    <mergeCell ref="RM33:RR33"/>
    <mergeCell ref="RS33:RX33"/>
    <mergeCell ref="RY33:SD33"/>
    <mergeCell ref="SE33:SJ33"/>
    <mergeCell ref="SK33:SP33"/>
    <mergeCell ref="PW33:QB33"/>
    <mergeCell ref="QC33:QH33"/>
    <mergeCell ref="QI33:QN33"/>
    <mergeCell ref="QO33:QT33"/>
    <mergeCell ref="QU33:QZ33"/>
    <mergeCell ref="RA33:RF33"/>
    <mergeCell ref="MK33:MP33"/>
    <mergeCell ref="MQ33:MV33"/>
    <mergeCell ref="MW33:NB33"/>
    <mergeCell ref="KI33:KN33"/>
    <mergeCell ref="KO33:KT33"/>
    <mergeCell ref="KU33:KZ33"/>
    <mergeCell ref="LA33:LF33"/>
    <mergeCell ref="LG33:LL33"/>
    <mergeCell ref="LM33:LR33"/>
    <mergeCell ref="IY33:JD33"/>
    <mergeCell ref="JE33:JJ33"/>
    <mergeCell ref="JK33:JP33"/>
    <mergeCell ref="JQ33:JV33"/>
    <mergeCell ref="JW33:KB33"/>
    <mergeCell ref="KC33:KH33"/>
    <mergeCell ref="HO33:HT33"/>
    <mergeCell ref="HU33:HZ33"/>
    <mergeCell ref="IA33:IF33"/>
    <mergeCell ref="IG33:IL33"/>
    <mergeCell ref="IM33:IR33"/>
    <mergeCell ref="IS33:IX33"/>
    <mergeCell ref="GE33:GJ33"/>
    <mergeCell ref="GK33:GP33"/>
    <mergeCell ref="GQ33:GV33"/>
    <mergeCell ref="GW33:HB33"/>
    <mergeCell ref="HC33:HH33"/>
    <mergeCell ref="HI33:HN33"/>
    <mergeCell ref="EU33:EZ33"/>
    <mergeCell ref="FA33:FF33"/>
    <mergeCell ref="FG33:FL33"/>
    <mergeCell ref="FM33:FR33"/>
    <mergeCell ref="FS33:FX33"/>
    <mergeCell ref="FY33:GD33"/>
    <mergeCell ref="DK33:DP33"/>
    <mergeCell ref="DQ33:DV33"/>
    <mergeCell ref="DW33:EB33"/>
    <mergeCell ref="EC33:EH33"/>
    <mergeCell ref="EI33:EN33"/>
    <mergeCell ref="EO33:ET33"/>
    <mergeCell ref="CA33:CF33"/>
    <mergeCell ref="CG33:CL33"/>
    <mergeCell ref="CM33:CR33"/>
    <mergeCell ref="CS33:CX33"/>
    <mergeCell ref="CY33:DD33"/>
    <mergeCell ref="DE33:DJ33"/>
    <mergeCell ref="AQ33:AV33"/>
    <mergeCell ref="AW33:BB33"/>
    <mergeCell ref="BC33:BH33"/>
    <mergeCell ref="BI33:BN33"/>
    <mergeCell ref="BO33:BT33"/>
    <mergeCell ref="BU33:BZ33"/>
    <mergeCell ref="US31:UX31"/>
    <mergeCell ref="UY31:VD31"/>
    <mergeCell ref="VE31:VJ31"/>
    <mergeCell ref="EI32:EN32"/>
    <mergeCell ref="G33:L33"/>
    <mergeCell ref="M33:R33"/>
    <mergeCell ref="S33:X33"/>
    <mergeCell ref="Y33:AD33"/>
    <mergeCell ref="AE33:AJ33"/>
    <mergeCell ref="AK33:AP33"/>
    <mergeCell ref="TI31:TN31"/>
    <mergeCell ref="TO31:TT31"/>
    <mergeCell ref="TU31:TZ31"/>
    <mergeCell ref="UA31:UF31"/>
    <mergeCell ref="UG31:UL31"/>
    <mergeCell ref="UM31:UR31"/>
    <mergeCell ref="RY31:SD31"/>
    <mergeCell ref="SE31:SJ31"/>
    <mergeCell ref="SK31:SP31"/>
    <mergeCell ref="SQ31:SV31"/>
    <mergeCell ref="SW31:TB31"/>
    <mergeCell ref="TC31:TH31"/>
    <mergeCell ref="QO31:QT31"/>
    <mergeCell ref="QU31:QZ31"/>
    <mergeCell ref="RA31:RF31"/>
    <mergeCell ref="RG31:RL31"/>
    <mergeCell ref="RM31:RR31"/>
    <mergeCell ref="RS31:RX31"/>
    <mergeCell ref="PE31:PJ31"/>
    <mergeCell ref="PK31:PP31"/>
    <mergeCell ref="PQ31:PV31"/>
    <mergeCell ref="PW31:QB31"/>
    <mergeCell ref="QC31:QH31"/>
    <mergeCell ref="QI31:QN31"/>
    <mergeCell ref="NU31:NZ31"/>
    <mergeCell ref="OA31:OF31"/>
    <mergeCell ref="OG31:OL31"/>
    <mergeCell ref="OM31:OR31"/>
    <mergeCell ref="OS31:OX31"/>
    <mergeCell ref="OY31:PD31"/>
    <mergeCell ref="MK31:MP31"/>
    <mergeCell ref="MQ31:MV31"/>
    <mergeCell ref="MW31:NB31"/>
    <mergeCell ref="NC31:NH31"/>
    <mergeCell ref="NI31:NN31"/>
    <mergeCell ref="NO31:NT31"/>
    <mergeCell ref="LA31:LF31"/>
    <mergeCell ref="LG31:LL31"/>
    <mergeCell ref="LM31:LR31"/>
    <mergeCell ref="LS31:LX31"/>
    <mergeCell ref="LY31:MD31"/>
    <mergeCell ref="ME31:MJ31"/>
    <mergeCell ref="JQ31:JV31"/>
    <mergeCell ref="JW31:KB31"/>
    <mergeCell ref="KC31:KH31"/>
    <mergeCell ref="KI31:KN31"/>
    <mergeCell ref="KO31:KT31"/>
    <mergeCell ref="KU31:KZ31"/>
    <mergeCell ref="IG31:IL31"/>
    <mergeCell ref="IM31:IR31"/>
    <mergeCell ref="IS31:IX31"/>
    <mergeCell ref="IY31:JD31"/>
    <mergeCell ref="JE31:JJ31"/>
    <mergeCell ref="JK31:JP31"/>
    <mergeCell ref="GW31:HB31"/>
    <mergeCell ref="HC31:HH31"/>
    <mergeCell ref="HI31:HN31"/>
    <mergeCell ref="HO31:HT31"/>
    <mergeCell ref="HU31:HZ31"/>
    <mergeCell ref="IA31:IF31"/>
    <mergeCell ref="FM31:FR31"/>
    <mergeCell ref="FS31:FX31"/>
    <mergeCell ref="FY31:GD31"/>
    <mergeCell ref="GE31:GJ31"/>
    <mergeCell ref="GK31:GP31"/>
    <mergeCell ref="GQ31:GV31"/>
    <mergeCell ref="EC31:EH31"/>
    <mergeCell ref="EI31:EN31"/>
    <mergeCell ref="EO31:ET31"/>
    <mergeCell ref="EU31:EZ31"/>
    <mergeCell ref="FA31:FF31"/>
    <mergeCell ref="FG31:FL31"/>
    <mergeCell ref="CS31:CX31"/>
    <mergeCell ref="CY31:DD31"/>
    <mergeCell ref="DE31:DJ31"/>
    <mergeCell ref="DK31:DP31"/>
    <mergeCell ref="DQ31:DV31"/>
    <mergeCell ref="DW31:EB31"/>
    <mergeCell ref="BI31:BN31"/>
    <mergeCell ref="BO31:BT31"/>
    <mergeCell ref="BU31:BZ31"/>
    <mergeCell ref="CA31:CF31"/>
    <mergeCell ref="CG31:CL31"/>
    <mergeCell ref="CM31:CR31"/>
    <mergeCell ref="Y31:AD31"/>
    <mergeCell ref="AE31:AJ31"/>
    <mergeCell ref="AK31:AP31"/>
    <mergeCell ref="AQ31:AV31"/>
    <mergeCell ref="AW31:BB31"/>
    <mergeCell ref="BC31:BH31"/>
    <mergeCell ref="US30:UX30"/>
    <mergeCell ref="UY30:VD30"/>
    <mergeCell ref="VE30:VJ30"/>
    <mergeCell ref="C31:C33"/>
    <mergeCell ref="D31:D33"/>
    <mergeCell ref="E31:E33"/>
    <mergeCell ref="F31:F33"/>
    <mergeCell ref="G31:L31"/>
    <mergeCell ref="M31:R31"/>
    <mergeCell ref="S31:X31"/>
    <mergeCell ref="TI30:TN30"/>
    <mergeCell ref="TO30:TT30"/>
    <mergeCell ref="TU30:TZ30"/>
    <mergeCell ref="UA30:UF30"/>
    <mergeCell ref="UG30:UL30"/>
    <mergeCell ref="UM30:UR30"/>
    <mergeCell ref="RY30:SD30"/>
    <mergeCell ref="SE30:SJ30"/>
    <mergeCell ref="SK30:SP30"/>
    <mergeCell ref="SQ30:SV30"/>
    <mergeCell ref="SW30:TB30"/>
    <mergeCell ref="TC30:TH30"/>
    <mergeCell ref="QO30:QT30"/>
    <mergeCell ref="QU30:QZ30"/>
    <mergeCell ref="RA30:RF30"/>
    <mergeCell ref="RG30:RL30"/>
    <mergeCell ref="RM30:RR30"/>
    <mergeCell ref="RS30:RX30"/>
    <mergeCell ref="PE30:PJ30"/>
    <mergeCell ref="PK30:PP30"/>
    <mergeCell ref="PQ30:PV30"/>
    <mergeCell ref="PW30:QB30"/>
    <mergeCell ref="QC30:QH30"/>
    <mergeCell ref="QI30:QN30"/>
    <mergeCell ref="NU30:NZ30"/>
    <mergeCell ref="OA30:OF30"/>
    <mergeCell ref="OG30:OL30"/>
    <mergeCell ref="OM30:OR30"/>
    <mergeCell ref="OS30:OX30"/>
    <mergeCell ref="OY30:PD30"/>
    <mergeCell ref="MK30:MP30"/>
    <mergeCell ref="MQ30:MV30"/>
    <mergeCell ref="MW30:NB30"/>
    <mergeCell ref="NC30:NH30"/>
    <mergeCell ref="NI30:NN30"/>
    <mergeCell ref="NO30:NT30"/>
    <mergeCell ref="LA30:LF30"/>
    <mergeCell ref="LG30:LL30"/>
    <mergeCell ref="LM30:LR30"/>
    <mergeCell ref="LS30:LX30"/>
    <mergeCell ref="LY30:MD30"/>
    <mergeCell ref="ME30:MJ30"/>
    <mergeCell ref="JQ30:JV30"/>
    <mergeCell ref="JW30:KB30"/>
    <mergeCell ref="KC30:KH30"/>
    <mergeCell ref="KI30:KN30"/>
    <mergeCell ref="KO30:KT30"/>
    <mergeCell ref="KU30:KZ30"/>
    <mergeCell ref="IG30:IL30"/>
    <mergeCell ref="IM30:IR30"/>
    <mergeCell ref="IS30:IX30"/>
    <mergeCell ref="IY30:JD30"/>
    <mergeCell ref="JE30:JJ30"/>
    <mergeCell ref="JK30:JP30"/>
    <mergeCell ref="GW30:HB30"/>
    <mergeCell ref="HC30:HH30"/>
    <mergeCell ref="HI30:HN30"/>
    <mergeCell ref="HO30:HT30"/>
    <mergeCell ref="HU30:HZ30"/>
    <mergeCell ref="IA30:IF30"/>
    <mergeCell ref="FM30:FR30"/>
    <mergeCell ref="FS30:FX30"/>
    <mergeCell ref="FY30:GD30"/>
    <mergeCell ref="GE30:GJ30"/>
    <mergeCell ref="GK30:GP30"/>
    <mergeCell ref="GQ30:GV30"/>
    <mergeCell ref="EC30:EH30"/>
    <mergeCell ref="EI30:EN30"/>
    <mergeCell ref="EO30:ET30"/>
    <mergeCell ref="EU30:EZ30"/>
    <mergeCell ref="FA30:FF30"/>
    <mergeCell ref="FG30:FL30"/>
    <mergeCell ref="CS30:CX30"/>
    <mergeCell ref="CY30:DD30"/>
    <mergeCell ref="DE30:DJ30"/>
    <mergeCell ref="DK30:DP30"/>
    <mergeCell ref="DQ30:DV30"/>
    <mergeCell ref="DW30:EB30"/>
    <mergeCell ref="BI30:BN30"/>
    <mergeCell ref="BO30:BT30"/>
    <mergeCell ref="BU30:BZ30"/>
    <mergeCell ref="CA30:CF30"/>
    <mergeCell ref="CG30:CL30"/>
    <mergeCell ref="CM30:CR30"/>
    <mergeCell ref="VE28:VJ28"/>
    <mergeCell ref="G30:L30"/>
    <mergeCell ref="M30:R30"/>
    <mergeCell ref="S30:X30"/>
    <mergeCell ref="Y30:AD30"/>
    <mergeCell ref="AE30:AJ30"/>
    <mergeCell ref="AK30:AP30"/>
    <mergeCell ref="AQ30:AV30"/>
    <mergeCell ref="AW30:BB30"/>
    <mergeCell ref="BC30:BH30"/>
    <mergeCell ref="TU28:TZ28"/>
    <mergeCell ref="UA28:UF28"/>
    <mergeCell ref="UG28:UL28"/>
    <mergeCell ref="UM28:UR28"/>
    <mergeCell ref="US28:UX28"/>
    <mergeCell ref="UY28:VD28"/>
    <mergeCell ref="SK28:SP28"/>
    <mergeCell ref="SQ28:SV28"/>
    <mergeCell ref="SW28:TB28"/>
    <mergeCell ref="TC28:TH28"/>
    <mergeCell ref="TI28:TN28"/>
    <mergeCell ref="TO28:TT28"/>
    <mergeCell ref="RA28:RF28"/>
    <mergeCell ref="RG28:RL28"/>
    <mergeCell ref="RM28:RR28"/>
    <mergeCell ref="RS28:RX28"/>
    <mergeCell ref="RY28:SD28"/>
    <mergeCell ref="SE28:SJ28"/>
    <mergeCell ref="PQ28:PV28"/>
    <mergeCell ref="PW28:QB28"/>
    <mergeCell ref="QC28:QH28"/>
    <mergeCell ref="QI28:QN28"/>
    <mergeCell ref="QO28:QT28"/>
    <mergeCell ref="QU28:QZ28"/>
    <mergeCell ref="OG28:OL28"/>
    <mergeCell ref="OM28:OR28"/>
    <mergeCell ref="OS28:OX28"/>
    <mergeCell ref="OY28:PD28"/>
    <mergeCell ref="PE28:PJ28"/>
    <mergeCell ref="PK28:PP28"/>
    <mergeCell ref="MW28:NB28"/>
    <mergeCell ref="NC28:NH28"/>
    <mergeCell ref="NI28:NN28"/>
    <mergeCell ref="NO28:NT28"/>
    <mergeCell ref="NU28:NZ28"/>
    <mergeCell ref="OA28:OF28"/>
    <mergeCell ref="LM28:LR28"/>
    <mergeCell ref="LS28:LX28"/>
    <mergeCell ref="LY28:MD28"/>
    <mergeCell ref="ME28:MJ28"/>
    <mergeCell ref="MK28:MP28"/>
    <mergeCell ref="MQ28:MV28"/>
    <mergeCell ref="KC28:KH28"/>
    <mergeCell ref="KI28:KN28"/>
    <mergeCell ref="KO28:KT28"/>
    <mergeCell ref="KU28:KZ28"/>
    <mergeCell ref="LA28:LF28"/>
    <mergeCell ref="LG28:LL28"/>
    <mergeCell ref="IS28:IX28"/>
    <mergeCell ref="IY28:JD28"/>
    <mergeCell ref="JE28:JJ28"/>
    <mergeCell ref="JK28:JP28"/>
    <mergeCell ref="JQ28:JV28"/>
    <mergeCell ref="JW28:KB28"/>
    <mergeCell ref="HI28:HN28"/>
    <mergeCell ref="HO28:HT28"/>
    <mergeCell ref="HU28:HZ28"/>
    <mergeCell ref="IA28:IF28"/>
    <mergeCell ref="IG28:IL28"/>
    <mergeCell ref="IM28:IR28"/>
    <mergeCell ref="FY28:GD28"/>
    <mergeCell ref="GE28:GJ28"/>
    <mergeCell ref="GK28:GP28"/>
    <mergeCell ref="GQ28:GV28"/>
    <mergeCell ref="GW28:HB28"/>
    <mergeCell ref="HC28:HH28"/>
    <mergeCell ref="EO28:ET28"/>
    <mergeCell ref="EU28:EZ28"/>
    <mergeCell ref="FA28:FF28"/>
    <mergeCell ref="FG28:FL28"/>
    <mergeCell ref="FM28:FR28"/>
    <mergeCell ref="FS28:FX28"/>
    <mergeCell ref="DE28:DJ28"/>
    <mergeCell ref="DK28:DP28"/>
    <mergeCell ref="DQ28:DV28"/>
    <mergeCell ref="DW28:EB28"/>
    <mergeCell ref="EC28:EH28"/>
    <mergeCell ref="EI28:EN28"/>
    <mergeCell ref="BU28:BZ28"/>
    <mergeCell ref="CA28:CF28"/>
    <mergeCell ref="CG28:CL28"/>
    <mergeCell ref="CM28:CR28"/>
    <mergeCell ref="CS28:CX28"/>
    <mergeCell ref="CY28:DD28"/>
    <mergeCell ref="AK28:AP28"/>
    <mergeCell ref="AQ28:AV28"/>
    <mergeCell ref="AW28:BB28"/>
    <mergeCell ref="BC28:BH28"/>
    <mergeCell ref="BI28:BN28"/>
    <mergeCell ref="BO28:BT28"/>
    <mergeCell ref="VE27:VJ27"/>
    <mergeCell ref="C28:C30"/>
    <mergeCell ref="D28:D30"/>
    <mergeCell ref="E28:E30"/>
    <mergeCell ref="F28:F30"/>
    <mergeCell ref="G28:L28"/>
    <mergeCell ref="M28:R28"/>
    <mergeCell ref="S28:X28"/>
    <mergeCell ref="Y28:AD28"/>
    <mergeCell ref="AE28:AJ28"/>
    <mergeCell ref="TU27:TZ27"/>
    <mergeCell ref="UA27:UF27"/>
    <mergeCell ref="UG27:UL27"/>
    <mergeCell ref="UM27:UR27"/>
    <mergeCell ref="US27:UX27"/>
    <mergeCell ref="UY27:VD27"/>
    <mergeCell ref="SK27:SP27"/>
    <mergeCell ref="SQ27:SV27"/>
    <mergeCell ref="SW27:TB27"/>
    <mergeCell ref="TC27:TH27"/>
    <mergeCell ref="TI27:TN27"/>
    <mergeCell ref="TO27:TT27"/>
    <mergeCell ref="RA27:RF27"/>
    <mergeCell ref="RG27:RL27"/>
    <mergeCell ref="RM27:RR27"/>
    <mergeCell ref="RS27:RX27"/>
    <mergeCell ref="RY27:SD27"/>
    <mergeCell ref="SE27:SJ27"/>
    <mergeCell ref="PQ27:PV27"/>
    <mergeCell ref="PW27:QB27"/>
    <mergeCell ref="QC27:QH27"/>
    <mergeCell ref="QI27:QN27"/>
    <mergeCell ref="QO27:QT27"/>
    <mergeCell ref="QU27:QZ27"/>
    <mergeCell ref="OG27:OL27"/>
    <mergeCell ref="OM27:OR27"/>
    <mergeCell ref="OS27:OX27"/>
    <mergeCell ref="OY27:PD27"/>
    <mergeCell ref="PE27:PJ27"/>
    <mergeCell ref="PK27:PP27"/>
    <mergeCell ref="MW27:NB27"/>
    <mergeCell ref="NC27:NH27"/>
    <mergeCell ref="NI27:NN27"/>
    <mergeCell ref="NO27:NT27"/>
    <mergeCell ref="NU27:NZ27"/>
    <mergeCell ref="OA27:OF27"/>
    <mergeCell ref="LM27:LR27"/>
    <mergeCell ref="LS27:LX27"/>
    <mergeCell ref="LY27:MD27"/>
    <mergeCell ref="ME27:MJ27"/>
    <mergeCell ref="MK27:MP27"/>
    <mergeCell ref="MQ27:MV27"/>
    <mergeCell ref="KC27:KH27"/>
    <mergeCell ref="KI27:KN27"/>
    <mergeCell ref="KO27:KT27"/>
    <mergeCell ref="KU27:KZ27"/>
    <mergeCell ref="LA27:LF27"/>
    <mergeCell ref="LG27:LL27"/>
    <mergeCell ref="IS27:IX27"/>
    <mergeCell ref="IY27:JD27"/>
    <mergeCell ref="JE27:JJ27"/>
    <mergeCell ref="JK27:JP27"/>
    <mergeCell ref="JQ27:JV27"/>
    <mergeCell ref="JW27:KB27"/>
    <mergeCell ref="HI27:HN27"/>
    <mergeCell ref="HO27:HT27"/>
    <mergeCell ref="HU27:HZ27"/>
    <mergeCell ref="IA27:IF27"/>
    <mergeCell ref="IG27:IL27"/>
    <mergeCell ref="IM27:IR27"/>
    <mergeCell ref="FY27:GD27"/>
    <mergeCell ref="GE27:GJ27"/>
    <mergeCell ref="GK27:GP27"/>
    <mergeCell ref="GQ27:GV27"/>
    <mergeCell ref="GW27:HB27"/>
    <mergeCell ref="HC27:HH27"/>
    <mergeCell ref="EO27:ET27"/>
    <mergeCell ref="EU27:EZ27"/>
    <mergeCell ref="FA27:FF27"/>
    <mergeCell ref="FG27:FL27"/>
    <mergeCell ref="FM27:FR27"/>
    <mergeCell ref="FS27:FX27"/>
    <mergeCell ref="DE27:DJ27"/>
    <mergeCell ref="DK27:DP27"/>
    <mergeCell ref="DQ27:DV27"/>
    <mergeCell ref="DW27:EB27"/>
    <mergeCell ref="EC27:EH27"/>
    <mergeCell ref="EI27:EN27"/>
    <mergeCell ref="BU27:BZ27"/>
    <mergeCell ref="CA27:CF27"/>
    <mergeCell ref="CG27:CL27"/>
    <mergeCell ref="CM27:CR27"/>
    <mergeCell ref="CS27:CX27"/>
    <mergeCell ref="CY27:DD27"/>
    <mergeCell ref="AK27:AP27"/>
    <mergeCell ref="AQ27:AV27"/>
    <mergeCell ref="AW27:BB27"/>
    <mergeCell ref="BC27:BH27"/>
    <mergeCell ref="BI27:BN27"/>
    <mergeCell ref="BO27:BT27"/>
    <mergeCell ref="UG25:UL25"/>
    <mergeCell ref="UM25:UR25"/>
    <mergeCell ref="US25:UX25"/>
    <mergeCell ref="UY25:VD25"/>
    <mergeCell ref="VE25:VJ25"/>
    <mergeCell ref="G27:L27"/>
    <mergeCell ref="M27:R27"/>
    <mergeCell ref="S27:X27"/>
    <mergeCell ref="Y27:AD27"/>
    <mergeCell ref="AE27:AJ27"/>
    <mergeCell ref="SW25:TB25"/>
    <mergeCell ref="TC25:TH25"/>
    <mergeCell ref="TI25:TN25"/>
    <mergeCell ref="TO25:TT25"/>
    <mergeCell ref="TU25:TZ25"/>
    <mergeCell ref="UA25:UF25"/>
    <mergeCell ref="RM25:RR25"/>
    <mergeCell ref="RS25:RX25"/>
    <mergeCell ref="RY25:SD25"/>
    <mergeCell ref="SE25:SJ25"/>
    <mergeCell ref="SK25:SP25"/>
    <mergeCell ref="SQ25:SV25"/>
    <mergeCell ref="QC25:QH25"/>
    <mergeCell ref="QI25:QN25"/>
    <mergeCell ref="QO25:QT25"/>
    <mergeCell ref="QU25:QZ25"/>
    <mergeCell ref="RA25:RF25"/>
    <mergeCell ref="RG25:RL25"/>
    <mergeCell ref="OS25:OX25"/>
    <mergeCell ref="OY25:PD25"/>
    <mergeCell ref="PE25:PJ25"/>
    <mergeCell ref="PK25:PP25"/>
    <mergeCell ref="PQ25:PV25"/>
    <mergeCell ref="PW25:QB25"/>
    <mergeCell ref="NI25:NN25"/>
    <mergeCell ref="NO25:NT25"/>
    <mergeCell ref="NU25:NZ25"/>
    <mergeCell ref="OA25:OF25"/>
    <mergeCell ref="OG25:OL25"/>
    <mergeCell ref="OM25:OR25"/>
    <mergeCell ref="LY25:MD25"/>
    <mergeCell ref="ME25:MJ25"/>
    <mergeCell ref="MK25:MP25"/>
    <mergeCell ref="MQ25:MV25"/>
    <mergeCell ref="MW25:NB25"/>
    <mergeCell ref="NC25:NH25"/>
    <mergeCell ref="KO25:KT25"/>
    <mergeCell ref="KU25:KZ25"/>
    <mergeCell ref="LA25:LF25"/>
    <mergeCell ref="LG25:LL25"/>
    <mergeCell ref="LM25:LR25"/>
    <mergeCell ref="LS25:LX25"/>
    <mergeCell ref="JE25:JJ25"/>
    <mergeCell ref="JK25:JP25"/>
    <mergeCell ref="JQ25:JV25"/>
    <mergeCell ref="JW25:KB25"/>
    <mergeCell ref="KC25:KH25"/>
    <mergeCell ref="KI25:KN25"/>
    <mergeCell ref="HU25:HZ25"/>
    <mergeCell ref="IA25:IF25"/>
    <mergeCell ref="IG25:IL25"/>
    <mergeCell ref="IM25:IR25"/>
    <mergeCell ref="IS25:IX25"/>
    <mergeCell ref="IY25:JD25"/>
    <mergeCell ref="GK25:GP25"/>
    <mergeCell ref="GQ25:GV25"/>
    <mergeCell ref="GW25:HB25"/>
    <mergeCell ref="HC25:HH25"/>
    <mergeCell ref="HI25:HN25"/>
    <mergeCell ref="HO25:HT25"/>
    <mergeCell ref="FA25:FF25"/>
    <mergeCell ref="FG25:FL25"/>
    <mergeCell ref="FM25:FR25"/>
    <mergeCell ref="FS25:FX25"/>
    <mergeCell ref="FY25:GD25"/>
    <mergeCell ref="GE25:GJ25"/>
    <mergeCell ref="DQ25:DV25"/>
    <mergeCell ref="DW25:EB25"/>
    <mergeCell ref="EC25:EH25"/>
    <mergeCell ref="EI25:EN25"/>
    <mergeCell ref="EO25:ET25"/>
    <mergeCell ref="EU25:EZ25"/>
    <mergeCell ref="CG25:CL25"/>
    <mergeCell ref="CM25:CR25"/>
    <mergeCell ref="CS25:CX25"/>
    <mergeCell ref="CY25:DD25"/>
    <mergeCell ref="DE25:DJ25"/>
    <mergeCell ref="DK25:DP25"/>
    <mergeCell ref="AW25:BB25"/>
    <mergeCell ref="BC25:BH25"/>
    <mergeCell ref="BI25:BN25"/>
    <mergeCell ref="BO25:BT25"/>
    <mergeCell ref="BU25:BZ25"/>
    <mergeCell ref="CA25:CF25"/>
    <mergeCell ref="M25:R25"/>
    <mergeCell ref="S25:X25"/>
    <mergeCell ref="Y25:AD25"/>
    <mergeCell ref="AE25:AJ25"/>
    <mergeCell ref="AK25:AP25"/>
    <mergeCell ref="AQ25:AV25"/>
    <mergeCell ref="UG24:UL24"/>
    <mergeCell ref="UM24:UR24"/>
    <mergeCell ref="US24:UX24"/>
    <mergeCell ref="UY24:VD24"/>
    <mergeCell ref="VE24:VJ24"/>
    <mergeCell ref="OA24:OF24"/>
    <mergeCell ref="OG24:OL24"/>
    <mergeCell ref="OM24:OR24"/>
    <mergeCell ref="LY24:MD24"/>
    <mergeCell ref="ME24:MJ24"/>
    <mergeCell ref="MK24:MP24"/>
    <mergeCell ref="MQ24:MV24"/>
    <mergeCell ref="MW24:NB24"/>
    <mergeCell ref="NC24:NH24"/>
    <mergeCell ref="KO24:KT24"/>
    <mergeCell ref="KU24:KZ24"/>
    <mergeCell ref="LA24:LF24"/>
    <mergeCell ref="LG24:LL24"/>
    <mergeCell ref="LM24:LR24"/>
    <mergeCell ref="LS24:LX24"/>
    <mergeCell ref="C25:C27"/>
    <mergeCell ref="D25:D27"/>
    <mergeCell ref="E25:E27"/>
    <mergeCell ref="F25:F27"/>
    <mergeCell ref="G25:L25"/>
    <mergeCell ref="SW24:TB24"/>
    <mergeCell ref="TC24:TH24"/>
    <mergeCell ref="TI24:TN24"/>
    <mergeCell ref="TO24:TT24"/>
    <mergeCell ref="TU24:TZ24"/>
    <mergeCell ref="UA24:UF24"/>
    <mergeCell ref="RM24:RR24"/>
    <mergeCell ref="RS24:RX24"/>
    <mergeCell ref="RY24:SD24"/>
    <mergeCell ref="SE24:SJ24"/>
    <mergeCell ref="SK24:SP24"/>
    <mergeCell ref="SQ24:SV24"/>
    <mergeCell ref="QC24:QH24"/>
    <mergeCell ref="QI24:QN24"/>
    <mergeCell ref="QO24:QT24"/>
    <mergeCell ref="QU24:QZ24"/>
    <mergeCell ref="RA24:RF24"/>
    <mergeCell ref="RG24:RL24"/>
    <mergeCell ref="OS24:OX24"/>
    <mergeCell ref="OY24:PD24"/>
    <mergeCell ref="PE24:PJ24"/>
    <mergeCell ref="PK24:PP24"/>
    <mergeCell ref="PQ24:PV24"/>
    <mergeCell ref="PW24:QB24"/>
    <mergeCell ref="NI24:NN24"/>
    <mergeCell ref="NO24:NT24"/>
    <mergeCell ref="NU24:NZ24"/>
    <mergeCell ref="JE24:JJ24"/>
    <mergeCell ref="JK24:JP24"/>
    <mergeCell ref="JQ24:JV24"/>
    <mergeCell ref="JW24:KB24"/>
    <mergeCell ref="KC24:KH24"/>
    <mergeCell ref="KI24:KN24"/>
    <mergeCell ref="HU24:HZ24"/>
    <mergeCell ref="IA24:IF24"/>
    <mergeCell ref="IG24:IL24"/>
    <mergeCell ref="IM24:IR24"/>
    <mergeCell ref="IS24:IX24"/>
    <mergeCell ref="IY24:JD24"/>
    <mergeCell ref="GK24:GP24"/>
    <mergeCell ref="GQ24:GV24"/>
    <mergeCell ref="GW24:HB24"/>
    <mergeCell ref="HC24:HH24"/>
    <mergeCell ref="HI24:HN24"/>
    <mergeCell ref="HO24:HT24"/>
    <mergeCell ref="FA24:FF24"/>
    <mergeCell ref="FG24:FL24"/>
    <mergeCell ref="FM24:FR24"/>
    <mergeCell ref="FS24:FX24"/>
    <mergeCell ref="FY24:GD24"/>
    <mergeCell ref="GE24:GJ24"/>
    <mergeCell ref="DQ24:DV24"/>
    <mergeCell ref="DW24:EB24"/>
    <mergeCell ref="EC24:EH24"/>
    <mergeCell ref="EI24:EN24"/>
    <mergeCell ref="EO24:ET24"/>
    <mergeCell ref="EU24:EZ24"/>
    <mergeCell ref="CG24:CL24"/>
    <mergeCell ref="CM24:CR24"/>
    <mergeCell ref="CS24:CX24"/>
    <mergeCell ref="CY24:DD24"/>
    <mergeCell ref="DE24:DJ24"/>
    <mergeCell ref="DK24:DP24"/>
    <mergeCell ref="AW24:BB24"/>
    <mergeCell ref="BC24:BH24"/>
    <mergeCell ref="BI24:BN24"/>
    <mergeCell ref="BO24:BT24"/>
    <mergeCell ref="BU24:BZ24"/>
    <mergeCell ref="CA24:CF24"/>
    <mergeCell ref="US22:UX22"/>
    <mergeCell ref="UY22:VD22"/>
    <mergeCell ref="VE22:VJ22"/>
    <mergeCell ref="G24:L24"/>
    <mergeCell ref="M24:R24"/>
    <mergeCell ref="S24:X24"/>
    <mergeCell ref="Y24:AD24"/>
    <mergeCell ref="AE24:AJ24"/>
    <mergeCell ref="AK24:AP24"/>
    <mergeCell ref="AQ24:AV24"/>
    <mergeCell ref="TI22:TN22"/>
    <mergeCell ref="TO22:TT22"/>
    <mergeCell ref="TU22:TZ22"/>
    <mergeCell ref="UA22:UF22"/>
    <mergeCell ref="UG22:UL22"/>
    <mergeCell ref="UM22:UR22"/>
    <mergeCell ref="RY22:SD22"/>
    <mergeCell ref="SE22:SJ22"/>
    <mergeCell ref="SK22:SP22"/>
    <mergeCell ref="SQ22:SV22"/>
    <mergeCell ref="SW22:TB22"/>
    <mergeCell ref="TC22:TH22"/>
    <mergeCell ref="QO22:QT22"/>
    <mergeCell ref="QU22:QZ22"/>
    <mergeCell ref="RA22:RF22"/>
    <mergeCell ref="RG22:RL22"/>
    <mergeCell ref="RM22:RR22"/>
    <mergeCell ref="RS22:RX22"/>
    <mergeCell ref="PE22:PJ22"/>
    <mergeCell ref="PK22:PP22"/>
    <mergeCell ref="PQ22:PV22"/>
    <mergeCell ref="PW22:QB22"/>
    <mergeCell ref="QC22:QH22"/>
    <mergeCell ref="QI22:QN22"/>
    <mergeCell ref="NU22:NZ22"/>
    <mergeCell ref="OA22:OF22"/>
    <mergeCell ref="OG22:OL22"/>
    <mergeCell ref="OM22:OR22"/>
    <mergeCell ref="OS22:OX22"/>
    <mergeCell ref="OY22:PD22"/>
    <mergeCell ref="MK22:MP22"/>
    <mergeCell ref="MQ22:MV22"/>
    <mergeCell ref="MW22:NB22"/>
    <mergeCell ref="NC22:NH22"/>
    <mergeCell ref="NI22:NN22"/>
    <mergeCell ref="NO22:NT22"/>
    <mergeCell ref="LA22:LF22"/>
    <mergeCell ref="LG22:LL22"/>
    <mergeCell ref="LM22:LR22"/>
    <mergeCell ref="LS22:LX22"/>
    <mergeCell ref="LY22:MD22"/>
    <mergeCell ref="ME22:MJ22"/>
    <mergeCell ref="JQ22:JV22"/>
    <mergeCell ref="JW22:KB22"/>
    <mergeCell ref="KC22:KH22"/>
    <mergeCell ref="KI22:KN22"/>
    <mergeCell ref="KO22:KT22"/>
    <mergeCell ref="KU22:KZ22"/>
    <mergeCell ref="IG22:IL22"/>
    <mergeCell ref="IM22:IR22"/>
    <mergeCell ref="IS22:IX22"/>
    <mergeCell ref="IY22:JD22"/>
    <mergeCell ref="JE22:JJ22"/>
    <mergeCell ref="JK22:JP22"/>
    <mergeCell ref="GW22:HB22"/>
    <mergeCell ref="HC22:HH22"/>
    <mergeCell ref="HI22:HN22"/>
    <mergeCell ref="HO22:HT22"/>
    <mergeCell ref="HU22:HZ22"/>
    <mergeCell ref="IA22:IF22"/>
    <mergeCell ref="FM22:FR22"/>
    <mergeCell ref="FS22:FX22"/>
    <mergeCell ref="FY22:GD22"/>
    <mergeCell ref="GE22:GJ22"/>
    <mergeCell ref="GK22:GP22"/>
    <mergeCell ref="GQ22:GV22"/>
    <mergeCell ref="EC22:EH22"/>
    <mergeCell ref="EI22:EN22"/>
    <mergeCell ref="EO22:ET22"/>
    <mergeCell ref="EU22:EZ22"/>
    <mergeCell ref="FA22:FF22"/>
    <mergeCell ref="FG22:FL22"/>
    <mergeCell ref="CS22:CX22"/>
    <mergeCell ref="CY22:DD22"/>
    <mergeCell ref="DE22:DJ22"/>
    <mergeCell ref="DK22:DP22"/>
    <mergeCell ref="DQ22:DV22"/>
    <mergeCell ref="DW22:EB22"/>
    <mergeCell ref="BI22:BN22"/>
    <mergeCell ref="BO22:BT22"/>
    <mergeCell ref="BU22:BZ22"/>
    <mergeCell ref="CA22:CF22"/>
    <mergeCell ref="CG22:CL22"/>
    <mergeCell ref="CM22:CR22"/>
    <mergeCell ref="Y22:AD22"/>
    <mergeCell ref="AE22:AJ22"/>
    <mergeCell ref="AK22:AP22"/>
    <mergeCell ref="AQ22:AV22"/>
    <mergeCell ref="AW22:BB22"/>
    <mergeCell ref="BC22:BH22"/>
    <mergeCell ref="US21:UX21"/>
    <mergeCell ref="UY21:VD21"/>
    <mergeCell ref="VE21:VJ21"/>
    <mergeCell ref="C22:C24"/>
    <mergeCell ref="D22:D24"/>
    <mergeCell ref="E22:E24"/>
    <mergeCell ref="F22:F24"/>
    <mergeCell ref="G22:L22"/>
    <mergeCell ref="M22:R22"/>
    <mergeCell ref="S22:X22"/>
    <mergeCell ref="TI21:TN21"/>
    <mergeCell ref="TO21:TT21"/>
    <mergeCell ref="TU21:TZ21"/>
    <mergeCell ref="UA21:UF21"/>
    <mergeCell ref="UG21:UL21"/>
    <mergeCell ref="UM21:UR21"/>
    <mergeCell ref="RY21:SD21"/>
    <mergeCell ref="SE21:SJ21"/>
    <mergeCell ref="SK21:SP21"/>
    <mergeCell ref="SQ21:SV21"/>
    <mergeCell ref="SW21:TB21"/>
    <mergeCell ref="TC21:TH21"/>
    <mergeCell ref="QO21:QT21"/>
    <mergeCell ref="QU21:QZ21"/>
    <mergeCell ref="RA21:RF21"/>
    <mergeCell ref="RG21:RL21"/>
    <mergeCell ref="RM21:RR21"/>
    <mergeCell ref="RS21:RX21"/>
    <mergeCell ref="PE21:PJ21"/>
    <mergeCell ref="PK21:PP21"/>
    <mergeCell ref="PQ21:PV21"/>
    <mergeCell ref="PW21:QB21"/>
    <mergeCell ref="QC21:QH21"/>
    <mergeCell ref="QI21:QN21"/>
    <mergeCell ref="NU21:NZ21"/>
    <mergeCell ref="OA21:OF21"/>
    <mergeCell ref="OG21:OL21"/>
    <mergeCell ref="OM21:OR21"/>
    <mergeCell ref="OS21:OX21"/>
    <mergeCell ref="OY21:PD21"/>
    <mergeCell ref="MK21:MP21"/>
    <mergeCell ref="MQ21:MV21"/>
    <mergeCell ref="MW21:NB21"/>
    <mergeCell ref="NC21:NH21"/>
    <mergeCell ref="NI21:NN21"/>
    <mergeCell ref="NO21:NT21"/>
    <mergeCell ref="LA21:LF21"/>
    <mergeCell ref="LG21:LL21"/>
    <mergeCell ref="LM21:LR21"/>
    <mergeCell ref="LS21:LX21"/>
    <mergeCell ref="LY21:MD21"/>
    <mergeCell ref="ME21:MJ21"/>
    <mergeCell ref="JQ21:JV21"/>
    <mergeCell ref="JW21:KB21"/>
    <mergeCell ref="KC21:KH21"/>
    <mergeCell ref="KI21:KN21"/>
    <mergeCell ref="KO21:KT21"/>
    <mergeCell ref="KU21:KZ21"/>
    <mergeCell ref="IG21:IL21"/>
    <mergeCell ref="IM21:IR21"/>
    <mergeCell ref="IS21:IX21"/>
    <mergeCell ref="IY21:JD21"/>
    <mergeCell ref="JE21:JJ21"/>
    <mergeCell ref="JK21:JP21"/>
    <mergeCell ref="GW21:HB21"/>
    <mergeCell ref="HC21:HH21"/>
    <mergeCell ref="HI21:HN21"/>
    <mergeCell ref="HO21:HT21"/>
    <mergeCell ref="HU21:HZ21"/>
    <mergeCell ref="IA21:IF21"/>
    <mergeCell ref="FM21:FR21"/>
    <mergeCell ref="FS21:FX21"/>
    <mergeCell ref="FY21:GD21"/>
    <mergeCell ref="GE21:GJ21"/>
    <mergeCell ref="GK21:GP21"/>
    <mergeCell ref="GQ21:GV21"/>
    <mergeCell ref="EC21:EH21"/>
    <mergeCell ref="EI21:EN21"/>
    <mergeCell ref="EO21:ET21"/>
    <mergeCell ref="EU21:EZ21"/>
    <mergeCell ref="FA21:FF21"/>
    <mergeCell ref="FG21:FL21"/>
    <mergeCell ref="CS21:CX21"/>
    <mergeCell ref="CY21:DD21"/>
    <mergeCell ref="DE21:DJ21"/>
    <mergeCell ref="DK21:DP21"/>
    <mergeCell ref="DQ21:DV21"/>
    <mergeCell ref="DW21:EB21"/>
    <mergeCell ref="BI21:BN21"/>
    <mergeCell ref="BO21:BT21"/>
    <mergeCell ref="BU21:BZ21"/>
    <mergeCell ref="CA21:CF21"/>
    <mergeCell ref="CG21:CL21"/>
    <mergeCell ref="CM21:CR21"/>
    <mergeCell ref="VE19:VJ19"/>
    <mergeCell ref="G21:L21"/>
    <mergeCell ref="M21:R21"/>
    <mergeCell ref="S21:X21"/>
    <mergeCell ref="Y21:AD21"/>
    <mergeCell ref="AE21:AJ21"/>
    <mergeCell ref="AK21:AP21"/>
    <mergeCell ref="AQ21:AV21"/>
    <mergeCell ref="AW21:BB21"/>
    <mergeCell ref="BC21:BH21"/>
    <mergeCell ref="TU19:TZ19"/>
    <mergeCell ref="UA19:UF19"/>
    <mergeCell ref="UG19:UL19"/>
    <mergeCell ref="UM19:UR19"/>
    <mergeCell ref="US19:UX19"/>
    <mergeCell ref="UY19:VD19"/>
    <mergeCell ref="SK19:SP19"/>
    <mergeCell ref="SQ19:SV19"/>
    <mergeCell ref="SW19:TB19"/>
    <mergeCell ref="TC19:TH19"/>
    <mergeCell ref="TI19:TN19"/>
    <mergeCell ref="TO19:TT19"/>
    <mergeCell ref="RA19:RF19"/>
    <mergeCell ref="RG19:RL19"/>
    <mergeCell ref="RM19:RR19"/>
    <mergeCell ref="RS19:RX19"/>
    <mergeCell ref="RY19:SD19"/>
    <mergeCell ref="SE19:SJ19"/>
    <mergeCell ref="PQ19:PV19"/>
    <mergeCell ref="PW19:QB19"/>
    <mergeCell ref="QC19:QH19"/>
    <mergeCell ref="QI19:QN19"/>
    <mergeCell ref="QO19:QT19"/>
    <mergeCell ref="QU19:QZ19"/>
    <mergeCell ref="OG19:OL19"/>
    <mergeCell ref="OM19:OR19"/>
    <mergeCell ref="OS19:OX19"/>
    <mergeCell ref="OY19:PD19"/>
    <mergeCell ref="PE19:PJ19"/>
    <mergeCell ref="PK19:PP19"/>
    <mergeCell ref="MW19:NB19"/>
    <mergeCell ref="NC19:NH19"/>
    <mergeCell ref="NI19:NN19"/>
    <mergeCell ref="NO19:NT19"/>
    <mergeCell ref="NU19:NZ19"/>
    <mergeCell ref="OA19:OF19"/>
    <mergeCell ref="LM19:LR19"/>
    <mergeCell ref="LS19:LX19"/>
    <mergeCell ref="LY19:MD19"/>
    <mergeCell ref="ME19:MJ19"/>
    <mergeCell ref="MK19:MP19"/>
    <mergeCell ref="MQ19:MV19"/>
    <mergeCell ref="KC19:KH19"/>
    <mergeCell ref="KI19:KN19"/>
    <mergeCell ref="KO19:KT19"/>
    <mergeCell ref="KU19:KZ19"/>
    <mergeCell ref="LA19:LF19"/>
    <mergeCell ref="LG19:LL19"/>
    <mergeCell ref="IS19:IX19"/>
    <mergeCell ref="IY19:JD19"/>
    <mergeCell ref="JE19:JJ19"/>
    <mergeCell ref="JK19:JP19"/>
    <mergeCell ref="JQ19:JV19"/>
    <mergeCell ref="JW19:KB19"/>
    <mergeCell ref="HI19:HN19"/>
    <mergeCell ref="HO19:HT19"/>
    <mergeCell ref="HU19:HZ19"/>
    <mergeCell ref="IA19:IF19"/>
    <mergeCell ref="IG19:IL19"/>
    <mergeCell ref="IM19:IR19"/>
    <mergeCell ref="FY19:GD19"/>
    <mergeCell ref="GE19:GJ19"/>
    <mergeCell ref="GK19:GP19"/>
    <mergeCell ref="GQ19:GV19"/>
    <mergeCell ref="GW19:HB19"/>
    <mergeCell ref="HC19:HH19"/>
    <mergeCell ref="EO19:ET19"/>
    <mergeCell ref="EU19:EZ19"/>
    <mergeCell ref="FA19:FF19"/>
    <mergeCell ref="FG19:FL19"/>
    <mergeCell ref="FM19:FR19"/>
    <mergeCell ref="FS19:FX19"/>
    <mergeCell ref="DE19:DJ19"/>
    <mergeCell ref="DK19:DP19"/>
    <mergeCell ref="DQ19:DV19"/>
    <mergeCell ref="DW19:EB19"/>
    <mergeCell ref="EC19:EH19"/>
    <mergeCell ref="EI19:EN19"/>
    <mergeCell ref="BU19:BZ19"/>
    <mergeCell ref="CA19:CF19"/>
    <mergeCell ref="CG19:CL19"/>
    <mergeCell ref="CM19:CR19"/>
    <mergeCell ref="CS19:CX19"/>
    <mergeCell ref="CY19:DD19"/>
    <mergeCell ref="AK19:AP19"/>
    <mergeCell ref="AQ19:AV19"/>
    <mergeCell ref="AW19:BB19"/>
    <mergeCell ref="BC19:BH19"/>
    <mergeCell ref="BI19:BN19"/>
    <mergeCell ref="BO19:BT19"/>
    <mergeCell ref="VE18:VJ18"/>
    <mergeCell ref="C19:C21"/>
    <mergeCell ref="D19:D21"/>
    <mergeCell ref="E19:E21"/>
    <mergeCell ref="F19:F21"/>
    <mergeCell ref="G19:L19"/>
    <mergeCell ref="M19:R19"/>
    <mergeCell ref="S19:X19"/>
    <mergeCell ref="Y19:AD19"/>
    <mergeCell ref="AE19:AJ19"/>
    <mergeCell ref="TU18:TZ18"/>
    <mergeCell ref="UA18:UF18"/>
    <mergeCell ref="UG18:UL18"/>
    <mergeCell ref="UM18:UR18"/>
    <mergeCell ref="US18:UX18"/>
    <mergeCell ref="UY18:VD18"/>
    <mergeCell ref="SK18:SP18"/>
    <mergeCell ref="SQ18:SV18"/>
    <mergeCell ref="SW18:TB18"/>
    <mergeCell ref="TC18:TH18"/>
    <mergeCell ref="TI18:TN18"/>
    <mergeCell ref="TO18:TT18"/>
    <mergeCell ref="RA18:RF18"/>
    <mergeCell ref="RG18:RL18"/>
    <mergeCell ref="RM18:RR18"/>
    <mergeCell ref="RS18:RX18"/>
    <mergeCell ref="RY18:SD18"/>
    <mergeCell ref="SE18:SJ18"/>
    <mergeCell ref="PQ18:PV18"/>
    <mergeCell ref="PW18:QB18"/>
    <mergeCell ref="QC18:QH18"/>
    <mergeCell ref="QI18:QN18"/>
    <mergeCell ref="QO18:QT18"/>
    <mergeCell ref="QU18:QZ18"/>
    <mergeCell ref="OG18:OL18"/>
    <mergeCell ref="OM18:OR18"/>
    <mergeCell ref="OS18:OX18"/>
    <mergeCell ref="OY18:PD18"/>
    <mergeCell ref="PE18:PJ18"/>
    <mergeCell ref="PK18:PP18"/>
    <mergeCell ref="MW18:NB18"/>
    <mergeCell ref="NC18:NH18"/>
    <mergeCell ref="NI18:NN18"/>
    <mergeCell ref="NO18:NT18"/>
    <mergeCell ref="NU18:NZ18"/>
    <mergeCell ref="OA18:OF18"/>
    <mergeCell ref="LM18:LR18"/>
    <mergeCell ref="LS18:LX18"/>
    <mergeCell ref="LY18:MD18"/>
    <mergeCell ref="ME18:MJ18"/>
    <mergeCell ref="MK18:MP18"/>
    <mergeCell ref="MQ18:MV18"/>
    <mergeCell ref="KC18:KH18"/>
    <mergeCell ref="KI18:KN18"/>
    <mergeCell ref="KO18:KT18"/>
    <mergeCell ref="KU18:KZ18"/>
    <mergeCell ref="LA18:LF18"/>
    <mergeCell ref="LG18:LL18"/>
    <mergeCell ref="IS18:IX18"/>
    <mergeCell ref="IY18:JD18"/>
    <mergeCell ref="JE18:JJ18"/>
    <mergeCell ref="JK18:JP18"/>
    <mergeCell ref="JQ18:JV18"/>
    <mergeCell ref="JW18:KB18"/>
    <mergeCell ref="HI18:HN18"/>
    <mergeCell ref="HO18:HT18"/>
    <mergeCell ref="HU18:HZ18"/>
    <mergeCell ref="IA18:IF18"/>
    <mergeCell ref="IG18:IL18"/>
    <mergeCell ref="IM18:IR18"/>
    <mergeCell ref="FY18:GD18"/>
    <mergeCell ref="GE18:GJ18"/>
    <mergeCell ref="GK18:GP18"/>
    <mergeCell ref="GQ18:GV18"/>
    <mergeCell ref="GW18:HB18"/>
    <mergeCell ref="HC18:HH18"/>
    <mergeCell ref="EO18:ET18"/>
    <mergeCell ref="EU18:EZ18"/>
    <mergeCell ref="FA18:FF18"/>
    <mergeCell ref="FG18:FL18"/>
    <mergeCell ref="FM18:FR18"/>
    <mergeCell ref="FS18:FX18"/>
    <mergeCell ref="DE18:DJ18"/>
    <mergeCell ref="DK18:DP18"/>
    <mergeCell ref="DQ18:DV18"/>
    <mergeCell ref="DW18:EB18"/>
    <mergeCell ref="EC18:EH18"/>
    <mergeCell ref="EI18:EN18"/>
    <mergeCell ref="BU18:BZ18"/>
    <mergeCell ref="CA18:CF18"/>
    <mergeCell ref="CG18:CL18"/>
    <mergeCell ref="CM18:CR18"/>
    <mergeCell ref="CS18:CX18"/>
    <mergeCell ref="CY18:DD18"/>
    <mergeCell ref="AK18:AP18"/>
    <mergeCell ref="AQ18:AV18"/>
    <mergeCell ref="AW18:BB18"/>
    <mergeCell ref="BC18:BH18"/>
    <mergeCell ref="BI18:BN18"/>
    <mergeCell ref="BO18:BT18"/>
    <mergeCell ref="UG16:UL16"/>
    <mergeCell ref="UM16:UR16"/>
    <mergeCell ref="US16:UX16"/>
    <mergeCell ref="UY16:VD16"/>
    <mergeCell ref="VE16:VJ16"/>
    <mergeCell ref="OA16:OF16"/>
    <mergeCell ref="OG16:OL16"/>
    <mergeCell ref="OM16:OR16"/>
    <mergeCell ref="LY16:MD16"/>
    <mergeCell ref="ME16:MJ16"/>
    <mergeCell ref="MK16:MP16"/>
    <mergeCell ref="MQ16:MV16"/>
    <mergeCell ref="MW16:NB16"/>
    <mergeCell ref="NC16:NH16"/>
    <mergeCell ref="KO16:KT16"/>
    <mergeCell ref="KU16:KZ16"/>
    <mergeCell ref="LA16:LF16"/>
    <mergeCell ref="LG16:LL16"/>
    <mergeCell ref="LM16:LR16"/>
    <mergeCell ref="LS16:LX16"/>
    <mergeCell ref="G18:L18"/>
    <mergeCell ref="M18:R18"/>
    <mergeCell ref="S18:X18"/>
    <mergeCell ref="Y18:AD18"/>
    <mergeCell ref="AE18:AJ18"/>
    <mergeCell ref="SW16:TB16"/>
    <mergeCell ref="TC16:TH16"/>
    <mergeCell ref="TI16:TN16"/>
    <mergeCell ref="TO16:TT16"/>
    <mergeCell ref="TU16:TZ16"/>
    <mergeCell ref="UA16:UF16"/>
    <mergeCell ref="RM16:RR16"/>
    <mergeCell ref="RS16:RX16"/>
    <mergeCell ref="RY16:SD16"/>
    <mergeCell ref="SE16:SJ16"/>
    <mergeCell ref="SK16:SP16"/>
    <mergeCell ref="SQ16:SV16"/>
    <mergeCell ref="QC16:QH16"/>
    <mergeCell ref="QI16:QN16"/>
    <mergeCell ref="QO16:QT16"/>
    <mergeCell ref="QU16:QZ16"/>
    <mergeCell ref="RA16:RF16"/>
    <mergeCell ref="RG16:RL16"/>
    <mergeCell ref="OS16:OX16"/>
    <mergeCell ref="OY16:PD16"/>
    <mergeCell ref="PE16:PJ16"/>
    <mergeCell ref="PK16:PP16"/>
    <mergeCell ref="PQ16:PV16"/>
    <mergeCell ref="PW16:QB16"/>
    <mergeCell ref="NI16:NN16"/>
    <mergeCell ref="NO16:NT16"/>
    <mergeCell ref="NU16:NZ16"/>
    <mergeCell ref="JE16:JJ16"/>
    <mergeCell ref="JK16:JP16"/>
    <mergeCell ref="JQ16:JV16"/>
    <mergeCell ref="JW16:KB16"/>
    <mergeCell ref="KC16:KH16"/>
    <mergeCell ref="KI16:KN16"/>
    <mergeCell ref="HU16:HZ16"/>
    <mergeCell ref="IA16:IF16"/>
    <mergeCell ref="IG16:IL16"/>
    <mergeCell ref="IM16:IR16"/>
    <mergeCell ref="IS16:IX16"/>
    <mergeCell ref="IY16:JD16"/>
    <mergeCell ref="GK16:GP16"/>
    <mergeCell ref="GQ16:GV16"/>
    <mergeCell ref="GW16:HB16"/>
    <mergeCell ref="HC16:HH16"/>
    <mergeCell ref="HI16:HN16"/>
    <mergeCell ref="HO16:HT16"/>
    <mergeCell ref="FA16:FF16"/>
    <mergeCell ref="FG16:FL16"/>
    <mergeCell ref="FM16:FR16"/>
    <mergeCell ref="FS16:FX16"/>
    <mergeCell ref="FY16:GD16"/>
    <mergeCell ref="GE16:GJ16"/>
    <mergeCell ref="DQ16:DV16"/>
    <mergeCell ref="DW16:EB16"/>
    <mergeCell ref="EC16:EH16"/>
    <mergeCell ref="EI16:EN16"/>
    <mergeCell ref="EO16:ET16"/>
    <mergeCell ref="EU16:EZ16"/>
    <mergeCell ref="CG16:CL16"/>
    <mergeCell ref="CM16:CR16"/>
    <mergeCell ref="CS16:CX16"/>
    <mergeCell ref="CY16:DD16"/>
    <mergeCell ref="DE16:DJ16"/>
    <mergeCell ref="DK16:DP16"/>
    <mergeCell ref="AW16:BB16"/>
    <mergeCell ref="BC16:BH16"/>
    <mergeCell ref="BI16:BN16"/>
    <mergeCell ref="BO16:BT16"/>
    <mergeCell ref="BU16:BZ16"/>
    <mergeCell ref="CA16:CF16"/>
    <mergeCell ref="M16:R16"/>
    <mergeCell ref="S16:X16"/>
    <mergeCell ref="Y16:AD16"/>
    <mergeCell ref="AE16:AJ16"/>
    <mergeCell ref="AK16:AP16"/>
    <mergeCell ref="AQ16:AV16"/>
    <mergeCell ref="UG15:UL15"/>
    <mergeCell ref="UM15:UR15"/>
    <mergeCell ref="US15:UX15"/>
    <mergeCell ref="UY15:VD15"/>
    <mergeCell ref="VE15:VJ15"/>
    <mergeCell ref="OA15:OF15"/>
    <mergeCell ref="OG15:OL15"/>
    <mergeCell ref="OM15:OR15"/>
    <mergeCell ref="LY15:MD15"/>
    <mergeCell ref="ME15:MJ15"/>
    <mergeCell ref="MK15:MP15"/>
    <mergeCell ref="MQ15:MV15"/>
    <mergeCell ref="MW15:NB15"/>
    <mergeCell ref="NC15:NH15"/>
    <mergeCell ref="KO15:KT15"/>
    <mergeCell ref="KU15:KZ15"/>
    <mergeCell ref="LA15:LF15"/>
    <mergeCell ref="LG15:LL15"/>
    <mergeCell ref="LM15:LR15"/>
    <mergeCell ref="LS15:LX15"/>
    <mergeCell ref="C16:C18"/>
    <mergeCell ref="D16:D18"/>
    <mergeCell ref="E16:E18"/>
    <mergeCell ref="F16:F18"/>
    <mergeCell ref="G16:L16"/>
    <mergeCell ref="SW15:TB15"/>
    <mergeCell ref="TC15:TH15"/>
    <mergeCell ref="TI15:TN15"/>
    <mergeCell ref="TO15:TT15"/>
    <mergeCell ref="TU15:TZ15"/>
    <mergeCell ref="UA15:UF15"/>
    <mergeCell ref="RM15:RR15"/>
    <mergeCell ref="RS15:RX15"/>
    <mergeCell ref="RY15:SD15"/>
    <mergeCell ref="SE15:SJ15"/>
    <mergeCell ref="SK15:SP15"/>
    <mergeCell ref="SQ15:SV15"/>
    <mergeCell ref="QC15:QH15"/>
    <mergeCell ref="QI15:QN15"/>
    <mergeCell ref="QO15:QT15"/>
    <mergeCell ref="QU15:QZ15"/>
    <mergeCell ref="RA15:RF15"/>
    <mergeCell ref="RG15:RL15"/>
    <mergeCell ref="OS15:OX15"/>
    <mergeCell ref="OY15:PD15"/>
    <mergeCell ref="PE15:PJ15"/>
    <mergeCell ref="PK15:PP15"/>
    <mergeCell ref="PQ15:PV15"/>
    <mergeCell ref="PW15:QB15"/>
    <mergeCell ref="NI15:NN15"/>
    <mergeCell ref="NO15:NT15"/>
    <mergeCell ref="NU15:NZ15"/>
    <mergeCell ref="JE15:JJ15"/>
    <mergeCell ref="JK15:JP15"/>
    <mergeCell ref="JQ15:JV15"/>
    <mergeCell ref="JW15:KB15"/>
    <mergeCell ref="KC15:KH15"/>
    <mergeCell ref="KI15:KN15"/>
    <mergeCell ref="HU15:HZ15"/>
    <mergeCell ref="IA15:IF15"/>
    <mergeCell ref="IG15:IL15"/>
    <mergeCell ref="IM15:IR15"/>
    <mergeCell ref="IS15:IX15"/>
    <mergeCell ref="IY15:JD15"/>
    <mergeCell ref="GK15:GP15"/>
    <mergeCell ref="GQ15:GV15"/>
    <mergeCell ref="GW15:HB15"/>
    <mergeCell ref="HC15:HH15"/>
    <mergeCell ref="HI15:HN15"/>
    <mergeCell ref="HO15:HT15"/>
    <mergeCell ref="FA15:FF15"/>
    <mergeCell ref="FG15:FL15"/>
    <mergeCell ref="FM15:FR15"/>
    <mergeCell ref="FS15:FX15"/>
    <mergeCell ref="FY15:GD15"/>
    <mergeCell ref="GE15:GJ15"/>
    <mergeCell ref="DQ15:DV15"/>
    <mergeCell ref="DW15:EB15"/>
    <mergeCell ref="EC15:EH15"/>
    <mergeCell ref="EI15:EN15"/>
    <mergeCell ref="EO15:ET15"/>
    <mergeCell ref="EU15:EZ15"/>
    <mergeCell ref="CG15:CL15"/>
    <mergeCell ref="CM15:CR15"/>
    <mergeCell ref="CS15:CX15"/>
    <mergeCell ref="CY15:DD15"/>
    <mergeCell ref="DE15:DJ15"/>
    <mergeCell ref="DK15:DP15"/>
    <mergeCell ref="AW15:BB15"/>
    <mergeCell ref="BC15:BH15"/>
    <mergeCell ref="BI15:BN15"/>
    <mergeCell ref="BO15:BT15"/>
    <mergeCell ref="BU15:BZ15"/>
    <mergeCell ref="CA15:CF15"/>
    <mergeCell ref="US13:UX13"/>
    <mergeCell ref="UY13:VD13"/>
    <mergeCell ref="VE13:VJ13"/>
    <mergeCell ref="G15:L15"/>
    <mergeCell ref="M15:R15"/>
    <mergeCell ref="S15:X15"/>
    <mergeCell ref="Y15:AD15"/>
    <mergeCell ref="AE15:AJ15"/>
    <mergeCell ref="AK15:AP15"/>
    <mergeCell ref="AQ15:AV15"/>
    <mergeCell ref="TI13:TN13"/>
    <mergeCell ref="TO13:TT13"/>
    <mergeCell ref="TU13:TZ13"/>
    <mergeCell ref="UA13:UF13"/>
    <mergeCell ref="UG13:UL13"/>
    <mergeCell ref="UM13:UR13"/>
    <mergeCell ref="RY13:SD13"/>
    <mergeCell ref="SE13:SJ13"/>
    <mergeCell ref="SK13:SP13"/>
    <mergeCell ref="SQ13:SV13"/>
    <mergeCell ref="SW13:TB13"/>
    <mergeCell ref="TC13:TH13"/>
    <mergeCell ref="QO13:QT13"/>
    <mergeCell ref="QU13:QZ13"/>
    <mergeCell ref="RA13:RF13"/>
    <mergeCell ref="RG13:RL13"/>
    <mergeCell ref="RM13:RR13"/>
    <mergeCell ref="RS13:RX13"/>
    <mergeCell ref="PE13:PJ13"/>
    <mergeCell ref="PK13:PP13"/>
    <mergeCell ref="PQ13:PV13"/>
    <mergeCell ref="PW13:QB13"/>
    <mergeCell ref="QC13:QH13"/>
    <mergeCell ref="QI13:QN13"/>
    <mergeCell ref="NU13:NZ13"/>
    <mergeCell ref="OA13:OF13"/>
    <mergeCell ref="OG13:OL13"/>
    <mergeCell ref="OM13:OR13"/>
    <mergeCell ref="OS13:OX13"/>
    <mergeCell ref="OY13:PD13"/>
    <mergeCell ref="MK13:MP13"/>
    <mergeCell ref="MQ13:MV13"/>
    <mergeCell ref="MW13:NB13"/>
    <mergeCell ref="NC13:NH13"/>
    <mergeCell ref="NI13:NN13"/>
    <mergeCell ref="NO13:NT13"/>
    <mergeCell ref="GQ13:GV13"/>
    <mergeCell ref="EC13:EH13"/>
    <mergeCell ref="EI13:EN13"/>
    <mergeCell ref="EO13:ET13"/>
    <mergeCell ref="EU13:EZ13"/>
    <mergeCell ref="FA13:FF13"/>
    <mergeCell ref="FG13:FL13"/>
    <mergeCell ref="LA13:LF13"/>
    <mergeCell ref="LG13:LL13"/>
    <mergeCell ref="LM13:LR13"/>
    <mergeCell ref="LS13:LX13"/>
    <mergeCell ref="LY13:MD13"/>
    <mergeCell ref="ME13:MJ13"/>
    <mergeCell ref="JQ13:JV13"/>
    <mergeCell ref="JW13:KB13"/>
    <mergeCell ref="KC13:KH13"/>
    <mergeCell ref="KI13:KN13"/>
    <mergeCell ref="KO13:KT13"/>
    <mergeCell ref="KU13:KZ13"/>
    <mergeCell ref="IG13:IL13"/>
    <mergeCell ref="IM13:IR13"/>
    <mergeCell ref="IS13:IX13"/>
    <mergeCell ref="IY13:JD13"/>
    <mergeCell ref="JE13:JJ13"/>
    <mergeCell ref="JK13:JP13"/>
    <mergeCell ref="PK11:PP11"/>
    <mergeCell ref="PQ11:PV11"/>
    <mergeCell ref="PW11:QB11"/>
    <mergeCell ref="CS13:CX13"/>
    <mergeCell ref="CY13:DD13"/>
    <mergeCell ref="DE13:DJ13"/>
    <mergeCell ref="DK13:DP13"/>
    <mergeCell ref="DQ13:DV13"/>
    <mergeCell ref="DW13:EB13"/>
    <mergeCell ref="BI13:BN13"/>
    <mergeCell ref="BO13:BT13"/>
    <mergeCell ref="BU13:BZ13"/>
    <mergeCell ref="CA13:CF13"/>
    <mergeCell ref="CG13:CL13"/>
    <mergeCell ref="CM13:CR13"/>
    <mergeCell ref="Y13:AD13"/>
    <mergeCell ref="AE13:AJ13"/>
    <mergeCell ref="AK13:AP13"/>
    <mergeCell ref="AQ13:AV13"/>
    <mergeCell ref="AW13:BB13"/>
    <mergeCell ref="BC13:BH13"/>
    <mergeCell ref="GW13:HB13"/>
    <mergeCell ref="HC13:HH13"/>
    <mergeCell ref="HI13:HN13"/>
    <mergeCell ref="HO13:HT13"/>
    <mergeCell ref="HU13:HZ13"/>
    <mergeCell ref="IA13:IF13"/>
    <mergeCell ref="FM13:FR13"/>
    <mergeCell ref="FS13:FX13"/>
    <mergeCell ref="FY13:GD13"/>
    <mergeCell ref="GE13:GJ13"/>
    <mergeCell ref="GK13:GP13"/>
    <mergeCell ref="LS11:LX11"/>
    <mergeCell ref="LY11:MD11"/>
    <mergeCell ref="ME11:MJ11"/>
    <mergeCell ref="US11:UX11"/>
    <mergeCell ref="UY11:VD11"/>
    <mergeCell ref="VE11:VJ11"/>
    <mergeCell ref="C13:C15"/>
    <mergeCell ref="D13:D15"/>
    <mergeCell ref="E13:E15"/>
    <mergeCell ref="F13:F15"/>
    <mergeCell ref="G13:L13"/>
    <mergeCell ref="M13:R13"/>
    <mergeCell ref="S13:X13"/>
    <mergeCell ref="TI11:TN11"/>
    <mergeCell ref="TO11:TT11"/>
    <mergeCell ref="TU11:TZ11"/>
    <mergeCell ref="UA11:UF11"/>
    <mergeCell ref="UG11:UL11"/>
    <mergeCell ref="UM11:UR11"/>
    <mergeCell ref="RY11:SD11"/>
    <mergeCell ref="SE11:SJ11"/>
    <mergeCell ref="SK11:SP11"/>
    <mergeCell ref="SQ11:SV11"/>
    <mergeCell ref="SW11:TB11"/>
    <mergeCell ref="TC11:TH11"/>
    <mergeCell ref="QO11:QT11"/>
    <mergeCell ref="QU11:QZ11"/>
    <mergeCell ref="RA11:RF11"/>
    <mergeCell ref="RG11:RL11"/>
    <mergeCell ref="RM11:RR11"/>
    <mergeCell ref="RS11:RX11"/>
    <mergeCell ref="PE11:PJ11"/>
    <mergeCell ref="KI11:KN11"/>
    <mergeCell ref="KO11:KT11"/>
    <mergeCell ref="KU11:KZ11"/>
    <mergeCell ref="IG11:IL11"/>
    <mergeCell ref="IM11:IR11"/>
    <mergeCell ref="IS11:IX11"/>
    <mergeCell ref="IY11:JD11"/>
    <mergeCell ref="JE11:JJ11"/>
    <mergeCell ref="JK11:JP11"/>
    <mergeCell ref="GW11:HB11"/>
    <mergeCell ref="HC11:HH11"/>
    <mergeCell ref="HI11:HN11"/>
    <mergeCell ref="HO11:HT11"/>
    <mergeCell ref="HU11:HZ11"/>
    <mergeCell ref="IA11:IF11"/>
    <mergeCell ref="QC11:QH11"/>
    <mergeCell ref="QI11:QN11"/>
    <mergeCell ref="NU11:NZ11"/>
    <mergeCell ref="OA11:OF11"/>
    <mergeCell ref="OG11:OL11"/>
    <mergeCell ref="OM11:OR11"/>
    <mergeCell ref="OS11:OX11"/>
    <mergeCell ref="OY11:PD11"/>
    <mergeCell ref="MK11:MP11"/>
    <mergeCell ref="MQ11:MV11"/>
    <mergeCell ref="MW11:NB11"/>
    <mergeCell ref="NC11:NH11"/>
    <mergeCell ref="NI11:NN11"/>
    <mergeCell ref="NO11:NT11"/>
    <mergeCell ref="LA11:LF11"/>
    <mergeCell ref="LG11:LL11"/>
    <mergeCell ref="LM11:LR11"/>
    <mergeCell ref="GK11:GP11"/>
    <mergeCell ref="GQ11:GV11"/>
    <mergeCell ref="EC11:EH11"/>
    <mergeCell ref="EI11:EN11"/>
    <mergeCell ref="EO11:ET11"/>
    <mergeCell ref="EU11:EZ11"/>
    <mergeCell ref="FA11:FF11"/>
    <mergeCell ref="FG11:FL11"/>
    <mergeCell ref="CS11:CX11"/>
    <mergeCell ref="CY11:DD11"/>
    <mergeCell ref="DE11:DJ11"/>
    <mergeCell ref="DK11:DP11"/>
    <mergeCell ref="DQ11:DV11"/>
    <mergeCell ref="DW11:EB11"/>
    <mergeCell ref="JQ11:JV11"/>
    <mergeCell ref="JW11:KB11"/>
    <mergeCell ref="KC11:KH11"/>
    <mergeCell ref="G1:AD1"/>
    <mergeCell ref="G2:AD2"/>
    <mergeCell ref="G3:AD3"/>
    <mergeCell ref="G4:AD4"/>
    <mergeCell ref="G5:AD5"/>
    <mergeCell ref="G8:BZ10"/>
    <mergeCell ref="BI11:BN11"/>
    <mergeCell ref="BO11:BT11"/>
    <mergeCell ref="BU11:BZ11"/>
    <mergeCell ref="CA11:CF11"/>
    <mergeCell ref="CG11:CL11"/>
    <mergeCell ref="CM11:CR11"/>
    <mergeCell ref="SQ8:VJ10"/>
    <mergeCell ref="G11:L11"/>
    <mergeCell ref="M11:R11"/>
    <mergeCell ref="S11:X11"/>
    <mergeCell ref="Y11:AD11"/>
    <mergeCell ref="AE11:AJ11"/>
    <mergeCell ref="AK11:AP11"/>
    <mergeCell ref="AQ11:AV11"/>
    <mergeCell ref="AW11:BB11"/>
    <mergeCell ref="BC11:BH11"/>
    <mergeCell ref="CA8:ET10"/>
    <mergeCell ref="EU8:HN10"/>
    <mergeCell ref="HO8:KH10"/>
    <mergeCell ref="KI8:NB10"/>
    <mergeCell ref="NC8:PV10"/>
    <mergeCell ref="PW8:SP10"/>
    <mergeCell ref="FM11:FR11"/>
    <mergeCell ref="FS11:FX11"/>
    <mergeCell ref="FY11:GD11"/>
    <mergeCell ref="GE11:GJ11"/>
  </mergeCells>
  <printOptions horizontalCentered="1"/>
  <pageMargins left="0.23622047244094491" right="0.23622047244094491" top="0.27559055118110237" bottom="0.15748031496062992" header="0.31496062992125984" footer="0.31496062992125984"/>
  <pageSetup paperSize="8" scale="48" fitToWidth="4" orientation="landscape" r:id="rId1"/>
  <colBreaks count="3" manualBreakCount="3">
    <brk id="150" min="6" max="65" man="1"/>
    <brk id="294" min="6" max="65" man="1"/>
    <brk id="438" min="6" max="6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theme="5" tint="-0.249977111117893"/>
  </sheetPr>
  <dimension ref="A1:H102"/>
  <sheetViews>
    <sheetView view="pageBreakPreview" zoomScale="85" zoomScaleNormal="70" zoomScaleSheetLayoutView="85" workbookViewId="0">
      <selection activeCell="D93" sqref="D93"/>
    </sheetView>
  </sheetViews>
  <sheetFormatPr defaultRowHeight="15" x14ac:dyDescent="0.25"/>
  <cols>
    <col min="1" max="1" width="7.42578125" customWidth="1"/>
    <col min="2" max="2" width="40.5703125" customWidth="1"/>
    <col min="3" max="3" width="14.7109375" customWidth="1"/>
    <col min="4" max="4" width="14.85546875" customWidth="1"/>
    <col min="5" max="5" width="35.5703125" customWidth="1"/>
    <col min="6" max="8" width="8.7109375" hidden="1" customWidth="1"/>
  </cols>
  <sheetData>
    <row r="1" spans="1:8" ht="21.75" thickBot="1" x14ac:dyDescent="0.4">
      <c r="A1" s="603" t="s">
        <v>467</v>
      </c>
      <c r="B1" s="603"/>
      <c r="C1" s="603"/>
      <c r="D1" s="603"/>
      <c r="E1" s="603"/>
    </row>
    <row r="2" spans="1:8" ht="16.5" thickBot="1" x14ac:dyDescent="0.3">
      <c r="A2" s="108" t="s">
        <v>96</v>
      </c>
      <c r="B2" s="604" t="s">
        <v>465</v>
      </c>
      <c r="C2" s="604" t="s">
        <v>2</v>
      </c>
      <c r="D2" s="604" t="s">
        <v>532</v>
      </c>
      <c r="E2" s="606" t="s">
        <v>466</v>
      </c>
    </row>
    <row r="3" spans="1:8" ht="37.5" customHeight="1" thickBot="1" x14ac:dyDescent="0.3">
      <c r="A3" s="108" t="s">
        <v>97</v>
      </c>
      <c r="B3" s="605"/>
      <c r="C3" s="605"/>
      <c r="D3" s="605"/>
      <c r="E3" s="607"/>
    </row>
    <row r="4" spans="1:8" ht="17.25" thickBot="1" x14ac:dyDescent="0.3">
      <c r="A4" s="209"/>
      <c r="B4" s="210" t="s">
        <v>468</v>
      </c>
      <c r="C4" s="211"/>
      <c r="D4" s="211"/>
      <c r="E4" s="212"/>
      <c r="H4" t="s">
        <v>699</v>
      </c>
    </row>
    <row r="5" spans="1:8" ht="14.65" customHeight="1" thickBot="1" x14ac:dyDescent="0.3">
      <c r="A5" s="209"/>
      <c r="B5" s="213" t="s">
        <v>469</v>
      </c>
      <c r="C5" s="211"/>
      <c r="D5" s="211"/>
      <c r="E5" s="214"/>
    </row>
    <row r="6" spans="1:8" ht="17.25" thickBot="1" x14ac:dyDescent="0.3">
      <c r="A6" s="209"/>
      <c r="B6" s="213" t="s">
        <v>470</v>
      </c>
      <c r="C6" s="211"/>
      <c r="D6" s="211"/>
      <c r="E6" s="215"/>
    </row>
    <row r="7" spans="1:8" ht="17.25" thickBot="1" x14ac:dyDescent="0.3">
      <c r="A7" s="209"/>
      <c r="B7" s="213" t="s">
        <v>637</v>
      </c>
      <c r="C7" s="211"/>
      <c r="D7" s="211"/>
      <c r="E7" s="214"/>
    </row>
    <row r="8" spans="1:8" ht="17.25" thickBot="1" x14ac:dyDescent="0.3">
      <c r="A8" s="209"/>
      <c r="B8" s="216" t="s">
        <v>638</v>
      </c>
      <c r="C8" s="211"/>
      <c r="D8" s="211"/>
      <c r="E8" s="214"/>
    </row>
    <row r="9" spans="1:8" ht="17.25" thickBot="1" x14ac:dyDescent="0.3">
      <c r="A9" s="209"/>
      <c r="B9" s="213" t="s">
        <v>471</v>
      </c>
      <c r="C9" s="211"/>
      <c r="D9" s="211"/>
      <c r="E9" s="214"/>
    </row>
    <row r="10" spans="1:8" ht="17.25" thickBot="1" x14ac:dyDescent="0.3">
      <c r="A10" s="209"/>
      <c r="B10" s="213" t="s">
        <v>472</v>
      </c>
      <c r="C10" s="211"/>
      <c r="D10" s="211"/>
      <c r="E10" s="214"/>
    </row>
    <row r="11" spans="1:8" ht="17.25" thickBot="1" x14ac:dyDescent="0.3">
      <c r="A11" s="209"/>
      <c r="B11" s="213" t="s">
        <v>473</v>
      </c>
      <c r="C11" s="211"/>
      <c r="D11" s="211"/>
      <c r="E11" s="214"/>
    </row>
    <row r="12" spans="1:8" ht="17.25" thickBot="1" x14ac:dyDescent="0.3">
      <c r="A12" s="209"/>
      <c r="B12" s="213" t="s">
        <v>474</v>
      </c>
      <c r="C12" s="211"/>
      <c r="D12" s="211"/>
      <c r="E12" s="214"/>
    </row>
    <row r="13" spans="1:8" ht="65.650000000000006" customHeight="1" thickBot="1" x14ac:dyDescent="0.3">
      <c r="A13" s="209"/>
      <c r="B13" s="217" t="s">
        <v>475</v>
      </c>
      <c r="C13" s="211"/>
      <c r="D13" s="211"/>
      <c r="E13" s="214"/>
    </row>
    <row r="14" spans="1:8" ht="33.75" thickBot="1" x14ac:dyDescent="0.3">
      <c r="A14" s="209"/>
      <c r="B14" s="217" t="s">
        <v>639</v>
      </c>
      <c r="C14" s="211"/>
      <c r="D14" s="211"/>
      <c r="E14" s="214"/>
    </row>
    <row r="15" spans="1:8" ht="17.25" thickBot="1" x14ac:dyDescent="0.3">
      <c r="A15" s="209"/>
      <c r="B15" s="217" t="s">
        <v>476</v>
      </c>
      <c r="C15" s="211"/>
      <c r="D15" s="211"/>
      <c r="E15" s="214"/>
    </row>
    <row r="16" spans="1:8" ht="17.25" thickBot="1" x14ac:dyDescent="0.3">
      <c r="A16" s="209"/>
      <c r="B16" s="213" t="s">
        <v>477</v>
      </c>
      <c r="C16" s="211"/>
      <c r="D16" s="211"/>
      <c r="E16" s="214"/>
    </row>
    <row r="17" spans="1:5" ht="28.15" customHeight="1" thickBot="1" x14ac:dyDescent="0.3">
      <c r="A17" s="608" t="s">
        <v>533</v>
      </c>
      <c r="B17" s="609"/>
      <c r="C17" s="609"/>
      <c r="D17" s="609"/>
      <c r="E17" s="609"/>
    </row>
    <row r="18" spans="1:5" ht="17.25" thickBot="1" x14ac:dyDescent="0.3">
      <c r="A18" s="219"/>
      <c r="B18" s="220" t="s">
        <v>478</v>
      </c>
      <c r="C18" s="211"/>
      <c r="D18" s="211"/>
      <c r="E18" s="221"/>
    </row>
    <row r="19" spans="1:5" ht="17.25" thickBot="1" x14ac:dyDescent="0.3">
      <c r="A19" s="209"/>
      <c r="B19" s="217" t="s">
        <v>479</v>
      </c>
      <c r="C19" s="211"/>
      <c r="D19" s="211"/>
      <c r="E19" s="222"/>
    </row>
    <row r="20" spans="1:5" ht="50.25" thickBot="1" x14ac:dyDescent="0.3">
      <c r="A20" s="209"/>
      <c r="B20" s="217" t="s">
        <v>640</v>
      </c>
      <c r="C20" s="211"/>
      <c r="D20" s="211"/>
      <c r="E20" s="214"/>
    </row>
    <row r="21" spans="1:5" ht="50.25" thickBot="1" x14ac:dyDescent="0.3">
      <c r="A21" s="209"/>
      <c r="B21" s="217" t="s">
        <v>641</v>
      </c>
      <c r="C21" s="211"/>
      <c r="D21" s="211"/>
      <c r="E21" s="214"/>
    </row>
    <row r="22" spans="1:5" ht="33.75" thickBot="1" x14ac:dyDescent="0.3">
      <c r="A22" s="209"/>
      <c r="B22" s="217" t="s">
        <v>480</v>
      </c>
      <c r="C22" s="211"/>
      <c r="D22" s="211"/>
      <c r="E22" s="214"/>
    </row>
    <row r="23" spans="1:5" ht="50.25" thickBot="1" x14ac:dyDescent="0.3">
      <c r="A23" s="209"/>
      <c r="B23" s="217" t="s">
        <v>481</v>
      </c>
      <c r="C23" s="211"/>
      <c r="D23" s="211"/>
      <c r="E23" s="214"/>
    </row>
    <row r="24" spans="1:5" ht="50.25" thickBot="1" x14ac:dyDescent="0.3">
      <c r="A24" s="209"/>
      <c r="B24" s="217" t="s">
        <v>482</v>
      </c>
      <c r="C24" s="211"/>
      <c r="D24" s="211"/>
      <c r="E24" s="214"/>
    </row>
    <row r="25" spans="1:5" ht="66.75" thickBot="1" x14ac:dyDescent="0.3">
      <c r="A25" s="209"/>
      <c r="B25" s="217" t="s">
        <v>483</v>
      </c>
      <c r="C25" s="211"/>
      <c r="D25" s="211"/>
      <c r="E25" s="214"/>
    </row>
    <row r="26" spans="1:5" ht="50.25" thickBot="1" x14ac:dyDescent="0.3">
      <c r="A26" s="209"/>
      <c r="B26" s="217" t="s">
        <v>484</v>
      </c>
      <c r="C26" s="211"/>
      <c r="D26" s="211"/>
      <c r="E26" s="214"/>
    </row>
    <row r="27" spans="1:5" ht="50.25" thickBot="1" x14ac:dyDescent="0.3">
      <c r="A27" s="209"/>
      <c r="B27" s="208" t="s">
        <v>642</v>
      </c>
      <c r="C27" s="294"/>
      <c r="D27" s="294"/>
      <c r="E27" s="295"/>
    </row>
    <row r="28" spans="1:5" ht="33.75" thickBot="1" x14ac:dyDescent="0.3">
      <c r="A28" s="209"/>
      <c r="B28" s="217" t="s">
        <v>485</v>
      </c>
      <c r="C28" s="211"/>
      <c r="D28" s="211"/>
      <c r="E28" s="214"/>
    </row>
    <row r="29" spans="1:5" ht="33.75" thickBot="1" x14ac:dyDescent="0.3">
      <c r="A29" s="209"/>
      <c r="B29" s="217" t="s">
        <v>486</v>
      </c>
      <c r="C29" s="211"/>
      <c r="D29" s="211"/>
      <c r="E29" s="214"/>
    </row>
    <row r="30" spans="1:5" ht="66.75" thickBot="1" x14ac:dyDescent="0.3">
      <c r="A30" s="209"/>
      <c r="B30" s="217" t="s">
        <v>487</v>
      </c>
      <c r="C30" s="211"/>
      <c r="D30" s="211"/>
      <c r="E30" s="215"/>
    </row>
    <row r="31" spans="1:5" ht="50.25" thickBot="1" x14ac:dyDescent="0.3">
      <c r="A31" s="209"/>
      <c r="B31" s="217" t="s">
        <v>488</v>
      </c>
      <c r="C31" s="211"/>
      <c r="D31" s="211"/>
      <c r="E31" s="218"/>
    </row>
    <row r="32" spans="1:5" ht="33.75" thickBot="1" x14ac:dyDescent="0.3">
      <c r="A32" s="209"/>
      <c r="B32" s="217" t="s">
        <v>489</v>
      </c>
      <c r="C32" s="211"/>
      <c r="D32" s="211"/>
      <c r="E32" s="218"/>
    </row>
    <row r="33" spans="1:5" ht="33.75" thickBot="1" x14ac:dyDescent="0.3">
      <c r="A33" s="209"/>
      <c r="B33" s="217" t="s">
        <v>490</v>
      </c>
      <c r="C33" s="211"/>
      <c r="D33" s="211"/>
      <c r="E33" s="215"/>
    </row>
    <row r="34" spans="1:5" ht="28.15" customHeight="1" thickBot="1" x14ac:dyDescent="0.3">
      <c r="A34" s="199"/>
      <c r="B34" s="602" t="s">
        <v>534</v>
      </c>
      <c r="C34" s="602"/>
      <c r="D34" s="602"/>
      <c r="E34" s="602"/>
    </row>
    <row r="35" spans="1:5" ht="99.75" thickBot="1" x14ac:dyDescent="0.3">
      <c r="A35" s="209"/>
      <c r="B35" s="217" t="s">
        <v>643</v>
      </c>
      <c r="C35" s="211"/>
      <c r="D35" s="211"/>
      <c r="E35" s="218"/>
    </row>
    <row r="36" spans="1:5" ht="33.75" thickBot="1" x14ac:dyDescent="0.3">
      <c r="A36" s="209"/>
      <c r="B36" s="217" t="s">
        <v>491</v>
      </c>
      <c r="C36" s="211"/>
      <c r="D36" s="211"/>
      <c r="E36" s="222"/>
    </row>
    <row r="37" spans="1:5" ht="132.75" thickBot="1" x14ac:dyDescent="0.3">
      <c r="A37" s="209"/>
      <c r="B37" s="217" t="s">
        <v>492</v>
      </c>
      <c r="C37" s="211"/>
      <c r="D37" s="211"/>
      <c r="E37" s="218"/>
    </row>
    <row r="38" spans="1:5" ht="50.25" thickBot="1" x14ac:dyDescent="0.3">
      <c r="A38" s="209"/>
      <c r="B38" s="217" t="s">
        <v>493</v>
      </c>
      <c r="C38" s="211"/>
      <c r="D38" s="211"/>
      <c r="E38" s="222"/>
    </row>
    <row r="39" spans="1:5" ht="40.9" customHeight="1" thickBot="1" x14ac:dyDescent="0.3">
      <c r="A39" s="601" t="s">
        <v>494</v>
      </c>
      <c r="B39" s="602"/>
      <c r="C39" s="602"/>
      <c r="D39" s="602"/>
      <c r="E39" s="602"/>
    </row>
    <row r="40" spans="1:5" ht="50.25" thickBot="1" x14ac:dyDescent="0.3">
      <c r="A40" s="209"/>
      <c r="B40" s="217" t="s">
        <v>495</v>
      </c>
      <c r="C40" s="211"/>
      <c r="D40" s="211"/>
      <c r="E40" s="218"/>
    </row>
    <row r="41" spans="1:5" ht="66.75" thickBot="1" x14ac:dyDescent="0.3">
      <c r="A41" s="209"/>
      <c r="B41" s="217" t="s">
        <v>496</v>
      </c>
      <c r="C41" s="211"/>
      <c r="D41" s="211"/>
      <c r="E41" s="218"/>
    </row>
    <row r="42" spans="1:5" ht="50.25" thickBot="1" x14ac:dyDescent="0.3">
      <c r="A42" s="209"/>
      <c r="B42" s="217" t="s">
        <v>644</v>
      </c>
      <c r="C42" s="211"/>
      <c r="D42" s="211"/>
      <c r="E42" s="218"/>
    </row>
    <row r="43" spans="1:5" ht="33.75" thickBot="1" x14ac:dyDescent="0.3">
      <c r="A43" s="209"/>
      <c r="B43" s="217" t="s">
        <v>497</v>
      </c>
      <c r="C43" s="211"/>
      <c r="D43" s="211"/>
      <c r="E43" s="218"/>
    </row>
    <row r="44" spans="1:5" ht="138" customHeight="1" thickBot="1" x14ac:dyDescent="0.3">
      <c r="A44" s="209"/>
      <c r="B44" s="217" t="s">
        <v>645</v>
      </c>
      <c r="C44" s="211"/>
      <c r="D44" s="211"/>
      <c r="E44" s="214"/>
    </row>
    <row r="45" spans="1:5" ht="66.75" thickBot="1" x14ac:dyDescent="0.3">
      <c r="A45" s="209"/>
      <c r="B45" s="217" t="s">
        <v>498</v>
      </c>
      <c r="C45" s="211"/>
      <c r="D45" s="211"/>
      <c r="E45" s="215"/>
    </row>
    <row r="46" spans="1:5" ht="83.25" thickBot="1" x14ac:dyDescent="0.3">
      <c r="A46" s="209"/>
      <c r="B46" s="217" t="s">
        <v>499</v>
      </c>
      <c r="C46" s="211"/>
      <c r="D46" s="211"/>
      <c r="E46" s="215"/>
    </row>
    <row r="47" spans="1:5" ht="132.75" thickBot="1" x14ac:dyDescent="0.3">
      <c r="A47" s="209"/>
      <c r="B47" s="217" t="s">
        <v>646</v>
      </c>
      <c r="C47" s="211"/>
      <c r="D47" s="211"/>
      <c r="E47" s="215"/>
    </row>
    <row r="48" spans="1:5" ht="116.25" thickBot="1" x14ac:dyDescent="0.3">
      <c r="A48" s="209"/>
      <c r="B48" s="217" t="s">
        <v>647</v>
      </c>
      <c r="C48" s="211"/>
      <c r="D48" s="211"/>
      <c r="E48" s="215"/>
    </row>
    <row r="49" spans="1:5" ht="116.25" thickBot="1" x14ac:dyDescent="0.3">
      <c r="A49" s="209"/>
      <c r="B49" s="217" t="s">
        <v>648</v>
      </c>
      <c r="C49" s="211"/>
      <c r="D49" s="211"/>
      <c r="E49" s="215"/>
    </row>
    <row r="50" spans="1:5" ht="48.6" customHeight="1" thickBot="1" x14ac:dyDescent="0.3">
      <c r="A50" s="601" t="s">
        <v>649</v>
      </c>
      <c r="B50" s="602"/>
      <c r="C50" s="602"/>
      <c r="D50" s="602"/>
      <c r="E50" s="602"/>
    </row>
    <row r="51" spans="1:5" ht="33.75" thickBot="1" x14ac:dyDescent="0.3">
      <c r="A51" s="209"/>
      <c r="B51" s="217" t="s">
        <v>650</v>
      </c>
      <c r="C51" s="211"/>
      <c r="D51" s="211"/>
      <c r="E51" s="215"/>
    </row>
    <row r="52" spans="1:5" ht="17.25" thickBot="1" x14ac:dyDescent="0.3">
      <c r="A52" s="209"/>
      <c r="B52" s="217" t="s">
        <v>456</v>
      </c>
      <c r="C52" s="211"/>
      <c r="D52" s="211"/>
      <c r="E52" s="215"/>
    </row>
    <row r="53" spans="1:5" ht="33.75" thickBot="1" x14ac:dyDescent="0.3">
      <c r="A53" s="209"/>
      <c r="B53" s="217" t="s">
        <v>651</v>
      </c>
      <c r="C53" s="211"/>
      <c r="D53" s="211"/>
      <c r="E53" s="215"/>
    </row>
    <row r="54" spans="1:5" ht="66.75" thickBot="1" x14ac:dyDescent="0.3">
      <c r="A54" s="209"/>
      <c r="B54" s="217" t="s">
        <v>652</v>
      </c>
      <c r="C54" s="211"/>
      <c r="D54" s="211"/>
      <c r="E54" s="214"/>
    </row>
    <row r="55" spans="1:5" ht="33.75" thickBot="1" x14ac:dyDescent="0.3">
      <c r="A55" s="209"/>
      <c r="B55" s="217" t="s">
        <v>500</v>
      </c>
      <c r="C55" s="211"/>
      <c r="D55" s="211"/>
      <c r="E55" s="215"/>
    </row>
    <row r="56" spans="1:5" ht="17.25" thickBot="1" x14ac:dyDescent="0.3">
      <c r="A56" s="209"/>
      <c r="B56" s="217" t="s">
        <v>501</v>
      </c>
      <c r="C56" s="211"/>
      <c r="D56" s="211"/>
      <c r="E56" s="214"/>
    </row>
    <row r="57" spans="1:5" ht="17.25" thickBot="1" x14ac:dyDescent="0.3">
      <c r="A57" s="209"/>
      <c r="B57" s="217" t="s">
        <v>502</v>
      </c>
      <c r="C57" s="211"/>
      <c r="D57" s="211"/>
      <c r="E57" s="215"/>
    </row>
    <row r="58" spans="1:5" ht="50.25" thickBot="1" x14ac:dyDescent="0.3">
      <c r="A58" s="209"/>
      <c r="B58" s="217" t="s">
        <v>503</v>
      </c>
      <c r="C58" s="211"/>
      <c r="D58" s="211"/>
      <c r="E58" s="215"/>
    </row>
    <row r="59" spans="1:5" ht="33.75" thickBot="1" x14ac:dyDescent="0.3">
      <c r="A59" s="209"/>
      <c r="B59" s="217" t="s">
        <v>504</v>
      </c>
      <c r="C59" s="211"/>
      <c r="D59" s="211"/>
      <c r="E59" s="214"/>
    </row>
    <row r="60" spans="1:5" ht="40.15" customHeight="1" thickBot="1" x14ac:dyDescent="0.3">
      <c r="A60" s="601" t="s">
        <v>653</v>
      </c>
      <c r="B60" s="602"/>
      <c r="C60" s="602"/>
      <c r="D60" s="602"/>
      <c r="E60" s="602"/>
    </row>
    <row r="61" spans="1:5" ht="33.75" thickBot="1" x14ac:dyDescent="0.3">
      <c r="A61" s="209"/>
      <c r="B61" s="217" t="s">
        <v>505</v>
      </c>
      <c r="C61" s="211"/>
      <c r="D61" s="211"/>
      <c r="E61" s="218"/>
    </row>
    <row r="62" spans="1:5" ht="33.75" thickBot="1" x14ac:dyDescent="0.3">
      <c r="A62" s="209"/>
      <c r="B62" s="217" t="s">
        <v>506</v>
      </c>
      <c r="C62" s="211"/>
      <c r="D62" s="211"/>
      <c r="E62" s="214"/>
    </row>
    <row r="63" spans="1:5" ht="50.25" thickBot="1" x14ac:dyDescent="0.3">
      <c r="A63" s="209"/>
      <c r="B63" s="217" t="s">
        <v>507</v>
      </c>
      <c r="C63" s="211"/>
      <c r="D63" s="211"/>
      <c r="E63" s="215"/>
    </row>
    <row r="64" spans="1:5" ht="50.25" thickBot="1" x14ac:dyDescent="0.3">
      <c r="A64" s="209"/>
      <c r="B64" s="217" t="s">
        <v>508</v>
      </c>
      <c r="C64" s="211"/>
      <c r="D64" s="211"/>
      <c r="E64" s="215"/>
    </row>
    <row r="65" spans="1:5" ht="66.75" thickBot="1" x14ac:dyDescent="0.3">
      <c r="A65" s="209"/>
      <c r="B65" s="217" t="s">
        <v>509</v>
      </c>
      <c r="C65" s="211"/>
      <c r="D65" s="211"/>
      <c r="E65" s="215"/>
    </row>
    <row r="66" spans="1:5" ht="50.25" thickBot="1" x14ac:dyDescent="0.3">
      <c r="A66" s="209"/>
      <c r="B66" s="217" t="s">
        <v>510</v>
      </c>
      <c r="C66" s="211"/>
      <c r="D66" s="211"/>
      <c r="E66" s="215"/>
    </row>
    <row r="67" spans="1:5" ht="33.75" thickBot="1" x14ac:dyDescent="0.3">
      <c r="A67" s="209"/>
      <c r="B67" s="217" t="s">
        <v>511</v>
      </c>
      <c r="C67" s="211"/>
      <c r="D67" s="211"/>
      <c r="E67" s="215"/>
    </row>
    <row r="68" spans="1:5" ht="17.25" thickBot="1" x14ac:dyDescent="0.3">
      <c r="A68" s="209"/>
      <c r="B68" s="217" t="s">
        <v>512</v>
      </c>
      <c r="C68" s="211"/>
      <c r="D68" s="211"/>
      <c r="E68" s="215"/>
    </row>
    <row r="69" spans="1:5" ht="33.75" thickBot="1" x14ac:dyDescent="0.3">
      <c r="A69" s="209"/>
      <c r="B69" s="217" t="s">
        <v>654</v>
      </c>
      <c r="C69" s="211"/>
      <c r="D69" s="211"/>
      <c r="E69" s="283"/>
    </row>
    <row r="70" spans="1:5" ht="17.25" thickBot="1" x14ac:dyDescent="0.3">
      <c r="A70" s="209"/>
      <c r="B70" s="217" t="s">
        <v>513</v>
      </c>
      <c r="C70" s="211"/>
      <c r="D70" s="211"/>
      <c r="E70" s="215"/>
    </row>
    <row r="71" spans="1:5" ht="33.75" thickBot="1" x14ac:dyDescent="0.3">
      <c r="A71" s="209"/>
      <c r="B71" s="217" t="s">
        <v>514</v>
      </c>
      <c r="C71" s="211"/>
      <c r="D71" s="211"/>
      <c r="E71" s="215"/>
    </row>
    <row r="72" spans="1:5" ht="33.75" thickBot="1" x14ac:dyDescent="0.3">
      <c r="A72" s="209"/>
      <c r="B72" s="217" t="s">
        <v>515</v>
      </c>
      <c r="C72" s="211"/>
      <c r="D72" s="211"/>
      <c r="E72" s="215"/>
    </row>
    <row r="73" spans="1:5" ht="17.25" thickBot="1" x14ac:dyDescent="0.3">
      <c r="A73" s="209"/>
      <c r="B73" s="217" t="s">
        <v>516</v>
      </c>
      <c r="C73" s="211"/>
      <c r="D73" s="211"/>
      <c r="E73" s="214"/>
    </row>
    <row r="74" spans="1:5" ht="17.25" thickBot="1" x14ac:dyDescent="0.3">
      <c r="A74" s="209"/>
      <c r="B74" s="217" t="s">
        <v>517</v>
      </c>
      <c r="C74" s="211"/>
      <c r="D74" s="211"/>
      <c r="E74" s="214"/>
    </row>
    <row r="75" spans="1:5" ht="17.25" thickBot="1" x14ac:dyDescent="0.3">
      <c r="A75" s="209"/>
      <c r="B75" s="217" t="s">
        <v>518</v>
      </c>
      <c r="C75" s="211"/>
      <c r="D75" s="211"/>
      <c r="E75" s="214"/>
    </row>
    <row r="76" spans="1:5" ht="33.75" thickBot="1" x14ac:dyDescent="0.3">
      <c r="A76" s="209"/>
      <c r="B76" s="217" t="s">
        <v>519</v>
      </c>
      <c r="C76" s="211"/>
      <c r="D76" s="211"/>
      <c r="E76" s="214"/>
    </row>
    <row r="77" spans="1:5" ht="17.25" thickBot="1" x14ac:dyDescent="0.3">
      <c r="A77" s="209"/>
      <c r="B77" s="217" t="s">
        <v>520</v>
      </c>
      <c r="C77" s="211"/>
      <c r="D77" s="211"/>
      <c r="E77" s="222"/>
    </row>
    <row r="78" spans="1:5" ht="17.25" thickBot="1" x14ac:dyDescent="0.3">
      <c r="A78" s="209"/>
      <c r="B78" s="217" t="s">
        <v>521</v>
      </c>
      <c r="C78" s="211"/>
      <c r="D78" s="211"/>
      <c r="E78" s="214"/>
    </row>
    <row r="79" spans="1:5" ht="17.25" thickBot="1" x14ac:dyDescent="0.3">
      <c r="A79" s="209"/>
      <c r="B79" s="217" t="s">
        <v>522</v>
      </c>
      <c r="C79" s="211"/>
      <c r="D79" s="211"/>
      <c r="E79" s="214"/>
    </row>
    <row r="80" spans="1:5" ht="33.75" thickBot="1" x14ac:dyDescent="0.3">
      <c r="A80" s="209"/>
      <c r="B80" s="217" t="s">
        <v>523</v>
      </c>
      <c r="C80" s="211"/>
      <c r="D80" s="211"/>
      <c r="E80" s="218"/>
    </row>
    <row r="81" spans="1:5" ht="17.25" thickBot="1" x14ac:dyDescent="0.3">
      <c r="A81" s="209"/>
      <c r="B81" s="223"/>
      <c r="C81" s="211"/>
      <c r="D81" s="211"/>
      <c r="E81" s="218"/>
    </row>
    <row r="82" spans="1:5" ht="41.45" customHeight="1" thickBot="1" x14ac:dyDescent="0.3">
      <c r="A82" s="601" t="s">
        <v>535</v>
      </c>
      <c r="B82" s="602"/>
      <c r="C82" s="602"/>
      <c r="D82" s="602"/>
      <c r="E82" s="602"/>
    </row>
    <row r="83" spans="1:5" ht="66.75" thickBot="1" x14ac:dyDescent="0.3">
      <c r="A83" s="209"/>
      <c r="B83" s="217" t="s">
        <v>524</v>
      </c>
      <c r="C83" s="211"/>
      <c r="D83" s="211"/>
      <c r="E83" s="214"/>
    </row>
    <row r="84" spans="1:5" ht="33.75" thickBot="1" x14ac:dyDescent="0.3">
      <c r="A84" s="209"/>
      <c r="B84" s="217" t="s">
        <v>525</v>
      </c>
      <c r="C84" s="211"/>
      <c r="D84" s="211"/>
      <c r="E84" s="214"/>
    </row>
    <row r="85" spans="1:5" ht="33.75" thickBot="1" x14ac:dyDescent="0.3">
      <c r="A85" s="209"/>
      <c r="B85" s="217" t="s">
        <v>526</v>
      </c>
      <c r="C85" s="211"/>
      <c r="D85" s="211"/>
      <c r="E85" s="214"/>
    </row>
    <row r="86" spans="1:5" ht="33.75" thickBot="1" x14ac:dyDescent="0.3">
      <c r="A86" s="209"/>
      <c r="B86" s="217" t="s">
        <v>655</v>
      </c>
      <c r="C86" s="211"/>
      <c r="D86" s="211"/>
      <c r="E86" s="214"/>
    </row>
    <row r="87" spans="1:5" ht="50.25" thickBot="1" x14ac:dyDescent="0.3">
      <c r="A87" s="209"/>
      <c r="B87" s="217" t="s">
        <v>527</v>
      </c>
      <c r="C87" s="211"/>
      <c r="D87" s="211"/>
      <c r="E87" s="215"/>
    </row>
    <row r="88" spans="1:5" ht="17.25" thickBot="1" x14ac:dyDescent="0.3">
      <c r="A88" s="209"/>
      <c r="B88" s="217" t="s">
        <v>528</v>
      </c>
      <c r="C88" s="211"/>
      <c r="D88" s="211"/>
      <c r="E88" s="214"/>
    </row>
    <row r="89" spans="1:5" ht="50.25" thickBot="1" x14ac:dyDescent="0.3">
      <c r="A89" s="209"/>
      <c r="B89" s="217" t="s">
        <v>702</v>
      </c>
      <c r="C89" s="211"/>
      <c r="D89" s="211"/>
      <c r="E89" s="284"/>
    </row>
    <row r="90" spans="1:5" ht="17.25" thickBot="1" x14ac:dyDescent="0.3">
      <c r="A90" s="209"/>
      <c r="B90" s="217" t="s">
        <v>529</v>
      </c>
      <c r="C90" s="294"/>
      <c r="D90" s="294"/>
      <c r="E90" s="295"/>
    </row>
    <row r="91" spans="1:5" ht="17.25" thickBot="1" x14ac:dyDescent="0.3">
      <c r="A91" s="209"/>
      <c r="B91" s="217" t="s">
        <v>530</v>
      </c>
      <c r="C91" s="211"/>
      <c r="D91" s="211"/>
      <c r="E91" s="214"/>
    </row>
    <row r="92" spans="1:5" ht="17.25" thickBot="1" x14ac:dyDescent="0.3">
      <c r="A92" s="209"/>
      <c r="B92" s="224" t="s">
        <v>531</v>
      </c>
      <c r="C92" s="211"/>
      <c r="D92" s="211"/>
      <c r="E92" s="215"/>
    </row>
    <row r="93" spans="1:5" ht="50.25" thickBot="1" x14ac:dyDescent="0.3">
      <c r="A93" s="225"/>
      <c r="B93" s="226" t="s">
        <v>656</v>
      </c>
      <c r="C93" s="211"/>
      <c r="D93" s="211"/>
      <c r="E93" s="284"/>
    </row>
    <row r="94" spans="1:5" ht="42" customHeight="1" thickBot="1" x14ac:dyDescent="0.3">
      <c r="A94" s="601" t="s">
        <v>561</v>
      </c>
      <c r="B94" s="602"/>
      <c r="C94" s="602"/>
      <c r="D94" s="602"/>
      <c r="E94" s="602"/>
    </row>
    <row r="95" spans="1:5" ht="115.15" customHeight="1" thickBot="1" x14ac:dyDescent="0.3">
      <c r="A95" s="209"/>
      <c r="B95" s="217" t="s">
        <v>560</v>
      </c>
      <c r="C95" s="211"/>
      <c r="D95" s="211"/>
      <c r="E95" s="285"/>
    </row>
    <row r="96" spans="1:5" ht="83.25" thickBot="1" x14ac:dyDescent="0.3">
      <c r="A96" s="209"/>
      <c r="B96" s="217" t="s">
        <v>704</v>
      </c>
      <c r="C96" s="211"/>
      <c r="D96" s="211"/>
      <c r="E96" s="286"/>
    </row>
    <row r="97" spans="1:5" ht="50.25" thickBot="1" x14ac:dyDescent="0.3">
      <c r="A97" s="209"/>
      <c r="B97" s="217" t="s">
        <v>562</v>
      </c>
      <c r="C97" s="211"/>
      <c r="D97" s="211"/>
      <c r="E97" s="286"/>
    </row>
    <row r="98" spans="1:5" ht="66.75" thickBot="1" x14ac:dyDescent="0.3">
      <c r="A98" s="209"/>
      <c r="B98" s="217" t="s">
        <v>703</v>
      </c>
      <c r="C98" s="211"/>
      <c r="D98" s="211"/>
      <c r="E98" s="286"/>
    </row>
    <row r="99" spans="1:5" ht="17.25" thickBot="1" x14ac:dyDescent="0.3">
      <c r="A99" s="209"/>
      <c r="B99" s="217" t="s">
        <v>657</v>
      </c>
      <c r="C99" s="211"/>
      <c r="D99" s="211"/>
      <c r="E99" s="286"/>
    </row>
    <row r="100" spans="1:5" ht="50.25" thickBot="1" x14ac:dyDescent="0.3">
      <c r="A100" s="209"/>
      <c r="B100" s="208" t="s">
        <v>595</v>
      </c>
      <c r="C100" s="211"/>
      <c r="D100" s="211"/>
      <c r="E100" s="286"/>
    </row>
    <row r="101" spans="1:5" ht="50.25" thickBot="1" x14ac:dyDescent="0.3">
      <c r="A101" s="209"/>
      <c r="B101" s="208" t="s">
        <v>596</v>
      </c>
      <c r="C101" s="211"/>
      <c r="D101" s="211"/>
      <c r="E101" s="286"/>
    </row>
    <row r="102" spans="1:5" ht="50.25" thickBot="1" x14ac:dyDescent="0.3">
      <c r="A102" s="209"/>
      <c r="B102" s="208" t="s">
        <v>597</v>
      </c>
      <c r="C102" s="211"/>
      <c r="D102" s="211"/>
      <c r="E102" s="286"/>
    </row>
  </sheetData>
  <mergeCells count="12">
    <mergeCell ref="A94:E94"/>
    <mergeCell ref="A1:E1"/>
    <mergeCell ref="B2:B3"/>
    <mergeCell ref="C2:C3"/>
    <mergeCell ref="D2:D3"/>
    <mergeCell ref="E2:E3"/>
    <mergeCell ref="A17:E17"/>
    <mergeCell ref="B34:E34"/>
    <mergeCell ref="A39:E39"/>
    <mergeCell ref="A50:E50"/>
    <mergeCell ref="A60:E60"/>
    <mergeCell ref="A82:E82"/>
  </mergeCells>
  <dataValidations count="1">
    <dataValidation type="list" allowBlank="1" showInputMessage="1" showErrorMessage="1" sqref="C4:D16 C18:D33 C35:D38 C40:D49 C51:D59 C61:D81 C83:D93 C95:D102">
      <formula1>$H$2:$H$4</formula1>
    </dataValidation>
  </dataValidations>
  <pageMargins left="0.7" right="0.7" top="0.75" bottom="0.75" header="0.3" footer="0.3"/>
  <pageSetup paperSize="9" scale="6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M88"/>
  <sheetViews>
    <sheetView workbookViewId="0">
      <selection activeCell="A22" sqref="A22"/>
    </sheetView>
  </sheetViews>
  <sheetFormatPr defaultRowHeight="15" x14ac:dyDescent="0.25"/>
  <cols>
    <col min="1" max="1" width="70.7109375" customWidth="1"/>
  </cols>
  <sheetData>
    <row r="1" spans="1:13" x14ac:dyDescent="0.25">
      <c r="A1" t="s">
        <v>3</v>
      </c>
    </row>
    <row r="2" spans="1:13" x14ac:dyDescent="0.25">
      <c r="A2" t="s">
        <v>773</v>
      </c>
      <c r="B2" s="297" t="s">
        <v>774</v>
      </c>
      <c r="C2" s="297" t="s">
        <v>775</v>
      </c>
      <c r="D2" s="297" t="s">
        <v>776</v>
      </c>
      <c r="E2" s="297" t="s">
        <v>777</v>
      </c>
      <c r="F2" s="297" t="s">
        <v>778</v>
      </c>
      <c r="G2" s="297" t="s">
        <v>779</v>
      </c>
      <c r="H2" s="297" t="s">
        <v>780</v>
      </c>
      <c r="I2" s="297" t="s">
        <v>781</v>
      </c>
      <c r="J2" s="297"/>
      <c r="K2" s="297"/>
      <c r="L2" s="297"/>
      <c r="M2" s="297"/>
    </row>
    <row r="3" spans="1:13" x14ac:dyDescent="0.25">
      <c r="A3" t="s">
        <v>782</v>
      </c>
      <c r="B3" s="297" t="s">
        <v>774</v>
      </c>
      <c r="C3" s="297" t="s">
        <v>775</v>
      </c>
      <c r="D3" s="297" t="s">
        <v>776</v>
      </c>
      <c r="E3" s="297" t="s">
        <v>777</v>
      </c>
      <c r="F3" s="297" t="s">
        <v>778</v>
      </c>
      <c r="G3" s="297" t="s">
        <v>779</v>
      </c>
      <c r="H3" s="297" t="s">
        <v>780</v>
      </c>
      <c r="I3" s="297" t="s">
        <v>781</v>
      </c>
      <c r="J3" s="297"/>
      <c r="K3" s="297"/>
      <c r="L3" s="297"/>
      <c r="M3" s="297"/>
    </row>
    <row r="4" spans="1:13" x14ac:dyDescent="0.25">
      <c r="A4" t="s">
        <v>783</v>
      </c>
      <c r="B4" s="297">
        <v>171</v>
      </c>
      <c r="C4" s="297">
        <v>152</v>
      </c>
      <c r="D4" s="297">
        <v>147</v>
      </c>
      <c r="E4" s="297">
        <v>133</v>
      </c>
      <c r="F4" s="297">
        <v>108</v>
      </c>
      <c r="G4" s="297"/>
      <c r="H4" s="297"/>
      <c r="I4" s="297"/>
      <c r="J4" s="297"/>
      <c r="K4" s="297"/>
      <c r="L4" s="297"/>
      <c r="M4" s="297"/>
    </row>
    <row r="5" spans="1:13" x14ac:dyDescent="0.25">
      <c r="A5" t="s">
        <v>784</v>
      </c>
      <c r="B5" s="297" t="s">
        <v>774</v>
      </c>
      <c r="C5" s="297" t="s">
        <v>775</v>
      </c>
      <c r="D5" s="297" t="s">
        <v>776</v>
      </c>
      <c r="E5" s="297" t="s">
        <v>777</v>
      </c>
      <c r="F5" s="297" t="s">
        <v>778</v>
      </c>
      <c r="G5" s="297" t="s">
        <v>779</v>
      </c>
      <c r="H5" s="297" t="s">
        <v>780</v>
      </c>
      <c r="I5" s="297" t="s">
        <v>781</v>
      </c>
      <c r="J5" s="297"/>
      <c r="K5" s="297"/>
      <c r="L5" s="297"/>
      <c r="M5" s="297"/>
    </row>
    <row r="6" spans="1:13" x14ac:dyDescent="0.25">
      <c r="A6" t="s">
        <v>611</v>
      </c>
      <c r="B6" s="297" t="s">
        <v>774</v>
      </c>
      <c r="C6" s="297" t="s">
        <v>775</v>
      </c>
      <c r="D6" s="297" t="s">
        <v>776</v>
      </c>
      <c r="E6" s="297" t="s">
        <v>777</v>
      </c>
      <c r="F6" s="297" t="s">
        <v>778</v>
      </c>
      <c r="G6" s="297" t="s">
        <v>779</v>
      </c>
      <c r="H6" s="297" t="s">
        <v>780</v>
      </c>
      <c r="I6" s="297" t="s">
        <v>781</v>
      </c>
      <c r="J6" s="297"/>
      <c r="K6" s="297"/>
      <c r="L6" s="297"/>
      <c r="M6" s="297"/>
    </row>
    <row r="7" spans="1:13" x14ac:dyDescent="0.25">
      <c r="A7" t="s">
        <v>730</v>
      </c>
      <c r="B7" s="297" t="s">
        <v>785</v>
      </c>
      <c r="C7" s="297" t="s">
        <v>786</v>
      </c>
      <c r="D7" s="297" t="s">
        <v>787</v>
      </c>
      <c r="E7" s="297" t="s">
        <v>788</v>
      </c>
      <c r="F7" s="297" t="s">
        <v>789</v>
      </c>
      <c r="G7" s="297" t="s">
        <v>790</v>
      </c>
      <c r="H7" s="297" t="s">
        <v>791</v>
      </c>
      <c r="I7" s="297" t="s">
        <v>792</v>
      </c>
      <c r="J7" s="297" t="s">
        <v>793</v>
      </c>
      <c r="K7" s="297" t="s">
        <v>794</v>
      </c>
      <c r="L7" s="297" t="s">
        <v>795</v>
      </c>
      <c r="M7" s="297" t="s">
        <v>796</v>
      </c>
    </row>
    <row r="8" spans="1:13" x14ac:dyDescent="0.25">
      <c r="A8" t="s">
        <v>797</v>
      </c>
      <c r="B8" s="297" t="s">
        <v>785</v>
      </c>
      <c r="C8" s="297" t="s">
        <v>786</v>
      </c>
      <c r="D8" s="297" t="s">
        <v>787</v>
      </c>
      <c r="E8" s="297" t="s">
        <v>788</v>
      </c>
      <c r="F8" s="297" t="s">
        <v>789</v>
      </c>
      <c r="G8" s="297" t="s">
        <v>790</v>
      </c>
      <c r="H8" s="297" t="s">
        <v>791</v>
      </c>
      <c r="I8" s="297" t="s">
        <v>792</v>
      </c>
      <c r="J8" s="297" t="s">
        <v>793</v>
      </c>
      <c r="K8" s="297" t="s">
        <v>794</v>
      </c>
      <c r="L8" s="297" t="s">
        <v>795</v>
      </c>
      <c r="M8" s="297" t="s">
        <v>796</v>
      </c>
    </row>
    <row r="9" spans="1:13" x14ac:dyDescent="0.25">
      <c r="A9" t="s">
        <v>798</v>
      </c>
      <c r="B9" s="297" t="s">
        <v>785</v>
      </c>
      <c r="C9" s="297" t="s">
        <v>786</v>
      </c>
      <c r="D9" s="297" t="s">
        <v>787</v>
      </c>
      <c r="E9" s="297" t="s">
        <v>788</v>
      </c>
      <c r="F9" s="297" t="s">
        <v>789</v>
      </c>
      <c r="G9" s="297" t="s">
        <v>790</v>
      </c>
      <c r="H9" s="297" t="s">
        <v>791</v>
      </c>
      <c r="I9" s="297" t="s">
        <v>792</v>
      </c>
      <c r="J9" s="297" t="s">
        <v>793</v>
      </c>
      <c r="K9" s="297" t="s">
        <v>794</v>
      </c>
      <c r="L9" s="297" t="s">
        <v>795</v>
      </c>
      <c r="M9" s="297" t="s">
        <v>796</v>
      </c>
    </row>
    <row r="10" spans="1:13" x14ac:dyDescent="0.25">
      <c r="A10" t="s">
        <v>731</v>
      </c>
      <c r="B10" s="297" t="s">
        <v>785</v>
      </c>
      <c r="C10" s="297" t="s">
        <v>786</v>
      </c>
      <c r="D10" s="297" t="s">
        <v>787</v>
      </c>
      <c r="E10" s="297" t="s">
        <v>788</v>
      </c>
      <c r="F10" s="297" t="s">
        <v>789</v>
      </c>
      <c r="G10" s="297" t="s">
        <v>790</v>
      </c>
      <c r="H10" s="297" t="s">
        <v>791</v>
      </c>
      <c r="I10" s="297" t="s">
        <v>792</v>
      </c>
      <c r="J10" s="297" t="s">
        <v>793</v>
      </c>
      <c r="K10" s="297" t="s">
        <v>794</v>
      </c>
      <c r="L10" s="297" t="s">
        <v>795</v>
      </c>
      <c r="M10" s="297" t="s">
        <v>796</v>
      </c>
    </row>
    <row r="11" spans="1:13" x14ac:dyDescent="0.25">
      <c r="A11" t="s">
        <v>799</v>
      </c>
      <c r="B11" s="297" t="s">
        <v>610</v>
      </c>
      <c r="C11" s="297"/>
      <c r="D11" s="297"/>
      <c r="E11" s="297"/>
      <c r="F11" s="297"/>
      <c r="G11" s="297"/>
      <c r="H11" s="297" t="s">
        <v>609</v>
      </c>
      <c r="I11" s="297"/>
      <c r="J11" s="297"/>
      <c r="K11" s="297"/>
      <c r="L11" s="297"/>
      <c r="M11" s="297"/>
    </row>
    <row r="12" spans="1:13" x14ac:dyDescent="0.25">
      <c r="A12" t="s">
        <v>800</v>
      </c>
      <c r="B12" s="297">
        <v>370</v>
      </c>
      <c r="C12" s="297">
        <v>270</v>
      </c>
      <c r="D12" s="297">
        <v>240</v>
      </c>
      <c r="E12" s="297">
        <v>220</v>
      </c>
      <c r="F12" s="297">
        <v>195</v>
      </c>
      <c r="G12" s="297">
        <v>170</v>
      </c>
      <c r="H12" s="297">
        <v>148</v>
      </c>
      <c r="I12" s="297">
        <v>140</v>
      </c>
      <c r="J12" s="297">
        <v>135</v>
      </c>
      <c r="K12" s="297"/>
      <c r="L12" s="297"/>
      <c r="M12" s="297"/>
    </row>
    <row r="13" spans="1:13" x14ac:dyDescent="0.25">
      <c r="A13" t="s">
        <v>801</v>
      </c>
      <c r="B13" s="297">
        <v>370</v>
      </c>
      <c r="C13" s="297">
        <v>270</v>
      </c>
      <c r="D13" s="297">
        <v>240</v>
      </c>
      <c r="E13" s="297">
        <v>220</v>
      </c>
      <c r="F13" s="297">
        <v>195</v>
      </c>
      <c r="G13" s="297">
        <v>170</v>
      </c>
      <c r="H13" s="297">
        <v>148</v>
      </c>
      <c r="I13" s="297">
        <v>140</v>
      </c>
      <c r="J13" s="297">
        <v>135</v>
      </c>
      <c r="K13" s="297"/>
      <c r="L13" s="297"/>
      <c r="M13" s="297"/>
    </row>
    <row r="14" spans="1:13" x14ac:dyDescent="0.25">
      <c r="A14" t="s">
        <v>802</v>
      </c>
      <c r="B14" s="297">
        <v>370</v>
      </c>
      <c r="C14" s="297">
        <v>270</v>
      </c>
      <c r="D14" s="297">
        <v>240</v>
      </c>
      <c r="E14" s="297">
        <v>220</v>
      </c>
      <c r="F14" s="297">
        <v>195</v>
      </c>
      <c r="G14" s="297">
        <v>170</v>
      </c>
      <c r="H14" s="297">
        <v>148</v>
      </c>
      <c r="I14" s="297">
        <v>140</v>
      </c>
      <c r="J14" s="297">
        <v>135</v>
      </c>
      <c r="K14" s="297"/>
      <c r="L14" s="297"/>
      <c r="M14" s="297"/>
    </row>
    <row r="15" spans="1:13" x14ac:dyDescent="0.25">
      <c r="A15" t="s">
        <v>732</v>
      </c>
      <c r="B15" s="297">
        <v>370</v>
      </c>
      <c r="C15" s="297">
        <v>270</v>
      </c>
      <c r="D15" s="297">
        <v>240</v>
      </c>
      <c r="E15" s="297">
        <v>220</v>
      </c>
      <c r="F15" s="297">
        <v>195</v>
      </c>
      <c r="G15" s="297">
        <v>170</v>
      </c>
      <c r="H15" s="297">
        <v>148</v>
      </c>
      <c r="I15" s="297">
        <v>140</v>
      </c>
      <c r="J15" s="297">
        <v>135</v>
      </c>
      <c r="K15" s="297"/>
      <c r="L15" s="297"/>
      <c r="M15" s="297"/>
    </row>
    <row r="16" spans="1:13" x14ac:dyDescent="0.25">
      <c r="A16" t="s">
        <v>803</v>
      </c>
      <c r="B16" s="297">
        <v>350</v>
      </c>
      <c r="C16" s="297">
        <v>240</v>
      </c>
      <c r="D16" s="297">
        <v>195</v>
      </c>
      <c r="E16" s="297">
        <v>190</v>
      </c>
      <c r="F16" s="297">
        <v>140</v>
      </c>
      <c r="G16" s="297">
        <v>135</v>
      </c>
      <c r="H16" s="297">
        <v>130</v>
      </c>
      <c r="I16" s="297"/>
      <c r="J16" s="297"/>
      <c r="K16" s="297"/>
      <c r="L16" s="297"/>
      <c r="M16" s="297"/>
    </row>
    <row r="17" spans="1:13" x14ac:dyDescent="0.25">
      <c r="A17" t="s">
        <v>804</v>
      </c>
      <c r="B17" s="297">
        <v>206</v>
      </c>
      <c r="C17" s="297">
        <v>286</v>
      </c>
      <c r="D17" s="297">
        <v>148</v>
      </c>
      <c r="E17" s="297"/>
      <c r="F17" s="297"/>
      <c r="G17" s="297"/>
      <c r="H17" s="297"/>
      <c r="I17" s="297"/>
      <c r="J17" s="297"/>
      <c r="K17" s="297"/>
      <c r="L17" s="297"/>
      <c r="M17" s="297"/>
    </row>
    <row r="18" spans="1:13" x14ac:dyDescent="0.25">
      <c r="A18" t="s">
        <v>805</v>
      </c>
      <c r="B18" s="297">
        <v>324</v>
      </c>
      <c r="C18" s="297">
        <v>245</v>
      </c>
      <c r="D18" s="297">
        <v>178</v>
      </c>
      <c r="E18" s="297">
        <v>168</v>
      </c>
      <c r="F18" s="297">
        <v>114</v>
      </c>
      <c r="G18" s="297"/>
      <c r="H18" s="297"/>
      <c r="I18" s="297"/>
      <c r="J18" s="297"/>
      <c r="K18" s="297"/>
      <c r="L18" s="297"/>
      <c r="M18" s="297"/>
    </row>
    <row r="19" spans="1:13" x14ac:dyDescent="0.25">
      <c r="A19" t="s">
        <v>806</v>
      </c>
      <c r="B19" s="297">
        <v>324</v>
      </c>
      <c r="C19" s="297">
        <v>245</v>
      </c>
      <c r="D19" s="297">
        <v>178</v>
      </c>
      <c r="E19" s="297">
        <v>168</v>
      </c>
      <c r="F19" s="297">
        <v>114</v>
      </c>
      <c r="G19" s="297"/>
      <c r="H19" s="297"/>
      <c r="I19" s="297"/>
      <c r="J19" s="297"/>
      <c r="K19" s="297"/>
      <c r="L19" s="297"/>
      <c r="M19" s="297"/>
    </row>
    <row r="20" spans="1:13" x14ac:dyDescent="0.25">
      <c r="A20" t="s">
        <v>807</v>
      </c>
      <c r="B20" s="297">
        <v>324</v>
      </c>
      <c r="C20" s="297">
        <v>245</v>
      </c>
      <c r="D20" s="297">
        <v>178</v>
      </c>
      <c r="E20" s="297"/>
      <c r="F20" s="297"/>
      <c r="G20" s="297"/>
      <c r="H20" s="297"/>
      <c r="I20" s="297"/>
      <c r="J20" s="297"/>
      <c r="K20" s="297"/>
      <c r="L20" s="297"/>
      <c r="M20" s="297"/>
    </row>
    <row r="21" spans="1:13" x14ac:dyDescent="0.25">
      <c r="A21" t="s">
        <v>808</v>
      </c>
      <c r="B21" s="297">
        <v>375</v>
      </c>
      <c r="C21" s="297">
        <v>270</v>
      </c>
      <c r="D21" s="297">
        <v>210</v>
      </c>
      <c r="E21" s="297">
        <v>145</v>
      </c>
      <c r="F21" s="297"/>
      <c r="G21" s="297"/>
      <c r="H21" s="297"/>
      <c r="I21" s="297"/>
      <c r="J21" s="297"/>
      <c r="K21" s="297"/>
      <c r="L21" s="297"/>
      <c r="M21" s="297"/>
    </row>
    <row r="22" spans="1:13" x14ac:dyDescent="0.25">
      <c r="A22" t="s">
        <v>612</v>
      </c>
      <c r="B22" s="297" t="s">
        <v>809</v>
      </c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</row>
    <row r="23" spans="1:13" x14ac:dyDescent="0.25">
      <c r="A23" t="s">
        <v>29</v>
      </c>
      <c r="B23" s="297" t="s">
        <v>809</v>
      </c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</row>
    <row r="24" spans="1:13" x14ac:dyDescent="0.25">
      <c r="A24" t="s">
        <v>30</v>
      </c>
      <c r="B24" s="297">
        <v>206</v>
      </c>
      <c r="C24" s="297" t="s">
        <v>810</v>
      </c>
      <c r="D24" s="297" t="s">
        <v>811</v>
      </c>
      <c r="E24" s="297" t="s">
        <v>812</v>
      </c>
      <c r="F24" s="297"/>
      <c r="G24" s="297"/>
      <c r="H24" s="297"/>
      <c r="I24" s="297"/>
      <c r="J24" s="297"/>
      <c r="K24" s="297"/>
      <c r="L24" s="297"/>
      <c r="M24" s="297"/>
    </row>
    <row r="25" spans="1:13" x14ac:dyDescent="0.25">
      <c r="A25" t="s">
        <v>608</v>
      </c>
      <c r="B25" s="297" t="s">
        <v>809</v>
      </c>
    </row>
    <row r="26" spans="1:13" x14ac:dyDescent="0.25">
      <c r="A26" t="s">
        <v>613</v>
      </c>
      <c r="B26" s="297" t="s">
        <v>809</v>
      </c>
    </row>
    <row r="28" spans="1:13" x14ac:dyDescent="0.25">
      <c r="A28" t="s">
        <v>3</v>
      </c>
    </row>
    <row r="29" spans="1:13" x14ac:dyDescent="0.25">
      <c r="A29" t="s">
        <v>735</v>
      </c>
    </row>
    <row r="30" spans="1:13" x14ac:dyDescent="0.25">
      <c r="A30" t="s">
        <v>736</v>
      </c>
    </row>
    <row r="31" spans="1:13" x14ac:dyDescent="0.25">
      <c r="A31" t="s">
        <v>737</v>
      </c>
    </row>
    <row r="32" spans="1:13" x14ac:dyDescent="0.25">
      <c r="A32" t="s">
        <v>738</v>
      </c>
    </row>
    <row r="33" spans="1:1" x14ac:dyDescent="0.25">
      <c r="A33" t="s">
        <v>739</v>
      </c>
    </row>
    <row r="34" spans="1:1" x14ac:dyDescent="0.25">
      <c r="A34" t="s">
        <v>740</v>
      </c>
    </row>
    <row r="35" spans="1:1" x14ac:dyDescent="0.25">
      <c r="A35" t="s">
        <v>741</v>
      </c>
    </row>
    <row r="36" spans="1:1" x14ac:dyDescent="0.25">
      <c r="A36" t="s">
        <v>742</v>
      </c>
    </row>
    <row r="37" spans="1:1" x14ac:dyDescent="0.25">
      <c r="A37" t="s">
        <v>743</v>
      </c>
    </row>
    <row r="38" spans="1:1" x14ac:dyDescent="0.25">
      <c r="A38" t="s">
        <v>744</v>
      </c>
    </row>
    <row r="39" spans="1:1" x14ac:dyDescent="0.25">
      <c r="A39" t="s">
        <v>745</v>
      </c>
    </row>
    <row r="40" spans="1:1" x14ac:dyDescent="0.25">
      <c r="A40" t="s">
        <v>813</v>
      </c>
    </row>
    <row r="41" spans="1:1" x14ac:dyDescent="0.25">
      <c r="A41" t="s">
        <v>746</v>
      </c>
    </row>
    <row r="42" spans="1:1" x14ac:dyDescent="0.25">
      <c r="A42" t="s">
        <v>747</v>
      </c>
    </row>
    <row r="43" spans="1:1" x14ac:dyDescent="0.25">
      <c r="A43" t="s">
        <v>748</v>
      </c>
    </row>
    <row r="44" spans="1:1" x14ac:dyDescent="0.25">
      <c r="A44" t="s">
        <v>749</v>
      </c>
    </row>
    <row r="45" spans="1:1" x14ac:dyDescent="0.25">
      <c r="A45" t="s">
        <v>750</v>
      </c>
    </row>
    <row r="46" spans="1:1" x14ac:dyDescent="0.25">
      <c r="A46" t="s">
        <v>751</v>
      </c>
    </row>
    <row r="47" spans="1:1" x14ac:dyDescent="0.25">
      <c r="A47" t="s">
        <v>752</v>
      </c>
    </row>
    <row r="48" spans="1:1" x14ac:dyDescent="0.25">
      <c r="A48" t="s">
        <v>753</v>
      </c>
    </row>
    <row r="49" spans="1:1" x14ac:dyDescent="0.25">
      <c r="A49" t="s">
        <v>754</v>
      </c>
    </row>
    <row r="50" spans="1:1" x14ac:dyDescent="0.25">
      <c r="A50" t="s">
        <v>755</v>
      </c>
    </row>
    <row r="51" spans="1:1" x14ac:dyDescent="0.25">
      <c r="A51" t="s">
        <v>756</v>
      </c>
    </row>
    <row r="52" spans="1:1" x14ac:dyDescent="0.25">
      <c r="A52" t="s">
        <v>757</v>
      </c>
    </row>
    <row r="53" spans="1:1" x14ac:dyDescent="0.25">
      <c r="A53" t="s">
        <v>758</v>
      </c>
    </row>
    <row r="54" spans="1:1" x14ac:dyDescent="0.25">
      <c r="A54" t="s">
        <v>759</v>
      </c>
    </row>
    <row r="55" spans="1:1" x14ac:dyDescent="0.25">
      <c r="A55" t="s">
        <v>708</v>
      </c>
    </row>
    <row r="56" spans="1:1" x14ac:dyDescent="0.25">
      <c r="A56" t="s">
        <v>760</v>
      </c>
    </row>
    <row r="57" spans="1:1" x14ac:dyDescent="0.25">
      <c r="A57" t="s">
        <v>761</v>
      </c>
    </row>
    <row r="58" spans="1:1" x14ac:dyDescent="0.25">
      <c r="A58" t="s">
        <v>762</v>
      </c>
    </row>
    <row r="59" spans="1:1" x14ac:dyDescent="0.25">
      <c r="A59" t="s">
        <v>763</v>
      </c>
    </row>
    <row r="60" spans="1:1" x14ac:dyDescent="0.25">
      <c r="A60" t="s">
        <v>764</v>
      </c>
    </row>
    <row r="61" spans="1:1" x14ac:dyDescent="0.25">
      <c r="A61" t="s">
        <v>765</v>
      </c>
    </row>
    <row r="62" spans="1:1" x14ac:dyDescent="0.25">
      <c r="A62" t="s">
        <v>766</v>
      </c>
    </row>
    <row r="63" spans="1:1" x14ac:dyDescent="0.25">
      <c r="A63" t="s">
        <v>767</v>
      </c>
    </row>
    <row r="64" spans="1:1" x14ac:dyDescent="0.25">
      <c r="A64" t="s">
        <v>768</v>
      </c>
    </row>
    <row r="65" spans="1:1" x14ac:dyDescent="0.25">
      <c r="A65" t="s">
        <v>769</v>
      </c>
    </row>
    <row r="66" spans="1:1" x14ac:dyDescent="0.25">
      <c r="A66" t="s">
        <v>770</v>
      </c>
    </row>
    <row r="67" spans="1:1" x14ac:dyDescent="0.25">
      <c r="A67" t="s">
        <v>771</v>
      </c>
    </row>
    <row r="68" spans="1:1" x14ac:dyDescent="0.25">
      <c r="A68" t="s">
        <v>772</v>
      </c>
    </row>
    <row r="70" spans="1:1" x14ac:dyDescent="0.25">
      <c r="A70" t="s">
        <v>3</v>
      </c>
    </row>
    <row r="71" spans="1:1" x14ac:dyDescent="0.25">
      <c r="A71" t="s">
        <v>814</v>
      </c>
    </row>
    <row r="72" spans="1:1" x14ac:dyDescent="0.25">
      <c r="A72" t="s">
        <v>815</v>
      </c>
    </row>
    <row r="73" spans="1:1" x14ac:dyDescent="0.25">
      <c r="A73" t="s">
        <v>816</v>
      </c>
    </row>
    <row r="74" spans="1:1" x14ac:dyDescent="0.25">
      <c r="A74" t="s">
        <v>817</v>
      </c>
    </row>
    <row r="75" spans="1:1" x14ac:dyDescent="0.25">
      <c r="A75" t="s">
        <v>818</v>
      </c>
    </row>
    <row r="76" spans="1:1" x14ac:dyDescent="0.25">
      <c r="A76" t="s">
        <v>819</v>
      </c>
    </row>
    <row r="77" spans="1:1" x14ac:dyDescent="0.25">
      <c r="A77" t="s">
        <v>820</v>
      </c>
    </row>
    <row r="78" spans="1:1" x14ac:dyDescent="0.25">
      <c r="A78" t="s">
        <v>821</v>
      </c>
    </row>
    <row r="80" spans="1:1" x14ac:dyDescent="0.25">
      <c r="A80" t="s">
        <v>822</v>
      </c>
    </row>
    <row r="81" spans="1:1" x14ac:dyDescent="0.25">
      <c r="A81" t="s">
        <v>823</v>
      </c>
    </row>
    <row r="83" spans="1:1" x14ac:dyDescent="0.25">
      <c r="A83" t="s">
        <v>824</v>
      </c>
    </row>
    <row r="84" spans="1:1" x14ac:dyDescent="0.25">
      <c r="A84" t="s">
        <v>825</v>
      </c>
    </row>
    <row r="85" spans="1:1" x14ac:dyDescent="0.25">
      <c r="A85" t="s">
        <v>826</v>
      </c>
    </row>
    <row r="86" spans="1:1" x14ac:dyDescent="0.25">
      <c r="A86" t="s">
        <v>827</v>
      </c>
    </row>
    <row r="88" spans="1:1" x14ac:dyDescent="0.25">
      <c r="A88" t="s">
        <v>828</v>
      </c>
    </row>
  </sheetData>
  <protectedRanges>
    <protectedRange sqref="A29:A30 A32:A41" name="Диапазон11"/>
    <protectedRange sqref="A42" name="Диапазон11_1"/>
  </protectedRanges>
  <conditionalFormatting sqref="A29:A30 A32:A38 A40:A41">
    <cfRule type="expression" dxfId="2" priority="3" stopIfTrue="1">
      <formula>LEFT(A29,1)="&lt;"</formula>
    </cfRule>
  </conditionalFormatting>
  <conditionalFormatting sqref="A31">
    <cfRule type="expression" dxfId="1" priority="2" stopIfTrue="1">
      <formula>LEFT(A31,1)="&lt;"</formula>
    </cfRule>
  </conditionalFormatting>
  <conditionalFormatting sqref="A42">
    <cfRule type="expression" dxfId="0" priority="1" stopIfTrue="1">
      <formula>LEFT(A42,1)="&lt;"</formula>
    </cfRule>
  </conditionalFormatting>
  <dataValidations count="1">
    <dataValidation type="list" allowBlank="1" showInputMessage="1" showErrorMessage="1" sqref="J2">
      <formula1>Метчик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E3"/>
  <sheetViews>
    <sheetView view="pageBreakPreview" zoomScale="115" zoomScaleNormal="100" zoomScaleSheetLayoutView="115" workbookViewId="0">
      <selection activeCell="C6" sqref="C6"/>
    </sheetView>
  </sheetViews>
  <sheetFormatPr defaultRowHeight="15" x14ac:dyDescent="0.25"/>
  <cols>
    <col min="1" max="1" width="1.5703125" style="93" customWidth="1"/>
    <col min="2" max="2" width="15.28515625" customWidth="1"/>
    <col min="3" max="3" width="10.7109375" customWidth="1"/>
    <col min="4" max="4" width="49.140625" customWidth="1"/>
    <col min="5" max="5" width="55.5703125" customWidth="1"/>
  </cols>
  <sheetData>
    <row r="1" spans="2:5" s="93" customFormat="1" ht="11.25" customHeight="1" thickBot="1" x14ac:dyDescent="0.3"/>
    <row r="2" spans="2:5" ht="56.25" customHeight="1" thickBot="1" x14ac:dyDescent="0.3">
      <c r="B2" s="109" t="s">
        <v>248</v>
      </c>
      <c r="C2" s="109" t="s">
        <v>249</v>
      </c>
      <c r="D2" s="109" t="s">
        <v>250</v>
      </c>
      <c r="E2" s="109" t="s">
        <v>253</v>
      </c>
    </row>
    <row r="3" spans="2:5" ht="159.75" customHeight="1" thickBot="1" x14ac:dyDescent="0.3">
      <c r="B3" s="110">
        <v>43539</v>
      </c>
      <c r="C3" s="94" t="s">
        <v>251</v>
      </c>
      <c r="D3" s="94" t="s">
        <v>252</v>
      </c>
      <c r="E3" s="94" t="s">
        <v>460</v>
      </c>
    </row>
  </sheetData>
  <pageMargins left="0.7" right="0.7" top="0.75" bottom="0.75" header="0.3" footer="0.3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H6:J8"/>
  <sheetViews>
    <sheetView workbookViewId="0">
      <selection activeCell="H29" sqref="H29"/>
    </sheetView>
  </sheetViews>
  <sheetFormatPr defaultRowHeight="15" x14ac:dyDescent="0.25"/>
  <sheetData>
    <row r="6" spans="8:10" x14ac:dyDescent="0.25">
      <c r="H6">
        <v>1</v>
      </c>
      <c r="J6">
        <v>3</v>
      </c>
    </row>
    <row r="7" spans="8:10" x14ac:dyDescent="0.25">
      <c r="H7">
        <v>2</v>
      </c>
    </row>
    <row r="8" spans="8:10" x14ac:dyDescent="0.25">
      <c r="H8">
        <v>3</v>
      </c>
    </row>
  </sheetData>
  <dataValidations count="1">
    <dataValidation type="list" allowBlank="1" showInputMessage="1" showErrorMessage="1" sqref="J6">
      <formula1>$H$6:$H$8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BCF9D8-60CB-47B2-A445-58F8204C5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10</vt:i4>
      </vt:variant>
    </vt:vector>
  </HeadingPairs>
  <TitlesOfParts>
    <vt:vector size="19" baseType="lpstr">
      <vt:lpstr>Введение. Инструкция</vt:lpstr>
      <vt:lpstr>01_ТО - КТЧ_Сводная Анкета</vt:lpstr>
      <vt:lpstr>02_Техническое Задание</vt:lpstr>
      <vt:lpstr>02.1_Отклонения и Риски</vt:lpstr>
      <vt:lpstr>02.2_Обьемы работ и Сроки</vt:lpstr>
      <vt:lpstr>02.3_Распределение обязанностей</vt:lpstr>
      <vt:lpstr>База данных</vt:lpstr>
      <vt:lpstr>История Изменения </vt:lpstr>
      <vt:lpstr>Лист2</vt:lpstr>
      <vt:lpstr>Метчик</vt:lpstr>
      <vt:lpstr>МетчикМБУ</vt:lpstr>
      <vt:lpstr>мсз</vt:lpstr>
      <vt:lpstr>'01_ТО - КТЧ_Сводная Анкета'!Область_печати</vt:lpstr>
      <vt:lpstr>'02.1_Отклонения и Риски'!Область_печати</vt:lpstr>
      <vt:lpstr>'02.2_Обьемы работ и Сроки'!Область_печати</vt:lpstr>
      <vt:lpstr>'02_Техническое Задание'!Область_печати</vt:lpstr>
      <vt:lpstr>'Введение. Инструкция'!Область_печати</vt:lpstr>
      <vt:lpstr>поблаилцващцзащуз</vt:lpstr>
      <vt:lpstr>резьба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2019-12-27T07:16:39Z</dcterms:modified>
</cp:coreProperties>
</file>