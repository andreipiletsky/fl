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 codeName="ЭтаКнига"/>
  <xr:revisionPtr revIDLastSave="0" documentId="13_ncr:1_{71977BAE-602B-42B7-84D4-C4E490A09554}" xr6:coauthVersionLast="43" xr6:coauthVersionMax="43" xr10:uidLastSave="{00000000-0000-0000-0000-000000000000}"/>
  <bookViews>
    <workbookView xWindow="-120" yWindow="-120" windowWidth="28110" windowHeight="16440" xr2:uid="{00000000-000D-0000-FFFF-FFFF00000000}"/>
  </bookViews>
  <sheets>
    <sheet name="ЗБС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A100000">[1]История!$A$38:$IV$38</definedName>
    <definedName name="____A66000">[1]История!$A$55001</definedName>
    <definedName name="____A68000">[1]История!$A$65000</definedName>
    <definedName name="____A77000">[1]История!$A$55000</definedName>
    <definedName name="____fon1">#REF!</definedName>
    <definedName name="____fon2">#REF!</definedName>
    <definedName name="____fon3">#REF!</definedName>
    <definedName name="____fon4">#REF!</definedName>
    <definedName name="____fon5">#REF!</definedName>
    <definedName name="____fon6">#REF!</definedName>
    <definedName name="____SQL1">#REF!</definedName>
    <definedName name="____usd1">#REF!</definedName>
    <definedName name="___A100000">[1]История!$A$38:$IV$38</definedName>
    <definedName name="___A66000">[1]История!$A$55001</definedName>
    <definedName name="___A68000">[1]История!$A$65000</definedName>
    <definedName name="___A77000">[1]История!$A$55000</definedName>
    <definedName name="___fon1">#REF!</definedName>
    <definedName name="___fon2">#REF!</definedName>
    <definedName name="___fon3">#REF!</definedName>
    <definedName name="___fon4">#REF!</definedName>
    <definedName name="___fon5">#REF!</definedName>
    <definedName name="___fon6">#REF!</definedName>
    <definedName name="___SQL1">#REF!</definedName>
    <definedName name="___usd1">#REF!</definedName>
    <definedName name="__A100000">[1]История!$A$38:$IV$38</definedName>
    <definedName name="__A66000">[1]История!$A$55001</definedName>
    <definedName name="__A68000">[1]История!$A$65000</definedName>
    <definedName name="__A77000">[1]История!$A$55000</definedName>
    <definedName name="__fon1">#REF!</definedName>
    <definedName name="__fon2">#REF!</definedName>
    <definedName name="__fon3">#REF!</definedName>
    <definedName name="__fon4">#REF!</definedName>
    <definedName name="__fon5">#REF!</definedName>
    <definedName name="__fon6">#REF!</definedName>
    <definedName name="__SQL1">#REF!</definedName>
    <definedName name="__usd1">#REF!</definedName>
    <definedName name="_A100000">[1]История!$A$38:$IV$38</definedName>
    <definedName name="_A66000">[1]История!$A$55001</definedName>
    <definedName name="_A68000">[1]История!$A$65000</definedName>
    <definedName name="_A77000">[1]История!$A$55000</definedName>
    <definedName name="_fon1">#REF!</definedName>
    <definedName name="_fon2">#REF!</definedName>
    <definedName name="_fon3">#REF!</definedName>
    <definedName name="_fon4">#REF!</definedName>
    <definedName name="_fon5">#REF!</definedName>
    <definedName name="_fon6">#REF!</definedName>
    <definedName name="_Order1" hidden="1">255</definedName>
    <definedName name="_SQL1">#REF!</definedName>
    <definedName name="_usd1">#REF!</definedName>
    <definedName name="_xlnm._FilterDatabase" hidden="1">#REF!</definedName>
    <definedName name="a" localSheetId="0" hidden="1">{"IASTrail",#N/A,FALSE,"IAS"}</definedName>
    <definedName name="a" hidden="1">{"IASTrail",#N/A,FALSE,"IAS"}</definedName>
    <definedName name="aaa" localSheetId="0" hidden="1">{"AnalRSA",#N/A,TRUE,"PL-Anal";"AnalIAS",#N/A,TRUE,"PL-Anal"}</definedName>
    <definedName name="aaa" hidden="1">{"AnalRSA",#N/A,TRUE,"PL-Anal";"AnalIAS",#N/A,TRUE,"PL-Anal"}</definedName>
    <definedName name="Access_Button" hidden="1">"КРС_98_план_NN_Таблица"</definedName>
    <definedName name="AccessDatabase" hidden="1">"C:\Мои документы\Сергунина\KPC\КРС 98 план.mdb"</definedName>
    <definedName name="Alphabet">"ABCDEFGHIJKLMNOPQRSTUVWXYZ"</definedName>
    <definedName name="Area">#REF!</definedName>
    <definedName name="asd">#REF!</definedName>
    <definedName name="asw">[2]Лист1!$AE$1:$AE$70</definedName>
    <definedName name="ATNAME1">"GRB"</definedName>
    <definedName name="ATNAME2">"OT"</definedName>
    <definedName name="ATNAME3">"Wamsutter"</definedName>
    <definedName name="B">#REF!</definedName>
    <definedName name="Bg">#REF!</definedName>
    <definedName name="Bo">#REF!</definedName>
    <definedName name="BUName">#REF!</definedName>
    <definedName name="capex">#REF!</definedName>
    <definedName name="capex_febgfo_act">#REF!</definedName>
    <definedName name="capex_plan_04oct">#REF!</definedName>
    <definedName name="casing_area">#REF!</definedName>
    <definedName name="Casing_ID">#REF!</definedName>
    <definedName name="Casing_OD">#REF!</definedName>
    <definedName name="CAT">#REF!</definedName>
    <definedName name="cc">#REF!</definedName>
    <definedName name="ccc">#REF!</definedName>
    <definedName name="ColCount">4</definedName>
    <definedName name="CompName">"WGEO31201_FULL"</definedName>
    <definedName name="Convert1">#REF!</definedName>
    <definedName name="Crit_range">#REF!</definedName>
    <definedName name="Current_Import_Duty">'[3]Input Assumptions'!$C$42</definedName>
    <definedName name="cvb">#REF!</definedName>
    <definedName name="DateLong">"31 декабря 2002 "</definedName>
    <definedName name="DateMonthYear">"Ноябрь 2002"</definedName>
    <definedName name="DateY">2002</definedName>
    <definedName name="DateYFirstM">200201</definedName>
    <definedName name="DateYM">200211</definedName>
    <definedName name="depth">#REF!</definedName>
    <definedName name="Description">#REF!</definedName>
    <definedName name="deviation1">'[4]Линейная чувствительность'!$B$5</definedName>
    <definedName name="DiscontRate">#REF!</definedName>
    <definedName name="dpdt">#REF!</definedName>
    <definedName name="dtb">#REF!</definedName>
    <definedName name="EFFECT_MER_Таблица">#REF!</definedName>
    <definedName name="Enterprise">"СНГДУ2_предприятие"</definedName>
    <definedName name="ert">#REF!</definedName>
    <definedName name="ff" localSheetId="0" hidden="1">{"AnalRSA",#N/A,TRUE,"PL-Anal";"AnalIAS",#N/A,TRUE,"PL-Anal"}</definedName>
    <definedName name="ff" hidden="1">{"AnalRSA",#N/A,TRUE,"PL-Anal";"AnalIAS",#N/A,TRUE,"PL-Anal"}</definedName>
    <definedName name="FieldCode">#REF!</definedName>
    <definedName name="FieldName">#REF!</definedName>
    <definedName name="Fin_DBSwitch">#REF!</definedName>
    <definedName name="FirstCol">1</definedName>
    <definedName name="FirstRow">10</definedName>
    <definedName name="FL">#REF!</definedName>
    <definedName name="Fluid_rate">#REF!</definedName>
    <definedName name="fond1">#REF!</definedName>
    <definedName name="fond2">#REF!</definedName>
    <definedName name="fond3">#REF!</definedName>
    <definedName name="fond4">#REF!</definedName>
    <definedName name="fond5">#REF!</definedName>
    <definedName name="fond6">#REF!</definedName>
    <definedName name="FX">[1]Input!$D$21:$BB$21</definedName>
    <definedName name="FX_Rate">#REF!</definedName>
    <definedName name="Gas_Mkr">#REF!</definedName>
    <definedName name="gg">#REF!</definedName>
    <definedName name="ghggfdf" localSheetId="0" hidden="1">{"IASTrail",#N/A,FALSE,"IAS"}</definedName>
    <definedName name="ghggfdf" hidden="1">{"IASTrail",#N/A,FALSE,"IAS"}</definedName>
    <definedName name="GOR">#REF!</definedName>
    <definedName name="î21">#REF!</definedName>
    <definedName name="input_by">#REF!</definedName>
    <definedName name="Input_Vector">#REF!</definedName>
    <definedName name="Interest">#REF!</definedName>
    <definedName name="iop">#REF!</definedName>
    <definedName name="j" localSheetId="0" hidden="1">{"IASTrail",#N/A,FALSE,"IAS"}</definedName>
    <definedName name="j" hidden="1">{"IASTrail",#N/A,FALSE,"IAS"}</definedName>
    <definedName name="Language">#REF!</definedName>
    <definedName name="liquid_level">#REF!</definedName>
    <definedName name="lkj">'[5]DIF-6'!$BJ$8:$BJ$16</definedName>
    <definedName name="MAINSQL">#REF!</definedName>
    <definedName name="mm">'[6]фонд '!$D$2:$D$68</definedName>
    <definedName name="mnb">[2]Лист1!$AE$1:$AE$42</definedName>
    <definedName name="mnmnm">#REF!</definedName>
    <definedName name="N">#REF!</definedName>
    <definedName name="NPV">#REF!</definedName>
    <definedName name="NumDateFirstDayMonth">20021101</definedName>
    <definedName name="NumDateFirstMonth">20020101</definedName>
    <definedName name="NumericDate">20021101</definedName>
    <definedName name="OBJECTDESC">"Объект обработки:"</definedName>
    <definedName name="OBJECTROW">4</definedName>
    <definedName name="og">#REF!</definedName>
    <definedName name="Oil_Density">#REF!</definedName>
    <definedName name="Oil_Mkr">#REF!</definedName>
    <definedName name="ooo">#REF!</definedName>
    <definedName name="osg">#REF!</definedName>
    <definedName name="Output_Vector">#REF!</definedName>
    <definedName name="P">#REF!</definedName>
    <definedName name="Pcasing">#REF!</definedName>
    <definedName name="Percent_Imported_Capital">'[3]Input Assumptions'!$C$68</definedName>
    <definedName name="Perf_depth">#REF!</definedName>
    <definedName name="Pgc">#REF!</definedName>
    <definedName name="plan_04oct_growthrate">#REF!</definedName>
    <definedName name="plan_04oct_spend">#REF!</definedName>
    <definedName name="ppp">#REF!</definedName>
    <definedName name="Ppr">#REF!</definedName>
    <definedName name="Prd_CopyAll">#REF!</definedName>
    <definedName name="printing">[7]Resources!$G$1</definedName>
    <definedName name="Project">[8]обзор!$A$1</definedName>
    <definedName name="Psep">#REF!</definedName>
    <definedName name="Psurf">#REF!</definedName>
    <definedName name="pub_ASRead">[9]Control!$I$13:$I$13</definedName>
    <definedName name="pub_ASReadFlag">[9]Control!$I$42:$I$42</definedName>
    <definedName name="pub_ASReadHFCell">[9]Control!$I$39:$I$39</definedName>
    <definedName name="pub_ASReadPUCell">[9]Control!$I$41:$I$41</definedName>
    <definedName name="pub_ASReadValueFormulaCell">[9]Control!$I$40:$I$40</definedName>
    <definedName name="pub_ASReadVFCell">[9]Control!$I$38:$I$38</definedName>
    <definedName name="pub_ASSend">[9]Control!$I$14:$I$14</definedName>
    <definedName name="pub_ASSendFlag">[9]Control!$I$49:$I$49</definedName>
    <definedName name="pub_ASSendHFCell">[9]Control!$I$46:$I$46</definedName>
    <definedName name="pub_ASSendPUCell">[9]Control!$I$48:$I$48</definedName>
    <definedName name="pub_ASSendValueFormulaCell">[9]Control!$I$47:$I$47</definedName>
    <definedName name="pub_ASSendVFCell">[9]Control!$I$45:$I$45</definedName>
    <definedName name="pub_BUPUList">[9]Control!$B$13</definedName>
    <definedName name="pub_ConnCube">[9]Control!$I$55:$I$55</definedName>
    <definedName name="pub_ConnDatabase">[9]Control!$I$54:$I$54</definedName>
    <definedName name="pub_ConnLocalCube">[9]Control!$I$58:$I$58</definedName>
    <definedName name="pub_ConnNumberString">[9]Control!$I$52:$I$52</definedName>
    <definedName name="pub_ConnPromptLogin">[9]Control!$I$56:$I$56</definedName>
    <definedName name="pub_ConnProvider">[9]Control!$I$57:$I$57</definedName>
    <definedName name="pub_ConnServer">[9]Control!$I$53:$I$53</definedName>
    <definedName name="pub_Control">[9]Control!$I$9</definedName>
    <definedName name="pub_CPSVRange">[9]Control!$I$28</definedName>
    <definedName name="pub_CPSVReportFormulaColour">[9]Control!$I$29</definedName>
    <definedName name="pub_GFO">[9]Control!$C$7</definedName>
    <definedName name="pub_MasterBUCell">[9]Control!$I$20:$I$20</definedName>
    <definedName name="pub_MasterDetached">[9]Control!$I$32</definedName>
    <definedName name="pub_MasterModeCell">[9]Control!$I$31:$I$31</definedName>
    <definedName name="pub_MasterPages">[9]Control!$I$12:$K$12</definedName>
    <definedName name="pub_MasterPUCell">[9]Control!$I$21:$I$21</definedName>
    <definedName name="pub_MasterPUCell_Key">[9]Control!$I$22:$I$22</definedName>
    <definedName name="pub_Name">[9]Control!$I$4</definedName>
    <definedName name="pub_Portal">[9]Control!$I$15:$I$15</definedName>
    <definedName name="pub_PortalFormulaCell">[9]Control!$I$35:$I$35</definedName>
    <definedName name="pub_PUList">[9]Control!$C$14:$C$15</definedName>
    <definedName name="pub_ReportFormulaCell">[9]Control!$I$24:$I$24</definedName>
    <definedName name="pub_ReportFormulaColour">[9]Control!$I$27:$I$27</definedName>
    <definedName name="pub_ReportRange">[9]Control!$I$23:$I$23</definedName>
    <definedName name="pub_ReportRetrieveColour">[9]Control!$I$25:$I$25</definedName>
    <definedName name="pub_ReportWriteColour">[9]Control!$I$26:$I$26</definedName>
    <definedName name="pub_SavePath">[9]Control!$I$5</definedName>
    <definedName name="pub_SubPUEndSheet">[9]Control!$I$17:$I$17</definedName>
    <definedName name="pub_SubPUStartSheet">[9]Control!$I$16:$I$16</definedName>
    <definedName name="pub_System">[9]Control!$I$10</definedName>
    <definedName name="pub_WriteableRow">[9]Control!$I$30:$I$30</definedName>
    <definedName name="pub_Year">[9]Control!$C$8</definedName>
    <definedName name="Pump_depth">#REF!</definedName>
    <definedName name="PUName">#REF!</definedName>
    <definedName name="qas">#REF!</definedName>
    <definedName name="qg">#REF!</definedName>
    <definedName name="qqq">[10]Лист1!$A$1:$A$45</definedName>
    <definedName name="qscf_cor">#REF!</definedName>
    <definedName name="qwe">#REF!</definedName>
    <definedName name="Rate">[1]Input!$D$21:$BB$21</definedName>
    <definedName name="REPORTSHEETNAME">1</definedName>
    <definedName name="ResTime">#REF!</definedName>
    <definedName name="rew">#REF!</definedName>
    <definedName name="rng_data">#REF!</definedName>
    <definedName name="rrr">#REF!</definedName>
    <definedName name="Rs">#REF!</definedName>
    <definedName name="Scenario">#REF!</definedName>
    <definedName name="sdf">[11]Ветошкину!$BR$1:$BR$35</definedName>
    <definedName name="sgw">#REF!</definedName>
    <definedName name="sort">#REF!</definedName>
    <definedName name="ss">'[6]фонд '!$E$2:$E$78</definedName>
    <definedName name="Submission">#REF!</definedName>
    <definedName name="Summary">#REF!</definedName>
    <definedName name="sys_BuildMenu">[9]System!$B$3</definedName>
    <definedName name="sys_CUWType">[9]System!$B$4</definedName>
    <definedName name="sys_Mode">[9]System!$B$10</definedName>
    <definedName name="sys_ReadOnly">[9]System!$B$12</definedName>
    <definedName name="sys_SQLDatabase">[9]System!$B$19</definedName>
    <definedName name="sys_SQLServerName">[9]System!$B$18</definedName>
    <definedName name="sys_SubWB">[9]System!$B$14</definedName>
    <definedName name="sys_VersionNumber">[9]System!$B$22</definedName>
    <definedName name="T">#REF!</definedName>
    <definedName name="T_ave">#REF!</definedName>
    <definedName name="t_data">#REF!</definedName>
    <definedName name="T_F">#REF!</definedName>
    <definedName name="Tbh">#REF!</definedName>
    <definedName name="Tdepth">#REF!</definedName>
    <definedName name="tgrad">#REF!</definedName>
    <definedName name="Total_Capex">'[3]Input Assumptions'!$D$74:$BU$74</definedName>
    <definedName name="TotalFormat">#REF!</definedName>
    <definedName name="Tpr">#REF!</definedName>
    <definedName name="Ts">#REF!</definedName>
    <definedName name="Tubing_ID">#REF!</definedName>
    <definedName name="usd">#REF!</definedName>
    <definedName name="WC">#REF!</definedName>
    <definedName name="wert">#REF!</definedName>
    <definedName name="wg">#REF!</definedName>
    <definedName name="wrn.Coded._.IAS._.FS." localSheetId="0" hidden="1">{"IASTrail",#N/A,FALSE,"IAS"}</definedName>
    <definedName name="wrn.Coded._.IAS._.FS." hidden="1">{"IASTrail",#N/A,FALSE,"IAS"}</definedName>
    <definedName name="wrn.Fixed._.Assets._.Note._.and._.Depreciation." localSheetId="0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ull._.IAS._.STATEMENTS.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localSheetId="0" hidden="1">{#N/A,#N/A,TRUE,"MAP";#N/A,#N/A,TRUE,"STEPS";#N/A,#N/A,TRUE,"RULES"}</definedName>
    <definedName name="wrn.Help." hidden="1">{#N/A,#N/A,TRUE,"MAP";#N/A,#N/A,TRUE,"STEPS";#N/A,#N/A,TRUE,"RULES"}</definedName>
    <definedName name="wrn.IAS._.BS._.PL._.CF._.and._.Notes." localSheetId="0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0" hidden="1">{"IAS Mapping",#N/A,TRUE,"RSA_FS"}</definedName>
    <definedName name="wrn.IAS._.Mapping." hidden="1">{"IAS Mapping",#N/A,TRUE,"RSA_FS"}</definedName>
    <definedName name="wrn.Inflation._.factors._.used." localSheetId="0" hidden="1">{#N/A,#N/A,FALSE,"Infl_fact"}</definedName>
    <definedName name="wrn.Inflation._.factors._.used." hidden="1">{#N/A,#N/A,FALSE,"Infl_fact"}</definedName>
    <definedName name="wrn.PL._.Analysis." localSheetId="0" hidden="1">{"AnalRSA",#N/A,TRUE,"PL-Anal";"AnalIAS",#N/A,TRUE,"PL-Anal"}</definedName>
    <definedName name="wrn.PL._.Analysis." hidden="1">{"AnalRSA",#N/A,TRUE,"PL-Anal";"AnalIAS",#N/A,TRUE,"PL-Anal"}</definedName>
    <definedName name="wrn.RSA._.BS._.and._.PL." localSheetId="0" hidden="1">{"BS1",#N/A,TRUE,"RSA_FS";"BS2",#N/A,TRUE,"RSA_FS";"BS3",#N/A,TRUE,"RSA_FS"}</definedName>
    <definedName name="wrn.RSA._.BS._.and._.PL." hidden="1">{"BS1",#N/A,TRUE,"RSA_FS";"BS2",#N/A,TRUE,"RSA_FS";"BS3",#N/A,TRUE,"RSA_FS"}</definedName>
    <definedName name="ww_febgfo_act">#REF!</definedName>
    <definedName name="ww_plan_04oct">#REF!</definedName>
    <definedName name="www">#REF!</definedName>
    <definedName name="xcv">'[12]база общ'!$BK$10:$BK$257</definedName>
    <definedName name="Year">1999</definedName>
    <definedName name="yui">#REF!</definedName>
    <definedName name="z">#REF!</definedName>
    <definedName name="Z_772A0E09_E630_11D6_8608_0001029C9B35_.wvu.Rows" hidden="1">#REF!,#REF!,#REF!</definedName>
    <definedName name="Z_F1CE2A21_7959_4814_864C_012B7B1A049F_.wvu.Rows" localSheetId="0" hidden="1">#REF!,#REF!,#REF!,#REF!,#REF!,#REF!,#REF!,#REF!,#REF!,#REF!,#REF!,#REF!,#REF!,#REF!</definedName>
    <definedName name="Z_F1CE2A21_7959_4814_864C_012B7B1A049F_.wvu.Rows" hidden="1">#REF!,#REF!,#REF!,#REF!,#REF!,#REF!,#REF!,#REF!,#REF!,#REF!,#REF!,#REF!,#REF!,#REF!</definedName>
    <definedName name="zaq">#REF!</definedName>
    <definedName name="zxc">#REF!</definedName>
    <definedName name="zza">#REF!</definedName>
    <definedName name="а_сорт">#REF!</definedName>
    <definedName name="А1">#REF!</definedName>
    <definedName name="А10">#REF!</definedName>
    <definedName name="А9">#REF!</definedName>
    <definedName name="апр">#REF!</definedName>
    <definedName name="арж">#REF!</definedName>
    <definedName name="база">#REF!</definedName>
    <definedName name="_xlnm.Database">#REF!</definedName>
    <definedName name="бж">#REF!</definedName>
    <definedName name="бн">#REF!</definedName>
    <definedName name="Бурение_год" localSheetId="0">#REF!,#REF!,#REF!,#REF!,#REF!,#REF!,#REF!,#REF!,#REF!,#REF!,#REF!</definedName>
    <definedName name="Бурение_год">#REF!,#REF!,#REF!,#REF!,#REF!,#REF!,#REF!,#REF!,#REF!,#REF!,#REF!</definedName>
    <definedName name="Бурение_месяц">#REF!,#REF!,#REF!,#REF!,#REF!,#REF!,#REF!,#REF!,#REF!,#REF!,#REF!</definedName>
    <definedName name="в">#REF!</definedName>
    <definedName name="в1">#REF!</definedName>
    <definedName name="в11">#REF!</definedName>
    <definedName name="в12">#REF!</definedName>
    <definedName name="в133">[1]Calculation!$D$133</definedName>
    <definedName name="в2">#REF!</definedName>
    <definedName name="в21">#REF!</definedName>
    <definedName name="в22">#REF!</definedName>
    <definedName name="вапавп">#REF!</definedName>
    <definedName name="ввв">#REF!</definedName>
    <definedName name="ворд">#REF!</definedName>
    <definedName name="всего">#REF!</definedName>
    <definedName name="всего1">#REF!</definedName>
    <definedName name="всего2">#REF!</definedName>
    <definedName name="всего3">#REF!</definedName>
    <definedName name="всего4">#REF!</definedName>
    <definedName name="всего5">#REF!</definedName>
    <definedName name="г1">#REF!</definedName>
    <definedName name="г3">#REF!</definedName>
    <definedName name="газлифт">#REF!</definedName>
    <definedName name="Год">#REF!</definedName>
    <definedName name="Д102">#REF!</definedName>
    <definedName name="Д103">#REF!</definedName>
    <definedName name="Д27">#REF!</definedName>
    <definedName name="Д28">#REF!</definedName>
    <definedName name="Д38">#REF!</definedName>
    <definedName name="Д44">#REF!</definedName>
    <definedName name="Д45">#REF!</definedName>
    <definedName name="Д46">#REF!</definedName>
    <definedName name="Д52">#REF!</definedName>
    <definedName name="Д6">#REF!</definedName>
    <definedName name="Д64">#REF!</definedName>
    <definedName name="Д65">#REF!</definedName>
    <definedName name="Д66">#REF!</definedName>
    <definedName name="Д67">#REF!</definedName>
    <definedName name="Д68">#REF!</definedName>
    <definedName name="Д7">#REF!</definedName>
    <definedName name="Д71">#REF!</definedName>
    <definedName name="Д74">#REF!</definedName>
    <definedName name="Д75">#REF!</definedName>
    <definedName name="Д8">#REF!</definedName>
    <definedName name="Д81">#REF!</definedName>
    <definedName name="Д97">#REF!</definedName>
    <definedName name="Д98">#REF!</definedName>
    <definedName name="Данные">#REF!</definedName>
    <definedName name="данные_1">'[13]ОТМ май'!$A$3:$CI$256</definedName>
    <definedName name="данные_12">'[13]ОТМ май'!$A$3:$CI$262</definedName>
    <definedName name="данные_2">'[13]ОТМ май'!$A$3:$CI$256</definedName>
    <definedName name="данные11">'[13]ОТМ май'!$A$3:$CI$262</definedName>
    <definedName name="дата">#REF!</definedName>
    <definedName name="дд" localSheetId="0" hidden="1">{"IAS Mapping",#N/A,TRUE,"RSA_FS"}</definedName>
    <definedName name="дд" hidden="1">{"IAS Mapping",#N/A,TRUE,"RSA_FS"}</definedName>
    <definedName name="дд1">#REF!</definedName>
    <definedName name="дд2">#REF!</definedName>
    <definedName name="дд3">#REF!</definedName>
    <definedName name="декабрь">[14]отказы!$T$6:$T$40</definedName>
    <definedName name="джру" localSheetId="0" hidden="1">{#N/A,#N/A,FALSE,"Infl_fact"}</definedName>
    <definedName name="джру" hidden="1">{#N/A,#N/A,FALSE,"Infl_fact"}</definedName>
    <definedName name="дисконт">'[15]исходные данные'!$B$27</definedName>
    <definedName name="Добыча_год">[16]Добыча!$J$32:$K$34,[16]Добыча!$J$36:$K$38,[16]Добыча!$J$43:$K$47,[16]Добыча!$J$52:$K$54,[16]Добыча!$J$56:$K$57,[16]Добыча!$J$62:$K$64,[16]Добыча!$J$66:$K$67,[16]Добыча!$J$80:$K$83,[16]Добыча!$J$96:$K$99,[16]Добыча!$J$88:$K$89,[16]Добыча!$J$92:$K$93</definedName>
    <definedName name="Добыча_месяц">[16]Добыча!$F$32:$G$34,[16]Добыча!$F$36:$G$38,[16]Добыча!$F$43:$G$47,[16]Добыча!$F$52:$G$54,[16]Добыча!$F$56:$G$57,[16]Добыча!$F$62:$G$64,[16]Добыча!$F$66:$G$67,[16]Добыча!$F$80:$G$83,[16]Добыча!$F$88:$G$89,[16]Добыча!$F$92:$G$93,[16]Добыча!$F$96:$G$99</definedName>
    <definedName name="допжидкС1">#REF!</definedName>
    <definedName name="допжидкС2">#REF!</definedName>
    <definedName name="допнефтьС1">#REF!</definedName>
    <definedName name="допнефтьС2">#REF!</definedName>
    <definedName name="ееее" localSheetId="0" hidden="1">{"IASBS",#N/A,TRUE,"IAS";"IASPL",#N/A,TRUE,"IAS";"IASNotes",#N/A,TRUE,"IAS";"CFDir - expanded",#N/A,TRUE,"CF DIR"}</definedName>
    <definedName name="ееее" hidden="1">{"IASBS",#N/A,TRUE,"IAS";"IASPL",#N/A,TRUE,"IAS";"IASNotes",#N/A,TRUE,"IAS";"CFDir - expanded",#N/A,TRUE,"CF DIR"}</definedName>
    <definedName name="ЕНО_2_10_2000_Г.">#REF!</definedName>
    <definedName name="жидкость">#REF!</definedName>
    <definedName name="жидкостьплюс">#REF!</definedName>
    <definedName name="жот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жот" hidden="1">{"IAS Mapping",#N/A,FALSE,"RSA_FS";#N/A,#N/A,FALSE,"CHECK!";#N/A,#N/A,FALSE,"Recon";#N/A,#N/A,FALSE,"NMG";#N/A,#N/A,FALSE,"Journals";"AnalRSA",#N/A,FALSE,"PL-Anal";"AnalIAS",#N/A,FALSE,"PL-Anal";#N/A,#N/A,FALSE,"COS"}</definedName>
    <definedName name="и1">#REF!</definedName>
    <definedName name="и11">#REF!</definedName>
    <definedName name="и2">#REF!</definedName>
    <definedName name="и21">#REF!</definedName>
    <definedName name="и3">#REF!</definedName>
    <definedName name="и31">#REF!</definedName>
    <definedName name="и4">#REF!</definedName>
    <definedName name="и41">#REF!</definedName>
    <definedName name="и5">#REF!</definedName>
    <definedName name="и51">#REF!</definedName>
    <definedName name="и6">#REF!</definedName>
    <definedName name="и61">#REF!</definedName>
    <definedName name="_xlnm.Extract">#REF!</definedName>
    <definedName name="иии">#REF!</definedName>
    <definedName name="им">#REF!</definedName>
    <definedName name="итого">#REF!</definedName>
    <definedName name="итого1">#REF!</definedName>
    <definedName name="итого2">#REF!</definedName>
    <definedName name="итого3">#REF!</definedName>
    <definedName name="итого4">#REF!</definedName>
    <definedName name="итого5">#REF!</definedName>
    <definedName name="итого6">#REF!</definedName>
    <definedName name="й">#REF!</definedName>
    <definedName name="й1">#REF!</definedName>
    <definedName name="кен">#REF!</definedName>
    <definedName name="КНСз">#REF!</definedName>
    <definedName name="код">[17]Лист1!$E$6:$E$385</definedName>
    <definedName name="кол">#REF!</definedName>
    <definedName name="конец">#REF!</definedName>
    <definedName name="КПЭ">#REF!</definedName>
    <definedName name="кр">'[18]Линейная чувствительность'!$B$5</definedName>
    <definedName name="_xlnm.Criteria">#REF!</definedName>
    <definedName name="КРС">#REF!,#REF!,#REF!,#REF!</definedName>
    <definedName name="КРС_98_план_NN_Таблица">#REF!</definedName>
    <definedName name="КРС_осн_количество">#REF!</definedName>
    <definedName name="м1">#REF!</definedName>
    <definedName name="м11">#REF!</definedName>
    <definedName name="м12">#REF!</definedName>
    <definedName name="м2">#REF!</definedName>
    <definedName name="м21">#REF!</definedName>
    <definedName name="м22">#REF!</definedName>
    <definedName name="м3">#REF!</definedName>
    <definedName name="м31">#REF!</definedName>
    <definedName name="м4">#REF!</definedName>
    <definedName name="м41">#REF!</definedName>
    <definedName name="м5">#REF!</definedName>
    <definedName name="м51">#REF!</definedName>
    <definedName name="м6">#REF!</definedName>
    <definedName name="м61">#REF!</definedName>
    <definedName name="мгд1">#REF!</definedName>
    <definedName name="мгд11">#REF!</definedName>
    <definedName name="мгд2">#REF!</definedName>
    <definedName name="мгд3">#REF!</definedName>
    <definedName name="мгд31">#REF!</definedName>
    <definedName name="мгд4">#REF!</definedName>
    <definedName name="мгд41">#REF!</definedName>
    <definedName name="мгд51">#REF!</definedName>
    <definedName name="МГД61">#REF!</definedName>
    <definedName name="Мощности">#REF!,#REF!,#REF!,#REF!,#REF!,#REF!</definedName>
    <definedName name="наорп">#REF!</definedName>
    <definedName name="начало">#REF!</definedName>
    <definedName name="нет">#REF!</definedName>
    <definedName name="нефть">#REF!</definedName>
    <definedName name="нефтьплюс">#REF!</definedName>
    <definedName name="новн">#REF!</definedName>
    <definedName name="НПО">[16]Добыча!$H$107:$I$110,[16]Добыча!$K$107:$M$110</definedName>
    <definedName name="_xlnm.Print_Area">#REF!</definedName>
    <definedName name="Область_печати_МИ">#REF!</definedName>
    <definedName name="обор">#REF!</definedName>
    <definedName name="оборА">#REF!</definedName>
    <definedName name="оборБ">#REF!</definedName>
    <definedName name="оборудование">#REF!</definedName>
    <definedName name="один">#REF!</definedName>
    <definedName name="один3">#REF!</definedName>
    <definedName name="Орг">[19]Организации!$B$3:$C$9</definedName>
    <definedName name="Отключения">#REF!,#REF!,#REF!,#REF!</definedName>
    <definedName name="отрсутС1">#REF!</definedName>
    <definedName name="отрсутС2">#REF!</definedName>
    <definedName name="пласт">#REF!</definedName>
    <definedName name="пласт_апр">#REF!</definedName>
    <definedName name="пласт_март">#REF!</definedName>
    <definedName name="пласт_фев">#REF!</definedName>
    <definedName name="пластС1">#REF!</definedName>
    <definedName name="пластС2">#REF!</definedName>
    <definedName name="Порывы">#REF!,#REF!,#REF!,#REF!</definedName>
    <definedName name="Потери">#REF!,#REF!,#REF!,#REF!</definedName>
    <definedName name="Потери_месяц">#REF!,#REF!,#REF!,#REF!,#REF!,#REF!</definedName>
    <definedName name="ппп">#REF!</definedName>
    <definedName name="пр">#REF!</definedName>
    <definedName name="предприятие">#REF!</definedName>
    <definedName name="принт">#REF!</definedName>
    <definedName name="припж">#REF!</definedName>
    <definedName name="припн">#REF!</definedName>
    <definedName name="прирж">[17]Лист1!$AF$6:$AF$385</definedName>
    <definedName name="прирн">[17]Лист1!$AG$6:$AG$385</definedName>
    <definedName name="процент_падения">'[20]ст ГТМ'!$B$53</definedName>
    <definedName name="прро">#REF!</definedName>
    <definedName name="ПРС">#REF!,#REF!,#REF!,#REF!</definedName>
    <definedName name="птпрт">#REF!</definedName>
    <definedName name="ПУСТО">#REF!</definedName>
    <definedName name="пчр">#REF!</definedName>
    <definedName name="р1">#REF!</definedName>
    <definedName name="р11">#REF!</definedName>
    <definedName name="р12">#REF!</definedName>
    <definedName name="р2">#REF!</definedName>
    <definedName name="р21">#REF!</definedName>
    <definedName name="р22">#REF!</definedName>
    <definedName name="р3">#REF!</definedName>
    <definedName name="р31">#REF!</definedName>
    <definedName name="р4">#REF!</definedName>
    <definedName name="р41">#REF!</definedName>
    <definedName name="р5">#REF!</definedName>
    <definedName name="р51">#REF!</definedName>
    <definedName name="р6">#REF!</definedName>
    <definedName name="р61">#REF!</definedName>
    <definedName name="Рабочая_модель_оперативной_сводки_03_04_03_Лист1_Таблица">#REF!</definedName>
    <definedName name="Расчет">[19]Расчет!$E$3:$M$242</definedName>
    <definedName name="Расчет_О">[19]Расчет!$E$2:$M$2</definedName>
    <definedName name="рир6">#REF!</definedName>
    <definedName name="рир61">#REF!</definedName>
    <definedName name="ррр">#REF!</definedName>
    <definedName name="рря">#REF!</definedName>
    <definedName name="рчар">#REF!</definedName>
    <definedName name="ряч">#REF!</definedName>
    <definedName name="с3">#REF!</definedName>
    <definedName name="Север" localSheetId="0" hidden="1">{"IASTrail",#N/A,FALSE,"IAS"}</definedName>
    <definedName name="Север" hidden="1">{"IASTrail",#N/A,FALSE,"IAS"}</definedName>
    <definedName name="сел1">#REF!</definedName>
    <definedName name="сел11">#REF!</definedName>
    <definedName name="сел2">#REF!</definedName>
    <definedName name="сел21">#REF!</definedName>
    <definedName name="сел3">#REF!</definedName>
    <definedName name="сел31">#REF!</definedName>
    <definedName name="сел4">#REF!</definedName>
    <definedName name="сел41">#REF!</definedName>
    <definedName name="сел5">#REF!</definedName>
    <definedName name="сел51">#REF!</definedName>
    <definedName name="ск">#REF!</definedName>
    <definedName name="скв1">#REF!</definedName>
    <definedName name="скв1504">#REF!</definedName>
    <definedName name="скв152">#REF!</definedName>
    <definedName name="скв1528">#REF!</definedName>
    <definedName name="скв1529">#REF!</definedName>
    <definedName name="скв1558">#REF!</definedName>
    <definedName name="скв168">#REF!</definedName>
    <definedName name="скв2">#REF!</definedName>
    <definedName name="скв221">#REF!</definedName>
    <definedName name="скв222">#REF!</definedName>
    <definedName name="скв225">#REF!</definedName>
    <definedName name="скв262">#REF!</definedName>
    <definedName name="скв264">#REF!</definedName>
    <definedName name="скв265">#REF!</definedName>
    <definedName name="скв266">#REF!</definedName>
    <definedName name="скв267">#REF!</definedName>
    <definedName name="скв268">#REF!</definedName>
    <definedName name="скв270">#REF!</definedName>
    <definedName name="скв274">#REF!</definedName>
    <definedName name="скв275">#REF!</definedName>
    <definedName name="скв279">#REF!</definedName>
    <definedName name="скв280">#REF!</definedName>
    <definedName name="скв282">#REF!</definedName>
    <definedName name="скв283">#REF!</definedName>
    <definedName name="скв284">#REF!</definedName>
    <definedName name="скв285">#REF!</definedName>
    <definedName name="скв286">#REF!</definedName>
    <definedName name="скв290">#REF!</definedName>
    <definedName name="скв293">#REF!</definedName>
    <definedName name="скв295">#REF!</definedName>
    <definedName name="скв296">#REF!</definedName>
    <definedName name="скв297">#REF!</definedName>
    <definedName name="скв300">#REF!</definedName>
    <definedName name="скв555">#REF!</definedName>
    <definedName name="скв666">#REF!</definedName>
    <definedName name="скважина">#REF!</definedName>
    <definedName name="Скважины">#REF!</definedName>
    <definedName name="сквоил">#REF!</definedName>
    <definedName name="сквокт">#REF!</definedName>
    <definedName name="сорт">#REF!</definedName>
    <definedName name="способ">#REF!</definedName>
    <definedName name="сс">#REF!</definedName>
    <definedName name="ст">#REF!</definedName>
    <definedName name="стб">#REF!</definedName>
    <definedName name="т11">#REF!</definedName>
    <definedName name="т12">#REF!</definedName>
    <definedName name="т21">#REF!</definedName>
    <definedName name="т22">#REF!</definedName>
    <definedName name="ТИП">'[21]1'!$I$1</definedName>
    <definedName name="тод">#REF!</definedName>
    <definedName name="тод1">#REF!</definedName>
    <definedName name="три">#REF!</definedName>
    <definedName name="три3">#REF!</definedName>
    <definedName name="установка">#REF!</definedName>
    <definedName name="ф">[22]Лист3!$A$2:$A$5597</definedName>
    <definedName name="Ф1">#REF!</definedName>
    <definedName name="Ф10">#REF!</definedName>
    <definedName name="Ф11">#REF!</definedName>
    <definedName name="Ф12">#REF!</definedName>
    <definedName name="Ф13">#REF!</definedName>
    <definedName name="Ф14">#REF!</definedName>
    <definedName name="Ф15">#REF!</definedName>
    <definedName name="Ф16">#REF!</definedName>
    <definedName name="Ф17">#REF!</definedName>
    <definedName name="Ф18">#REF!</definedName>
    <definedName name="Ф19">#REF!</definedName>
    <definedName name="Ф2">#REF!</definedName>
    <definedName name="Ф20">#REF!</definedName>
    <definedName name="Ф21">#REF!</definedName>
    <definedName name="Ф22">#REF!</definedName>
    <definedName name="Ф3">#REF!</definedName>
    <definedName name="Ф4">#REF!</definedName>
    <definedName name="Ф5">#REF!</definedName>
    <definedName name="Ф6">#REF!</definedName>
    <definedName name="Ф7">#REF!</definedName>
    <definedName name="Ф8">#REF!</definedName>
    <definedName name="Ф9">#REF!</definedName>
    <definedName name="Федотов_МАЙ_ОТМ_май_Таблица">#REF!</definedName>
    <definedName name="фКЕ">#REF!</definedName>
    <definedName name="флаг">'[23]таблица руководству'!$J$1</definedName>
    <definedName name="флаг1">#REF!</definedName>
    <definedName name="флаг2">'[23]Суточная добыча за неделю'!$L$2</definedName>
    <definedName name="флаг4">"CheckBox1"</definedName>
    <definedName name="ффф">#REF!</definedName>
    <definedName name="ффф45">#REF!</definedName>
    <definedName name="фыв">#REF!</definedName>
    <definedName name="ц1">#REF!</definedName>
    <definedName name="ц2">#REF!</definedName>
    <definedName name="ц3">#REF!</definedName>
    <definedName name="ц4">#REF!</definedName>
    <definedName name="ц5">#REF!</definedName>
    <definedName name="ц6">#REF!</definedName>
    <definedName name="ццц">#REF!</definedName>
    <definedName name="ччч">#REF!</definedName>
    <definedName name="щ">#REF!</definedName>
    <definedName name="ъ">#REF!</definedName>
    <definedName name="ывва">#REF!</definedName>
    <definedName name="экр1">#REF!</definedName>
    <definedName name="экр11">#REF!</definedName>
    <definedName name="экр2">#REF!</definedName>
    <definedName name="экр21">#REF!</definedName>
    <definedName name="экр3">#REF!</definedName>
    <definedName name="экр31">#REF!</definedName>
    <definedName name="экр4">#REF!</definedName>
    <definedName name="экр41">#REF!</definedName>
    <definedName name="экр51">#REF!</definedName>
    <definedName name="эф">#REF!</definedName>
    <definedName name="эф11">#REF!</definedName>
    <definedName name="эф12">#REF!</definedName>
    <definedName name="эф21">#REF!</definedName>
    <definedName name="эф22">#REF!</definedName>
    <definedName name="эфк11">#REF!</definedName>
    <definedName name="эфк12">#REF!</definedName>
    <definedName name="эфк21">#REF!</definedName>
    <definedName name="эфк22">#REF!</definedName>
    <definedName name="эффдни">#REF!</definedName>
    <definedName name="эффж">#REF!</definedName>
    <definedName name="эффн">#REF!</definedName>
    <definedName name="эцн">#REF!</definedName>
    <definedName name="явмыячс">#REF!</definedName>
    <definedName name="ячс">#REF!</definedName>
    <definedName name="яя">#REF!</definedName>
    <definedName name="яяя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81" i="3" l="1"/>
  <c r="P81" i="3"/>
  <c r="O82" i="3"/>
  <c r="P82" i="3"/>
  <c r="O83" i="3"/>
  <c r="P83" i="3"/>
  <c r="O84" i="3"/>
  <c r="P84" i="3"/>
  <c r="BF5" i="3" l="1"/>
  <c r="BG5" i="3" s="1"/>
  <c r="BE5" i="3"/>
  <c r="AZ7" i="3" l="1"/>
  <c r="AN7" i="3"/>
  <c r="AB7" i="3"/>
  <c r="P7" i="3"/>
  <c r="AW101" i="3" l="1"/>
  <c r="AV101" i="3"/>
  <c r="AW100" i="3"/>
  <c r="AV100" i="3"/>
  <c r="AW99" i="3"/>
  <c r="AV99" i="3"/>
  <c r="AW98" i="3"/>
  <c r="AV98" i="3"/>
  <c r="AW96" i="3"/>
  <c r="AV96" i="3"/>
  <c r="AW94" i="3"/>
  <c r="AV94" i="3"/>
  <c r="AW93" i="3"/>
  <c r="AV93" i="3"/>
  <c r="AT101" i="3"/>
  <c r="AS101" i="3"/>
  <c r="AT100" i="3"/>
  <c r="AS100" i="3"/>
  <c r="AT99" i="3"/>
  <c r="AS99" i="3"/>
  <c r="AT98" i="3"/>
  <c r="AS98" i="3"/>
  <c r="AT96" i="3"/>
  <c r="AS96" i="3"/>
  <c r="AT94" i="3"/>
  <c r="AS94" i="3"/>
  <c r="AT93" i="3"/>
  <c r="AS93" i="3"/>
  <c r="AQ101" i="3"/>
  <c r="AP101" i="3"/>
  <c r="AQ100" i="3"/>
  <c r="AP100" i="3"/>
  <c r="AQ99" i="3"/>
  <c r="AP99" i="3"/>
  <c r="AQ98" i="3"/>
  <c r="AP98" i="3"/>
  <c r="AQ96" i="3"/>
  <c r="AP96" i="3"/>
  <c r="AQ94" i="3"/>
  <c r="AP94" i="3"/>
  <c r="AQ93" i="3"/>
  <c r="AP93" i="3"/>
  <c r="AK101" i="3"/>
  <c r="AJ101" i="3"/>
  <c r="AK100" i="3"/>
  <c r="AJ100" i="3"/>
  <c r="AK99" i="3"/>
  <c r="AJ99" i="3"/>
  <c r="AK98" i="3"/>
  <c r="AJ98" i="3"/>
  <c r="AK96" i="3"/>
  <c r="AJ96" i="3"/>
  <c r="AK94" i="3"/>
  <c r="AJ94" i="3"/>
  <c r="AK93" i="3"/>
  <c r="AJ93" i="3"/>
  <c r="AH101" i="3"/>
  <c r="AG101" i="3"/>
  <c r="AH100" i="3"/>
  <c r="AG100" i="3"/>
  <c r="AH99" i="3"/>
  <c r="AG99" i="3"/>
  <c r="AH98" i="3"/>
  <c r="AG98" i="3"/>
  <c r="AH96" i="3"/>
  <c r="AG96" i="3"/>
  <c r="AH94" i="3"/>
  <c r="AG94" i="3"/>
  <c r="AH93" i="3"/>
  <c r="AG93" i="3"/>
  <c r="AE101" i="3"/>
  <c r="AD101" i="3"/>
  <c r="AE100" i="3"/>
  <c r="AD100" i="3"/>
  <c r="AE99" i="3"/>
  <c r="AD99" i="3"/>
  <c r="AE94" i="3"/>
  <c r="AD93" i="3"/>
  <c r="AE96" i="3"/>
  <c r="AD96" i="3"/>
  <c r="AD94" i="3"/>
  <c r="AE93" i="3"/>
  <c r="Y101" i="3"/>
  <c r="X101" i="3"/>
  <c r="Y100" i="3"/>
  <c r="X100" i="3"/>
  <c r="Y99" i="3"/>
  <c r="X99" i="3"/>
  <c r="Y98" i="3"/>
  <c r="X98" i="3"/>
  <c r="Y96" i="3"/>
  <c r="X96" i="3"/>
  <c r="Y94" i="3"/>
  <c r="X94" i="3"/>
  <c r="Y93" i="3"/>
  <c r="X93" i="3"/>
  <c r="V101" i="3"/>
  <c r="U101" i="3"/>
  <c r="V100" i="3"/>
  <c r="U100" i="3"/>
  <c r="V99" i="3"/>
  <c r="U99" i="3"/>
  <c r="V98" i="3"/>
  <c r="U98" i="3"/>
  <c r="V96" i="3"/>
  <c r="U96" i="3"/>
  <c r="V94" i="3"/>
  <c r="U94" i="3"/>
  <c r="V93" i="3"/>
  <c r="U93" i="3"/>
  <c r="S101" i="3"/>
  <c r="R101" i="3"/>
  <c r="S100" i="3"/>
  <c r="R100" i="3"/>
  <c r="S99" i="3"/>
  <c r="R99" i="3"/>
  <c r="S98" i="3"/>
  <c r="R98" i="3"/>
  <c r="S96" i="3"/>
  <c r="R96" i="3"/>
  <c r="S94" i="3"/>
  <c r="R94" i="3"/>
  <c r="S93" i="3"/>
  <c r="R93" i="3"/>
  <c r="M96" i="3"/>
  <c r="L96" i="3"/>
  <c r="M101" i="3"/>
  <c r="L101" i="3"/>
  <c r="M100" i="3"/>
  <c r="L100" i="3"/>
  <c r="M99" i="3"/>
  <c r="L99" i="3"/>
  <c r="M98" i="3"/>
  <c r="L98" i="3"/>
  <c r="J101" i="3"/>
  <c r="I101" i="3"/>
  <c r="J100" i="3"/>
  <c r="I100" i="3"/>
  <c r="J99" i="3"/>
  <c r="I99" i="3"/>
  <c r="J98" i="3"/>
  <c r="I98" i="3"/>
  <c r="J96" i="3"/>
  <c r="I96" i="3"/>
  <c r="M94" i="3"/>
  <c r="L94" i="3"/>
  <c r="M93" i="3"/>
  <c r="L93" i="3"/>
  <c r="J94" i="3"/>
  <c r="I94" i="3"/>
  <c r="J93" i="3"/>
  <c r="I93" i="3"/>
  <c r="AW43" i="3"/>
  <c r="AW58" i="3" s="1"/>
  <c r="AV43" i="3"/>
  <c r="AV58" i="3" s="1"/>
  <c r="AW42" i="3"/>
  <c r="AW57" i="3" s="1"/>
  <c r="AV42" i="3"/>
  <c r="AV57" i="3" s="1"/>
  <c r="AW41" i="3"/>
  <c r="AW56" i="3" s="1"/>
  <c r="AV41" i="3"/>
  <c r="AV56" i="3" s="1"/>
  <c r="AW40" i="3"/>
  <c r="AW55" i="3" s="1"/>
  <c r="AV40" i="3"/>
  <c r="AV55" i="3" s="1"/>
  <c r="AT43" i="3"/>
  <c r="AT58" i="3" s="1"/>
  <c r="AS43" i="3"/>
  <c r="AS58" i="3" s="1"/>
  <c r="AT42" i="3"/>
  <c r="AT57" i="3" s="1"/>
  <c r="AS42" i="3"/>
  <c r="AS57" i="3" s="1"/>
  <c r="AT41" i="3"/>
  <c r="AT56" i="3" s="1"/>
  <c r="AS41" i="3"/>
  <c r="AS56" i="3" s="1"/>
  <c r="AT40" i="3"/>
  <c r="AT55" i="3" s="1"/>
  <c r="AS40" i="3"/>
  <c r="AS55" i="3" s="1"/>
  <c r="AQ43" i="3"/>
  <c r="AQ58" i="3" s="1"/>
  <c r="AP43" i="3"/>
  <c r="AP58" i="3" s="1"/>
  <c r="AQ42" i="3"/>
  <c r="AQ57" i="3" s="1"/>
  <c r="AP42" i="3"/>
  <c r="AP57" i="3" s="1"/>
  <c r="AQ41" i="3"/>
  <c r="AQ56" i="3" s="1"/>
  <c r="AP41" i="3"/>
  <c r="AP56" i="3" s="1"/>
  <c r="AQ40" i="3"/>
  <c r="AQ55" i="3" s="1"/>
  <c r="AP40" i="3"/>
  <c r="AP55" i="3" s="1"/>
  <c r="AK43" i="3"/>
  <c r="AK58" i="3" s="1"/>
  <c r="AJ43" i="3"/>
  <c r="AK42" i="3"/>
  <c r="AK57" i="3" s="1"/>
  <c r="AJ42" i="3"/>
  <c r="AK41" i="3"/>
  <c r="AK56" i="3" s="1"/>
  <c r="AJ41" i="3"/>
  <c r="AJ56" i="3" s="1"/>
  <c r="AK40" i="3"/>
  <c r="AK55" i="3" s="1"/>
  <c r="AJ40" i="3"/>
  <c r="AJ58" i="3"/>
  <c r="AJ57" i="3"/>
  <c r="AJ55" i="3"/>
  <c r="AH43" i="3"/>
  <c r="AH58" i="3" s="1"/>
  <c r="AG43" i="3"/>
  <c r="AG58" i="3" s="1"/>
  <c r="AH42" i="3"/>
  <c r="AH57" i="3" s="1"/>
  <c r="AG42" i="3"/>
  <c r="AG57" i="3" s="1"/>
  <c r="AH41" i="3"/>
  <c r="AH56" i="3" s="1"/>
  <c r="AG41" i="3"/>
  <c r="AG56" i="3" s="1"/>
  <c r="AH40" i="3"/>
  <c r="AH55" i="3" s="1"/>
  <c r="AG40" i="3"/>
  <c r="AG55" i="3" s="1"/>
  <c r="AE43" i="3"/>
  <c r="AE58" i="3" s="1"/>
  <c r="AD43" i="3"/>
  <c r="AD58" i="3" s="1"/>
  <c r="AE42" i="3"/>
  <c r="AE57" i="3" s="1"/>
  <c r="AD42" i="3"/>
  <c r="AD57" i="3" s="1"/>
  <c r="AE41" i="3"/>
  <c r="AE56" i="3" s="1"/>
  <c r="AD41" i="3"/>
  <c r="AD56" i="3" s="1"/>
  <c r="AE40" i="3"/>
  <c r="AE55" i="3" s="1"/>
  <c r="AD40" i="3"/>
  <c r="AD55" i="3" s="1"/>
  <c r="Y43" i="3"/>
  <c r="Y58" i="3" s="1"/>
  <c r="X43" i="3"/>
  <c r="X58" i="3" s="1"/>
  <c r="Y42" i="3"/>
  <c r="Y57" i="3" s="1"/>
  <c r="X42" i="3"/>
  <c r="X57" i="3" s="1"/>
  <c r="Y41" i="3"/>
  <c r="Y56" i="3" s="1"/>
  <c r="X41" i="3"/>
  <c r="X56" i="3" s="1"/>
  <c r="Y40" i="3"/>
  <c r="Y55" i="3" s="1"/>
  <c r="X40" i="3"/>
  <c r="X55" i="3" s="1"/>
  <c r="V43" i="3"/>
  <c r="V58" i="3" s="1"/>
  <c r="U43" i="3"/>
  <c r="U58" i="3" s="1"/>
  <c r="V42" i="3"/>
  <c r="V57" i="3" s="1"/>
  <c r="U42" i="3"/>
  <c r="U57" i="3" s="1"/>
  <c r="V41" i="3"/>
  <c r="V56" i="3" s="1"/>
  <c r="U41" i="3"/>
  <c r="U56" i="3" s="1"/>
  <c r="V40" i="3"/>
  <c r="V55" i="3" s="1"/>
  <c r="U40" i="3"/>
  <c r="U55" i="3" s="1"/>
  <c r="S43" i="3"/>
  <c r="R43" i="3"/>
  <c r="S42" i="3"/>
  <c r="R42" i="3"/>
  <c r="S41" i="3"/>
  <c r="R41" i="3"/>
  <c r="S40" i="3"/>
  <c r="R40" i="3"/>
  <c r="S58" i="3"/>
  <c r="R58" i="3"/>
  <c r="S57" i="3"/>
  <c r="R57" i="3"/>
  <c r="S56" i="3"/>
  <c r="R56" i="3"/>
  <c r="S55" i="3"/>
  <c r="R55" i="3"/>
  <c r="M43" i="3"/>
  <c r="M58" i="3" s="1"/>
  <c r="L43" i="3"/>
  <c r="L58" i="3" s="1"/>
  <c r="M42" i="3"/>
  <c r="M57" i="3" s="1"/>
  <c r="L42" i="3"/>
  <c r="L57" i="3" s="1"/>
  <c r="M41" i="3"/>
  <c r="M56" i="3" s="1"/>
  <c r="L41" i="3"/>
  <c r="L56" i="3" s="1"/>
  <c r="M40" i="3"/>
  <c r="M55" i="3" s="1"/>
  <c r="L40" i="3"/>
  <c r="L55" i="3" s="1"/>
  <c r="J43" i="3"/>
  <c r="J58" i="3" s="1"/>
  <c r="I43" i="3"/>
  <c r="I58" i="3" s="1"/>
  <c r="J42" i="3"/>
  <c r="J57" i="3" s="1"/>
  <c r="I42" i="3"/>
  <c r="I57" i="3" s="1"/>
  <c r="J41" i="3"/>
  <c r="J56" i="3" s="1"/>
  <c r="I41" i="3"/>
  <c r="I56" i="3" s="1"/>
  <c r="J40" i="3"/>
  <c r="J55" i="3" s="1"/>
  <c r="I40" i="3"/>
  <c r="I55" i="3" s="1"/>
  <c r="BF101" i="3"/>
  <c r="BE101" i="3"/>
  <c r="BE98" i="3"/>
  <c r="BF96" i="3"/>
  <c r="BF99" i="3"/>
  <c r="BE99" i="3"/>
  <c r="BF98" i="3"/>
  <c r="BE96" i="3"/>
  <c r="G101" i="3"/>
  <c r="F101" i="3"/>
  <c r="E101" i="3"/>
  <c r="D101" i="3"/>
  <c r="G100" i="3"/>
  <c r="F100" i="3"/>
  <c r="E100" i="3"/>
  <c r="D100" i="3"/>
  <c r="G99" i="3"/>
  <c r="F99" i="3"/>
  <c r="E99" i="3"/>
  <c r="D99" i="3"/>
  <c r="G98" i="3"/>
  <c r="F98" i="3"/>
  <c r="E98" i="3"/>
  <c r="D98" i="3"/>
  <c r="G96" i="3"/>
  <c r="F96" i="3"/>
  <c r="E96" i="3"/>
  <c r="D96" i="3"/>
  <c r="G94" i="3"/>
  <c r="F94" i="3"/>
  <c r="E94" i="3"/>
  <c r="D94" i="3"/>
  <c r="G93" i="3"/>
  <c r="F93" i="3"/>
  <c r="E93" i="3"/>
  <c r="D93" i="3"/>
  <c r="B4" i="3" l="1"/>
  <c r="BF137" i="3" l="1"/>
  <c r="BF136" i="3"/>
  <c r="BF135" i="3"/>
  <c r="BF134" i="3"/>
  <c r="BF133" i="3"/>
  <c r="BF131" i="3"/>
  <c r="BF130" i="3"/>
  <c r="BF129" i="3"/>
  <c r="BF128" i="3"/>
  <c r="BF120" i="3"/>
  <c r="BF119" i="3"/>
  <c r="BF118" i="3"/>
  <c r="BF117" i="3"/>
  <c r="BF115" i="3"/>
  <c r="BF109" i="3" s="1"/>
  <c r="BF114" i="3"/>
  <c r="BF108" i="3" s="1"/>
  <c r="BF113" i="3"/>
  <c r="BF107" i="3" s="1"/>
  <c r="BF112" i="3"/>
  <c r="BF106" i="3" s="1"/>
  <c r="BF85" i="3"/>
  <c r="BF100" i="3" s="1"/>
  <c r="BF97" i="3" s="1"/>
  <c r="BF80" i="3"/>
  <c r="BF95" i="3" s="1"/>
  <c r="BF79" i="3"/>
  <c r="BF94" i="3" s="1"/>
  <c r="BF77" i="3" s="1"/>
  <c r="BF64" i="3"/>
  <c r="BF63" i="3"/>
  <c r="BF62" i="3"/>
  <c r="BF61" i="3"/>
  <c r="BF60" i="3"/>
  <c r="BF54" i="3"/>
  <c r="BF53" i="3"/>
  <c r="BF52" i="3"/>
  <c r="BF51" i="3"/>
  <c r="BF50" i="3"/>
  <c r="BF48" i="3"/>
  <c r="BF47" i="3"/>
  <c r="BF46" i="3"/>
  <c r="BF45" i="3"/>
  <c r="BF39" i="3"/>
  <c r="BF38" i="3"/>
  <c r="BF37" i="3"/>
  <c r="BF36" i="3"/>
  <c r="BF35" i="3"/>
  <c r="BF29" i="3"/>
  <c r="BF24" i="3"/>
  <c r="BF116" i="3" s="1"/>
  <c r="BF19" i="3"/>
  <c r="BF110" i="3" s="1"/>
  <c r="BF14" i="3"/>
  <c r="BF126" i="3" s="1"/>
  <c r="BF9" i="3"/>
  <c r="BF78" i="3" l="1"/>
  <c r="BF93" i="3" s="1"/>
  <c r="BF76" i="3" s="1"/>
  <c r="BF75" i="3" s="1"/>
  <c r="BF140" i="3" s="1"/>
  <c r="BF142" i="3" s="1"/>
  <c r="BF49" i="3"/>
  <c r="BF44" i="3"/>
  <c r="BF122" i="3"/>
  <c r="BF125" i="3"/>
  <c r="BF124" i="3"/>
  <c r="BF123" i="3"/>
  <c r="BF34" i="3"/>
  <c r="BF70" i="3"/>
  <c r="BF111" i="3"/>
  <c r="BF105" i="3" s="1"/>
  <c r="BF127" i="3"/>
  <c r="BF121" i="3" s="1"/>
  <c r="BF59" i="3"/>
  <c r="E5" i="3"/>
  <c r="D5" i="3"/>
  <c r="BF92" i="3" l="1"/>
  <c r="AE4" i="3"/>
  <c r="AK4" i="3"/>
  <c r="AH4" i="3"/>
  <c r="D9" i="3"/>
  <c r="E9" i="3"/>
  <c r="F9" i="3"/>
  <c r="G9" i="3"/>
  <c r="I9" i="3"/>
  <c r="J9" i="3"/>
  <c r="L9" i="3"/>
  <c r="M9" i="3"/>
  <c r="R9" i="3"/>
  <c r="S9" i="3"/>
  <c r="U9" i="3"/>
  <c r="V9" i="3"/>
  <c r="X9" i="3"/>
  <c r="Y9" i="3"/>
  <c r="AD9" i="3"/>
  <c r="AE9" i="3"/>
  <c r="AG9" i="3"/>
  <c r="AH9" i="3"/>
  <c r="AJ9" i="3"/>
  <c r="AK9" i="3"/>
  <c r="AP9" i="3"/>
  <c r="AQ9" i="3"/>
  <c r="AS9" i="3"/>
  <c r="AT9" i="3"/>
  <c r="AV9" i="3"/>
  <c r="AW9" i="3"/>
  <c r="BE9" i="3"/>
  <c r="H10" i="3"/>
  <c r="K10" i="3"/>
  <c r="N10" i="3"/>
  <c r="O10" i="3"/>
  <c r="P10" i="3"/>
  <c r="T10" i="3"/>
  <c r="W10" i="3"/>
  <c r="Z10" i="3"/>
  <c r="AA10" i="3"/>
  <c r="AB10" i="3"/>
  <c r="AF10" i="3"/>
  <c r="AI10" i="3"/>
  <c r="AL10" i="3"/>
  <c r="AM10" i="3"/>
  <c r="AN10" i="3"/>
  <c r="AR10" i="3"/>
  <c r="AU10" i="3"/>
  <c r="AX10" i="3"/>
  <c r="AY10" i="3"/>
  <c r="AZ10" i="3"/>
  <c r="BB10" i="3"/>
  <c r="BG10" i="3" s="1"/>
  <c r="BC10" i="3"/>
  <c r="H11" i="3"/>
  <c r="K11" i="3"/>
  <c r="N11" i="3"/>
  <c r="O11" i="3"/>
  <c r="P11" i="3"/>
  <c r="T11" i="3"/>
  <c r="W11" i="3"/>
  <c r="Z11" i="3"/>
  <c r="AA11" i="3"/>
  <c r="AB11" i="3"/>
  <c r="AF11" i="3"/>
  <c r="AI11" i="3"/>
  <c r="AL11" i="3"/>
  <c r="AM11" i="3"/>
  <c r="AN11" i="3"/>
  <c r="AR11" i="3"/>
  <c r="AU11" i="3"/>
  <c r="AX11" i="3"/>
  <c r="AY11" i="3"/>
  <c r="AZ11" i="3"/>
  <c r="BB11" i="3"/>
  <c r="BG11" i="3" s="1"/>
  <c r="BC11" i="3"/>
  <c r="H12" i="3"/>
  <c r="K12" i="3"/>
  <c r="N12" i="3"/>
  <c r="O12" i="3"/>
  <c r="P12" i="3"/>
  <c r="T12" i="3"/>
  <c r="W12" i="3"/>
  <c r="Z12" i="3"/>
  <c r="AA12" i="3"/>
  <c r="AB12" i="3"/>
  <c r="AF12" i="3"/>
  <c r="AI12" i="3"/>
  <c r="AL12" i="3"/>
  <c r="AM12" i="3"/>
  <c r="AN12" i="3"/>
  <c r="AR12" i="3"/>
  <c r="AU12" i="3"/>
  <c r="AX12" i="3"/>
  <c r="AY12" i="3"/>
  <c r="AZ12" i="3"/>
  <c r="BB12" i="3"/>
  <c r="BG12" i="3" s="1"/>
  <c r="BC12" i="3"/>
  <c r="H13" i="3"/>
  <c r="K13" i="3"/>
  <c r="N13" i="3"/>
  <c r="O13" i="3"/>
  <c r="P13" i="3"/>
  <c r="T13" i="3"/>
  <c r="W13" i="3"/>
  <c r="Z13" i="3"/>
  <c r="AA13" i="3"/>
  <c r="AB13" i="3"/>
  <c r="AF13" i="3"/>
  <c r="AI13" i="3"/>
  <c r="AL13" i="3"/>
  <c r="AM13" i="3"/>
  <c r="AN13" i="3"/>
  <c r="AR13" i="3"/>
  <c r="AU13" i="3"/>
  <c r="AX13" i="3"/>
  <c r="AY13" i="3"/>
  <c r="AZ13" i="3"/>
  <c r="BB13" i="3"/>
  <c r="BC13" i="3"/>
  <c r="D14" i="3"/>
  <c r="D127" i="3" s="1"/>
  <c r="E14" i="3"/>
  <c r="E127" i="3" s="1"/>
  <c r="F14" i="3"/>
  <c r="G14" i="3"/>
  <c r="G126" i="3" s="1"/>
  <c r="I14" i="3"/>
  <c r="I127" i="3" s="1"/>
  <c r="J14" i="3"/>
  <c r="L14" i="3"/>
  <c r="M14" i="3"/>
  <c r="R14" i="3"/>
  <c r="R126" i="3" s="1"/>
  <c r="S14" i="3"/>
  <c r="S127" i="3" s="1"/>
  <c r="U14" i="3"/>
  <c r="V14" i="3"/>
  <c r="V127" i="3" s="1"/>
  <c r="X14" i="3"/>
  <c r="X126" i="3" s="1"/>
  <c r="Y14" i="3"/>
  <c r="Y126" i="3" s="1"/>
  <c r="AD14" i="3"/>
  <c r="AD127" i="3" s="1"/>
  <c r="AE14" i="3"/>
  <c r="AE126" i="3" s="1"/>
  <c r="AG14" i="3"/>
  <c r="AG126" i="3" s="1"/>
  <c r="AH14" i="3"/>
  <c r="AJ14" i="3"/>
  <c r="AK14" i="3"/>
  <c r="AK127" i="3" s="1"/>
  <c r="AP14" i="3"/>
  <c r="AP126" i="3" s="1"/>
  <c r="AQ14" i="3"/>
  <c r="AS14" i="3"/>
  <c r="AT14" i="3"/>
  <c r="AT126" i="3" s="1"/>
  <c r="AV14" i="3"/>
  <c r="AV127" i="3" s="1"/>
  <c r="AW14" i="3"/>
  <c r="BE14" i="3"/>
  <c r="H15" i="3"/>
  <c r="K15" i="3"/>
  <c r="N15" i="3"/>
  <c r="O15" i="3"/>
  <c r="P15" i="3"/>
  <c r="P128" i="3" s="1"/>
  <c r="T15" i="3"/>
  <c r="W15" i="3"/>
  <c r="Z15" i="3"/>
  <c r="AA15" i="3"/>
  <c r="AA128" i="3" s="1"/>
  <c r="AB15" i="3"/>
  <c r="AF15" i="3"/>
  <c r="AI15" i="3"/>
  <c r="AL15" i="3"/>
  <c r="AM15" i="3"/>
  <c r="AN15" i="3"/>
  <c r="AN128" i="3" s="1"/>
  <c r="AR15" i="3"/>
  <c r="AU15" i="3"/>
  <c r="AX15" i="3"/>
  <c r="AY15" i="3"/>
  <c r="AY128" i="3" s="1"/>
  <c r="AZ15" i="3"/>
  <c r="BB15" i="3"/>
  <c r="BG15" i="3" s="1"/>
  <c r="BG128" i="3" s="1"/>
  <c r="BC15" i="3"/>
  <c r="BC128" i="3" s="1"/>
  <c r="H16" i="3"/>
  <c r="K16" i="3"/>
  <c r="N16" i="3"/>
  <c r="O16" i="3"/>
  <c r="O129" i="3" s="1"/>
  <c r="P16" i="3"/>
  <c r="P129" i="3" s="1"/>
  <c r="T16" i="3"/>
  <c r="W16" i="3"/>
  <c r="Z16" i="3"/>
  <c r="AA16" i="3"/>
  <c r="AA129" i="3" s="1"/>
  <c r="AB16" i="3"/>
  <c r="AF16" i="3"/>
  <c r="AI16" i="3"/>
  <c r="AL16" i="3"/>
  <c r="AM16" i="3"/>
  <c r="AN16" i="3"/>
  <c r="AN129" i="3" s="1"/>
  <c r="AR16" i="3"/>
  <c r="AU16" i="3"/>
  <c r="AX16" i="3"/>
  <c r="AY16" i="3"/>
  <c r="AY129" i="3" s="1"/>
  <c r="AZ16" i="3"/>
  <c r="AZ129" i="3" s="1"/>
  <c r="BB16" i="3"/>
  <c r="BB129" i="3" s="1"/>
  <c r="BC16" i="3"/>
  <c r="H17" i="3"/>
  <c r="K17" i="3"/>
  <c r="N17" i="3"/>
  <c r="O17" i="3"/>
  <c r="P17" i="3"/>
  <c r="P130" i="3" s="1"/>
  <c r="T17" i="3"/>
  <c r="W17" i="3"/>
  <c r="Z17" i="3"/>
  <c r="AA17" i="3"/>
  <c r="AA130" i="3" s="1"/>
  <c r="AB17" i="3"/>
  <c r="AB130" i="3" s="1"/>
  <c r="AF17" i="3"/>
  <c r="AI17" i="3"/>
  <c r="AL17" i="3"/>
  <c r="AM17" i="3"/>
  <c r="AM130" i="3" s="1"/>
  <c r="AN17" i="3"/>
  <c r="AR17" i="3"/>
  <c r="AU17" i="3"/>
  <c r="AX17" i="3"/>
  <c r="AY17" i="3"/>
  <c r="AZ17" i="3"/>
  <c r="AZ130" i="3" s="1"/>
  <c r="BB17" i="3"/>
  <c r="BG17" i="3" s="1"/>
  <c r="BC17" i="3"/>
  <c r="H18" i="3"/>
  <c r="K18" i="3"/>
  <c r="N18" i="3"/>
  <c r="O18" i="3"/>
  <c r="O131" i="3" s="1"/>
  <c r="P18" i="3"/>
  <c r="P131" i="3" s="1"/>
  <c r="T18" i="3"/>
  <c r="W18" i="3"/>
  <c r="Z18" i="3"/>
  <c r="AA18" i="3"/>
  <c r="AA131" i="3" s="1"/>
  <c r="AB18" i="3"/>
  <c r="AF18" i="3"/>
  <c r="AI18" i="3"/>
  <c r="AL18" i="3"/>
  <c r="AM18" i="3"/>
  <c r="AN18" i="3"/>
  <c r="AR18" i="3"/>
  <c r="AU18" i="3"/>
  <c r="AX18" i="3"/>
  <c r="AY18" i="3"/>
  <c r="AY131" i="3" s="1"/>
  <c r="AZ18" i="3"/>
  <c r="BB18" i="3"/>
  <c r="BG18" i="3" s="1"/>
  <c r="BG131" i="3" s="1"/>
  <c r="BC18" i="3"/>
  <c r="D19" i="3"/>
  <c r="E19" i="3"/>
  <c r="E34" i="3" s="1"/>
  <c r="F19" i="3"/>
  <c r="F34" i="3" s="1"/>
  <c r="G19" i="3"/>
  <c r="I19" i="3"/>
  <c r="J19" i="3"/>
  <c r="J59" i="3" s="1"/>
  <c r="L19" i="3"/>
  <c r="L34" i="3" s="1"/>
  <c r="M19" i="3"/>
  <c r="R19" i="3"/>
  <c r="R34" i="3" s="1"/>
  <c r="S19" i="3"/>
  <c r="S59" i="3" s="1"/>
  <c r="U19" i="3"/>
  <c r="U59" i="3" s="1"/>
  <c r="V19" i="3"/>
  <c r="X19" i="3"/>
  <c r="X110" i="3" s="1"/>
  <c r="Y19" i="3"/>
  <c r="AD19" i="3"/>
  <c r="AD34" i="3" s="1"/>
  <c r="AE19" i="3"/>
  <c r="AG19" i="3"/>
  <c r="AG110" i="3" s="1"/>
  <c r="AH19" i="3"/>
  <c r="AH59" i="3" s="1"/>
  <c r="AJ19" i="3"/>
  <c r="AJ111" i="3" s="1"/>
  <c r="AJ105" i="3" s="1"/>
  <c r="AK19" i="3"/>
  <c r="AP19" i="3"/>
  <c r="AP111" i="3" s="1"/>
  <c r="AP105" i="3" s="1"/>
  <c r="AQ19" i="3"/>
  <c r="AQ110" i="3" s="1"/>
  <c r="AS19" i="3"/>
  <c r="AS34" i="3" s="1"/>
  <c r="AT19" i="3"/>
  <c r="AT34" i="3" s="1"/>
  <c r="AV19" i="3"/>
  <c r="AV34" i="3" s="1"/>
  <c r="AW19" i="3"/>
  <c r="AW34" i="3" s="1"/>
  <c r="BE19" i="3"/>
  <c r="BE111" i="3" s="1"/>
  <c r="BE105" i="3" s="1"/>
  <c r="H20" i="3"/>
  <c r="K20" i="3"/>
  <c r="N20" i="3"/>
  <c r="O20" i="3"/>
  <c r="O35" i="3" s="1"/>
  <c r="P20" i="3"/>
  <c r="P35" i="3" s="1"/>
  <c r="T20" i="3"/>
  <c r="W20" i="3"/>
  <c r="Z20" i="3"/>
  <c r="AA20" i="3"/>
  <c r="AB20" i="3"/>
  <c r="AB35" i="3" s="1"/>
  <c r="AF20" i="3"/>
  <c r="AI20" i="3"/>
  <c r="AL20" i="3"/>
  <c r="AM20" i="3"/>
  <c r="AM112" i="3" s="1"/>
  <c r="AM106" i="3" s="1"/>
  <c r="AN20" i="3"/>
  <c r="AN35" i="3" s="1"/>
  <c r="AR20" i="3"/>
  <c r="AU20" i="3"/>
  <c r="AX20" i="3"/>
  <c r="AY20" i="3"/>
  <c r="AY112" i="3" s="1"/>
  <c r="AY106" i="3" s="1"/>
  <c r="AZ20" i="3"/>
  <c r="BB20" i="3"/>
  <c r="BG20" i="3" s="1"/>
  <c r="BC20" i="3"/>
  <c r="BC112" i="3" s="1"/>
  <c r="H21" i="3"/>
  <c r="K21" i="3"/>
  <c r="N21" i="3"/>
  <c r="O21" i="3"/>
  <c r="O113" i="3" s="1"/>
  <c r="O107" i="3" s="1"/>
  <c r="P21" i="3"/>
  <c r="P61" i="3" s="1"/>
  <c r="T21" i="3"/>
  <c r="W21" i="3"/>
  <c r="Z21" i="3"/>
  <c r="AA21" i="3"/>
  <c r="AA36" i="3" s="1"/>
  <c r="AB21" i="3"/>
  <c r="AB61" i="3" s="1"/>
  <c r="AF21" i="3"/>
  <c r="AI21" i="3"/>
  <c r="AL21" i="3"/>
  <c r="AM21" i="3"/>
  <c r="AM36" i="3" s="1"/>
  <c r="AN21" i="3"/>
  <c r="AR21" i="3"/>
  <c r="AU21" i="3"/>
  <c r="AX21" i="3"/>
  <c r="AY21" i="3"/>
  <c r="AY36" i="3" s="1"/>
  <c r="AZ21" i="3"/>
  <c r="BB21" i="3"/>
  <c r="BG21" i="3" s="1"/>
  <c r="BG113" i="3" s="1"/>
  <c r="BG107" i="3" s="1"/>
  <c r="BC21" i="3"/>
  <c r="BC113" i="3" s="1"/>
  <c r="BC107" i="3" s="1"/>
  <c r="H22" i="3"/>
  <c r="K22" i="3"/>
  <c r="N22" i="3"/>
  <c r="O22" i="3"/>
  <c r="O114" i="3" s="1"/>
  <c r="O108" i="3" s="1"/>
  <c r="P22" i="3"/>
  <c r="P62" i="3" s="1"/>
  <c r="T22" i="3"/>
  <c r="W22" i="3"/>
  <c r="Z22" i="3"/>
  <c r="AA22" i="3"/>
  <c r="AA114" i="3" s="1"/>
  <c r="AA108" i="3" s="1"/>
  <c r="AB22" i="3"/>
  <c r="AB37" i="3" s="1"/>
  <c r="AF22" i="3"/>
  <c r="AI22" i="3"/>
  <c r="AL22" i="3"/>
  <c r="AM22" i="3"/>
  <c r="AM37" i="3" s="1"/>
  <c r="AN22" i="3"/>
  <c r="AN62" i="3" s="1"/>
  <c r="AR22" i="3"/>
  <c r="AU22" i="3"/>
  <c r="AX22" i="3"/>
  <c r="AY22" i="3"/>
  <c r="AY114" i="3" s="1"/>
  <c r="AY108" i="3" s="1"/>
  <c r="AZ22" i="3"/>
  <c r="AZ37" i="3" s="1"/>
  <c r="BB22" i="3"/>
  <c r="BG22" i="3" s="1"/>
  <c r="BG114" i="3" s="1"/>
  <c r="BG108" i="3" s="1"/>
  <c r="BC22" i="3"/>
  <c r="BC62" i="3" s="1"/>
  <c r="H23" i="3"/>
  <c r="K23" i="3"/>
  <c r="N23" i="3"/>
  <c r="O23" i="3"/>
  <c r="O115" i="3" s="1"/>
  <c r="O109" i="3" s="1"/>
  <c r="P23" i="3"/>
  <c r="T23" i="3"/>
  <c r="W23" i="3"/>
  <c r="Z23" i="3"/>
  <c r="AA23" i="3"/>
  <c r="AA63" i="3" s="1"/>
  <c r="AB23" i="3"/>
  <c r="AB115" i="3" s="1"/>
  <c r="AF23" i="3"/>
  <c r="AI23" i="3"/>
  <c r="AL23" i="3"/>
  <c r="AM23" i="3"/>
  <c r="AM115" i="3" s="1"/>
  <c r="AM109" i="3" s="1"/>
  <c r="AN23" i="3"/>
  <c r="AN115" i="3" s="1"/>
  <c r="AR23" i="3"/>
  <c r="AU23" i="3"/>
  <c r="AX23" i="3"/>
  <c r="AY23" i="3"/>
  <c r="AY38" i="3" s="1"/>
  <c r="AZ23" i="3"/>
  <c r="AZ63" i="3" s="1"/>
  <c r="BB23" i="3"/>
  <c r="BG23" i="3" s="1"/>
  <c r="BG115" i="3" s="1"/>
  <c r="BG109" i="3" s="1"/>
  <c r="BC23" i="3"/>
  <c r="BC38" i="3" s="1"/>
  <c r="D24" i="3"/>
  <c r="E24" i="3"/>
  <c r="E116" i="3" s="1"/>
  <c r="F24" i="3"/>
  <c r="F116" i="3" s="1"/>
  <c r="G24" i="3"/>
  <c r="I24" i="3"/>
  <c r="J24" i="3"/>
  <c r="K24" i="3" s="1"/>
  <c r="L24" i="3"/>
  <c r="L116" i="3" s="1"/>
  <c r="M24" i="3"/>
  <c r="M116" i="3" s="1"/>
  <c r="R24" i="3"/>
  <c r="S24" i="3"/>
  <c r="U24" i="3"/>
  <c r="V24" i="3"/>
  <c r="V116" i="3" s="1"/>
  <c r="X24" i="3"/>
  <c r="Y24" i="3"/>
  <c r="AD24" i="3"/>
  <c r="AD116" i="3" s="1"/>
  <c r="AE24" i="3"/>
  <c r="AE116" i="3" s="1"/>
  <c r="AG24" i="3"/>
  <c r="AH24" i="3"/>
  <c r="AJ24" i="3"/>
  <c r="AJ116" i="3" s="1"/>
  <c r="AK24" i="3"/>
  <c r="AK116" i="3" s="1"/>
  <c r="AP24" i="3"/>
  <c r="AP116" i="3" s="1"/>
  <c r="AQ24" i="3"/>
  <c r="AQ116" i="3" s="1"/>
  <c r="AS24" i="3"/>
  <c r="AT24" i="3"/>
  <c r="AT116" i="3" s="1"/>
  <c r="AV24" i="3"/>
  <c r="AW24" i="3"/>
  <c r="BE24" i="3"/>
  <c r="BE116" i="3" s="1"/>
  <c r="H25" i="3"/>
  <c r="K25" i="3"/>
  <c r="N25" i="3"/>
  <c r="O25" i="3"/>
  <c r="O117" i="3" s="1"/>
  <c r="P25" i="3"/>
  <c r="P117" i="3" s="1"/>
  <c r="T25" i="3"/>
  <c r="W25" i="3"/>
  <c r="Z25" i="3"/>
  <c r="AA25" i="3"/>
  <c r="AB25" i="3"/>
  <c r="AF25" i="3"/>
  <c r="AI25" i="3"/>
  <c r="AL25" i="3"/>
  <c r="AM25" i="3"/>
  <c r="AN25" i="3"/>
  <c r="AN117" i="3" s="1"/>
  <c r="AR25" i="3"/>
  <c r="AU25" i="3"/>
  <c r="AX25" i="3"/>
  <c r="AY25" i="3"/>
  <c r="AY117" i="3" s="1"/>
  <c r="AZ25" i="3"/>
  <c r="BB25" i="3"/>
  <c r="BC25" i="3"/>
  <c r="H26" i="3"/>
  <c r="K26" i="3"/>
  <c r="N26" i="3"/>
  <c r="O26" i="3"/>
  <c r="O118" i="3" s="1"/>
  <c r="P26" i="3"/>
  <c r="T26" i="3"/>
  <c r="W26" i="3"/>
  <c r="Z26" i="3"/>
  <c r="AA26" i="3"/>
  <c r="AB26" i="3"/>
  <c r="AB118" i="3" s="1"/>
  <c r="AF26" i="3"/>
  <c r="AI26" i="3"/>
  <c r="AL26" i="3"/>
  <c r="AM26" i="3"/>
  <c r="AM118" i="3" s="1"/>
  <c r="AN26" i="3"/>
  <c r="AR26" i="3"/>
  <c r="AU26" i="3"/>
  <c r="AX26" i="3"/>
  <c r="AY26" i="3"/>
  <c r="AZ26" i="3"/>
  <c r="BB26" i="3"/>
  <c r="BG26" i="3" s="1"/>
  <c r="BG118" i="3" s="1"/>
  <c r="BC26" i="3"/>
  <c r="BC118" i="3" s="1"/>
  <c r="H27" i="3"/>
  <c r="K27" i="3"/>
  <c r="N27" i="3"/>
  <c r="O27" i="3"/>
  <c r="O119" i="3" s="1"/>
  <c r="P27" i="3"/>
  <c r="P119" i="3" s="1"/>
  <c r="T27" i="3"/>
  <c r="W27" i="3"/>
  <c r="Z27" i="3"/>
  <c r="AA27" i="3"/>
  <c r="AA119" i="3" s="1"/>
  <c r="AB27" i="3"/>
  <c r="AF27" i="3"/>
  <c r="AI27" i="3"/>
  <c r="AL27" i="3"/>
  <c r="AM27" i="3"/>
  <c r="AN27" i="3"/>
  <c r="AO27" i="3" s="1"/>
  <c r="AR27" i="3"/>
  <c r="AU27" i="3"/>
  <c r="AX27" i="3"/>
  <c r="AY27" i="3"/>
  <c r="AY119" i="3" s="1"/>
  <c r="AZ27" i="3"/>
  <c r="AZ119" i="3" s="1"/>
  <c r="BB27" i="3"/>
  <c r="BG27" i="3" s="1"/>
  <c r="BG119" i="3" s="1"/>
  <c r="BC27" i="3"/>
  <c r="H28" i="3"/>
  <c r="K28" i="3"/>
  <c r="N28" i="3"/>
  <c r="O28" i="3"/>
  <c r="O120" i="3" s="1"/>
  <c r="P28" i="3"/>
  <c r="P120" i="3" s="1"/>
  <c r="T28" i="3"/>
  <c r="W28" i="3"/>
  <c r="Z28" i="3"/>
  <c r="AA28" i="3"/>
  <c r="AB28" i="3"/>
  <c r="AB120" i="3" s="1"/>
  <c r="AF28" i="3"/>
  <c r="AI28" i="3"/>
  <c r="AL28" i="3"/>
  <c r="AM28" i="3"/>
  <c r="AM120" i="3" s="1"/>
  <c r="AN28" i="3"/>
  <c r="AR28" i="3"/>
  <c r="AU28" i="3"/>
  <c r="AX28" i="3"/>
  <c r="AY28" i="3"/>
  <c r="AY120" i="3" s="1"/>
  <c r="AZ28" i="3"/>
  <c r="BB28" i="3"/>
  <c r="BG28" i="3" s="1"/>
  <c r="BG120" i="3" s="1"/>
  <c r="BC28" i="3"/>
  <c r="BC120" i="3" s="1"/>
  <c r="D29" i="3"/>
  <c r="E29" i="3"/>
  <c r="F29" i="3"/>
  <c r="G29" i="3"/>
  <c r="I29" i="3"/>
  <c r="J29" i="3"/>
  <c r="L29" i="3"/>
  <c r="M29" i="3"/>
  <c r="R29" i="3"/>
  <c r="S29" i="3"/>
  <c r="U29" i="3"/>
  <c r="V29" i="3"/>
  <c r="X29" i="3"/>
  <c r="Y29" i="3"/>
  <c r="AD29" i="3"/>
  <c r="AE29" i="3"/>
  <c r="AG29" i="3"/>
  <c r="AH29" i="3"/>
  <c r="AJ29" i="3"/>
  <c r="AK29" i="3"/>
  <c r="AP29" i="3"/>
  <c r="AQ29" i="3"/>
  <c r="AS29" i="3"/>
  <c r="AT29" i="3"/>
  <c r="AV29" i="3"/>
  <c r="AW29" i="3"/>
  <c r="BE29" i="3"/>
  <c r="H30" i="3"/>
  <c r="K30" i="3"/>
  <c r="N30" i="3"/>
  <c r="O30" i="3"/>
  <c r="P30" i="3"/>
  <c r="T30" i="3"/>
  <c r="W30" i="3"/>
  <c r="Z30" i="3"/>
  <c r="AA30" i="3"/>
  <c r="AB30" i="3"/>
  <c r="AF30" i="3"/>
  <c r="AI30" i="3"/>
  <c r="AL30" i="3"/>
  <c r="AM30" i="3"/>
  <c r="AN30" i="3"/>
  <c r="AR30" i="3"/>
  <c r="AU30" i="3"/>
  <c r="AX30" i="3"/>
  <c r="AY30" i="3"/>
  <c r="AZ30" i="3"/>
  <c r="BB30" i="3"/>
  <c r="BC30" i="3"/>
  <c r="H31" i="3"/>
  <c r="K31" i="3"/>
  <c r="N31" i="3"/>
  <c r="O31" i="3"/>
  <c r="P31" i="3"/>
  <c r="T31" i="3"/>
  <c r="W31" i="3"/>
  <c r="Z31" i="3"/>
  <c r="AA31" i="3"/>
  <c r="AB31" i="3"/>
  <c r="AF31" i="3"/>
  <c r="AI31" i="3"/>
  <c r="AL31" i="3"/>
  <c r="AM31" i="3"/>
  <c r="AN31" i="3"/>
  <c r="AR31" i="3"/>
  <c r="AU31" i="3"/>
  <c r="AX31" i="3"/>
  <c r="AY31" i="3"/>
  <c r="AZ31" i="3"/>
  <c r="BB31" i="3"/>
  <c r="BG31" i="3" s="1"/>
  <c r="BC31" i="3"/>
  <c r="H32" i="3"/>
  <c r="K32" i="3"/>
  <c r="N32" i="3"/>
  <c r="O32" i="3"/>
  <c r="P32" i="3"/>
  <c r="T32" i="3"/>
  <c r="W32" i="3"/>
  <c r="Z32" i="3"/>
  <c r="AA32" i="3"/>
  <c r="AB32" i="3"/>
  <c r="AF32" i="3"/>
  <c r="AI32" i="3"/>
  <c r="AL32" i="3"/>
  <c r="AM32" i="3"/>
  <c r="AN32" i="3"/>
  <c r="AR32" i="3"/>
  <c r="AU32" i="3"/>
  <c r="AX32" i="3"/>
  <c r="AY32" i="3"/>
  <c r="AZ32" i="3"/>
  <c r="BB32" i="3"/>
  <c r="BG32" i="3" s="1"/>
  <c r="BC32" i="3"/>
  <c r="H33" i="3"/>
  <c r="K33" i="3"/>
  <c r="N33" i="3"/>
  <c r="O33" i="3"/>
  <c r="P33" i="3"/>
  <c r="T33" i="3"/>
  <c r="W33" i="3"/>
  <c r="Z33" i="3"/>
  <c r="AA33" i="3"/>
  <c r="AB33" i="3"/>
  <c r="AF33" i="3"/>
  <c r="AI33" i="3"/>
  <c r="AL33" i="3"/>
  <c r="AM33" i="3"/>
  <c r="AN33" i="3"/>
  <c r="AR33" i="3"/>
  <c r="AU33" i="3"/>
  <c r="AX33" i="3"/>
  <c r="AY33" i="3"/>
  <c r="AZ33" i="3"/>
  <c r="BB33" i="3"/>
  <c r="BG33" i="3" s="1"/>
  <c r="BC33" i="3"/>
  <c r="G34" i="3"/>
  <c r="AE34" i="3"/>
  <c r="AK34" i="3"/>
  <c r="D35" i="3"/>
  <c r="E35" i="3"/>
  <c r="F35" i="3"/>
  <c r="G35" i="3"/>
  <c r="I35" i="3"/>
  <c r="J35" i="3"/>
  <c r="L35" i="3"/>
  <c r="M35" i="3"/>
  <c r="R35" i="3"/>
  <c r="S35" i="3"/>
  <c r="U35" i="3"/>
  <c r="V35" i="3"/>
  <c r="X35" i="3"/>
  <c r="Y35" i="3"/>
  <c r="AD35" i="3"/>
  <c r="AE35" i="3"/>
  <c r="AG35" i="3"/>
  <c r="AH35" i="3"/>
  <c r="AJ35" i="3"/>
  <c r="AK35" i="3"/>
  <c r="AP35" i="3"/>
  <c r="AQ35" i="3"/>
  <c r="AS35" i="3"/>
  <c r="AT35" i="3"/>
  <c r="AV35" i="3"/>
  <c r="AW35" i="3"/>
  <c r="BE35" i="3"/>
  <c r="D36" i="3"/>
  <c r="E36" i="3"/>
  <c r="F36" i="3"/>
  <c r="G36" i="3"/>
  <c r="I36" i="3"/>
  <c r="J36" i="3"/>
  <c r="L36" i="3"/>
  <c r="M36" i="3"/>
  <c r="R36" i="3"/>
  <c r="S36" i="3"/>
  <c r="U36" i="3"/>
  <c r="V36" i="3"/>
  <c r="X36" i="3"/>
  <c r="Y36" i="3"/>
  <c r="AD36" i="3"/>
  <c r="AE36" i="3"/>
  <c r="AG36" i="3"/>
  <c r="AH36" i="3"/>
  <c r="AJ36" i="3"/>
  <c r="AK36" i="3"/>
  <c r="AN36" i="3"/>
  <c r="AP36" i="3"/>
  <c r="AQ36" i="3"/>
  <c r="AS36" i="3"/>
  <c r="AT36" i="3"/>
  <c r="AV36" i="3"/>
  <c r="AW36" i="3"/>
  <c r="BE36" i="3"/>
  <c r="D37" i="3"/>
  <c r="E37" i="3"/>
  <c r="F37" i="3"/>
  <c r="G37" i="3"/>
  <c r="I37" i="3"/>
  <c r="J37" i="3"/>
  <c r="L37" i="3"/>
  <c r="M37" i="3"/>
  <c r="R37" i="3"/>
  <c r="S37" i="3"/>
  <c r="U37" i="3"/>
  <c r="V37" i="3"/>
  <c r="X37" i="3"/>
  <c r="Y37" i="3"/>
  <c r="AD37" i="3"/>
  <c r="AE37" i="3"/>
  <c r="AG37" i="3"/>
  <c r="AH37" i="3"/>
  <c r="AJ37" i="3"/>
  <c r="AK37" i="3"/>
  <c r="AP37" i="3"/>
  <c r="AQ37" i="3"/>
  <c r="AS37" i="3"/>
  <c r="AT37" i="3"/>
  <c r="AV37" i="3"/>
  <c r="AW37" i="3"/>
  <c r="BE37" i="3"/>
  <c r="D38" i="3"/>
  <c r="E38" i="3"/>
  <c r="F38" i="3"/>
  <c r="G38" i="3"/>
  <c r="I38" i="3"/>
  <c r="J38" i="3"/>
  <c r="L38" i="3"/>
  <c r="M38" i="3"/>
  <c r="R38" i="3"/>
  <c r="S38" i="3"/>
  <c r="U38" i="3"/>
  <c r="V38" i="3"/>
  <c r="X38" i="3"/>
  <c r="Y38" i="3"/>
  <c r="AD38" i="3"/>
  <c r="AE38" i="3"/>
  <c r="AG38" i="3"/>
  <c r="AH38" i="3"/>
  <c r="AJ38" i="3"/>
  <c r="AK38" i="3"/>
  <c r="AP38" i="3"/>
  <c r="AQ38" i="3"/>
  <c r="AS38" i="3"/>
  <c r="AT38" i="3"/>
  <c r="AV38" i="3"/>
  <c r="AW38" i="3"/>
  <c r="BE38" i="3"/>
  <c r="D39" i="3"/>
  <c r="E39" i="3"/>
  <c r="E49" i="3" s="1"/>
  <c r="F39" i="3"/>
  <c r="F49" i="3" s="1"/>
  <c r="G39" i="3"/>
  <c r="G70" i="3" s="1"/>
  <c r="I39" i="3"/>
  <c r="J39" i="3"/>
  <c r="J49" i="3" s="1"/>
  <c r="L39" i="3"/>
  <c r="M39" i="3"/>
  <c r="R39" i="3"/>
  <c r="S39" i="3"/>
  <c r="U39" i="3"/>
  <c r="U70" i="3" s="1"/>
  <c r="V39" i="3"/>
  <c r="X39" i="3"/>
  <c r="X49" i="3" s="1"/>
  <c r="Y39" i="3"/>
  <c r="AD39" i="3"/>
  <c r="AE39" i="3"/>
  <c r="AE70" i="3" s="1"/>
  <c r="AG39" i="3"/>
  <c r="AH39" i="3"/>
  <c r="AH49" i="3" s="1"/>
  <c r="AJ39" i="3"/>
  <c r="AK39" i="3"/>
  <c r="AK70" i="3" s="1"/>
  <c r="AP39" i="3"/>
  <c r="AP49" i="3" s="1"/>
  <c r="AQ39" i="3"/>
  <c r="AQ70" i="3" s="1"/>
  <c r="AS39" i="3"/>
  <c r="AS70" i="3" s="1"/>
  <c r="AT39" i="3"/>
  <c r="AV39" i="3"/>
  <c r="AV49" i="3" s="1"/>
  <c r="AW39" i="3"/>
  <c r="AW49" i="3" s="1"/>
  <c r="BE39" i="3"/>
  <c r="H40" i="3"/>
  <c r="K40" i="3"/>
  <c r="N40" i="3"/>
  <c r="O40" i="3"/>
  <c r="O50" i="3" s="1"/>
  <c r="P40" i="3"/>
  <c r="P50" i="3" s="1"/>
  <c r="T40" i="3"/>
  <c r="W40" i="3"/>
  <c r="Z40" i="3"/>
  <c r="AA40" i="3"/>
  <c r="AA50" i="3" s="1"/>
  <c r="AB40" i="3"/>
  <c r="AF40" i="3"/>
  <c r="AI40" i="3"/>
  <c r="AL40" i="3"/>
  <c r="AM40" i="3"/>
  <c r="AM50" i="3" s="1"/>
  <c r="AN40" i="3"/>
  <c r="AN50" i="3" s="1"/>
  <c r="AR40" i="3"/>
  <c r="AU40" i="3"/>
  <c r="AX40" i="3"/>
  <c r="AY40" i="3"/>
  <c r="AY50" i="3" s="1"/>
  <c r="AZ40" i="3"/>
  <c r="BB40" i="3"/>
  <c r="BB50" i="3" s="1"/>
  <c r="BC40" i="3"/>
  <c r="H41" i="3"/>
  <c r="K41" i="3"/>
  <c r="N41" i="3"/>
  <c r="O41" i="3"/>
  <c r="O51" i="3" s="1"/>
  <c r="P41" i="3"/>
  <c r="T41" i="3"/>
  <c r="W41" i="3"/>
  <c r="Z41" i="3"/>
  <c r="AA41" i="3"/>
  <c r="AA51" i="3" s="1"/>
  <c r="AB41" i="3"/>
  <c r="AF41" i="3"/>
  <c r="AI41" i="3"/>
  <c r="AL41" i="3"/>
  <c r="AM41" i="3"/>
  <c r="AM51" i="3" s="1"/>
  <c r="AN41" i="3"/>
  <c r="AR41" i="3"/>
  <c r="AU41" i="3"/>
  <c r="AX41" i="3"/>
  <c r="AY41" i="3"/>
  <c r="AY51" i="3" s="1"/>
  <c r="AZ41" i="3"/>
  <c r="AZ51" i="3" s="1"/>
  <c r="BB41" i="3"/>
  <c r="BB46" i="3" s="1"/>
  <c r="BC41" i="3"/>
  <c r="BC51" i="3" s="1"/>
  <c r="H42" i="3"/>
  <c r="K42" i="3"/>
  <c r="N42" i="3"/>
  <c r="O42" i="3"/>
  <c r="O52" i="3" s="1"/>
  <c r="P42" i="3"/>
  <c r="T42" i="3"/>
  <c r="W42" i="3"/>
  <c r="Z42" i="3"/>
  <c r="AA42" i="3"/>
  <c r="AA52" i="3" s="1"/>
  <c r="AB42" i="3"/>
  <c r="AB52" i="3" s="1"/>
  <c r="AF42" i="3"/>
  <c r="AI42" i="3"/>
  <c r="AL42" i="3"/>
  <c r="AM42" i="3"/>
  <c r="AM52" i="3" s="1"/>
  <c r="AN42" i="3"/>
  <c r="AN47" i="3" s="1"/>
  <c r="AR42" i="3"/>
  <c r="AU42" i="3"/>
  <c r="AX42" i="3"/>
  <c r="AY42" i="3"/>
  <c r="AY52" i="3" s="1"/>
  <c r="AZ42" i="3"/>
  <c r="AZ52" i="3" s="1"/>
  <c r="BB42" i="3"/>
  <c r="BC42" i="3"/>
  <c r="BC52" i="3" s="1"/>
  <c r="H43" i="3"/>
  <c r="K43" i="3"/>
  <c r="N43" i="3"/>
  <c r="O43" i="3"/>
  <c r="P43" i="3"/>
  <c r="P53" i="3" s="1"/>
  <c r="T43" i="3"/>
  <c r="W43" i="3"/>
  <c r="Z43" i="3"/>
  <c r="AA43" i="3"/>
  <c r="AA53" i="3" s="1"/>
  <c r="AB43" i="3"/>
  <c r="AF43" i="3"/>
  <c r="AI43" i="3"/>
  <c r="AL43" i="3"/>
  <c r="AM43" i="3"/>
  <c r="AM53" i="3" s="1"/>
  <c r="AN43" i="3"/>
  <c r="AN53" i="3" s="1"/>
  <c r="AR43" i="3"/>
  <c r="AU43" i="3"/>
  <c r="AX43" i="3"/>
  <c r="AY43" i="3"/>
  <c r="AY53" i="3" s="1"/>
  <c r="AZ43" i="3"/>
  <c r="AZ53" i="3" s="1"/>
  <c r="BB43" i="3"/>
  <c r="BG43" i="3" s="1"/>
  <c r="BC43" i="3"/>
  <c r="D45" i="3"/>
  <c r="E45" i="3"/>
  <c r="F45" i="3"/>
  <c r="G45" i="3"/>
  <c r="I45" i="3"/>
  <c r="J45" i="3"/>
  <c r="L45" i="3"/>
  <c r="M45" i="3"/>
  <c r="R45" i="3"/>
  <c r="S45" i="3"/>
  <c r="U45" i="3"/>
  <c r="V45" i="3"/>
  <c r="X45" i="3"/>
  <c r="Y45" i="3"/>
  <c r="AD45" i="3"/>
  <c r="AE45" i="3"/>
  <c r="AG45" i="3"/>
  <c r="AH45" i="3"/>
  <c r="AJ45" i="3"/>
  <c r="AK45" i="3"/>
  <c r="AP45" i="3"/>
  <c r="AQ45" i="3"/>
  <c r="AS45" i="3"/>
  <c r="AT45" i="3"/>
  <c r="AV45" i="3"/>
  <c r="AW45" i="3"/>
  <c r="BE45" i="3"/>
  <c r="D46" i="3"/>
  <c r="E46" i="3"/>
  <c r="F46" i="3"/>
  <c r="G46" i="3"/>
  <c r="I46" i="3"/>
  <c r="J46" i="3"/>
  <c r="L46" i="3"/>
  <c r="M46" i="3"/>
  <c r="R46" i="3"/>
  <c r="S46" i="3"/>
  <c r="U46" i="3"/>
  <c r="V46" i="3"/>
  <c r="X46" i="3"/>
  <c r="Y46" i="3"/>
  <c r="AD46" i="3"/>
  <c r="AE46" i="3"/>
  <c r="AG46" i="3"/>
  <c r="AH46" i="3"/>
  <c r="AJ46" i="3"/>
  <c r="AK46" i="3"/>
  <c r="AP46" i="3"/>
  <c r="AQ46" i="3"/>
  <c r="AS46" i="3"/>
  <c r="AT46" i="3"/>
  <c r="AV46" i="3"/>
  <c r="AW46" i="3"/>
  <c r="BE46" i="3"/>
  <c r="D47" i="3"/>
  <c r="E47" i="3"/>
  <c r="F47" i="3"/>
  <c r="G47" i="3"/>
  <c r="I47" i="3"/>
  <c r="J47" i="3"/>
  <c r="L47" i="3"/>
  <c r="M47" i="3"/>
  <c r="R47" i="3"/>
  <c r="S47" i="3"/>
  <c r="U47" i="3"/>
  <c r="V47" i="3"/>
  <c r="X47" i="3"/>
  <c r="Y47" i="3"/>
  <c r="AD47" i="3"/>
  <c r="AE47" i="3"/>
  <c r="AG47" i="3"/>
  <c r="AH47" i="3"/>
  <c r="AJ47" i="3"/>
  <c r="AK47" i="3"/>
  <c r="AP47" i="3"/>
  <c r="AQ47" i="3"/>
  <c r="AS47" i="3"/>
  <c r="AT47" i="3"/>
  <c r="AV47" i="3"/>
  <c r="AW47" i="3"/>
  <c r="BE47" i="3"/>
  <c r="D48" i="3"/>
  <c r="E48" i="3"/>
  <c r="F48" i="3"/>
  <c r="G48" i="3"/>
  <c r="I48" i="3"/>
  <c r="J48" i="3"/>
  <c r="L48" i="3"/>
  <c r="M48" i="3"/>
  <c r="R48" i="3"/>
  <c r="S48" i="3"/>
  <c r="U48" i="3"/>
  <c r="V48" i="3"/>
  <c r="X48" i="3"/>
  <c r="Y48" i="3"/>
  <c r="AD48" i="3"/>
  <c r="AE48" i="3"/>
  <c r="AG48" i="3"/>
  <c r="AH48" i="3"/>
  <c r="AJ48" i="3"/>
  <c r="AK48" i="3"/>
  <c r="AP48" i="3"/>
  <c r="AQ48" i="3"/>
  <c r="AS48" i="3"/>
  <c r="AT48" i="3"/>
  <c r="AV48" i="3"/>
  <c r="AW48" i="3"/>
  <c r="BE48" i="3"/>
  <c r="D50" i="3"/>
  <c r="E50" i="3"/>
  <c r="F50" i="3"/>
  <c r="G50" i="3"/>
  <c r="I50" i="3"/>
  <c r="I65" i="3" s="1"/>
  <c r="O65" i="3" s="1"/>
  <c r="O133" i="3" s="1"/>
  <c r="J50" i="3"/>
  <c r="J65" i="3" s="1"/>
  <c r="L50" i="3"/>
  <c r="L65" i="3" s="1"/>
  <c r="M50" i="3"/>
  <c r="M65" i="3" s="1"/>
  <c r="R50" i="3"/>
  <c r="R65" i="3" s="1"/>
  <c r="S50" i="3"/>
  <c r="S65" i="3" s="1"/>
  <c r="U50" i="3"/>
  <c r="U65" i="3" s="1"/>
  <c r="V50" i="3"/>
  <c r="V65" i="3" s="1"/>
  <c r="X50" i="3"/>
  <c r="X65" i="3" s="1"/>
  <c r="Y50" i="3"/>
  <c r="Y65" i="3" s="1"/>
  <c r="AD50" i="3"/>
  <c r="AD65" i="3" s="1"/>
  <c r="AE50" i="3"/>
  <c r="AE65" i="3" s="1"/>
  <c r="AG50" i="3"/>
  <c r="AG65" i="3" s="1"/>
  <c r="AH50" i="3"/>
  <c r="AH65" i="3" s="1"/>
  <c r="AH133" i="3" s="1"/>
  <c r="AJ50" i="3"/>
  <c r="AJ65" i="3" s="1"/>
  <c r="AK50" i="3"/>
  <c r="AK65" i="3" s="1"/>
  <c r="AP50" i="3"/>
  <c r="AP65" i="3" s="1"/>
  <c r="AP133" i="3" s="1"/>
  <c r="AQ50" i="3"/>
  <c r="AQ65" i="3" s="1"/>
  <c r="AQ133" i="3" s="1"/>
  <c r="AS50" i="3"/>
  <c r="AS65" i="3" s="1"/>
  <c r="AT50" i="3"/>
  <c r="AT65" i="3" s="1"/>
  <c r="AV50" i="3"/>
  <c r="AV65" i="3" s="1"/>
  <c r="AW50" i="3"/>
  <c r="AW65" i="3" s="1"/>
  <c r="AW133" i="3" s="1"/>
  <c r="BE50" i="3"/>
  <c r="D51" i="3"/>
  <c r="E51" i="3"/>
  <c r="F51" i="3"/>
  <c r="G51" i="3"/>
  <c r="I51" i="3"/>
  <c r="I66" i="3" s="1"/>
  <c r="J51" i="3"/>
  <c r="J66" i="3" s="1"/>
  <c r="J134" i="3" s="1"/>
  <c r="L51" i="3"/>
  <c r="L66" i="3" s="1"/>
  <c r="M51" i="3"/>
  <c r="M66" i="3" s="1"/>
  <c r="R51" i="3"/>
  <c r="R66" i="3" s="1"/>
  <c r="S51" i="3"/>
  <c r="S66" i="3" s="1"/>
  <c r="S134" i="3" s="1"/>
  <c r="U51" i="3"/>
  <c r="U66" i="3" s="1"/>
  <c r="U134" i="3" s="1"/>
  <c r="V51" i="3"/>
  <c r="V66" i="3" s="1"/>
  <c r="X51" i="3"/>
  <c r="X66" i="3" s="1"/>
  <c r="Y51" i="3"/>
  <c r="Y66" i="3" s="1"/>
  <c r="AB51" i="3"/>
  <c r="AD51" i="3"/>
  <c r="AD66" i="3" s="1"/>
  <c r="AE51" i="3"/>
  <c r="AE66" i="3" s="1"/>
  <c r="AG51" i="3"/>
  <c r="AG66" i="3" s="1"/>
  <c r="AH51" i="3"/>
  <c r="AH66" i="3" s="1"/>
  <c r="AH134" i="3" s="1"/>
  <c r="AJ51" i="3"/>
  <c r="AJ66" i="3" s="1"/>
  <c r="AK51" i="3"/>
  <c r="AK66" i="3" s="1"/>
  <c r="AP51" i="3"/>
  <c r="AP66" i="3" s="1"/>
  <c r="AP134" i="3" s="1"/>
  <c r="AQ51" i="3"/>
  <c r="AQ66" i="3" s="1"/>
  <c r="AS51" i="3"/>
  <c r="AS66" i="3" s="1"/>
  <c r="AT51" i="3"/>
  <c r="AT66" i="3" s="1"/>
  <c r="AV51" i="3"/>
  <c r="AV66" i="3" s="1"/>
  <c r="AV134" i="3" s="1"/>
  <c r="AW51" i="3"/>
  <c r="AW66" i="3" s="1"/>
  <c r="AW134" i="3" s="1"/>
  <c r="BE51" i="3"/>
  <c r="D52" i="3"/>
  <c r="E52" i="3"/>
  <c r="F52" i="3"/>
  <c r="G52" i="3"/>
  <c r="I52" i="3"/>
  <c r="I67" i="3" s="1"/>
  <c r="J52" i="3"/>
  <c r="J67" i="3" s="1"/>
  <c r="L52" i="3"/>
  <c r="L67" i="3" s="1"/>
  <c r="O67" i="3" s="1"/>
  <c r="O135" i="3" s="1"/>
  <c r="M52" i="3"/>
  <c r="M67" i="3" s="1"/>
  <c r="R52" i="3"/>
  <c r="R67" i="3" s="1"/>
  <c r="S52" i="3"/>
  <c r="S67" i="3" s="1"/>
  <c r="U52" i="3"/>
  <c r="U67" i="3" s="1"/>
  <c r="AA67" i="3" s="1"/>
  <c r="AA135" i="3" s="1"/>
  <c r="V52" i="3"/>
  <c r="V67" i="3" s="1"/>
  <c r="X52" i="3"/>
  <c r="X67" i="3" s="1"/>
  <c r="Y52" i="3"/>
  <c r="Y67" i="3" s="1"/>
  <c r="Y135" i="3" s="1"/>
  <c r="AD52" i="3"/>
  <c r="AD67" i="3" s="1"/>
  <c r="AE52" i="3"/>
  <c r="AE67" i="3" s="1"/>
  <c r="AG52" i="3"/>
  <c r="AG67" i="3" s="1"/>
  <c r="AH52" i="3"/>
  <c r="AH67" i="3" s="1"/>
  <c r="AH135" i="3" s="1"/>
  <c r="AJ52" i="3"/>
  <c r="AJ67" i="3" s="1"/>
  <c r="AK52" i="3"/>
  <c r="AK67" i="3" s="1"/>
  <c r="AP52" i="3"/>
  <c r="AP67" i="3" s="1"/>
  <c r="AP135" i="3" s="1"/>
  <c r="AQ52" i="3"/>
  <c r="AQ67" i="3" s="1"/>
  <c r="AQ135" i="3" s="1"/>
  <c r="AS52" i="3"/>
  <c r="AS67" i="3" s="1"/>
  <c r="AT52" i="3"/>
  <c r="AT67" i="3" s="1"/>
  <c r="AV52" i="3"/>
  <c r="AV67" i="3" s="1"/>
  <c r="AV135" i="3" s="1"/>
  <c r="AW52" i="3"/>
  <c r="AW67" i="3" s="1"/>
  <c r="BE52" i="3"/>
  <c r="D53" i="3"/>
  <c r="E53" i="3"/>
  <c r="F53" i="3"/>
  <c r="G53" i="3"/>
  <c r="I53" i="3"/>
  <c r="I68" i="3" s="1"/>
  <c r="J53" i="3"/>
  <c r="J68" i="3" s="1"/>
  <c r="BC68" i="3" s="1"/>
  <c r="BC136" i="3" s="1"/>
  <c r="L53" i="3"/>
  <c r="L68" i="3" s="1"/>
  <c r="M53" i="3"/>
  <c r="M68" i="3" s="1"/>
  <c r="R53" i="3"/>
  <c r="R68" i="3" s="1"/>
  <c r="S53" i="3"/>
  <c r="S68" i="3" s="1"/>
  <c r="T68" i="3" s="1"/>
  <c r="U53" i="3"/>
  <c r="U68" i="3" s="1"/>
  <c r="V53" i="3"/>
  <c r="V68" i="3" s="1"/>
  <c r="X53" i="3"/>
  <c r="X68" i="3" s="1"/>
  <c r="Y53" i="3"/>
  <c r="Y68" i="3" s="1"/>
  <c r="Z68" i="3" s="1"/>
  <c r="AD53" i="3"/>
  <c r="AD68" i="3" s="1"/>
  <c r="AE53" i="3"/>
  <c r="AE68" i="3" s="1"/>
  <c r="AG53" i="3"/>
  <c r="AG68" i="3" s="1"/>
  <c r="AH53" i="3"/>
  <c r="AH68" i="3" s="1"/>
  <c r="AN68" i="3" s="1"/>
  <c r="AJ53" i="3"/>
  <c r="AJ68" i="3" s="1"/>
  <c r="AK53" i="3"/>
  <c r="AK68" i="3" s="1"/>
  <c r="AP53" i="3"/>
  <c r="AP68" i="3" s="1"/>
  <c r="AQ53" i="3"/>
  <c r="AQ68" i="3" s="1"/>
  <c r="AS53" i="3"/>
  <c r="AS68" i="3" s="1"/>
  <c r="AT53" i="3"/>
  <c r="AT68" i="3" s="1"/>
  <c r="AV53" i="3"/>
  <c r="AV68" i="3" s="1"/>
  <c r="AW53" i="3"/>
  <c r="AW68" i="3" s="1"/>
  <c r="AX68" i="3" s="1"/>
  <c r="BE53" i="3"/>
  <c r="D54" i="3"/>
  <c r="E54" i="3"/>
  <c r="F54" i="3"/>
  <c r="G54" i="3"/>
  <c r="I54" i="3"/>
  <c r="J54" i="3"/>
  <c r="L54" i="3"/>
  <c r="M54" i="3"/>
  <c r="R54" i="3"/>
  <c r="S54" i="3"/>
  <c r="U54" i="3"/>
  <c r="V54" i="3"/>
  <c r="X54" i="3"/>
  <c r="Y54" i="3"/>
  <c r="AD54" i="3"/>
  <c r="AE54" i="3"/>
  <c r="AG54" i="3"/>
  <c r="AH54" i="3"/>
  <c r="AJ54" i="3"/>
  <c r="AK54" i="3"/>
  <c r="AP54" i="3"/>
  <c r="AQ54" i="3"/>
  <c r="AS54" i="3"/>
  <c r="AT54" i="3"/>
  <c r="AV54" i="3"/>
  <c r="AW54" i="3"/>
  <c r="BE54" i="3"/>
  <c r="H55" i="3"/>
  <c r="K55" i="3"/>
  <c r="N55" i="3"/>
  <c r="O55" i="3"/>
  <c r="P55" i="3"/>
  <c r="T55" i="3"/>
  <c r="W55" i="3"/>
  <c r="Z55" i="3"/>
  <c r="AA55" i="3"/>
  <c r="AB55" i="3"/>
  <c r="AF55" i="3"/>
  <c r="AI55" i="3"/>
  <c r="AL55" i="3"/>
  <c r="AM55" i="3"/>
  <c r="AN55" i="3"/>
  <c r="AR55" i="3"/>
  <c r="AU55" i="3"/>
  <c r="AX55" i="3"/>
  <c r="AY55" i="3"/>
  <c r="AZ55" i="3"/>
  <c r="BB55" i="3"/>
  <c r="BG55" i="3" s="1"/>
  <c r="BC55" i="3"/>
  <c r="H56" i="3"/>
  <c r="K56" i="3"/>
  <c r="N56" i="3"/>
  <c r="O56" i="3"/>
  <c r="P56" i="3"/>
  <c r="T56" i="3"/>
  <c r="W56" i="3"/>
  <c r="Z56" i="3"/>
  <c r="AA56" i="3"/>
  <c r="AB56" i="3"/>
  <c r="AF56" i="3"/>
  <c r="AI56" i="3"/>
  <c r="AL56" i="3"/>
  <c r="AM56" i="3"/>
  <c r="AN56" i="3"/>
  <c r="AR56" i="3"/>
  <c r="AU56" i="3"/>
  <c r="AX56" i="3"/>
  <c r="AY56" i="3"/>
  <c r="AZ56" i="3"/>
  <c r="BB56" i="3"/>
  <c r="BG56" i="3" s="1"/>
  <c r="BC56" i="3"/>
  <c r="H57" i="3"/>
  <c r="K57" i="3"/>
  <c r="N57" i="3"/>
  <c r="O57" i="3"/>
  <c r="P57" i="3"/>
  <c r="T57" i="3"/>
  <c r="W57" i="3"/>
  <c r="Z57" i="3"/>
  <c r="AA57" i="3"/>
  <c r="AB57" i="3"/>
  <c r="AF57" i="3"/>
  <c r="AI57" i="3"/>
  <c r="AL57" i="3"/>
  <c r="AM57" i="3"/>
  <c r="AN57" i="3"/>
  <c r="AR57" i="3"/>
  <c r="AU57" i="3"/>
  <c r="AX57" i="3"/>
  <c r="AY57" i="3"/>
  <c r="AZ57" i="3"/>
  <c r="BB57" i="3"/>
  <c r="BG57" i="3" s="1"/>
  <c r="BC57" i="3"/>
  <c r="H58" i="3"/>
  <c r="K58" i="3"/>
  <c r="N58" i="3"/>
  <c r="O58" i="3"/>
  <c r="P58" i="3"/>
  <c r="T58" i="3"/>
  <c r="W58" i="3"/>
  <c r="Z58" i="3"/>
  <c r="AA58" i="3"/>
  <c r="AB58" i="3"/>
  <c r="AF58" i="3"/>
  <c r="AI58" i="3"/>
  <c r="AL58" i="3"/>
  <c r="AM58" i="3"/>
  <c r="AN58" i="3"/>
  <c r="AR58" i="3"/>
  <c r="AU58" i="3"/>
  <c r="AX58" i="3"/>
  <c r="AY58" i="3"/>
  <c r="AZ58" i="3"/>
  <c r="BB58" i="3"/>
  <c r="BG58" i="3" s="1"/>
  <c r="BC58" i="3"/>
  <c r="G59" i="3"/>
  <c r="M59" i="3"/>
  <c r="V59" i="3"/>
  <c r="Y59" i="3"/>
  <c r="AE59" i="3"/>
  <c r="AK59" i="3"/>
  <c r="AT59" i="3"/>
  <c r="AV59" i="3"/>
  <c r="D60" i="3"/>
  <c r="E60" i="3"/>
  <c r="F60" i="3"/>
  <c r="G60" i="3"/>
  <c r="I60" i="3"/>
  <c r="J60" i="3"/>
  <c r="L60" i="3"/>
  <c r="M60" i="3"/>
  <c r="R60" i="3"/>
  <c r="S60" i="3"/>
  <c r="U60" i="3"/>
  <c r="V60" i="3"/>
  <c r="X60" i="3"/>
  <c r="Y60" i="3"/>
  <c r="AA60" i="3"/>
  <c r="AD60" i="3"/>
  <c r="AE60" i="3"/>
  <c r="AG60" i="3"/>
  <c r="AH60" i="3"/>
  <c r="AJ60" i="3"/>
  <c r="AK60" i="3"/>
  <c r="AP60" i="3"/>
  <c r="AQ60" i="3"/>
  <c r="AS60" i="3"/>
  <c r="AT60" i="3"/>
  <c r="AV60" i="3"/>
  <c r="AW60" i="3"/>
  <c r="BB60" i="3"/>
  <c r="BE60" i="3"/>
  <c r="D61" i="3"/>
  <c r="E61" i="3"/>
  <c r="F61" i="3"/>
  <c r="G61" i="3"/>
  <c r="I61" i="3"/>
  <c r="J61" i="3"/>
  <c r="L61" i="3"/>
  <c r="M61" i="3"/>
  <c r="R61" i="3"/>
  <c r="S61" i="3"/>
  <c r="U61" i="3"/>
  <c r="V61" i="3"/>
  <c r="X61" i="3"/>
  <c r="Y61" i="3"/>
  <c r="AD61" i="3"/>
  <c r="AE61" i="3"/>
  <c r="AG61" i="3"/>
  <c r="AH61" i="3"/>
  <c r="AJ61" i="3"/>
  <c r="AK61" i="3"/>
  <c r="AN61" i="3"/>
  <c r="AP61" i="3"/>
  <c r="AQ61" i="3"/>
  <c r="AS61" i="3"/>
  <c r="AT61" i="3"/>
  <c r="AV61" i="3"/>
  <c r="AW61" i="3"/>
  <c r="AY61" i="3"/>
  <c r="BE61" i="3"/>
  <c r="D62" i="3"/>
  <c r="E62" i="3"/>
  <c r="F62" i="3"/>
  <c r="G62" i="3"/>
  <c r="I62" i="3"/>
  <c r="J62" i="3"/>
  <c r="L62" i="3"/>
  <c r="M62" i="3"/>
  <c r="R62" i="3"/>
  <c r="S62" i="3"/>
  <c r="U62" i="3"/>
  <c r="V62" i="3"/>
  <c r="X62" i="3"/>
  <c r="Y62" i="3"/>
  <c r="AD62" i="3"/>
  <c r="AE62" i="3"/>
  <c r="AG62" i="3"/>
  <c r="AH62" i="3"/>
  <c r="AJ62" i="3"/>
  <c r="AK62" i="3"/>
  <c r="AP62" i="3"/>
  <c r="AQ62" i="3"/>
  <c r="AS62" i="3"/>
  <c r="AT62" i="3"/>
  <c r="AV62" i="3"/>
  <c r="AW62" i="3"/>
  <c r="BB62" i="3"/>
  <c r="BE62" i="3"/>
  <c r="D63" i="3"/>
  <c r="E63" i="3"/>
  <c r="F63" i="3"/>
  <c r="G63" i="3"/>
  <c r="I63" i="3"/>
  <c r="J63" i="3"/>
  <c r="L63" i="3"/>
  <c r="M63" i="3"/>
  <c r="R63" i="3"/>
  <c r="S63" i="3"/>
  <c r="U63" i="3"/>
  <c r="V63" i="3"/>
  <c r="X63" i="3"/>
  <c r="Y63" i="3"/>
  <c r="AD63" i="3"/>
  <c r="AE63" i="3"/>
  <c r="AG63" i="3"/>
  <c r="AH63" i="3"/>
  <c r="AJ63" i="3"/>
  <c r="AK63" i="3"/>
  <c r="AN63" i="3"/>
  <c r="AP63" i="3"/>
  <c r="AQ63" i="3"/>
  <c r="AS63" i="3"/>
  <c r="AT63" i="3"/>
  <c r="AV63" i="3"/>
  <c r="AW63" i="3"/>
  <c r="BE63" i="3"/>
  <c r="D64" i="3"/>
  <c r="E64" i="3"/>
  <c r="F64" i="3"/>
  <c r="G64" i="3"/>
  <c r="I64" i="3"/>
  <c r="M64" i="3"/>
  <c r="V64" i="3"/>
  <c r="AE64" i="3"/>
  <c r="AK64" i="3"/>
  <c r="AT64" i="3"/>
  <c r="BE64" i="3"/>
  <c r="H65" i="3"/>
  <c r="N65" i="3"/>
  <c r="W65" i="3"/>
  <c r="AF65" i="3"/>
  <c r="AL65" i="3"/>
  <c r="AU65" i="3"/>
  <c r="H66" i="3"/>
  <c r="AA66" i="3"/>
  <c r="AA134" i="3" s="1"/>
  <c r="AF66" i="3"/>
  <c r="AL66" i="3"/>
  <c r="AU66" i="3"/>
  <c r="H67" i="3"/>
  <c r="K67" i="3"/>
  <c r="W67" i="3"/>
  <c r="AF67" i="3"/>
  <c r="AL67" i="3"/>
  <c r="AU67" i="3"/>
  <c r="H68" i="3"/>
  <c r="AA68" i="3"/>
  <c r="AA136" i="3" s="1"/>
  <c r="BB68" i="3"/>
  <c r="BG68" i="3" s="1"/>
  <c r="BG136" i="3" s="1"/>
  <c r="H69" i="3"/>
  <c r="K69" i="3"/>
  <c r="N69" i="3"/>
  <c r="O69" i="3"/>
  <c r="O137" i="3" s="1"/>
  <c r="P69" i="3"/>
  <c r="P137" i="3" s="1"/>
  <c r="T69" i="3"/>
  <c r="W69" i="3"/>
  <c r="Z69" i="3"/>
  <c r="AA69" i="3"/>
  <c r="AA137" i="3" s="1"/>
  <c r="AB69" i="3"/>
  <c r="AB137" i="3" s="1"/>
  <c r="AF69" i="3"/>
  <c r="AI69" i="3"/>
  <c r="AL69" i="3"/>
  <c r="AM69" i="3"/>
  <c r="AM137" i="3" s="1"/>
  <c r="AN69" i="3"/>
  <c r="AR69" i="3"/>
  <c r="AU69" i="3"/>
  <c r="AX69" i="3"/>
  <c r="AY69" i="3"/>
  <c r="AY137" i="3" s="1"/>
  <c r="AZ69" i="3"/>
  <c r="AZ137" i="3" s="1"/>
  <c r="BB69" i="3"/>
  <c r="BG69" i="3" s="1"/>
  <c r="BG137" i="3" s="1"/>
  <c r="BC69" i="3"/>
  <c r="BC137" i="3" s="1"/>
  <c r="E70" i="3"/>
  <c r="M70" i="3"/>
  <c r="X70" i="3"/>
  <c r="AV70" i="3"/>
  <c r="D76" i="3"/>
  <c r="E76" i="3"/>
  <c r="F76" i="3"/>
  <c r="G76" i="3"/>
  <c r="I76" i="3"/>
  <c r="J76" i="3"/>
  <c r="L76" i="3"/>
  <c r="M76" i="3"/>
  <c r="R76" i="3"/>
  <c r="S76" i="3"/>
  <c r="U76" i="3"/>
  <c r="V76" i="3"/>
  <c r="X76" i="3"/>
  <c r="Y76" i="3"/>
  <c r="AD76" i="3"/>
  <c r="AE76" i="3"/>
  <c r="AG76" i="3"/>
  <c r="AH76" i="3"/>
  <c r="AJ76" i="3"/>
  <c r="AK76" i="3"/>
  <c r="AP76" i="3"/>
  <c r="AQ76" i="3"/>
  <c r="AS76" i="3"/>
  <c r="AT76" i="3"/>
  <c r="AV76" i="3"/>
  <c r="AW76" i="3"/>
  <c r="D77" i="3"/>
  <c r="E77" i="3"/>
  <c r="F77" i="3"/>
  <c r="G77" i="3"/>
  <c r="I77" i="3"/>
  <c r="J77" i="3"/>
  <c r="L77" i="3"/>
  <c r="M77" i="3"/>
  <c r="R77" i="3"/>
  <c r="S77" i="3"/>
  <c r="U77" i="3"/>
  <c r="V77" i="3"/>
  <c r="X77" i="3"/>
  <c r="Y77" i="3"/>
  <c r="AD77" i="3"/>
  <c r="AE77" i="3"/>
  <c r="AG77" i="3"/>
  <c r="AH77" i="3"/>
  <c r="AJ77" i="3"/>
  <c r="AK77" i="3"/>
  <c r="AP77" i="3"/>
  <c r="AQ77" i="3"/>
  <c r="AS77" i="3"/>
  <c r="AT77" i="3"/>
  <c r="AV77" i="3"/>
  <c r="AW77" i="3"/>
  <c r="D79" i="3"/>
  <c r="E79" i="3"/>
  <c r="F79" i="3"/>
  <c r="G79" i="3"/>
  <c r="I79" i="3"/>
  <c r="J79" i="3"/>
  <c r="L79" i="3"/>
  <c r="M79" i="3"/>
  <c r="R79" i="3"/>
  <c r="S79" i="3"/>
  <c r="U79" i="3"/>
  <c r="V79" i="3"/>
  <c r="X79" i="3"/>
  <c r="Y79" i="3"/>
  <c r="AD79" i="3"/>
  <c r="AE79" i="3"/>
  <c r="AG79" i="3"/>
  <c r="AH79" i="3"/>
  <c r="AJ79" i="3"/>
  <c r="AK79" i="3"/>
  <c r="AP79" i="3"/>
  <c r="AQ79" i="3"/>
  <c r="AS79" i="3"/>
  <c r="AT79" i="3"/>
  <c r="AV79" i="3"/>
  <c r="AW79" i="3"/>
  <c r="BE79" i="3"/>
  <c r="BE94" i="3" s="1"/>
  <c r="BE77" i="3" s="1"/>
  <c r="D80" i="3"/>
  <c r="E80" i="3"/>
  <c r="F80" i="3"/>
  <c r="G80" i="3"/>
  <c r="I80" i="3"/>
  <c r="J80" i="3"/>
  <c r="L80" i="3"/>
  <c r="M80" i="3"/>
  <c r="R80" i="3"/>
  <c r="S80" i="3"/>
  <c r="U80" i="3"/>
  <c r="V80" i="3"/>
  <c r="X80" i="3"/>
  <c r="Y80" i="3"/>
  <c r="AD80" i="3"/>
  <c r="AE80" i="3"/>
  <c r="AG80" i="3"/>
  <c r="AH80" i="3"/>
  <c r="AJ80" i="3"/>
  <c r="AK80" i="3"/>
  <c r="AP80" i="3"/>
  <c r="AQ80" i="3"/>
  <c r="AS80" i="3"/>
  <c r="AT80" i="3"/>
  <c r="AV80" i="3"/>
  <c r="AW80" i="3"/>
  <c r="BE80" i="3"/>
  <c r="BE95" i="3" s="1"/>
  <c r="H81" i="3"/>
  <c r="K81" i="3"/>
  <c r="N81" i="3"/>
  <c r="T81" i="3"/>
  <c r="W81" i="3"/>
  <c r="Z81" i="3"/>
  <c r="AA81" i="3"/>
  <c r="AB81" i="3"/>
  <c r="AF81" i="3"/>
  <c r="AI81" i="3"/>
  <c r="AL81" i="3"/>
  <c r="AM81" i="3"/>
  <c r="AN81" i="3"/>
  <c r="AR81" i="3"/>
  <c r="AU81" i="3"/>
  <c r="AX81" i="3"/>
  <c r="AY81" i="3"/>
  <c r="AZ81" i="3"/>
  <c r="BB81" i="3"/>
  <c r="BC81" i="3"/>
  <c r="H82" i="3"/>
  <c r="K82" i="3"/>
  <c r="N82" i="3"/>
  <c r="T82" i="3"/>
  <c r="W82" i="3"/>
  <c r="Z82" i="3"/>
  <c r="AA82" i="3"/>
  <c r="AB82" i="3"/>
  <c r="AF82" i="3"/>
  <c r="AI82" i="3"/>
  <c r="AL82" i="3"/>
  <c r="AM82" i="3"/>
  <c r="AN82" i="3"/>
  <c r="AR82" i="3"/>
  <c r="AU82" i="3"/>
  <c r="AX82" i="3"/>
  <c r="AY82" i="3"/>
  <c r="AZ82" i="3"/>
  <c r="BB82" i="3"/>
  <c r="BG82" i="3" s="1"/>
  <c r="BC82" i="3"/>
  <c r="H83" i="3"/>
  <c r="K83" i="3"/>
  <c r="N83" i="3"/>
  <c r="T83" i="3"/>
  <c r="W83" i="3"/>
  <c r="Z83" i="3"/>
  <c r="AA83" i="3"/>
  <c r="AB83" i="3"/>
  <c r="AF83" i="3"/>
  <c r="AI83" i="3"/>
  <c r="AL83" i="3"/>
  <c r="AM83" i="3"/>
  <c r="AN83" i="3"/>
  <c r="AR83" i="3"/>
  <c r="AU83" i="3"/>
  <c r="AX83" i="3"/>
  <c r="AY83" i="3"/>
  <c r="AZ83" i="3"/>
  <c r="BB83" i="3"/>
  <c r="BG83" i="3" s="1"/>
  <c r="BC83" i="3"/>
  <c r="H84" i="3"/>
  <c r="K84" i="3"/>
  <c r="N84" i="3"/>
  <c r="T84" i="3"/>
  <c r="W84" i="3"/>
  <c r="Z84" i="3"/>
  <c r="AA84" i="3"/>
  <c r="AB84" i="3"/>
  <c r="AF84" i="3"/>
  <c r="AI84" i="3"/>
  <c r="AL84" i="3"/>
  <c r="AM84" i="3"/>
  <c r="AN84" i="3"/>
  <c r="AR84" i="3"/>
  <c r="AU84" i="3"/>
  <c r="AX84" i="3"/>
  <c r="AY84" i="3"/>
  <c r="AZ84" i="3"/>
  <c r="BB84" i="3"/>
  <c r="BC84" i="3"/>
  <c r="D85" i="3"/>
  <c r="D95" i="3" s="1"/>
  <c r="D78" i="3" s="1"/>
  <c r="E85" i="3"/>
  <c r="E95" i="3" s="1"/>
  <c r="E78" i="3" s="1"/>
  <c r="F85" i="3"/>
  <c r="F95" i="3" s="1"/>
  <c r="F78" i="3" s="1"/>
  <c r="G85" i="3"/>
  <c r="G95" i="3" s="1"/>
  <c r="G78" i="3" s="1"/>
  <c r="I85" i="3"/>
  <c r="I95" i="3" s="1"/>
  <c r="I78" i="3" s="1"/>
  <c r="J85" i="3"/>
  <c r="J95" i="3" s="1"/>
  <c r="J78" i="3" s="1"/>
  <c r="L85" i="3"/>
  <c r="L95" i="3" s="1"/>
  <c r="L78" i="3" s="1"/>
  <c r="M85" i="3"/>
  <c r="M95" i="3" s="1"/>
  <c r="R85" i="3"/>
  <c r="R95" i="3" s="1"/>
  <c r="R78" i="3" s="1"/>
  <c r="S85" i="3"/>
  <c r="S95" i="3" s="1"/>
  <c r="S78" i="3" s="1"/>
  <c r="U85" i="3"/>
  <c r="U95" i="3" s="1"/>
  <c r="U78" i="3" s="1"/>
  <c r="V85" i="3"/>
  <c r="V95" i="3" s="1"/>
  <c r="X85" i="3"/>
  <c r="X95" i="3" s="1"/>
  <c r="X78" i="3" s="1"/>
  <c r="Y85" i="3"/>
  <c r="Y95" i="3" s="1"/>
  <c r="Y78" i="3" s="1"/>
  <c r="AD85" i="3"/>
  <c r="AD95" i="3" s="1"/>
  <c r="AD78" i="3" s="1"/>
  <c r="AE85" i="3"/>
  <c r="AE95" i="3" s="1"/>
  <c r="AG85" i="3"/>
  <c r="AG95" i="3" s="1"/>
  <c r="AG78" i="3" s="1"/>
  <c r="AH85" i="3"/>
  <c r="AH95" i="3" s="1"/>
  <c r="AH78" i="3" s="1"/>
  <c r="AJ85" i="3"/>
  <c r="AJ95" i="3" s="1"/>
  <c r="AJ78" i="3" s="1"/>
  <c r="AK85" i="3"/>
  <c r="AK95" i="3" s="1"/>
  <c r="AK78" i="3" s="1"/>
  <c r="AP85" i="3"/>
  <c r="AP95" i="3" s="1"/>
  <c r="AP78" i="3" s="1"/>
  <c r="AQ85" i="3"/>
  <c r="AQ95" i="3" s="1"/>
  <c r="AQ78" i="3" s="1"/>
  <c r="AS85" i="3"/>
  <c r="AS95" i="3" s="1"/>
  <c r="AS78" i="3" s="1"/>
  <c r="AT85" i="3"/>
  <c r="AT95" i="3" s="1"/>
  <c r="AV85" i="3"/>
  <c r="AV95" i="3" s="1"/>
  <c r="AV78" i="3" s="1"/>
  <c r="AW85" i="3"/>
  <c r="AW95" i="3" s="1"/>
  <c r="AW78" i="3" s="1"/>
  <c r="BE85" i="3"/>
  <c r="BE100" i="3" s="1"/>
  <c r="BE97" i="3" s="1"/>
  <c r="H86" i="3"/>
  <c r="K86" i="3"/>
  <c r="N86" i="3"/>
  <c r="O86" i="3"/>
  <c r="P86" i="3"/>
  <c r="T86" i="3"/>
  <c r="W86" i="3"/>
  <c r="Z86" i="3"/>
  <c r="AA86" i="3"/>
  <c r="AB86" i="3"/>
  <c r="AF86" i="3"/>
  <c r="AI86" i="3"/>
  <c r="AL86" i="3"/>
  <c r="AM86" i="3"/>
  <c r="AN86" i="3"/>
  <c r="AR86" i="3"/>
  <c r="AU86" i="3"/>
  <c r="AX86" i="3"/>
  <c r="AY86" i="3"/>
  <c r="AZ86" i="3"/>
  <c r="BB86" i="3"/>
  <c r="BG86" i="3" s="1"/>
  <c r="BC86" i="3"/>
  <c r="H87" i="3"/>
  <c r="K87" i="3"/>
  <c r="N87" i="3"/>
  <c r="O87" i="3"/>
  <c r="P87" i="3"/>
  <c r="T87" i="3"/>
  <c r="W87" i="3"/>
  <c r="Z87" i="3"/>
  <c r="AA87" i="3"/>
  <c r="AB87" i="3"/>
  <c r="AF87" i="3"/>
  <c r="AI87" i="3"/>
  <c r="AL87" i="3"/>
  <c r="AM87" i="3"/>
  <c r="AN87" i="3"/>
  <c r="AR87" i="3"/>
  <c r="AU87" i="3"/>
  <c r="AX87" i="3"/>
  <c r="AY87" i="3"/>
  <c r="AZ87" i="3"/>
  <c r="BB87" i="3"/>
  <c r="BC87" i="3"/>
  <c r="H88" i="3"/>
  <c r="K88" i="3"/>
  <c r="N88" i="3"/>
  <c r="O88" i="3"/>
  <c r="P88" i="3"/>
  <c r="T88" i="3"/>
  <c r="W88" i="3"/>
  <c r="Z88" i="3"/>
  <c r="AA88" i="3"/>
  <c r="AB88" i="3"/>
  <c r="AF88" i="3"/>
  <c r="AI88" i="3"/>
  <c r="AL88" i="3"/>
  <c r="AM88" i="3"/>
  <c r="AN88" i="3"/>
  <c r="AR88" i="3"/>
  <c r="AU88" i="3"/>
  <c r="AX88" i="3"/>
  <c r="AY88" i="3"/>
  <c r="AZ88" i="3"/>
  <c r="BB88" i="3"/>
  <c r="BG88" i="3" s="1"/>
  <c r="BC88" i="3"/>
  <c r="H89" i="3"/>
  <c r="K89" i="3"/>
  <c r="N89" i="3"/>
  <c r="O89" i="3"/>
  <c r="P89" i="3"/>
  <c r="T89" i="3"/>
  <c r="W89" i="3"/>
  <c r="Z89" i="3"/>
  <c r="AA89" i="3"/>
  <c r="AB89" i="3"/>
  <c r="AF89" i="3"/>
  <c r="AI89" i="3"/>
  <c r="AL89" i="3"/>
  <c r="AM89" i="3"/>
  <c r="AN89" i="3"/>
  <c r="AR89" i="3"/>
  <c r="AU89" i="3"/>
  <c r="AX89" i="3"/>
  <c r="AY89" i="3"/>
  <c r="AZ89" i="3"/>
  <c r="BB89" i="3"/>
  <c r="BC89" i="3"/>
  <c r="H90" i="3"/>
  <c r="K90" i="3"/>
  <c r="N90" i="3"/>
  <c r="O90" i="3"/>
  <c r="P90" i="3"/>
  <c r="T90" i="3"/>
  <c r="W90" i="3"/>
  <c r="Z90" i="3"/>
  <c r="AA90" i="3"/>
  <c r="AB90" i="3"/>
  <c r="AF90" i="3"/>
  <c r="AI90" i="3"/>
  <c r="AL90" i="3"/>
  <c r="AM90" i="3"/>
  <c r="AN90" i="3"/>
  <c r="AR90" i="3"/>
  <c r="AU90" i="3"/>
  <c r="AX90" i="3"/>
  <c r="AY90" i="3"/>
  <c r="AZ90" i="3"/>
  <c r="BB90" i="3"/>
  <c r="BG90" i="3" s="1"/>
  <c r="BC90" i="3"/>
  <c r="H91" i="3"/>
  <c r="K91" i="3"/>
  <c r="N91" i="3"/>
  <c r="O91" i="3"/>
  <c r="P91" i="3"/>
  <c r="T91" i="3"/>
  <c r="W91" i="3"/>
  <c r="Z91" i="3"/>
  <c r="AA91" i="3"/>
  <c r="AB91" i="3"/>
  <c r="AF91" i="3"/>
  <c r="AI91" i="3"/>
  <c r="AL91" i="3"/>
  <c r="AM91" i="3"/>
  <c r="AN91" i="3"/>
  <c r="AR91" i="3"/>
  <c r="AU91" i="3"/>
  <c r="AX91" i="3"/>
  <c r="AY91" i="3"/>
  <c r="AZ91" i="3"/>
  <c r="BB91" i="3"/>
  <c r="BG91" i="3" s="1"/>
  <c r="BC91" i="3"/>
  <c r="G92" i="3"/>
  <c r="M92" i="3"/>
  <c r="U92" i="3"/>
  <c r="V92" i="3"/>
  <c r="AE92" i="3"/>
  <c r="AE102" i="3" s="1"/>
  <c r="AG92" i="3"/>
  <c r="AK92" i="3"/>
  <c r="AT92" i="3"/>
  <c r="AV92" i="3"/>
  <c r="H93" i="3"/>
  <c r="K93" i="3"/>
  <c r="N93" i="3"/>
  <c r="O93" i="3"/>
  <c r="P93" i="3"/>
  <c r="T93" i="3"/>
  <c r="W93" i="3"/>
  <c r="Z93" i="3"/>
  <c r="AA93" i="3"/>
  <c r="AB93" i="3"/>
  <c r="AF93" i="3"/>
  <c r="AI93" i="3"/>
  <c r="AL93" i="3"/>
  <c r="AM93" i="3"/>
  <c r="AN93" i="3"/>
  <c r="AR93" i="3"/>
  <c r="AU93" i="3"/>
  <c r="AX93" i="3"/>
  <c r="AY93" i="3"/>
  <c r="AZ93" i="3"/>
  <c r="BB93" i="3"/>
  <c r="BC93" i="3"/>
  <c r="H94" i="3"/>
  <c r="K94" i="3"/>
  <c r="N94" i="3"/>
  <c r="O94" i="3"/>
  <c r="P94" i="3"/>
  <c r="T94" i="3"/>
  <c r="W94" i="3"/>
  <c r="Z94" i="3"/>
  <c r="AA94" i="3"/>
  <c r="AB94" i="3"/>
  <c r="AF94" i="3"/>
  <c r="AI94" i="3"/>
  <c r="AL94" i="3"/>
  <c r="AM94" i="3"/>
  <c r="AN94" i="3"/>
  <c r="AR94" i="3"/>
  <c r="AU94" i="3"/>
  <c r="AX94" i="3"/>
  <c r="AY94" i="3"/>
  <c r="AZ94" i="3"/>
  <c r="BB94" i="3"/>
  <c r="BC94" i="3"/>
  <c r="H95" i="3"/>
  <c r="AY95" i="3"/>
  <c r="BC95" i="3"/>
  <c r="H96" i="3"/>
  <c r="K96" i="3"/>
  <c r="N96" i="3"/>
  <c r="O96" i="3"/>
  <c r="P96" i="3"/>
  <c r="T96" i="3"/>
  <c r="W96" i="3"/>
  <c r="Z96" i="3"/>
  <c r="AA96" i="3"/>
  <c r="AB96" i="3"/>
  <c r="AF96" i="3"/>
  <c r="AI96" i="3"/>
  <c r="AL96" i="3"/>
  <c r="AM96" i="3"/>
  <c r="AN96" i="3"/>
  <c r="AR96" i="3"/>
  <c r="AU96" i="3"/>
  <c r="AX96" i="3"/>
  <c r="AY96" i="3"/>
  <c r="AZ96" i="3"/>
  <c r="BB96" i="3"/>
  <c r="BG96" i="3" s="1"/>
  <c r="BC96" i="3"/>
  <c r="D97" i="3"/>
  <c r="E97" i="3"/>
  <c r="F97" i="3"/>
  <c r="G97" i="3"/>
  <c r="I97" i="3"/>
  <c r="J97" i="3"/>
  <c r="L97" i="3"/>
  <c r="M97" i="3"/>
  <c r="R97" i="3"/>
  <c r="S97" i="3"/>
  <c r="U97" i="3"/>
  <c r="V97" i="3"/>
  <c r="X97" i="3"/>
  <c r="Y97" i="3"/>
  <c r="AD97" i="3"/>
  <c r="AE97" i="3"/>
  <c r="AG97" i="3"/>
  <c r="AH97" i="3"/>
  <c r="AJ97" i="3"/>
  <c r="AK97" i="3"/>
  <c r="AP97" i="3"/>
  <c r="AQ97" i="3"/>
  <c r="AS97" i="3"/>
  <c r="AT97" i="3"/>
  <c r="AV97" i="3"/>
  <c r="AW97" i="3"/>
  <c r="H98" i="3"/>
  <c r="K98" i="3"/>
  <c r="N98" i="3"/>
  <c r="O98" i="3"/>
  <c r="P98" i="3"/>
  <c r="T98" i="3"/>
  <c r="W98" i="3"/>
  <c r="Z98" i="3"/>
  <c r="AA98" i="3"/>
  <c r="AB98" i="3"/>
  <c r="AF98" i="3"/>
  <c r="AI98" i="3"/>
  <c r="AL98" i="3"/>
  <c r="AM98" i="3"/>
  <c r="AN98" i="3"/>
  <c r="AR98" i="3"/>
  <c r="AU98" i="3"/>
  <c r="AX98" i="3"/>
  <c r="AY98" i="3"/>
  <c r="AZ98" i="3"/>
  <c r="BB98" i="3"/>
  <c r="BC98" i="3"/>
  <c r="H99" i="3"/>
  <c r="K99" i="3"/>
  <c r="N99" i="3"/>
  <c r="O99" i="3"/>
  <c r="P99" i="3"/>
  <c r="T99" i="3"/>
  <c r="W99" i="3"/>
  <c r="Z99" i="3"/>
  <c r="AA99" i="3"/>
  <c r="AB99" i="3"/>
  <c r="AF99" i="3"/>
  <c r="AI99" i="3"/>
  <c r="AL99" i="3"/>
  <c r="AM99" i="3"/>
  <c r="AN99" i="3"/>
  <c r="AR99" i="3"/>
  <c r="AU99" i="3"/>
  <c r="AX99" i="3"/>
  <c r="AY99" i="3"/>
  <c r="AZ99" i="3"/>
  <c r="BB99" i="3"/>
  <c r="BG99" i="3" s="1"/>
  <c r="BC99" i="3"/>
  <c r="H100" i="3"/>
  <c r="K100" i="3"/>
  <c r="N100" i="3"/>
  <c r="O100" i="3"/>
  <c r="P100" i="3"/>
  <c r="T100" i="3"/>
  <c r="W100" i="3"/>
  <c r="Z100" i="3"/>
  <c r="AA100" i="3"/>
  <c r="AB100" i="3"/>
  <c r="AF100" i="3"/>
  <c r="AI100" i="3"/>
  <c r="AL100" i="3"/>
  <c r="AM100" i="3"/>
  <c r="AN100" i="3"/>
  <c r="AR100" i="3"/>
  <c r="AU100" i="3"/>
  <c r="AX100" i="3"/>
  <c r="AY100" i="3"/>
  <c r="AZ100" i="3"/>
  <c r="BB100" i="3"/>
  <c r="BC100" i="3"/>
  <c r="H101" i="3"/>
  <c r="K101" i="3"/>
  <c r="N101" i="3"/>
  <c r="O101" i="3"/>
  <c r="P101" i="3"/>
  <c r="T101" i="3"/>
  <c r="W101" i="3"/>
  <c r="Z101" i="3"/>
  <c r="AA101" i="3"/>
  <c r="AB101" i="3"/>
  <c r="AF101" i="3"/>
  <c r="AI101" i="3"/>
  <c r="AL101" i="3"/>
  <c r="AM101" i="3"/>
  <c r="AN101" i="3"/>
  <c r="AR101" i="3"/>
  <c r="AU101" i="3"/>
  <c r="AX101" i="3"/>
  <c r="AY101" i="3"/>
  <c r="AZ101" i="3"/>
  <c r="BB101" i="3"/>
  <c r="BC101" i="3"/>
  <c r="G110" i="3"/>
  <c r="M110" i="3"/>
  <c r="V110" i="3"/>
  <c r="Y110" i="3"/>
  <c r="AE110" i="3"/>
  <c r="AT110" i="3"/>
  <c r="AV110" i="3"/>
  <c r="G111" i="3"/>
  <c r="G105" i="3" s="1"/>
  <c r="J111" i="3"/>
  <c r="M111" i="3"/>
  <c r="M105" i="3" s="1"/>
  <c r="R111" i="3"/>
  <c r="R105" i="3" s="1"/>
  <c r="V111" i="3"/>
  <c r="AE111" i="3"/>
  <c r="AE105" i="3" s="1"/>
  <c r="D112" i="3"/>
  <c r="D106" i="3" s="1"/>
  <c r="E112" i="3"/>
  <c r="E106" i="3" s="1"/>
  <c r="F112" i="3"/>
  <c r="F106" i="3" s="1"/>
  <c r="G112" i="3"/>
  <c r="I112" i="3"/>
  <c r="I106" i="3" s="1"/>
  <c r="J112" i="3"/>
  <c r="L112" i="3"/>
  <c r="L106" i="3" s="1"/>
  <c r="M112" i="3"/>
  <c r="M106" i="3" s="1"/>
  <c r="P112" i="3"/>
  <c r="R112" i="3"/>
  <c r="R106" i="3" s="1"/>
  <c r="S112" i="3"/>
  <c r="S106" i="3" s="1"/>
  <c r="U112" i="3"/>
  <c r="U106" i="3" s="1"/>
  <c r="V112" i="3"/>
  <c r="X112" i="3"/>
  <c r="X106" i="3" s="1"/>
  <c r="Y112" i="3"/>
  <c r="AA112" i="3"/>
  <c r="AA106" i="3" s="1"/>
  <c r="AD112" i="3"/>
  <c r="AD106" i="3" s="1"/>
  <c r="AE112" i="3"/>
  <c r="AG112" i="3"/>
  <c r="AG106" i="3" s="1"/>
  <c r="AH112" i="3"/>
  <c r="AJ112" i="3"/>
  <c r="AK112" i="3"/>
  <c r="AK106" i="3" s="1"/>
  <c r="AP112" i="3"/>
  <c r="AP106" i="3" s="1"/>
  <c r="AQ112" i="3"/>
  <c r="AQ106" i="3" s="1"/>
  <c r="AS112" i="3"/>
  <c r="AS106" i="3" s="1"/>
  <c r="AT112" i="3"/>
  <c r="AV112" i="3"/>
  <c r="AV106" i="3" s="1"/>
  <c r="AW112" i="3"/>
  <c r="AW106" i="3" s="1"/>
  <c r="BB112" i="3"/>
  <c r="BB106" i="3" s="1"/>
  <c r="BE112" i="3"/>
  <c r="BE106" i="3" s="1"/>
  <c r="D113" i="3"/>
  <c r="D107" i="3" s="1"/>
  <c r="E113" i="3"/>
  <c r="E107" i="3" s="1"/>
  <c r="F113" i="3"/>
  <c r="G113" i="3"/>
  <c r="G107" i="3" s="1"/>
  <c r="I113" i="3"/>
  <c r="I107" i="3" s="1"/>
  <c r="J113" i="3"/>
  <c r="L113" i="3"/>
  <c r="L107" i="3" s="1"/>
  <c r="M113" i="3"/>
  <c r="M107" i="3" s="1"/>
  <c r="R113" i="3"/>
  <c r="R107" i="3" s="1"/>
  <c r="S113" i="3"/>
  <c r="S107" i="3" s="1"/>
  <c r="U113" i="3"/>
  <c r="U107" i="3" s="1"/>
  <c r="V113" i="3"/>
  <c r="X113" i="3"/>
  <c r="X107" i="3" s="1"/>
  <c r="Y113" i="3"/>
  <c r="AD113" i="3"/>
  <c r="AE113" i="3"/>
  <c r="AE107" i="3" s="1"/>
  <c r="AG113" i="3"/>
  <c r="AG107" i="3" s="1"/>
  <c r="AH113" i="3"/>
  <c r="AJ113" i="3"/>
  <c r="AJ107" i="3" s="1"/>
  <c r="AK113" i="3"/>
  <c r="AK107" i="3" s="1"/>
  <c r="AN113" i="3"/>
  <c r="AP113" i="3"/>
  <c r="AP107" i="3" s="1"/>
  <c r="AQ113" i="3"/>
  <c r="AQ107" i="3" s="1"/>
  <c r="AS113" i="3"/>
  <c r="AS107" i="3" s="1"/>
  <c r="AT113" i="3"/>
  <c r="AV113" i="3"/>
  <c r="AV107" i="3" s="1"/>
  <c r="AW113" i="3"/>
  <c r="AY113" i="3"/>
  <c r="AY107" i="3" s="1"/>
  <c r="BE113" i="3"/>
  <c r="BE107" i="3" s="1"/>
  <c r="D114" i="3"/>
  <c r="D108" i="3" s="1"/>
  <c r="E114" i="3"/>
  <c r="E108" i="3" s="1"/>
  <c r="F114" i="3"/>
  <c r="F108" i="3" s="1"/>
  <c r="G114" i="3"/>
  <c r="G108" i="3" s="1"/>
  <c r="I114" i="3"/>
  <c r="I108" i="3" s="1"/>
  <c r="J114" i="3"/>
  <c r="L114" i="3"/>
  <c r="L108" i="3" s="1"/>
  <c r="M114" i="3"/>
  <c r="R114" i="3"/>
  <c r="S114" i="3"/>
  <c r="S108" i="3" s="1"/>
  <c r="U114" i="3"/>
  <c r="U108" i="3" s="1"/>
  <c r="V114" i="3"/>
  <c r="X114" i="3"/>
  <c r="X108" i="3" s="1"/>
  <c r="Y114" i="3"/>
  <c r="Y108" i="3" s="1"/>
  <c r="AD114" i="3"/>
  <c r="AD108" i="3" s="1"/>
  <c r="AE114" i="3"/>
  <c r="AE108" i="3" s="1"/>
  <c r="AG114" i="3"/>
  <c r="AG108" i="3" s="1"/>
  <c r="AH114" i="3"/>
  <c r="AJ114" i="3"/>
  <c r="AJ108" i="3" s="1"/>
  <c r="AK114" i="3"/>
  <c r="AN114" i="3"/>
  <c r="AP114" i="3"/>
  <c r="AQ114" i="3"/>
  <c r="AQ108" i="3" s="1"/>
  <c r="AS114" i="3"/>
  <c r="AS108" i="3" s="1"/>
  <c r="AT114" i="3"/>
  <c r="AV114" i="3"/>
  <c r="AV108" i="3" s="1"/>
  <c r="AW114" i="3"/>
  <c r="AW108" i="3" s="1"/>
  <c r="BE114" i="3"/>
  <c r="BE108" i="3" s="1"/>
  <c r="D115" i="3"/>
  <c r="D109" i="3" s="1"/>
  <c r="E115" i="3"/>
  <c r="E109" i="3" s="1"/>
  <c r="F115" i="3"/>
  <c r="G115" i="3"/>
  <c r="G109" i="3" s="1"/>
  <c r="I115" i="3"/>
  <c r="I109" i="3" s="1"/>
  <c r="J115" i="3"/>
  <c r="L115" i="3"/>
  <c r="L109" i="3" s="1"/>
  <c r="M115" i="3"/>
  <c r="M109" i="3" s="1"/>
  <c r="R115" i="3"/>
  <c r="R109" i="3" s="1"/>
  <c r="S115" i="3"/>
  <c r="S109" i="3" s="1"/>
  <c r="U115" i="3"/>
  <c r="U109" i="3" s="1"/>
  <c r="V115" i="3"/>
  <c r="X115" i="3"/>
  <c r="X109" i="3" s="1"/>
  <c r="Y115" i="3"/>
  <c r="AD115" i="3"/>
  <c r="AE115" i="3"/>
  <c r="AE109" i="3" s="1"/>
  <c r="AG115" i="3"/>
  <c r="AG109" i="3" s="1"/>
  <c r="AH115" i="3"/>
  <c r="AJ115" i="3"/>
  <c r="AJ109" i="3" s="1"/>
  <c r="AK115" i="3"/>
  <c r="AK109" i="3" s="1"/>
  <c r="AP115" i="3"/>
  <c r="AP109" i="3" s="1"/>
  <c r="AQ115" i="3"/>
  <c r="AQ109" i="3" s="1"/>
  <c r="AS115" i="3"/>
  <c r="AS109" i="3" s="1"/>
  <c r="AT115" i="3"/>
  <c r="AV115" i="3"/>
  <c r="AV109" i="3" s="1"/>
  <c r="AW115" i="3"/>
  <c r="AZ115" i="3"/>
  <c r="BE115" i="3"/>
  <c r="BE109" i="3" s="1"/>
  <c r="D116" i="3"/>
  <c r="I116" i="3"/>
  <c r="J116" i="3"/>
  <c r="R116" i="3"/>
  <c r="S116" i="3"/>
  <c r="X116" i="3"/>
  <c r="Y116" i="3"/>
  <c r="AG116" i="3"/>
  <c r="AH116" i="3"/>
  <c r="AV116" i="3"/>
  <c r="D117" i="3"/>
  <c r="E117" i="3"/>
  <c r="F117" i="3"/>
  <c r="G117" i="3"/>
  <c r="I117" i="3"/>
  <c r="J117" i="3"/>
  <c r="L117" i="3"/>
  <c r="M117" i="3"/>
  <c r="R117" i="3"/>
  <c r="S117" i="3"/>
  <c r="U117" i="3"/>
  <c r="V117" i="3"/>
  <c r="X117" i="3"/>
  <c r="Y117" i="3"/>
  <c r="AB117" i="3"/>
  <c r="AD117" i="3"/>
  <c r="AE117" i="3"/>
  <c r="AG117" i="3"/>
  <c r="AH117" i="3"/>
  <c r="AJ117" i="3"/>
  <c r="AK117" i="3"/>
  <c r="AM117" i="3"/>
  <c r="AP117" i="3"/>
  <c r="AQ117" i="3"/>
  <c r="AS117" i="3"/>
  <c r="AT117" i="3"/>
  <c r="AV117" i="3"/>
  <c r="AW117" i="3"/>
  <c r="AZ117" i="3"/>
  <c r="BC117" i="3"/>
  <c r="BE117" i="3"/>
  <c r="D118" i="3"/>
  <c r="E118" i="3"/>
  <c r="F118" i="3"/>
  <c r="G118" i="3"/>
  <c r="I118" i="3"/>
  <c r="J118" i="3"/>
  <c r="L118" i="3"/>
  <c r="M118" i="3"/>
  <c r="R118" i="3"/>
  <c r="S118" i="3"/>
  <c r="U118" i="3"/>
  <c r="V118" i="3"/>
  <c r="X118" i="3"/>
  <c r="Y118" i="3"/>
  <c r="AA118" i="3"/>
  <c r="AD118" i="3"/>
  <c r="AE118" i="3"/>
  <c r="AG118" i="3"/>
  <c r="AH118" i="3"/>
  <c r="AJ118" i="3"/>
  <c r="AK118" i="3"/>
  <c r="AN118" i="3"/>
  <c r="AP118" i="3"/>
  <c r="AQ118" i="3"/>
  <c r="AS118" i="3"/>
  <c r="AT118" i="3"/>
  <c r="AV118" i="3"/>
  <c r="AW118" i="3"/>
  <c r="AZ118" i="3"/>
  <c r="BE118" i="3"/>
  <c r="D119" i="3"/>
  <c r="E119" i="3"/>
  <c r="F119" i="3"/>
  <c r="G119" i="3"/>
  <c r="I119" i="3"/>
  <c r="J119" i="3"/>
  <c r="L119" i="3"/>
  <c r="M119" i="3"/>
  <c r="R119" i="3"/>
  <c r="S119" i="3"/>
  <c r="U119" i="3"/>
  <c r="V119" i="3"/>
  <c r="X119" i="3"/>
  <c r="Y119" i="3"/>
  <c r="AB119" i="3"/>
  <c r="AD119" i="3"/>
  <c r="AE119" i="3"/>
  <c r="AG119" i="3"/>
  <c r="AH119" i="3"/>
  <c r="AJ119" i="3"/>
  <c r="AK119" i="3"/>
  <c r="AM119" i="3"/>
  <c r="AN119" i="3"/>
  <c r="AP119" i="3"/>
  <c r="AQ119" i="3"/>
  <c r="AS119" i="3"/>
  <c r="AT119" i="3"/>
  <c r="AV119" i="3"/>
  <c r="AW119" i="3"/>
  <c r="BC119" i="3"/>
  <c r="BE119" i="3"/>
  <c r="D120" i="3"/>
  <c r="E120" i="3"/>
  <c r="F120" i="3"/>
  <c r="G120" i="3"/>
  <c r="I120" i="3"/>
  <c r="J120" i="3"/>
  <c r="L120" i="3"/>
  <c r="M120" i="3"/>
  <c r="R120" i="3"/>
  <c r="S120" i="3"/>
  <c r="U120" i="3"/>
  <c r="V120" i="3"/>
  <c r="X120" i="3"/>
  <c r="Y120" i="3"/>
  <c r="AA120" i="3"/>
  <c r="AD120" i="3"/>
  <c r="AE120" i="3"/>
  <c r="AG120" i="3"/>
  <c r="AH120" i="3"/>
  <c r="AJ120" i="3"/>
  <c r="AK120" i="3"/>
  <c r="AP120" i="3"/>
  <c r="AQ120" i="3"/>
  <c r="AS120" i="3"/>
  <c r="AT120" i="3"/>
  <c r="AV120" i="3"/>
  <c r="AW120" i="3"/>
  <c r="AZ120" i="3"/>
  <c r="BE120" i="3"/>
  <c r="F126" i="3"/>
  <c r="L126" i="3"/>
  <c r="U126" i="3"/>
  <c r="AD126" i="3"/>
  <c r="AJ126" i="3"/>
  <c r="AS126" i="3"/>
  <c r="BE126" i="3"/>
  <c r="F127" i="3"/>
  <c r="L127" i="3"/>
  <c r="U127" i="3"/>
  <c r="AJ127" i="3"/>
  <c r="AS127" i="3"/>
  <c r="BE127" i="3"/>
  <c r="D128" i="3"/>
  <c r="E128" i="3"/>
  <c r="F128" i="3"/>
  <c r="G128" i="3"/>
  <c r="I128" i="3"/>
  <c r="J128" i="3"/>
  <c r="L128" i="3"/>
  <c r="M128" i="3"/>
  <c r="O128" i="3"/>
  <c r="R128" i="3"/>
  <c r="S128" i="3"/>
  <c r="U128" i="3"/>
  <c r="V128" i="3"/>
  <c r="X128" i="3"/>
  <c r="Y128" i="3"/>
  <c r="AD128" i="3"/>
  <c r="AE128" i="3"/>
  <c r="AG128" i="3"/>
  <c r="AH128" i="3"/>
  <c r="AJ128" i="3"/>
  <c r="AK128" i="3"/>
  <c r="AP128" i="3"/>
  <c r="AQ128" i="3"/>
  <c r="AS128" i="3"/>
  <c r="AT128" i="3"/>
  <c r="AV128" i="3"/>
  <c r="AW128" i="3"/>
  <c r="BE128" i="3"/>
  <c r="D129" i="3"/>
  <c r="E129" i="3"/>
  <c r="F129" i="3"/>
  <c r="G129" i="3"/>
  <c r="I129" i="3"/>
  <c r="J129" i="3"/>
  <c r="L129" i="3"/>
  <c r="M129" i="3"/>
  <c r="R129" i="3"/>
  <c r="S129" i="3"/>
  <c r="U129" i="3"/>
  <c r="V129" i="3"/>
  <c r="X129" i="3"/>
  <c r="Y129" i="3"/>
  <c r="AB129" i="3"/>
  <c r="AD129" i="3"/>
  <c r="AE129" i="3"/>
  <c r="AG129" i="3"/>
  <c r="AH129" i="3"/>
  <c r="AJ129" i="3"/>
  <c r="AK129" i="3"/>
  <c r="AM129" i="3"/>
  <c r="AP129" i="3"/>
  <c r="AQ129" i="3"/>
  <c r="AS129" i="3"/>
  <c r="AT129" i="3"/>
  <c r="AV129" i="3"/>
  <c r="AW129" i="3"/>
  <c r="BC129" i="3"/>
  <c r="BE129" i="3"/>
  <c r="D130" i="3"/>
  <c r="E130" i="3"/>
  <c r="F130" i="3"/>
  <c r="G130" i="3"/>
  <c r="I130" i="3"/>
  <c r="J130" i="3"/>
  <c r="L130" i="3"/>
  <c r="M130" i="3"/>
  <c r="O130" i="3"/>
  <c r="R130" i="3"/>
  <c r="S130" i="3"/>
  <c r="U130" i="3"/>
  <c r="V130" i="3"/>
  <c r="X130" i="3"/>
  <c r="Y130" i="3"/>
  <c r="AD130" i="3"/>
  <c r="AE130" i="3"/>
  <c r="AG130" i="3"/>
  <c r="AH130" i="3"/>
  <c r="AJ130" i="3"/>
  <c r="AK130" i="3"/>
  <c r="AP130" i="3"/>
  <c r="AQ130" i="3"/>
  <c r="AS130" i="3"/>
  <c r="AT130" i="3"/>
  <c r="AV130" i="3"/>
  <c r="AW130" i="3"/>
  <c r="BE130" i="3"/>
  <c r="D131" i="3"/>
  <c r="E131" i="3"/>
  <c r="F131" i="3"/>
  <c r="G131" i="3"/>
  <c r="I131" i="3"/>
  <c r="J131" i="3"/>
  <c r="L131" i="3"/>
  <c r="M131" i="3"/>
  <c r="R131" i="3"/>
  <c r="S131" i="3"/>
  <c r="U131" i="3"/>
  <c r="V131" i="3"/>
  <c r="X131" i="3"/>
  <c r="Y131" i="3"/>
  <c r="AB131" i="3"/>
  <c r="AD131" i="3"/>
  <c r="AE131" i="3"/>
  <c r="AG131" i="3"/>
  <c r="AH131" i="3"/>
  <c r="AJ131" i="3"/>
  <c r="AK131" i="3"/>
  <c r="AM131" i="3"/>
  <c r="AN131" i="3"/>
  <c r="AP131" i="3"/>
  <c r="AQ131" i="3"/>
  <c r="AS131" i="3"/>
  <c r="AT131" i="3"/>
  <c r="AV131" i="3"/>
  <c r="AW131" i="3"/>
  <c r="BC131" i="3"/>
  <c r="BE131" i="3"/>
  <c r="D133" i="3"/>
  <c r="E133" i="3"/>
  <c r="F133" i="3"/>
  <c r="G133" i="3"/>
  <c r="L133" i="3"/>
  <c r="M133" i="3"/>
  <c r="U133" i="3"/>
  <c r="V133" i="3"/>
  <c r="Y133" i="3"/>
  <c r="AD133" i="3"/>
  <c r="AE133" i="3"/>
  <c r="AJ133" i="3"/>
  <c r="AK133" i="3"/>
  <c r="AS133" i="3"/>
  <c r="AT133" i="3"/>
  <c r="BE133" i="3"/>
  <c r="D134" i="3"/>
  <c r="E134" i="3"/>
  <c r="F134" i="3"/>
  <c r="G134" i="3"/>
  <c r="I134" i="3"/>
  <c r="L134" i="3"/>
  <c r="M134" i="3"/>
  <c r="R134" i="3"/>
  <c r="V134" i="3"/>
  <c r="X134" i="3"/>
  <c r="AD134" i="3"/>
  <c r="AE134" i="3"/>
  <c r="AJ134" i="3"/>
  <c r="AK134" i="3"/>
  <c r="AQ134" i="3"/>
  <c r="AS134" i="3"/>
  <c r="AT134" i="3"/>
  <c r="BE134" i="3"/>
  <c r="D135" i="3"/>
  <c r="E135" i="3"/>
  <c r="F135" i="3"/>
  <c r="G135" i="3"/>
  <c r="I135" i="3"/>
  <c r="M135" i="3"/>
  <c r="R135" i="3"/>
  <c r="V135" i="3"/>
  <c r="X135" i="3"/>
  <c r="AD135" i="3"/>
  <c r="AE135" i="3"/>
  <c r="AJ135" i="3"/>
  <c r="AK135" i="3"/>
  <c r="AS135" i="3"/>
  <c r="AT135" i="3"/>
  <c r="AW135" i="3"/>
  <c r="BE135" i="3"/>
  <c r="D136" i="3"/>
  <c r="E136" i="3"/>
  <c r="F136" i="3"/>
  <c r="G136" i="3"/>
  <c r="I136" i="3"/>
  <c r="M136" i="3"/>
  <c r="R136" i="3"/>
  <c r="V136" i="3"/>
  <c r="X136" i="3"/>
  <c r="AE136" i="3"/>
  <c r="AG136" i="3"/>
  <c r="AJ136" i="3"/>
  <c r="AK136" i="3"/>
  <c r="AP136" i="3"/>
  <c r="AT136" i="3"/>
  <c r="AV136" i="3"/>
  <c r="BE136" i="3"/>
  <c r="D137" i="3"/>
  <c r="E137" i="3"/>
  <c r="F137" i="3"/>
  <c r="G137" i="3"/>
  <c r="I137" i="3"/>
  <c r="J137" i="3"/>
  <c r="L137" i="3"/>
  <c r="M137" i="3"/>
  <c r="R137" i="3"/>
  <c r="S137" i="3"/>
  <c r="U137" i="3"/>
  <c r="V137" i="3"/>
  <c r="X137" i="3"/>
  <c r="Y137" i="3"/>
  <c r="AD137" i="3"/>
  <c r="AE137" i="3"/>
  <c r="AG137" i="3"/>
  <c r="AH137" i="3"/>
  <c r="AJ137" i="3"/>
  <c r="AK137" i="3"/>
  <c r="AP137" i="3"/>
  <c r="AQ137" i="3"/>
  <c r="AS137" i="3"/>
  <c r="AT137" i="3"/>
  <c r="AV137" i="3"/>
  <c r="AW137" i="3"/>
  <c r="BE137" i="3"/>
  <c r="H141" i="3"/>
  <c r="K141" i="3"/>
  <c r="N141" i="3"/>
  <c r="O141" i="3"/>
  <c r="P141" i="3"/>
  <c r="T141" i="3"/>
  <c r="W141" i="3"/>
  <c r="Z141" i="3"/>
  <c r="AA141" i="3"/>
  <c r="AB141" i="3"/>
  <c r="AF141" i="3"/>
  <c r="AI141" i="3"/>
  <c r="AL141" i="3"/>
  <c r="AM141" i="3"/>
  <c r="AN141" i="3"/>
  <c r="AR141" i="3"/>
  <c r="AU141" i="3"/>
  <c r="AX141" i="3"/>
  <c r="AY141" i="3"/>
  <c r="AZ141" i="3"/>
  <c r="BB141" i="3"/>
  <c r="BG141" i="3" s="1"/>
  <c r="BC141" i="3"/>
  <c r="H143" i="3"/>
  <c r="K143" i="3"/>
  <c r="N143" i="3"/>
  <c r="O143" i="3"/>
  <c r="P143" i="3"/>
  <c r="T143" i="3"/>
  <c r="W143" i="3"/>
  <c r="Z143" i="3"/>
  <c r="AA143" i="3"/>
  <c r="AB143" i="3"/>
  <c r="AF143" i="3"/>
  <c r="AI143" i="3"/>
  <c r="AL143" i="3"/>
  <c r="AM143" i="3"/>
  <c r="AN143" i="3"/>
  <c r="AR143" i="3"/>
  <c r="AU143" i="3"/>
  <c r="AX143" i="3"/>
  <c r="AY143" i="3"/>
  <c r="AZ143" i="3"/>
  <c r="BB143" i="3"/>
  <c r="BG143" i="3" s="1"/>
  <c r="BC143" i="3"/>
  <c r="H144" i="3"/>
  <c r="K144" i="3"/>
  <c r="N144" i="3"/>
  <c r="O144" i="3"/>
  <c r="P144" i="3"/>
  <c r="T144" i="3"/>
  <c r="W144" i="3"/>
  <c r="Z144" i="3"/>
  <c r="AA144" i="3"/>
  <c r="AB144" i="3"/>
  <c r="AF144" i="3"/>
  <c r="AI144" i="3"/>
  <c r="AL144" i="3"/>
  <c r="AM144" i="3"/>
  <c r="AN144" i="3"/>
  <c r="AR144" i="3"/>
  <c r="AU144" i="3"/>
  <c r="AX144" i="3"/>
  <c r="AY144" i="3"/>
  <c r="AZ144" i="3"/>
  <c r="BB144" i="3"/>
  <c r="BG144" i="3" s="1"/>
  <c r="BC144" i="3"/>
  <c r="W97" i="3" l="1"/>
  <c r="AI95" i="3"/>
  <c r="R92" i="3"/>
  <c r="D92" i="3"/>
  <c r="AB66" i="3"/>
  <c r="AB134" i="3" s="1"/>
  <c r="AY65" i="3"/>
  <c r="AY133" i="3" s="1"/>
  <c r="AQ59" i="3"/>
  <c r="T95" i="3"/>
  <c r="AP92" i="3"/>
  <c r="X92" i="3"/>
  <c r="I92" i="3"/>
  <c r="AI68" i="3"/>
  <c r="AY67" i="3"/>
  <c r="AY135" i="3" s="1"/>
  <c r="P66" i="3"/>
  <c r="AP64" i="3"/>
  <c r="AS64" i="3"/>
  <c r="AJ64" i="3"/>
  <c r="AD64" i="3"/>
  <c r="W68" i="3"/>
  <c r="N68" i="3"/>
  <c r="S64" i="3"/>
  <c r="P65" i="3"/>
  <c r="P133" i="3" s="1"/>
  <c r="BG100" i="3"/>
  <c r="AU95" i="3"/>
  <c r="AA95" i="3"/>
  <c r="AD92" i="3"/>
  <c r="AD102" i="3" s="1"/>
  <c r="AM95" i="3"/>
  <c r="AM92" i="3" s="1"/>
  <c r="AJ92" i="3"/>
  <c r="AL92" i="3" s="1"/>
  <c r="F92" i="3"/>
  <c r="BB95" i="3"/>
  <c r="BG95" i="3" s="1"/>
  <c r="AL95" i="3"/>
  <c r="O95" i="3"/>
  <c r="O92" i="3" s="1"/>
  <c r="AS92" i="3"/>
  <c r="L92" i="3"/>
  <c r="AX95" i="3"/>
  <c r="Z95" i="3"/>
  <c r="K95" i="3"/>
  <c r="Q100" i="3"/>
  <c r="AU97" i="3"/>
  <c r="AL97" i="3"/>
  <c r="AF97" i="3"/>
  <c r="AR95" i="3"/>
  <c r="AB95" i="3"/>
  <c r="AC95" i="3" s="1"/>
  <c r="P95" i="3"/>
  <c r="Q95" i="3" s="1"/>
  <c r="AW92" i="3"/>
  <c r="AX92" i="3" s="1"/>
  <c r="AQ92" i="3"/>
  <c r="AH92" i="3"/>
  <c r="AI92" i="3" s="1"/>
  <c r="Y92" i="3"/>
  <c r="Z92" i="3" s="1"/>
  <c r="S92" i="3"/>
  <c r="J92" i="3"/>
  <c r="K92" i="3" s="1"/>
  <c r="E92" i="3"/>
  <c r="AZ95" i="3"/>
  <c r="AZ92" i="3" s="1"/>
  <c r="AF95" i="3"/>
  <c r="W95" i="3"/>
  <c r="N95" i="3"/>
  <c r="BG94" i="3"/>
  <c r="BG77" i="3" s="1"/>
  <c r="BE78" i="3"/>
  <c r="BE93" i="3" s="1"/>
  <c r="BE76" i="3" s="1"/>
  <c r="BE75" i="3" s="1"/>
  <c r="BE140" i="3" s="1"/>
  <c r="BE142" i="3" s="1"/>
  <c r="AU68" i="3"/>
  <c r="AN67" i="3"/>
  <c r="N67" i="3"/>
  <c r="AN65" i="3"/>
  <c r="AN133" i="3" s="1"/>
  <c r="AW64" i="3"/>
  <c r="AZ68" i="3"/>
  <c r="AZ136" i="3" s="1"/>
  <c r="AB68" i="3"/>
  <c r="AB136" i="3" s="1"/>
  <c r="K68" i="3"/>
  <c r="AM67" i="3"/>
  <c r="AM135" i="3" s="1"/>
  <c r="AB67" i="3"/>
  <c r="AB135" i="3" s="1"/>
  <c r="P67" i="3"/>
  <c r="P135" i="3" s="1"/>
  <c r="Q135" i="3" s="1"/>
  <c r="BB66" i="3"/>
  <c r="Z66" i="3"/>
  <c r="AV64" i="3"/>
  <c r="AG64" i="3"/>
  <c r="X64" i="3"/>
  <c r="AA65" i="3"/>
  <c r="AA133" i="3" s="1"/>
  <c r="BB65" i="3"/>
  <c r="BB133" i="3" s="1"/>
  <c r="AS136" i="3"/>
  <c r="L136" i="3"/>
  <c r="U136" i="3"/>
  <c r="W136" i="3" s="1"/>
  <c r="L135" i="3"/>
  <c r="J133" i="3"/>
  <c r="AL68" i="3"/>
  <c r="AD136" i="3"/>
  <c r="AF136" i="3" s="1"/>
  <c r="U135" i="3"/>
  <c r="W135" i="3" s="1"/>
  <c r="S133" i="3"/>
  <c r="AW136" i="3"/>
  <c r="AQ136" i="3"/>
  <c r="AR136" i="3" s="1"/>
  <c r="AH136" i="3"/>
  <c r="AI136" i="3" s="1"/>
  <c r="Y136" i="3"/>
  <c r="Z136" i="3" s="1"/>
  <c r="S136" i="3"/>
  <c r="J136" i="3"/>
  <c r="K136" i="3" s="1"/>
  <c r="AG135" i="3"/>
  <c r="AI135" i="3" s="1"/>
  <c r="AV133" i="3"/>
  <c r="AX133" i="3" s="1"/>
  <c r="AG133" i="3"/>
  <c r="X133" i="3"/>
  <c r="Z133" i="3" s="1"/>
  <c r="R133" i="3"/>
  <c r="I133" i="3"/>
  <c r="Z67" i="3"/>
  <c r="AY66" i="3"/>
  <c r="AY134" i="3" s="1"/>
  <c r="T66" i="3"/>
  <c r="AM65" i="3"/>
  <c r="AM133" i="3" s="1"/>
  <c r="AO133" i="3" s="1"/>
  <c r="AQ64" i="3"/>
  <c r="J64" i="3"/>
  <c r="AX67" i="3"/>
  <c r="AR67" i="3"/>
  <c r="AI67" i="3"/>
  <c r="AX66" i="3"/>
  <c r="AR66" i="3"/>
  <c r="BC66" i="3"/>
  <c r="BC134" i="3" s="1"/>
  <c r="U64" i="3"/>
  <c r="L64" i="3"/>
  <c r="AX65" i="3"/>
  <c r="AR65" i="3"/>
  <c r="AI65" i="3"/>
  <c r="Z65" i="3"/>
  <c r="T65" i="3"/>
  <c r="AR68" i="3"/>
  <c r="P68" i="3"/>
  <c r="P136" i="3" s="1"/>
  <c r="T67" i="3"/>
  <c r="AM66" i="3"/>
  <c r="K66" i="3"/>
  <c r="Y64" i="3"/>
  <c r="R64" i="3"/>
  <c r="S135" i="3"/>
  <c r="J135" i="3"/>
  <c r="AG134" i="3"/>
  <c r="Y134" i="3"/>
  <c r="Z134" i="3" s="1"/>
  <c r="AH64" i="3"/>
  <c r="AT78" i="3"/>
  <c r="AE78" i="3"/>
  <c r="AF78" i="3" s="1"/>
  <c r="V78" i="3"/>
  <c r="M78" i="3"/>
  <c r="M75" i="3" s="1"/>
  <c r="M140" i="3" s="1"/>
  <c r="O68" i="3"/>
  <c r="O136" i="3" s="1"/>
  <c r="Q136" i="3" s="1"/>
  <c r="BC67" i="3"/>
  <c r="AZ66" i="3"/>
  <c r="AZ134" i="3" s="1"/>
  <c r="AI66" i="3"/>
  <c r="O66" i="3"/>
  <c r="O134" i="3" s="1"/>
  <c r="BC65" i="3"/>
  <c r="BC133" i="3" s="1"/>
  <c r="AB65" i="3"/>
  <c r="AB133" i="3" s="1"/>
  <c r="K65" i="3"/>
  <c r="AY68" i="3"/>
  <c r="AY136" i="3" s="1"/>
  <c r="AF68" i="3"/>
  <c r="BB67" i="3"/>
  <c r="BG67" i="3" s="1"/>
  <c r="BG135" i="3" s="1"/>
  <c r="AN66" i="3"/>
  <c r="AN134" i="3" s="1"/>
  <c r="W66" i="3"/>
  <c r="N66" i="3"/>
  <c r="AN95" i="3"/>
  <c r="AN78" i="3" s="1"/>
  <c r="AM68" i="3"/>
  <c r="AM136" i="3" s="1"/>
  <c r="AZ67" i="3"/>
  <c r="AZ135" i="3" s="1"/>
  <c r="BA135" i="3" s="1"/>
  <c r="AZ65" i="3"/>
  <c r="AZ133" i="3" s="1"/>
  <c r="AU118" i="3"/>
  <c r="AO83" i="3"/>
  <c r="Q83" i="3"/>
  <c r="BB137" i="3"/>
  <c r="BA58" i="3"/>
  <c r="Q55" i="3"/>
  <c r="BA26" i="3"/>
  <c r="AY62" i="3"/>
  <c r="BA31" i="3"/>
  <c r="AY37" i="3"/>
  <c r="BA37" i="3" s="1"/>
  <c r="AQ111" i="3"/>
  <c r="AQ105" i="3" s="1"/>
  <c r="AY60" i="3"/>
  <c r="AH111" i="3"/>
  <c r="AH105" i="3" s="1"/>
  <c r="AH110" i="3"/>
  <c r="AI110" i="3" s="1"/>
  <c r="AB60" i="3"/>
  <c r="AC60" i="3" s="1"/>
  <c r="BB118" i="3"/>
  <c r="BD30" i="3"/>
  <c r="X59" i="3"/>
  <c r="BB53" i="3"/>
  <c r="BG53" i="3" s="1"/>
  <c r="H24" i="3"/>
  <c r="AZ48" i="3"/>
  <c r="O48" i="3"/>
  <c r="BC47" i="3"/>
  <c r="AB47" i="3"/>
  <c r="O46" i="3"/>
  <c r="AV44" i="3"/>
  <c r="X44" i="3"/>
  <c r="I44" i="3"/>
  <c r="D44" i="3"/>
  <c r="AB112" i="3"/>
  <c r="AC112" i="3" s="1"/>
  <c r="AC106" i="3" s="1"/>
  <c r="AP110" i="3"/>
  <c r="AO143" i="3"/>
  <c r="AX134" i="3"/>
  <c r="AX120" i="3"/>
  <c r="Z119" i="3"/>
  <c r="AF117" i="3"/>
  <c r="AB114" i="3"/>
  <c r="AC114" i="3" s="1"/>
  <c r="AC108" i="3" s="1"/>
  <c r="AV111" i="3"/>
  <c r="AV105" i="3" s="1"/>
  <c r="BD82" i="3"/>
  <c r="W77" i="3"/>
  <c r="N77" i="3"/>
  <c r="H77" i="3"/>
  <c r="AZ38" i="3"/>
  <c r="BA38" i="3" s="1"/>
  <c r="BC37" i="3"/>
  <c r="AP34" i="3"/>
  <c r="BD144" i="3"/>
  <c r="AE127" i="3"/>
  <c r="AE121" i="3" s="1"/>
  <c r="BB120" i="3"/>
  <c r="BD120" i="3" s="1"/>
  <c r="AL120" i="3"/>
  <c r="BC114" i="3"/>
  <c r="BC108" i="3" s="1"/>
  <c r="AG34" i="3"/>
  <c r="AI78" i="3"/>
  <c r="H62" i="3"/>
  <c r="Q58" i="3"/>
  <c r="AK49" i="3"/>
  <c r="M49" i="3"/>
  <c r="AL39" i="3"/>
  <c r="AR135" i="3"/>
  <c r="Z120" i="3"/>
  <c r="H117" i="3"/>
  <c r="BA93" i="3"/>
  <c r="AO90" i="3"/>
  <c r="AF133" i="3"/>
  <c r="BA141" i="3"/>
  <c r="AF135" i="3"/>
  <c r="Z135" i="3"/>
  <c r="T134" i="3"/>
  <c r="H119" i="3"/>
  <c r="K116" i="3"/>
  <c r="AO100" i="3"/>
  <c r="Q99" i="3"/>
  <c r="AX97" i="3"/>
  <c r="AR97" i="3"/>
  <c r="Q96" i="3"/>
  <c r="AC86" i="3"/>
  <c r="BD81" i="3"/>
  <c r="AC81" i="3"/>
  <c r="AI80" i="3"/>
  <c r="AX77" i="3"/>
  <c r="AR77" i="3"/>
  <c r="BD67" i="3"/>
  <c r="AT49" i="3"/>
  <c r="AE49" i="3"/>
  <c r="G49" i="3"/>
  <c r="H49" i="3" s="1"/>
  <c r="AI85" i="3"/>
  <c r="AO88" i="3"/>
  <c r="AO86" i="3"/>
  <c r="BD137" i="3"/>
  <c r="H134" i="3"/>
  <c r="AL137" i="3"/>
  <c r="T137" i="3"/>
  <c r="AU136" i="3"/>
  <c r="AN136" i="3"/>
  <c r="BC135" i="3"/>
  <c r="N135" i="3"/>
  <c r="AR120" i="3"/>
  <c r="AF119" i="3"/>
  <c r="AL117" i="3"/>
  <c r="Z117" i="3"/>
  <c r="BA95" i="3"/>
  <c r="AU92" i="3"/>
  <c r="AF92" i="3"/>
  <c r="BA90" i="3"/>
  <c r="Q88" i="3"/>
  <c r="AO87" i="3"/>
  <c r="Q86" i="3"/>
  <c r="W85" i="3"/>
  <c r="N85" i="3"/>
  <c r="W80" i="3"/>
  <c r="AU79" i="3"/>
  <c r="W79" i="3"/>
  <c r="AR78" i="3"/>
  <c r="AI77" i="3"/>
  <c r="BD69" i="3"/>
  <c r="AC69" i="3"/>
  <c r="AO67" i="3"/>
  <c r="AC57" i="3"/>
  <c r="BA56" i="3"/>
  <c r="AI54" i="3"/>
  <c r="K54" i="3"/>
  <c r="AS49" i="3"/>
  <c r="Q41" i="3"/>
  <c r="AC33" i="3"/>
  <c r="AO31" i="3"/>
  <c r="AL29" i="3"/>
  <c r="N29" i="3"/>
  <c r="AC28" i="3"/>
  <c r="AR61" i="3"/>
  <c r="AO58" i="3"/>
  <c r="AI137" i="3"/>
  <c r="W137" i="3"/>
  <c r="AX136" i="3"/>
  <c r="AL136" i="3"/>
  <c r="T135" i="3"/>
  <c r="K135" i="3"/>
  <c r="AL134" i="3"/>
  <c r="AL133" i="3"/>
  <c r="T120" i="3"/>
  <c r="N119" i="3"/>
  <c r="T118" i="3"/>
  <c r="Q94" i="3"/>
  <c r="AC90" i="3"/>
  <c r="BA89" i="3"/>
  <c r="Q87" i="3"/>
  <c r="K80" i="3"/>
  <c r="AL78" i="3"/>
  <c r="AX76" i="3"/>
  <c r="Z76" i="3"/>
  <c r="BD56" i="3"/>
  <c r="AC56" i="3"/>
  <c r="U49" i="3"/>
  <c r="BD32" i="3"/>
  <c r="AC32" i="3"/>
  <c r="AX29" i="3"/>
  <c r="AI29" i="3"/>
  <c r="K29" i="3"/>
  <c r="BA143" i="3"/>
  <c r="BA137" i="3"/>
  <c r="AU137" i="3"/>
  <c r="N137" i="3"/>
  <c r="AU135" i="3"/>
  <c r="H135" i="3"/>
  <c r="K134" i="3"/>
  <c r="AU133" i="3"/>
  <c r="W133" i="3"/>
  <c r="K133" i="3"/>
  <c r="K120" i="3"/>
  <c r="BB119" i="3"/>
  <c r="BD119" i="3" s="1"/>
  <c r="AU119" i="3"/>
  <c r="AI119" i="3"/>
  <c r="AY118" i="3"/>
  <c r="BA118" i="3" s="1"/>
  <c r="AL118" i="3"/>
  <c r="Z118" i="3"/>
  <c r="N118" i="3"/>
  <c r="AX117" i="3"/>
  <c r="K117" i="3"/>
  <c r="AI116" i="3"/>
  <c r="G116" i="3"/>
  <c r="H116" i="3" s="1"/>
  <c r="AI114" i="3"/>
  <c r="AI108" i="3" s="1"/>
  <c r="Q101" i="3"/>
  <c r="N97" i="3"/>
  <c r="BD96" i="3"/>
  <c r="AC96" i="3"/>
  <c r="Q91" i="3"/>
  <c r="BA88" i="3"/>
  <c r="H85" i="3"/>
  <c r="BA83" i="3"/>
  <c r="N80" i="3"/>
  <c r="AL76" i="3"/>
  <c r="N76" i="3"/>
  <c r="AR64" i="3"/>
  <c r="AI64" i="3"/>
  <c r="T64" i="3"/>
  <c r="K64" i="3"/>
  <c r="AO55" i="3"/>
  <c r="AR54" i="3"/>
  <c r="AO33" i="3"/>
  <c r="AO30" i="3"/>
  <c r="AF116" i="3"/>
  <c r="W24" i="3"/>
  <c r="BE110" i="3"/>
  <c r="Q81" i="3"/>
  <c r="AQ49" i="3"/>
  <c r="AR49" i="3" s="1"/>
  <c r="BD27" i="3"/>
  <c r="AZ47" i="3"/>
  <c r="O47" i="3"/>
  <c r="BC46" i="3"/>
  <c r="BD46" i="3" s="1"/>
  <c r="AM46" i="3"/>
  <c r="AS44" i="3"/>
  <c r="U44" i="3"/>
  <c r="AO144" i="3"/>
  <c r="Q143" i="3"/>
  <c r="AO141" i="3"/>
  <c r="AF137" i="3"/>
  <c r="BB136" i="3"/>
  <c r="BD136" i="3" s="1"/>
  <c r="H136" i="3"/>
  <c r="AM134" i="3"/>
  <c r="AO134" i="3" s="1"/>
  <c r="N134" i="3"/>
  <c r="AR133" i="3"/>
  <c r="N133" i="3"/>
  <c r="N120" i="3"/>
  <c r="AX119" i="3"/>
  <c r="AL119" i="3"/>
  <c r="BD118" i="3"/>
  <c r="AI118" i="3"/>
  <c r="W118" i="3"/>
  <c r="N117" i="3"/>
  <c r="T116" i="3"/>
  <c r="BD94" i="3"/>
  <c r="AC94" i="3"/>
  <c r="Q90" i="3"/>
  <c r="AO89" i="3"/>
  <c r="AX85" i="3"/>
  <c r="AR85" i="3"/>
  <c r="K85" i="3"/>
  <c r="BD83" i="3"/>
  <c r="BA81" i="3"/>
  <c r="T80" i="3"/>
  <c r="AX79" i="3"/>
  <c r="K79" i="3"/>
  <c r="AC68" i="3"/>
  <c r="BA66" i="3"/>
  <c r="AU64" i="3"/>
  <c r="AF64" i="3"/>
  <c r="W64" i="3"/>
  <c r="H64" i="3"/>
  <c r="BA57" i="3"/>
  <c r="Q57" i="3"/>
  <c r="AC55" i="3"/>
  <c r="AU54" i="3"/>
  <c r="AL54" i="3"/>
  <c r="P51" i="3"/>
  <c r="Q51" i="3" s="1"/>
  <c r="BD43" i="3"/>
  <c r="BA33" i="3"/>
  <c r="AC31" i="3"/>
  <c r="AR29" i="3"/>
  <c r="Z29" i="3"/>
  <c r="T29" i="3"/>
  <c r="BA28" i="3"/>
  <c r="BA144" i="3"/>
  <c r="BD143" i="3"/>
  <c r="AX135" i="3"/>
  <c r="AL135" i="3"/>
  <c r="AR118" i="3"/>
  <c r="AF118" i="3"/>
  <c r="AC93" i="3"/>
  <c r="T92" i="3"/>
  <c r="AU24" i="3"/>
  <c r="AS116" i="3"/>
  <c r="AU116" i="3" s="1"/>
  <c r="AN135" i="3"/>
  <c r="P134" i="3"/>
  <c r="AR119" i="3"/>
  <c r="AL116" i="3"/>
  <c r="N116" i="3"/>
  <c r="BG42" i="3"/>
  <c r="BD42" i="3"/>
  <c r="BB52" i="3"/>
  <c r="BG52" i="3" s="1"/>
  <c r="Q42" i="3"/>
  <c r="P52" i="3"/>
  <c r="Q52" i="3" s="1"/>
  <c r="AO41" i="3"/>
  <c r="AN51" i="3"/>
  <c r="AO51" i="3" s="1"/>
  <c r="AG70" i="3"/>
  <c r="AG49" i="3"/>
  <c r="AI49" i="3" s="1"/>
  <c r="Q26" i="3"/>
  <c r="P118" i="3"/>
  <c r="Q118" i="3" s="1"/>
  <c r="AX24" i="3"/>
  <c r="AW116" i="3"/>
  <c r="AX116" i="3" s="1"/>
  <c r="BG89" i="3"/>
  <c r="BD89" i="3"/>
  <c r="BG66" i="3"/>
  <c r="BG134" i="3" s="1"/>
  <c r="BB134" i="3"/>
  <c r="H137" i="3"/>
  <c r="U116" i="3"/>
  <c r="W116" i="3" s="1"/>
  <c r="AZ97" i="3"/>
  <c r="Q98" i="3"/>
  <c r="BD91" i="3"/>
  <c r="AC91" i="3"/>
  <c r="AC43" i="3"/>
  <c r="AB53" i="3"/>
  <c r="AC53" i="3" s="1"/>
  <c r="BD40" i="3"/>
  <c r="BC50" i="3"/>
  <c r="BD50" i="3" s="1"/>
  <c r="AC40" i="3"/>
  <c r="AB50" i="3"/>
  <c r="AC50" i="3" s="1"/>
  <c r="Z39" i="3"/>
  <c r="Y49" i="3"/>
  <c r="Z49" i="3" s="1"/>
  <c r="S70" i="3"/>
  <c r="S49" i="3"/>
  <c r="L49" i="3"/>
  <c r="AZ112" i="3"/>
  <c r="BA112" i="3" s="1"/>
  <c r="BA106" i="3" s="1"/>
  <c r="AZ60" i="3"/>
  <c r="BC45" i="3"/>
  <c r="AG44" i="3"/>
  <c r="AF134" i="3"/>
  <c r="AF120" i="3"/>
  <c r="H118" i="3"/>
  <c r="BC53" i="3"/>
  <c r="BA43" i="3"/>
  <c r="BA40" i="3"/>
  <c r="AZ50" i="3"/>
  <c r="BA50" i="3" s="1"/>
  <c r="BE70" i="3"/>
  <c r="BE49" i="3"/>
  <c r="V49" i="3"/>
  <c r="N39" i="3"/>
  <c r="I70" i="3"/>
  <c r="I49" i="3"/>
  <c r="K49" i="3" s="1"/>
  <c r="D70" i="3"/>
  <c r="D49" i="3"/>
  <c r="AO26" i="3"/>
  <c r="O38" i="3"/>
  <c r="O63" i="3"/>
  <c r="AM35" i="3"/>
  <c r="AO35" i="3" s="1"/>
  <c r="AM60" i="3"/>
  <c r="BC48" i="3"/>
  <c r="AB48" i="3"/>
  <c r="AZ45" i="3"/>
  <c r="O45" i="3"/>
  <c r="AJ44" i="3"/>
  <c r="L44" i="3"/>
  <c r="AR134" i="3"/>
  <c r="T119" i="3"/>
  <c r="AR117" i="3"/>
  <c r="T117" i="3"/>
  <c r="AC144" i="3"/>
  <c r="AC143" i="3"/>
  <c r="Q141" i="3"/>
  <c r="AR137" i="3"/>
  <c r="Z137" i="3"/>
  <c r="K137" i="3"/>
  <c r="T136" i="3"/>
  <c r="AU134" i="3"/>
  <c r="AI134" i="3"/>
  <c r="W134" i="3"/>
  <c r="AI133" i="3"/>
  <c r="H133" i="3"/>
  <c r="AU120" i="3"/>
  <c r="AI120" i="3"/>
  <c r="W120" i="3"/>
  <c r="H120" i="3"/>
  <c r="W119" i="3"/>
  <c r="K119" i="3"/>
  <c r="AX118" i="3"/>
  <c r="K118" i="3"/>
  <c r="AU117" i="3"/>
  <c r="AI117" i="3"/>
  <c r="W117" i="3"/>
  <c r="Z116" i="3"/>
  <c r="AI113" i="3"/>
  <c r="AI107" i="3" s="1"/>
  <c r="K112" i="3"/>
  <c r="K106" i="3" s="1"/>
  <c r="AO101" i="3"/>
  <c r="AC100" i="3"/>
  <c r="BA99" i="3"/>
  <c r="AO98" i="3"/>
  <c r="AC98" i="3"/>
  <c r="AI97" i="3"/>
  <c r="K97" i="3"/>
  <c r="BA96" i="3"/>
  <c r="BD95" i="3"/>
  <c r="AO94" i="3"/>
  <c r="W92" i="3"/>
  <c r="H92" i="3"/>
  <c r="AO91" i="3"/>
  <c r="AC89" i="3"/>
  <c r="Q43" i="3"/>
  <c r="O53" i="3"/>
  <c r="Q53" i="3" s="1"/>
  <c r="AO42" i="3"/>
  <c r="AN52" i="3"/>
  <c r="AO52" i="3" s="1"/>
  <c r="BG41" i="3"/>
  <c r="BB51" i="3"/>
  <c r="BG51" i="3" s="1"/>
  <c r="AX39" i="3"/>
  <c r="AJ49" i="3"/>
  <c r="AD49" i="3"/>
  <c r="AA24" i="3"/>
  <c r="AA116" i="3" s="1"/>
  <c r="Q117" i="3"/>
  <c r="AC88" i="3"/>
  <c r="BA87" i="3"/>
  <c r="BD86" i="3"/>
  <c r="AU85" i="3"/>
  <c r="AF85" i="3"/>
  <c r="AC83" i="3"/>
  <c r="AU80" i="3"/>
  <c r="AL80" i="3"/>
  <c r="AF80" i="3"/>
  <c r="AI79" i="3"/>
  <c r="Z79" i="3"/>
  <c r="T79" i="3"/>
  <c r="W78" i="3"/>
  <c r="H78" i="3"/>
  <c r="AU77" i="3"/>
  <c r="AF77" i="3"/>
  <c r="AH75" i="3"/>
  <c r="AH140" i="3" s="1"/>
  <c r="AH142" i="3" s="1"/>
  <c r="Q69" i="3"/>
  <c r="BA67" i="3"/>
  <c r="BD66" i="3"/>
  <c r="AX64" i="3"/>
  <c r="Z64" i="3"/>
  <c r="AO57" i="3"/>
  <c r="AO56" i="3"/>
  <c r="W54" i="3"/>
  <c r="N54" i="3"/>
  <c r="H54" i="3"/>
  <c r="BA41" i="3"/>
  <c r="AO40" i="3"/>
  <c r="BD33" i="3"/>
  <c r="Q33" i="3"/>
  <c r="AO32" i="3"/>
  <c r="AC30" i="3"/>
  <c r="AF29" i="3"/>
  <c r="W29" i="3"/>
  <c r="Q28" i="3"/>
  <c r="BA27" i="3"/>
  <c r="BD26" i="3"/>
  <c r="AI24" i="3"/>
  <c r="Z24" i="3"/>
  <c r="T24" i="3"/>
  <c r="AY48" i="3"/>
  <c r="AN48" i="3"/>
  <c r="AA47" i="3"/>
  <c r="P47" i="3"/>
  <c r="Q47" i="3" s="1"/>
  <c r="AY46" i="3"/>
  <c r="AN46" i="3"/>
  <c r="AA45" i="3"/>
  <c r="P45" i="3"/>
  <c r="AE44" i="3"/>
  <c r="G44" i="3"/>
  <c r="BD88" i="3"/>
  <c r="BA86" i="3"/>
  <c r="Z85" i="3"/>
  <c r="AO81" i="3"/>
  <c r="AX80" i="3"/>
  <c r="AR80" i="3"/>
  <c r="AL79" i="3"/>
  <c r="AF79" i="3"/>
  <c r="Z78" i="3"/>
  <c r="T78" i="3"/>
  <c r="Z77" i="3"/>
  <c r="AC67" i="3"/>
  <c r="AC66" i="3"/>
  <c r="AL64" i="3"/>
  <c r="N64" i="3"/>
  <c r="AF61" i="3"/>
  <c r="H61" i="3"/>
  <c r="AX60" i="3"/>
  <c r="AC58" i="3"/>
  <c r="BA55" i="3"/>
  <c r="Z54" i="3"/>
  <c r="T54" i="3"/>
  <c r="AC41" i="3"/>
  <c r="Q32" i="3"/>
  <c r="Q31" i="3"/>
  <c r="BA30" i="3"/>
  <c r="O29" i="3"/>
  <c r="AU29" i="3"/>
  <c r="H29" i="3"/>
  <c r="AC27" i="3"/>
  <c r="AC26" i="3"/>
  <c r="AL24" i="3"/>
  <c r="AF24" i="3"/>
  <c r="BB48" i="3"/>
  <c r="BG48" i="3" s="1"/>
  <c r="AA48" i="3"/>
  <c r="AY47" i="3"/>
  <c r="AA46" i="3"/>
  <c r="P46" i="3"/>
  <c r="AY45" i="3"/>
  <c r="AN45" i="3"/>
  <c r="AQ44" i="3"/>
  <c r="Y44" i="3"/>
  <c r="Z44" i="3" s="1"/>
  <c r="E44" i="3"/>
  <c r="R127" i="3"/>
  <c r="R121" i="3" s="1"/>
  <c r="AV126" i="3"/>
  <c r="AV122" i="3" s="1"/>
  <c r="D126" i="3"/>
  <c r="D125" i="3" s="1"/>
  <c r="AL35" i="3"/>
  <c r="AO17" i="3"/>
  <c r="AI14" i="3"/>
  <c r="K14" i="3"/>
  <c r="X127" i="3"/>
  <c r="X121" i="3" s="1"/>
  <c r="I126" i="3"/>
  <c r="I122" i="3" s="1"/>
  <c r="AO12" i="3"/>
  <c r="AC10" i="3"/>
  <c r="K115" i="3"/>
  <c r="K109" i="3" s="1"/>
  <c r="AU113" i="3"/>
  <c r="AU107" i="3" s="1"/>
  <c r="AR63" i="3"/>
  <c r="H63" i="3"/>
  <c r="Z62" i="3"/>
  <c r="AM61" i="3"/>
  <c r="AO61" i="3" s="1"/>
  <c r="T60" i="3"/>
  <c r="Z59" i="3"/>
  <c r="Q23" i="3"/>
  <c r="O37" i="3"/>
  <c r="AU114" i="3"/>
  <c r="AU108" i="3" s="1"/>
  <c r="K114" i="3"/>
  <c r="K108" i="3" s="1"/>
  <c r="U111" i="3"/>
  <c r="U105" i="3" s="1"/>
  <c r="O62" i="3"/>
  <c r="Q62" i="3" s="1"/>
  <c r="AR60" i="3"/>
  <c r="O60" i="3"/>
  <c r="H128" i="3"/>
  <c r="AO18" i="3"/>
  <c r="AO16" i="3"/>
  <c r="Q15" i="3"/>
  <c r="F110" i="3"/>
  <c r="H110" i="3" s="1"/>
  <c r="AM63" i="3"/>
  <c r="AO63" i="3" s="1"/>
  <c r="AZ114" i="3"/>
  <c r="AZ108" i="3" s="1"/>
  <c r="BB113" i="3"/>
  <c r="BB107" i="3" s="1"/>
  <c r="AB113" i="3"/>
  <c r="AB107" i="3" s="1"/>
  <c r="O112" i="3"/>
  <c r="O106" i="3" s="1"/>
  <c r="F111" i="3"/>
  <c r="F105" i="3" s="1"/>
  <c r="S110" i="3"/>
  <c r="E110" i="3"/>
  <c r="P63" i="3"/>
  <c r="AX62" i="3"/>
  <c r="BC61" i="3"/>
  <c r="AJ59" i="3"/>
  <c r="AL59" i="3" s="1"/>
  <c r="F59" i="3"/>
  <c r="H59" i="3" s="1"/>
  <c r="BC36" i="3"/>
  <c r="AB36" i="3"/>
  <c r="AC36" i="3" s="1"/>
  <c r="AZ35" i="3"/>
  <c r="BE34" i="3"/>
  <c r="Z63" i="3"/>
  <c r="BE59" i="3"/>
  <c r="AI115" i="3"/>
  <c r="AI109" i="3" s="1"/>
  <c r="AM113" i="3"/>
  <c r="AM107" i="3" s="1"/>
  <c r="K113" i="3"/>
  <c r="K107" i="3" s="1"/>
  <c r="L111" i="3"/>
  <c r="L105" i="3" s="1"/>
  <c r="E111" i="3"/>
  <c r="E105" i="3" s="1"/>
  <c r="AD110" i="3"/>
  <c r="AF110" i="3" s="1"/>
  <c r="AL63" i="3"/>
  <c r="AF63" i="3"/>
  <c r="AZ62" i="3"/>
  <c r="T62" i="3"/>
  <c r="BB61" i="3"/>
  <c r="BG61" i="3" s="1"/>
  <c r="AU61" i="3"/>
  <c r="AL60" i="3"/>
  <c r="E59" i="3"/>
  <c r="J34" i="3"/>
  <c r="AU115" i="3"/>
  <c r="AU109" i="3" s="1"/>
  <c r="AM114" i="3"/>
  <c r="AM108" i="3" s="1"/>
  <c r="W113" i="3"/>
  <c r="W107" i="3" s="1"/>
  <c r="AX112" i="3"/>
  <c r="AX106" i="3" s="1"/>
  <c r="T112" i="3"/>
  <c r="T106" i="3" s="1"/>
  <c r="AS111" i="3"/>
  <c r="AS105" i="3" s="1"/>
  <c r="AJ110" i="3"/>
  <c r="AY63" i="3"/>
  <c r="BA63" i="3" s="1"/>
  <c r="N63" i="3"/>
  <c r="BA62" i="3"/>
  <c r="AI62" i="3"/>
  <c r="T61" i="3"/>
  <c r="Z60" i="3"/>
  <c r="H60" i="3"/>
  <c r="AS59" i="3"/>
  <c r="AU59" i="3" s="1"/>
  <c r="U34" i="3"/>
  <c r="AC23" i="3"/>
  <c r="BA22" i="3"/>
  <c r="AO21" i="3"/>
  <c r="Z19" i="3"/>
  <c r="T19" i="3"/>
  <c r="AY115" i="3"/>
  <c r="AY109" i="3" s="1"/>
  <c r="AD111" i="3"/>
  <c r="AD105" i="3" s="1"/>
  <c r="AS110" i="3"/>
  <c r="AU110" i="3" s="1"/>
  <c r="L110" i="3"/>
  <c r="N110" i="3" s="1"/>
  <c r="AM62" i="3"/>
  <c r="AO62" i="3" s="1"/>
  <c r="AW59" i="3"/>
  <c r="AX59" i="3" s="1"/>
  <c r="L59" i="3"/>
  <c r="N59" i="3" s="1"/>
  <c r="AJ34" i="3"/>
  <c r="AL34" i="3" s="1"/>
  <c r="AU19" i="3"/>
  <c r="W115" i="3"/>
  <c r="W109" i="3" s="1"/>
  <c r="BB114" i="3"/>
  <c r="BB108" i="3" s="1"/>
  <c r="W114" i="3"/>
  <c r="W108" i="3" s="1"/>
  <c r="T113" i="3"/>
  <c r="T107" i="3" s="1"/>
  <c r="AW111" i="3"/>
  <c r="AW110" i="3"/>
  <c r="AX110" i="3" s="1"/>
  <c r="AR110" i="3"/>
  <c r="U110" i="3"/>
  <c r="W110" i="3" s="1"/>
  <c r="W63" i="3"/>
  <c r="BD62" i="3"/>
  <c r="AR62" i="3"/>
  <c r="AF62" i="3"/>
  <c r="AL61" i="3"/>
  <c r="W61" i="3"/>
  <c r="N61" i="3"/>
  <c r="AN60" i="3"/>
  <c r="AO60" i="3" s="1"/>
  <c r="AI60" i="3"/>
  <c r="AD59" i="3"/>
  <c r="AF59" i="3" s="1"/>
  <c r="BB37" i="3"/>
  <c r="AR35" i="3"/>
  <c r="AO20" i="3"/>
  <c r="AL19" i="3"/>
  <c r="H19" i="3"/>
  <c r="AL62" i="3"/>
  <c r="Z61" i="3"/>
  <c r="T38" i="3"/>
  <c r="N35" i="3"/>
  <c r="S34" i="3"/>
  <c r="T34" i="3" s="1"/>
  <c r="BC115" i="3"/>
  <c r="BC109" i="3" s="1"/>
  <c r="AA115" i="3"/>
  <c r="AA109" i="3" s="1"/>
  <c r="BB115" i="3"/>
  <c r="BB109" i="3" s="1"/>
  <c r="T115" i="3"/>
  <c r="T109" i="3" s="1"/>
  <c r="AR113" i="3"/>
  <c r="AR107" i="3" s="1"/>
  <c r="AA113" i="3"/>
  <c r="AA107" i="3" s="1"/>
  <c r="P113" i="3"/>
  <c r="P107" i="3" s="1"/>
  <c r="AN112" i="3"/>
  <c r="AO112" i="3" s="1"/>
  <c r="AO106" i="3" s="1"/>
  <c r="AT111" i="3"/>
  <c r="AT105" i="3" s="1"/>
  <c r="AK111" i="3"/>
  <c r="AK105" i="3" s="1"/>
  <c r="X111" i="3"/>
  <c r="X105" i="3" s="1"/>
  <c r="S111" i="3"/>
  <c r="AK110" i="3"/>
  <c r="AU63" i="3"/>
  <c r="T63" i="3"/>
  <c r="BG62" i="3"/>
  <c r="AA62" i="3"/>
  <c r="K62" i="3"/>
  <c r="AX61" i="3"/>
  <c r="AA61" i="3"/>
  <c r="AF60" i="3"/>
  <c r="P60" i="3"/>
  <c r="K60" i="3"/>
  <c r="AP59" i="3"/>
  <c r="AR59" i="3" s="1"/>
  <c r="AG59" i="3"/>
  <c r="AI59" i="3" s="1"/>
  <c r="BB38" i="3"/>
  <c r="BD38" i="3" s="1"/>
  <c r="AM38" i="3"/>
  <c r="AA38" i="3"/>
  <c r="AA37" i="3"/>
  <c r="AC37" i="3" s="1"/>
  <c r="N37" i="3"/>
  <c r="Z36" i="3"/>
  <c r="BB35" i="3"/>
  <c r="BG35" i="3" s="1"/>
  <c r="AU35" i="3"/>
  <c r="AH34" i="3"/>
  <c r="X34" i="3"/>
  <c r="BD23" i="3"/>
  <c r="AC22" i="3"/>
  <c r="AC21" i="3"/>
  <c r="Q20" i="3"/>
  <c r="AI19" i="3"/>
  <c r="BC63" i="3"/>
  <c r="AB63" i="3"/>
  <c r="AC63" i="3" s="1"/>
  <c r="Z38" i="3"/>
  <c r="BB36" i="3"/>
  <c r="BG36" i="3" s="1"/>
  <c r="P36" i="3"/>
  <c r="H35" i="3"/>
  <c r="AR115" i="3"/>
  <c r="AR109" i="3" s="1"/>
  <c r="P115" i="3"/>
  <c r="Q115" i="3" s="1"/>
  <c r="Q109" i="3" s="1"/>
  <c r="AF114" i="3"/>
  <c r="AF108" i="3" s="1"/>
  <c r="H114" i="3"/>
  <c r="H108" i="3" s="1"/>
  <c r="N112" i="3"/>
  <c r="N106" i="3" s="1"/>
  <c r="AG111" i="3"/>
  <c r="AG105" i="3" s="1"/>
  <c r="Y111" i="3"/>
  <c r="Y105" i="3" s="1"/>
  <c r="R110" i="3"/>
  <c r="J110" i="3"/>
  <c r="BB63" i="3"/>
  <c r="BG63" i="3" s="1"/>
  <c r="AX63" i="3"/>
  <c r="AB62" i="3"/>
  <c r="N62" i="3"/>
  <c r="AC61" i="3"/>
  <c r="BG60" i="3"/>
  <c r="N60" i="3"/>
  <c r="R59" i="3"/>
  <c r="T59" i="3" s="1"/>
  <c r="AB38" i="3"/>
  <c r="P38" i="3"/>
  <c r="Y34" i="3"/>
  <c r="BD21" i="3"/>
  <c r="BD129" i="3"/>
  <c r="AR131" i="3"/>
  <c r="AL131" i="3"/>
  <c r="W130" i="3"/>
  <c r="AI131" i="3"/>
  <c r="AI130" i="3"/>
  <c r="H129" i="3"/>
  <c r="H46" i="3"/>
  <c r="H131" i="3"/>
  <c r="AI129" i="3"/>
  <c r="AU128" i="3"/>
  <c r="AF38" i="3"/>
  <c r="AX128" i="3"/>
  <c r="AF128" i="3"/>
  <c r="AX34" i="3"/>
  <c r="H34" i="3"/>
  <c r="H126" i="3"/>
  <c r="T45" i="3"/>
  <c r="AU130" i="3"/>
  <c r="AN130" i="3"/>
  <c r="AO130" i="3" s="1"/>
  <c r="T130" i="3"/>
  <c r="AR128" i="3"/>
  <c r="AK126" i="3"/>
  <c r="AK122" i="3" s="1"/>
  <c r="T37" i="3"/>
  <c r="H37" i="3"/>
  <c r="AX36" i="3"/>
  <c r="AR36" i="3"/>
  <c r="K36" i="3"/>
  <c r="AO15" i="3"/>
  <c r="AC15" i="3"/>
  <c r="Z131" i="3"/>
  <c r="H130" i="3"/>
  <c r="AF129" i="3"/>
  <c r="T129" i="3"/>
  <c r="AT127" i="3"/>
  <c r="AU127" i="3" s="1"/>
  <c r="Y127" i="3"/>
  <c r="Y121" i="3" s="1"/>
  <c r="J126" i="3"/>
  <c r="J125" i="3" s="1"/>
  <c r="E126" i="3"/>
  <c r="E122" i="3" s="1"/>
  <c r="AU38" i="3"/>
  <c r="AI37" i="3"/>
  <c r="W37" i="3"/>
  <c r="H36" i="3"/>
  <c r="S126" i="3"/>
  <c r="S122" i="3" s="1"/>
  <c r="AH127" i="3"/>
  <c r="T36" i="3"/>
  <c r="AM128" i="3"/>
  <c r="AO128" i="3" s="1"/>
  <c r="AP127" i="3"/>
  <c r="AP121" i="3" s="1"/>
  <c r="AG127" i="3"/>
  <c r="AG121" i="3" s="1"/>
  <c r="J127" i="3"/>
  <c r="K127" i="3" s="1"/>
  <c r="AH126" i="3"/>
  <c r="AH122" i="3" s="1"/>
  <c r="AU53" i="3"/>
  <c r="AX38" i="3"/>
  <c r="H38" i="3"/>
  <c r="AL37" i="3"/>
  <c r="Z37" i="3"/>
  <c r="AI35" i="3"/>
  <c r="BA17" i="3"/>
  <c r="N14" i="3"/>
  <c r="H14" i="3"/>
  <c r="AL127" i="3"/>
  <c r="BB130" i="3"/>
  <c r="AF126" i="3"/>
  <c r="W131" i="3"/>
  <c r="AX130" i="3"/>
  <c r="AL130" i="3"/>
  <c r="Z130" i="3"/>
  <c r="AR129" i="3"/>
  <c r="AL129" i="3"/>
  <c r="T128" i="3"/>
  <c r="Z46" i="3"/>
  <c r="T46" i="3"/>
  <c r="AR37" i="3"/>
  <c r="AF36" i="3"/>
  <c r="N36" i="3"/>
  <c r="AX35" i="3"/>
  <c r="T35" i="3"/>
  <c r="Q16" i="3"/>
  <c r="AX14" i="3"/>
  <c r="AR14" i="3"/>
  <c r="AI53" i="3"/>
  <c r="AM47" i="3"/>
  <c r="AO47" i="3" s="1"/>
  <c r="T47" i="3"/>
  <c r="T127" i="3"/>
  <c r="Z126" i="3"/>
  <c r="AF46" i="3"/>
  <c r="Z45" i="3"/>
  <c r="W127" i="3"/>
  <c r="BB128" i="3"/>
  <c r="BD128" i="3" s="1"/>
  <c r="BD18" i="3"/>
  <c r="BB131" i="3"/>
  <c r="BD131" i="3" s="1"/>
  <c r="AU131" i="3"/>
  <c r="AF131" i="3"/>
  <c r="T131" i="3"/>
  <c r="K131" i="3"/>
  <c r="AR130" i="3"/>
  <c r="AF130" i="3"/>
  <c r="N130" i="3"/>
  <c r="AU129" i="3"/>
  <c r="Z129" i="3"/>
  <c r="N129" i="3"/>
  <c r="AI128" i="3"/>
  <c r="AB128" i="3"/>
  <c r="AC128" i="3" s="1"/>
  <c r="W128" i="3"/>
  <c r="K128" i="3"/>
  <c r="AW127" i="3"/>
  <c r="AX127" i="3" s="1"/>
  <c r="AQ127" i="3"/>
  <c r="M127" i="3"/>
  <c r="N127" i="3" s="1"/>
  <c r="G127" i="3"/>
  <c r="H127" i="3" s="1"/>
  <c r="V126" i="3"/>
  <c r="V122" i="3" s="1"/>
  <c r="M126" i="3"/>
  <c r="N126" i="3" s="1"/>
  <c r="Z52" i="3"/>
  <c r="T52" i="3"/>
  <c r="K51" i="3"/>
  <c r="W50" i="3"/>
  <c r="AL46" i="3"/>
  <c r="AL38" i="3"/>
  <c r="W38" i="3"/>
  <c r="K38" i="3"/>
  <c r="AX37" i="3"/>
  <c r="K37" i="3"/>
  <c r="AL36" i="3"/>
  <c r="W36" i="3"/>
  <c r="AF35" i="3"/>
  <c r="W35" i="3"/>
  <c r="AF34" i="3"/>
  <c r="AC18" i="3"/>
  <c r="AC17" i="3"/>
  <c r="Q17" i="3"/>
  <c r="BA16" i="3"/>
  <c r="BD15" i="3"/>
  <c r="AU14" i="3"/>
  <c r="AF14" i="3"/>
  <c r="W14" i="3"/>
  <c r="AX131" i="3"/>
  <c r="N131" i="3"/>
  <c r="AY130" i="3"/>
  <c r="BA130" i="3" s="1"/>
  <c r="K130" i="3"/>
  <c r="AX129" i="3"/>
  <c r="W129" i="3"/>
  <c r="K129" i="3"/>
  <c r="AL128" i="3"/>
  <c r="Z128" i="3"/>
  <c r="N128" i="3"/>
  <c r="AW126" i="3"/>
  <c r="AQ126" i="3"/>
  <c r="AR126" i="3" s="1"/>
  <c r="AI52" i="3"/>
  <c r="AC52" i="3"/>
  <c r="K52" i="3"/>
  <c r="AX50" i="3"/>
  <c r="AL45" i="3"/>
  <c r="AR38" i="3"/>
  <c r="AI38" i="3"/>
  <c r="N38" i="3"/>
  <c r="AU37" i="3"/>
  <c r="AF37" i="3"/>
  <c r="AU36" i="3"/>
  <c r="AO36" i="3"/>
  <c r="AI36" i="3"/>
  <c r="Z35" i="3"/>
  <c r="K35" i="3"/>
  <c r="Z14" i="3"/>
  <c r="BA52" i="3"/>
  <c r="AI51" i="3"/>
  <c r="N50" i="3"/>
  <c r="H50" i="3"/>
  <c r="N52" i="3"/>
  <c r="AU50" i="3"/>
  <c r="AO50" i="3"/>
  <c r="Z48" i="3"/>
  <c r="T48" i="3"/>
  <c r="AU47" i="3"/>
  <c r="H47" i="3"/>
  <c r="AR45" i="3"/>
  <c r="AB45" i="3"/>
  <c r="AF51" i="3"/>
  <c r="Z51" i="3"/>
  <c r="T51" i="3"/>
  <c r="Q50" i="3"/>
  <c r="Z47" i="3"/>
  <c r="BA53" i="3"/>
  <c r="T53" i="3"/>
  <c r="N53" i="3"/>
  <c r="H53" i="3"/>
  <c r="AC51" i="3"/>
  <c r="K50" i="3"/>
  <c r="AL48" i="3"/>
  <c r="K48" i="3"/>
  <c r="BB47" i="3"/>
  <c r="K46" i="3"/>
  <c r="BB45" i="3"/>
  <c r="BG45" i="3" s="1"/>
  <c r="BA10" i="3"/>
  <c r="W9" i="3"/>
  <c r="N9" i="3"/>
  <c r="W53" i="3"/>
  <c r="W52" i="3"/>
  <c r="AU51" i="3"/>
  <c r="AX49" i="3"/>
  <c r="AI48" i="3"/>
  <c r="W48" i="3"/>
  <c r="N48" i="3"/>
  <c r="AI47" i="3"/>
  <c r="AX46" i="3"/>
  <c r="AX45" i="3"/>
  <c r="N45" i="3"/>
  <c r="BA12" i="3"/>
  <c r="Q12" i="3"/>
  <c r="BA11" i="3"/>
  <c r="BD10" i="3"/>
  <c r="AX9" i="3"/>
  <c r="AR9" i="3"/>
  <c r="K9" i="3"/>
  <c r="AI50" i="3"/>
  <c r="M44" i="3"/>
  <c r="AO53" i="3"/>
  <c r="AU52" i="3"/>
  <c r="BA51" i="3"/>
  <c r="AL50" i="3"/>
  <c r="AF50" i="3"/>
  <c r="Z50" i="3"/>
  <c r="AX48" i="3"/>
  <c r="AR48" i="3"/>
  <c r="AX47" i="3"/>
  <c r="AR47" i="3"/>
  <c r="N47" i="3"/>
  <c r="AU46" i="3"/>
  <c r="AI46" i="3"/>
  <c r="N46" i="3"/>
  <c r="AU45" i="3"/>
  <c r="AI45" i="3"/>
  <c r="W45" i="3"/>
  <c r="H45" i="3"/>
  <c r="AW44" i="3"/>
  <c r="AX44" i="3" s="1"/>
  <c r="BA13" i="3"/>
  <c r="BD12" i="3"/>
  <c r="BD11" i="3"/>
  <c r="AI9" i="3"/>
  <c r="AU48" i="3"/>
  <c r="AZ46" i="3"/>
  <c r="AR46" i="3"/>
  <c r="AF45" i="3"/>
  <c r="AR53" i="3"/>
  <c r="AL53" i="3"/>
  <c r="AF53" i="3"/>
  <c r="K53" i="3"/>
  <c r="AX52" i="3"/>
  <c r="AR52" i="3"/>
  <c r="AL52" i="3"/>
  <c r="AX51" i="3"/>
  <c r="AR51" i="3"/>
  <c r="W51" i="3"/>
  <c r="H51" i="3"/>
  <c r="AL49" i="3"/>
  <c r="AF47" i="3"/>
  <c r="K47" i="3"/>
  <c r="K45" i="3"/>
  <c r="AO13" i="3"/>
  <c r="AC12" i="3"/>
  <c r="Q11" i="3"/>
  <c r="AF9" i="3"/>
  <c r="BC106" i="3"/>
  <c r="BD112" i="3"/>
  <c r="BD106" i="3" s="1"/>
  <c r="F109" i="3"/>
  <c r="H115" i="3"/>
  <c r="H109" i="3" s="1"/>
  <c r="AD107" i="3"/>
  <c r="AF113" i="3"/>
  <c r="AF107" i="3" s="1"/>
  <c r="BG101" i="3"/>
  <c r="BD101" i="3"/>
  <c r="R75" i="3"/>
  <c r="R140" i="3" s="1"/>
  <c r="R142" i="3" s="1"/>
  <c r="T76" i="3"/>
  <c r="BB76" i="3"/>
  <c r="BG25" i="3"/>
  <c r="BD25" i="3"/>
  <c r="BB117" i="3"/>
  <c r="BD117" i="3" s="1"/>
  <c r="BA21" i="3"/>
  <c r="AZ36" i="3"/>
  <c r="BA36" i="3" s="1"/>
  <c r="AZ61" i="3"/>
  <c r="BA61" i="3" s="1"/>
  <c r="AZ113" i="3"/>
  <c r="BA113" i="3" s="1"/>
  <c r="BA107" i="3" s="1"/>
  <c r="K19" i="3"/>
  <c r="I34" i="3"/>
  <c r="I59" i="3"/>
  <c r="K59" i="3" s="1"/>
  <c r="BD17" i="3"/>
  <c r="BC130" i="3"/>
  <c r="BD141" i="3"/>
  <c r="AX137" i="3"/>
  <c r="AC137" i="3"/>
  <c r="N136" i="3"/>
  <c r="AC135" i="3"/>
  <c r="AD109" i="3"/>
  <c r="AF115" i="3"/>
  <c r="AF109" i="3" s="1"/>
  <c r="R108" i="3"/>
  <c r="T114" i="3"/>
  <c r="T108" i="3" s="1"/>
  <c r="Y107" i="3"/>
  <c r="Z113" i="3"/>
  <c r="Z107" i="3" s="1"/>
  <c r="AJ106" i="3"/>
  <c r="AL112" i="3"/>
  <c r="AL106" i="3" s="1"/>
  <c r="I110" i="3"/>
  <c r="K110" i="3" s="1"/>
  <c r="AO69" i="3"/>
  <c r="AN137" i="3"/>
  <c r="AO137" i="3" s="1"/>
  <c r="J75" i="3"/>
  <c r="J140" i="3" s="1"/>
  <c r="BC76" i="3"/>
  <c r="Q22" i="3"/>
  <c r="P37" i="3"/>
  <c r="P114" i="3"/>
  <c r="Q114" i="3" s="1"/>
  <c r="Q108" i="3" s="1"/>
  <c r="O36" i="3"/>
  <c r="O61" i="3"/>
  <c r="Q61" i="3" s="1"/>
  <c r="BA18" i="3"/>
  <c r="AZ131" i="3"/>
  <c r="BA131" i="3" s="1"/>
  <c r="BA15" i="3"/>
  <c r="AZ128" i="3"/>
  <c r="BA128" i="3" s="1"/>
  <c r="AM9" i="3"/>
  <c r="AO10" i="3"/>
  <c r="AM45" i="3"/>
  <c r="AR116" i="3"/>
  <c r="AW109" i="3"/>
  <c r="AX115" i="3"/>
  <c r="AX109" i="3" s="1"/>
  <c r="AK108" i="3"/>
  <c r="AL114" i="3"/>
  <c r="AL108" i="3" s="1"/>
  <c r="M108" i="3"/>
  <c r="N114" i="3"/>
  <c r="N108" i="3" s="1"/>
  <c r="F107" i="3"/>
  <c r="H113" i="3"/>
  <c r="H107" i="3" s="1"/>
  <c r="BB79" i="3"/>
  <c r="H79" i="3"/>
  <c r="BC79" i="3"/>
  <c r="K78" i="3"/>
  <c r="BB78" i="3"/>
  <c r="BC77" i="3"/>
  <c r="K77" i="3"/>
  <c r="AO28" i="3"/>
  <c r="AN120" i="3"/>
  <c r="AO120" i="3" s="1"/>
  <c r="BD20" i="3"/>
  <c r="BC35" i="3"/>
  <c r="D34" i="3"/>
  <c r="D59" i="3"/>
  <c r="D110" i="3"/>
  <c r="D111" i="3"/>
  <c r="D105" i="3" s="1"/>
  <c r="BG13" i="3"/>
  <c r="BG9" i="3" s="1"/>
  <c r="BD13" i="3"/>
  <c r="Q13" i="3"/>
  <c r="P48" i="3"/>
  <c r="Q48" i="3" s="1"/>
  <c r="AA117" i="3"/>
  <c r="AC117" i="3" s="1"/>
  <c r="Y109" i="3"/>
  <c r="Z115" i="3"/>
  <c r="Z109" i="3" s="1"/>
  <c r="AP108" i="3"/>
  <c r="AR114" i="3"/>
  <c r="AR108" i="3" s="1"/>
  <c r="AW107" i="3"/>
  <c r="AX113" i="3"/>
  <c r="AX107" i="3" s="1"/>
  <c r="Y106" i="3"/>
  <c r="Z112" i="3"/>
  <c r="Z106" i="3" s="1"/>
  <c r="I111" i="3"/>
  <c r="I105" i="3" s="1"/>
  <c r="BB92" i="3"/>
  <c r="BC60" i="3"/>
  <c r="BD60" i="3" s="1"/>
  <c r="Q144" i="3"/>
  <c r="AC141" i="3"/>
  <c r="Q137" i="3"/>
  <c r="AC136" i="3"/>
  <c r="AC134" i="3"/>
  <c r="Q133" i="3"/>
  <c r="AC131" i="3"/>
  <c r="Q130" i="3"/>
  <c r="BA129" i="3"/>
  <c r="AC129" i="3"/>
  <c r="Q128" i="3"/>
  <c r="Q120" i="3"/>
  <c r="BA119" i="3"/>
  <c r="AC119" i="3"/>
  <c r="AO118" i="3"/>
  <c r="BA117" i="3"/>
  <c r="AO115" i="3"/>
  <c r="AO109" i="3" s="1"/>
  <c r="BA114" i="3"/>
  <c r="BA108" i="3" s="1"/>
  <c r="AE106" i="3"/>
  <c r="AF112" i="3"/>
  <c r="AF106" i="3" s="1"/>
  <c r="BA100" i="3"/>
  <c r="BC97" i="3"/>
  <c r="AY97" i="3"/>
  <c r="AA97" i="3"/>
  <c r="T97" i="3"/>
  <c r="AN92" i="3"/>
  <c r="AO93" i="3"/>
  <c r="BG87" i="3"/>
  <c r="BD87" i="3"/>
  <c r="F75" i="3"/>
  <c r="F140" i="3" s="1"/>
  <c r="H76" i="3"/>
  <c r="BB64" i="3"/>
  <c r="BG65" i="3"/>
  <c r="BD65" i="3"/>
  <c r="AA64" i="3"/>
  <c r="P64" i="3"/>
  <c r="AO43" i="3"/>
  <c r="AM48" i="3"/>
  <c r="T39" i="3"/>
  <c r="R44" i="3"/>
  <c r="R49" i="3"/>
  <c r="K39" i="3"/>
  <c r="J44" i="3"/>
  <c r="BA133" i="3"/>
  <c r="AO131" i="3"/>
  <c r="Q131" i="3"/>
  <c r="AC130" i="3"/>
  <c r="AO129" i="3"/>
  <c r="Q129" i="3"/>
  <c r="BA120" i="3"/>
  <c r="AC120" i="3"/>
  <c r="AO119" i="3"/>
  <c r="Q119" i="3"/>
  <c r="AC118" i="3"/>
  <c r="AO117" i="3"/>
  <c r="AL115" i="3"/>
  <c r="AL109" i="3" s="1"/>
  <c r="N115" i="3"/>
  <c r="N109" i="3" s="1"/>
  <c r="AX114" i="3"/>
  <c r="AX108" i="3" s="1"/>
  <c r="Z114" i="3"/>
  <c r="Z108" i="3" s="1"/>
  <c r="AL113" i="3"/>
  <c r="AL107" i="3" s="1"/>
  <c r="N113" i="3"/>
  <c r="N107" i="3" s="1"/>
  <c r="AR112" i="3"/>
  <c r="AR106" i="3" s="1"/>
  <c r="AI112" i="3"/>
  <c r="AI106" i="3" s="1"/>
  <c r="Z110" i="3"/>
  <c r="BA101" i="3"/>
  <c r="BD100" i="3"/>
  <c r="BD99" i="3"/>
  <c r="AC99" i="3"/>
  <c r="BA98" i="3"/>
  <c r="AM97" i="3"/>
  <c r="O97" i="3"/>
  <c r="BB77" i="3"/>
  <c r="AD75" i="3"/>
  <c r="AD140" i="3" s="1"/>
  <c r="AD142" i="3" s="1"/>
  <c r="AF76" i="3"/>
  <c r="V75" i="3"/>
  <c r="V140" i="3" s="1"/>
  <c r="G106" i="3"/>
  <c r="H112" i="3"/>
  <c r="H106" i="3" s="1"/>
  <c r="AB97" i="3"/>
  <c r="Q93" i="3"/>
  <c r="BG84" i="3"/>
  <c r="BD84" i="3"/>
  <c r="AP75" i="3"/>
  <c r="AP140" i="3" s="1"/>
  <c r="AP142" i="3" s="1"/>
  <c r="AR76" i="3"/>
  <c r="AU112" i="3"/>
  <c r="AU106" i="3" s="1"/>
  <c r="W112" i="3"/>
  <c r="W106" i="3" s="1"/>
  <c r="AC101" i="3"/>
  <c r="AO99" i="3"/>
  <c r="BB97" i="3"/>
  <c r="BG98" i="3"/>
  <c r="AN97" i="3"/>
  <c r="P97" i="3"/>
  <c r="Z97" i="3"/>
  <c r="H97" i="3"/>
  <c r="AO96" i="3"/>
  <c r="BA94" i="3"/>
  <c r="BC92" i="3"/>
  <c r="AY92" i="3"/>
  <c r="AA92" i="3"/>
  <c r="AR92" i="3"/>
  <c r="N92" i="3"/>
  <c r="BA91" i="3"/>
  <c r="BD90" i="3"/>
  <c r="Q89" i="3"/>
  <c r="AC87" i="3"/>
  <c r="AL85" i="3"/>
  <c r="T85" i="3"/>
  <c r="BB80" i="3"/>
  <c r="BG81" i="3"/>
  <c r="Z80" i="3"/>
  <c r="H80" i="3"/>
  <c r="AR79" i="3"/>
  <c r="N79" i="3"/>
  <c r="AX78" i="3"/>
  <c r="AL77" i="3"/>
  <c r="T77" i="3"/>
  <c r="AV75" i="3"/>
  <c r="AV140" i="3" s="1"/>
  <c r="AV142" i="3" s="1"/>
  <c r="AQ75" i="3"/>
  <c r="AJ75" i="3"/>
  <c r="AJ140" i="3" s="1"/>
  <c r="AJ142" i="3" s="1"/>
  <c r="X75" i="3"/>
  <c r="X140" i="3" s="1"/>
  <c r="X142" i="3" s="1"/>
  <c r="S75" i="3"/>
  <c r="L75" i="3"/>
  <c r="L140" i="3" s="1"/>
  <c r="L142" i="3" s="1"/>
  <c r="G75" i="3"/>
  <c r="BA69" i="3"/>
  <c r="BD68" i="3"/>
  <c r="Q67" i="3"/>
  <c r="BC64" i="3"/>
  <c r="AB64" i="3"/>
  <c r="AI63" i="3"/>
  <c r="K63" i="3"/>
  <c r="AU62" i="3"/>
  <c r="W62" i="3"/>
  <c r="AI61" i="3"/>
  <c r="K61" i="3"/>
  <c r="AU60" i="3"/>
  <c r="W60" i="3"/>
  <c r="W59" i="3"/>
  <c r="BD58" i="3"/>
  <c r="BD57" i="3"/>
  <c r="Q56" i="3"/>
  <c r="AX54" i="3"/>
  <c r="AF54" i="3"/>
  <c r="AX53" i="3"/>
  <c r="Z53" i="3"/>
  <c r="AF52" i="3"/>
  <c r="H52" i="3"/>
  <c r="AL51" i="3"/>
  <c r="N51" i="3"/>
  <c r="AR50" i="3"/>
  <c r="T50" i="3"/>
  <c r="AF48" i="3"/>
  <c r="H48" i="3"/>
  <c r="AL47" i="3"/>
  <c r="W47" i="3"/>
  <c r="BG46" i="3"/>
  <c r="W46" i="3"/>
  <c r="O39" i="3"/>
  <c r="O49" i="3" s="1"/>
  <c r="AU39" i="3"/>
  <c r="H39" i="3"/>
  <c r="AY19" i="3"/>
  <c r="BA20" i="3"/>
  <c r="AY35" i="3"/>
  <c r="O9" i="3"/>
  <c r="Q10" i="3"/>
  <c r="BE44" i="3"/>
  <c r="AS75" i="3"/>
  <c r="AS140" i="3" s="1"/>
  <c r="AS142" i="3" s="1"/>
  <c r="AG75" i="3"/>
  <c r="AG140" i="3" s="1"/>
  <c r="AG142" i="3" s="1"/>
  <c r="U75" i="3"/>
  <c r="U140" i="3" s="1"/>
  <c r="U142" i="3" s="1"/>
  <c r="I75" i="3"/>
  <c r="I140" i="3" s="1"/>
  <c r="I142" i="3" s="1"/>
  <c r="E75" i="3"/>
  <c r="E140" i="3" s="1"/>
  <c r="E142" i="3" s="1"/>
  <c r="AZ64" i="3"/>
  <c r="BG54" i="3"/>
  <c r="AF39" i="3"/>
  <c r="AD44" i="3"/>
  <c r="W39" i="3"/>
  <c r="V44" i="3"/>
  <c r="W44" i="3" s="1"/>
  <c r="AO22" i="3"/>
  <c r="AN37" i="3"/>
  <c r="AO37" i="3" s="1"/>
  <c r="W19" i="3"/>
  <c r="V34" i="3"/>
  <c r="N19" i="3"/>
  <c r="M34" i="3"/>
  <c r="N34" i="3" s="1"/>
  <c r="BG16" i="3"/>
  <c r="BG129" i="3" s="1"/>
  <c r="BD16" i="3"/>
  <c r="AC11" i="3"/>
  <c r="AB46" i="3"/>
  <c r="AC46" i="3" s="1"/>
  <c r="T9" i="3"/>
  <c r="S44" i="3"/>
  <c r="F44" i="3"/>
  <c r="AB92" i="3"/>
  <c r="AW75" i="3"/>
  <c r="AW140" i="3" s="1"/>
  <c r="AK75" i="3"/>
  <c r="AK140" i="3" s="1"/>
  <c r="Y75" i="3"/>
  <c r="Y140" i="3" s="1"/>
  <c r="D75" i="3"/>
  <c r="D140" i="3" s="1"/>
  <c r="D142" i="3" s="1"/>
  <c r="AN64" i="3"/>
  <c r="BG50" i="3"/>
  <c r="AR39" i="3"/>
  <c r="AP44" i="3"/>
  <c r="AI39" i="3"/>
  <c r="AH44" i="3"/>
  <c r="AI44" i="3" s="1"/>
  <c r="AO23" i="3"/>
  <c r="AN38" i="3"/>
  <c r="AA19" i="3"/>
  <c r="AC20" i="3"/>
  <c r="AA35" i="3"/>
  <c r="AC35" i="3" s="1"/>
  <c r="AR19" i="3"/>
  <c r="AQ34" i="3"/>
  <c r="AU9" i="3"/>
  <c r="AT44" i="3"/>
  <c r="AL9" i="3"/>
  <c r="AK44" i="3"/>
  <c r="BA42" i="3"/>
  <c r="BD41" i="3"/>
  <c r="BB39" i="3"/>
  <c r="BB49" i="3" s="1"/>
  <c r="BG40" i="3"/>
  <c r="AA39" i="3"/>
  <c r="AA49" i="3" s="1"/>
  <c r="Q40" i="3"/>
  <c r="Q35" i="3"/>
  <c r="AU34" i="3"/>
  <c r="BA32" i="3"/>
  <c r="BD31" i="3"/>
  <c r="BB29" i="3"/>
  <c r="BG30" i="3"/>
  <c r="BG29" i="3" s="1"/>
  <c r="AA29" i="3"/>
  <c r="Q30" i="3"/>
  <c r="BD28" i="3"/>
  <c r="Q27" i="3"/>
  <c r="BC24" i="3"/>
  <c r="BC116" i="3" s="1"/>
  <c r="AR24" i="3"/>
  <c r="N24" i="3"/>
  <c r="BA23" i="3"/>
  <c r="BD22" i="3"/>
  <c r="Q21" i="3"/>
  <c r="AX19" i="3"/>
  <c r="AF19" i="3"/>
  <c r="Q18" i="3"/>
  <c r="AC16" i="3"/>
  <c r="AM14" i="3"/>
  <c r="O14" i="3"/>
  <c r="AL14" i="3"/>
  <c r="T14" i="3"/>
  <c r="AC13" i="3"/>
  <c r="AO11" i="3"/>
  <c r="Z9" i="3"/>
  <c r="H9" i="3"/>
  <c r="AC42" i="3"/>
  <c r="AY39" i="3"/>
  <c r="AY49" i="3" s="1"/>
  <c r="AY29" i="3"/>
  <c r="BG112" i="3"/>
  <c r="BG106" i="3" s="1"/>
  <c r="BG19" i="3"/>
  <c r="BG130" i="3"/>
  <c r="AY14" i="3"/>
  <c r="AA14" i="3"/>
  <c r="BC39" i="3"/>
  <c r="AM39" i="3"/>
  <c r="AM49" i="3" s="1"/>
  <c r="BC29" i="3"/>
  <c r="AM29" i="3"/>
  <c r="AM24" i="3"/>
  <c r="AM116" i="3" s="1"/>
  <c r="O24" i="3"/>
  <c r="O116" i="3" s="1"/>
  <c r="AY24" i="3"/>
  <c r="AY116" i="3" s="1"/>
  <c r="AM19" i="3"/>
  <c r="O19" i="3"/>
  <c r="AY9" i="3"/>
  <c r="AY44" i="3" s="1"/>
  <c r="AA9" i="3"/>
  <c r="AT122" i="3"/>
  <c r="AP122" i="3"/>
  <c r="AJ121" i="3"/>
  <c r="AJ122" i="3"/>
  <c r="AD121" i="3"/>
  <c r="AD122" i="3"/>
  <c r="X122" i="3"/>
  <c r="R122" i="3"/>
  <c r="L121" i="3"/>
  <c r="L122" i="3"/>
  <c r="F121" i="3"/>
  <c r="F122" i="3"/>
  <c r="AT125" i="3"/>
  <c r="AP125" i="3"/>
  <c r="AJ125" i="3"/>
  <c r="AD125" i="3"/>
  <c r="X125" i="3"/>
  <c r="R125" i="3"/>
  <c r="L125" i="3"/>
  <c r="F125" i="3"/>
  <c r="AT124" i="3"/>
  <c r="AP124" i="3"/>
  <c r="AJ124" i="3"/>
  <c r="AD124" i="3"/>
  <c r="X124" i="3"/>
  <c r="R124" i="3"/>
  <c r="L124" i="3"/>
  <c r="F124" i="3"/>
  <c r="AT123" i="3"/>
  <c r="AP123" i="3"/>
  <c r="AD123" i="3"/>
  <c r="R123" i="3"/>
  <c r="F123" i="3"/>
  <c r="BE121" i="3"/>
  <c r="BE122" i="3"/>
  <c r="AU126" i="3"/>
  <c r="AS121" i="3"/>
  <c r="AS122" i="3"/>
  <c r="AS123" i="3"/>
  <c r="AG122" i="3"/>
  <c r="AG123" i="3"/>
  <c r="AE122" i="3"/>
  <c r="AE123" i="3"/>
  <c r="Y122" i="3"/>
  <c r="Y123" i="3"/>
  <c r="U121" i="3"/>
  <c r="U122" i="3"/>
  <c r="U123" i="3"/>
  <c r="I121" i="3"/>
  <c r="I123" i="3"/>
  <c r="G122" i="3"/>
  <c r="G123" i="3"/>
  <c r="BE125" i="3"/>
  <c r="AS125" i="3"/>
  <c r="AG125" i="3"/>
  <c r="AE125" i="3"/>
  <c r="Y125" i="3"/>
  <c r="U125" i="3"/>
  <c r="G125" i="3"/>
  <c r="BE124" i="3"/>
  <c r="AS124" i="3"/>
  <c r="AG124" i="3"/>
  <c r="AE124" i="3"/>
  <c r="Y124" i="3"/>
  <c r="U124" i="3"/>
  <c r="G124" i="3"/>
  <c r="BE123" i="3"/>
  <c r="AJ123" i="3"/>
  <c r="X123" i="3"/>
  <c r="L123" i="3"/>
  <c r="BA97" i="3"/>
  <c r="AZ109" i="3"/>
  <c r="AT109" i="3"/>
  <c r="AN109" i="3"/>
  <c r="AH109" i="3"/>
  <c r="AB109" i="3"/>
  <c r="V109" i="3"/>
  <c r="J109" i="3"/>
  <c r="AT108" i="3"/>
  <c r="AN108" i="3"/>
  <c r="AH108" i="3"/>
  <c r="V108" i="3"/>
  <c r="J108" i="3"/>
  <c r="AT107" i="3"/>
  <c r="AN107" i="3"/>
  <c r="AH107" i="3"/>
  <c r="V107" i="3"/>
  <c r="J107" i="3"/>
  <c r="AT106" i="3"/>
  <c r="AH106" i="3"/>
  <c r="V106" i="3"/>
  <c r="P106" i="3"/>
  <c r="J106" i="3"/>
  <c r="V105" i="3"/>
  <c r="J105" i="3"/>
  <c r="BD98" i="3"/>
  <c r="BD93" i="3"/>
  <c r="BB85" i="3"/>
  <c r="AZ85" i="3"/>
  <c r="AN85" i="3"/>
  <c r="AB85" i="3"/>
  <c r="P85" i="3"/>
  <c r="AY79" i="3"/>
  <c r="AN79" i="3"/>
  <c r="AA79" i="3"/>
  <c r="P79" i="3"/>
  <c r="AZ78" i="3"/>
  <c r="AZ77" i="3"/>
  <c r="AM77" i="3"/>
  <c r="AB77" i="3"/>
  <c r="O77" i="3"/>
  <c r="AY76" i="3"/>
  <c r="AM76" i="3"/>
  <c r="AA76" i="3"/>
  <c r="O76" i="3"/>
  <c r="BC85" i="3"/>
  <c r="AY85" i="3"/>
  <c r="AM85" i="3"/>
  <c r="AA85" i="3"/>
  <c r="O85" i="3"/>
  <c r="AZ79" i="3"/>
  <c r="AM79" i="3"/>
  <c r="AB79" i="3"/>
  <c r="O79" i="3"/>
  <c r="AY78" i="3"/>
  <c r="AA78" i="3"/>
  <c r="O78" i="3"/>
  <c r="AY77" i="3"/>
  <c r="AN77" i="3"/>
  <c r="AA77" i="3"/>
  <c r="P77" i="3"/>
  <c r="AZ76" i="3"/>
  <c r="AN76" i="3"/>
  <c r="AB76" i="3"/>
  <c r="P76" i="3"/>
  <c r="BC80" i="3"/>
  <c r="AY80" i="3"/>
  <c r="AM80" i="3"/>
  <c r="AA80" i="3"/>
  <c r="O80" i="3"/>
  <c r="AU76" i="3"/>
  <c r="AI76" i="3"/>
  <c r="W76" i="3"/>
  <c r="K76" i="3"/>
  <c r="BA65" i="3"/>
  <c r="AO65" i="3"/>
  <c r="AC65" i="3"/>
  <c r="Q65" i="3"/>
  <c r="BC54" i="3"/>
  <c r="AY54" i="3"/>
  <c r="AM54" i="3"/>
  <c r="AA54" i="3"/>
  <c r="O54" i="3"/>
  <c r="BA84" i="3"/>
  <c r="AO84" i="3"/>
  <c r="AC84" i="3"/>
  <c r="Q84" i="3"/>
  <c r="BA82" i="3"/>
  <c r="AO82" i="3"/>
  <c r="AC82" i="3"/>
  <c r="Q82" i="3"/>
  <c r="AZ80" i="3"/>
  <c r="AN80" i="3"/>
  <c r="AB80" i="3"/>
  <c r="P80" i="3"/>
  <c r="BB54" i="3"/>
  <c r="AZ54" i="3"/>
  <c r="AN54" i="3"/>
  <c r="AB54" i="3"/>
  <c r="P54" i="3"/>
  <c r="BD55" i="3"/>
  <c r="AZ39" i="3"/>
  <c r="AN39" i="3"/>
  <c r="AB39" i="3"/>
  <c r="P39" i="3"/>
  <c r="AZ29" i="3"/>
  <c r="AN29" i="3"/>
  <c r="AO29" i="3" s="1"/>
  <c r="AB29" i="3"/>
  <c r="P29" i="3"/>
  <c r="BB24" i="3"/>
  <c r="BB116" i="3" s="1"/>
  <c r="AZ24" i="3"/>
  <c r="AN24" i="3"/>
  <c r="AB24" i="3"/>
  <c r="P24" i="3"/>
  <c r="BA25" i="3"/>
  <c r="AO25" i="3"/>
  <c r="AC25" i="3"/>
  <c r="Q25" i="3"/>
  <c r="BB19" i="3"/>
  <c r="AZ19" i="3"/>
  <c r="AN19" i="3"/>
  <c r="AB19" i="3"/>
  <c r="P19" i="3"/>
  <c r="BC19" i="3"/>
  <c r="BB14" i="3"/>
  <c r="AZ14" i="3"/>
  <c r="AN14" i="3"/>
  <c r="AB14" i="3"/>
  <c r="P14" i="3"/>
  <c r="BC14" i="3"/>
  <c r="BB9" i="3"/>
  <c r="AZ9" i="3"/>
  <c r="AN9" i="3"/>
  <c r="AB9" i="3"/>
  <c r="P9" i="3"/>
  <c r="BC9" i="3"/>
  <c r="T133" i="3" l="1"/>
  <c r="W49" i="3"/>
  <c r="BD133" i="3"/>
  <c r="BG78" i="3"/>
  <c r="AM78" i="3"/>
  <c r="AO78" i="3" s="1"/>
  <c r="AB78" i="3"/>
  <c r="AC78" i="3" s="1"/>
  <c r="P92" i="3"/>
  <c r="N78" i="3"/>
  <c r="BD134" i="3"/>
  <c r="AO95" i="3"/>
  <c r="BA134" i="3"/>
  <c r="AC133" i="3"/>
  <c r="P78" i="3"/>
  <c r="P75" i="3" s="1"/>
  <c r="BG93" i="3"/>
  <c r="BG92" i="3" s="1"/>
  <c r="BE92" i="3"/>
  <c r="BA136" i="3"/>
  <c r="AR111" i="3"/>
  <c r="AR105" i="3" s="1"/>
  <c r="AO135" i="3"/>
  <c r="AB106" i="3"/>
  <c r="AE75" i="3"/>
  <c r="AF75" i="3" s="1"/>
  <c r="BC78" i="3"/>
  <c r="BC75" i="3" s="1"/>
  <c r="W75" i="3"/>
  <c r="BB135" i="3"/>
  <c r="BD135" i="3" s="1"/>
  <c r="AO66" i="3"/>
  <c r="AV121" i="3"/>
  <c r="AY64" i="3"/>
  <c r="BA64" i="3" s="1"/>
  <c r="O64" i="3"/>
  <c r="Q64" i="3" s="1"/>
  <c r="AM64" i="3"/>
  <c r="AT75" i="3"/>
  <c r="AT140" i="3" s="1"/>
  <c r="AT142" i="3" s="1"/>
  <c r="AU142" i="3" s="1"/>
  <c r="AO136" i="3"/>
  <c r="AV123" i="3"/>
  <c r="AX126" i="3"/>
  <c r="AU78" i="3"/>
  <c r="Q66" i="3"/>
  <c r="AO68" i="3"/>
  <c r="AV125" i="3"/>
  <c r="AC45" i="3"/>
  <c r="Q68" i="3"/>
  <c r="Q134" i="3"/>
  <c r="BA68" i="3"/>
  <c r="AF49" i="3"/>
  <c r="AF127" i="3"/>
  <c r="BG97" i="3"/>
  <c r="AC92" i="3"/>
  <c r="BA60" i="3"/>
  <c r="AU44" i="3"/>
  <c r="AO48" i="3"/>
  <c r="BD51" i="3"/>
  <c r="AA44" i="3"/>
  <c r="AI34" i="3"/>
  <c r="AO38" i="3"/>
  <c r="AO113" i="3"/>
  <c r="AO107" i="3" s="1"/>
  <c r="BD115" i="3"/>
  <c r="BD109" i="3" s="1"/>
  <c r="BD37" i="3"/>
  <c r="BD35" i="3"/>
  <c r="AI142" i="3"/>
  <c r="BA45" i="3"/>
  <c r="AO45" i="3"/>
  <c r="AC47" i="3"/>
  <c r="K44" i="3"/>
  <c r="BD47" i="3"/>
  <c r="Q46" i="3"/>
  <c r="AC29" i="3"/>
  <c r="AB108" i="3"/>
  <c r="I124" i="3"/>
  <c r="I125" i="3"/>
  <c r="K125" i="3" s="1"/>
  <c r="AL44" i="3"/>
  <c r="AR34" i="3"/>
  <c r="H44" i="3"/>
  <c r="Q38" i="3"/>
  <c r="BA48" i="3"/>
  <c r="BD53" i="3"/>
  <c r="P109" i="3"/>
  <c r="BD92" i="3"/>
  <c r="BG79" i="3"/>
  <c r="N49" i="3"/>
  <c r="O44" i="3"/>
  <c r="AO64" i="3"/>
  <c r="Q45" i="3"/>
  <c r="AO46" i="3"/>
  <c r="AU49" i="3"/>
  <c r="BA47" i="3"/>
  <c r="BD48" i="3"/>
  <c r="Q97" i="3"/>
  <c r="AC97" i="3"/>
  <c r="BD113" i="3"/>
  <c r="BD107" i="3" s="1"/>
  <c r="N111" i="3"/>
  <c r="N105" i="3" s="1"/>
  <c r="Q63" i="3"/>
  <c r="AL75" i="3"/>
  <c r="BG39" i="3"/>
  <c r="BG44" i="3" s="1"/>
  <c r="BA92" i="3"/>
  <c r="AF44" i="3"/>
  <c r="BA35" i="3"/>
  <c r="AO97" i="3"/>
  <c r="T49" i="3"/>
  <c r="AC48" i="3"/>
  <c r="BD116" i="3"/>
  <c r="BD80" i="3"/>
  <c r="AQ124" i="3"/>
  <c r="AR124" i="3" s="1"/>
  <c r="M122" i="3"/>
  <c r="N122" i="3" s="1"/>
  <c r="BD52" i="3"/>
  <c r="W111" i="3"/>
  <c r="W105" i="3" s="1"/>
  <c r="BA46" i="3"/>
  <c r="BA29" i="3"/>
  <c r="Q29" i="3"/>
  <c r="BA54" i="3"/>
  <c r="Q77" i="3"/>
  <c r="BD85" i="3"/>
  <c r="BG85" i="3"/>
  <c r="AM44" i="3"/>
  <c r="BB44" i="3"/>
  <c r="AC54" i="3"/>
  <c r="Q80" i="3"/>
  <c r="K75" i="3"/>
  <c r="AR44" i="3"/>
  <c r="BG37" i="3"/>
  <c r="H111" i="3"/>
  <c r="H105" i="3" s="1"/>
  <c r="L70" i="3"/>
  <c r="N70" i="3" s="1"/>
  <c r="N71" i="3"/>
  <c r="D121" i="3"/>
  <c r="Q112" i="3"/>
  <c r="Q106" i="3" s="1"/>
  <c r="Q37" i="3"/>
  <c r="AX71" i="3"/>
  <c r="AW70" i="3"/>
  <c r="AX70" i="3" s="1"/>
  <c r="AO54" i="3"/>
  <c r="N75" i="3"/>
  <c r="AZ106" i="3"/>
  <c r="AV124" i="3"/>
  <c r="BD29" i="3"/>
  <c r="Q36" i="3"/>
  <c r="AL111" i="3"/>
  <c r="AL105" i="3" s="1"/>
  <c r="N44" i="3"/>
  <c r="AF111" i="3"/>
  <c r="AF105" i="3" s="1"/>
  <c r="AJ70" i="3"/>
  <c r="AL70" i="3" s="1"/>
  <c r="AL71" i="3"/>
  <c r="Z71" i="3"/>
  <c r="Y70" i="3"/>
  <c r="Z70" i="3" s="1"/>
  <c r="S123" i="3"/>
  <c r="T123" i="3" s="1"/>
  <c r="W34" i="3"/>
  <c r="Z127" i="3"/>
  <c r="D123" i="3"/>
  <c r="D124" i="3"/>
  <c r="D122" i="3"/>
  <c r="E123" i="3"/>
  <c r="Q113" i="3"/>
  <c r="Q107" i="3" s="1"/>
  <c r="AI111" i="3"/>
  <c r="AI105" i="3" s="1"/>
  <c r="Q60" i="3"/>
  <c r="S124" i="3"/>
  <c r="T124" i="3" s="1"/>
  <c r="BG38" i="3"/>
  <c r="Z34" i="3"/>
  <c r="AR127" i="3"/>
  <c r="BA115" i="3"/>
  <c r="BA109" i="3" s="1"/>
  <c r="T110" i="3"/>
  <c r="AC38" i="3"/>
  <c r="BD61" i="3"/>
  <c r="AC115" i="3"/>
  <c r="AC109" i="3" s="1"/>
  <c r="K34" i="3"/>
  <c r="AW105" i="3"/>
  <c r="AX111" i="3"/>
  <c r="AX105" i="3" s="1"/>
  <c r="AO114" i="3"/>
  <c r="AO108" i="3" s="1"/>
  <c r="AL110" i="3"/>
  <c r="BD114" i="3"/>
  <c r="BD108" i="3" s="1"/>
  <c r="Z111" i="3"/>
  <c r="Z105" i="3" s="1"/>
  <c r="AC62" i="3"/>
  <c r="AC113" i="3"/>
  <c r="AC107" i="3" s="1"/>
  <c r="K111" i="3"/>
  <c r="K105" i="3" s="1"/>
  <c r="AN106" i="3"/>
  <c r="P108" i="3"/>
  <c r="AU111" i="3"/>
  <c r="AU105" i="3" s="1"/>
  <c r="BD63" i="3"/>
  <c r="S105" i="3"/>
  <c r="T111" i="3"/>
  <c r="T105" i="3" s="1"/>
  <c r="AZ107" i="3"/>
  <c r="BD36" i="3"/>
  <c r="S121" i="3"/>
  <c r="T121" i="3" s="1"/>
  <c r="AI126" i="3"/>
  <c r="AH121" i="3"/>
  <c r="AI121" i="3" s="1"/>
  <c r="S125" i="3"/>
  <c r="T125" i="3" s="1"/>
  <c r="AH125" i="3"/>
  <c r="AI125" i="3" s="1"/>
  <c r="AH124" i="3"/>
  <c r="AI124" i="3" s="1"/>
  <c r="J122" i="3"/>
  <c r="K122" i="3" s="1"/>
  <c r="K126" i="3"/>
  <c r="AQ122" i="3"/>
  <c r="AR122" i="3" s="1"/>
  <c r="J123" i="3"/>
  <c r="K123" i="3" s="1"/>
  <c r="AT121" i="3"/>
  <c r="AU121" i="3" s="1"/>
  <c r="AK123" i="3"/>
  <c r="AL123" i="3" s="1"/>
  <c r="J124" i="3"/>
  <c r="H125" i="3"/>
  <c r="T126" i="3"/>
  <c r="AK125" i="3"/>
  <c r="AL125" i="3" s="1"/>
  <c r="Z124" i="3"/>
  <c r="H122" i="3"/>
  <c r="E121" i="3"/>
  <c r="AK124" i="3"/>
  <c r="AL124" i="3" s="1"/>
  <c r="AK121" i="3"/>
  <c r="AL121" i="3" s="1"/>
  <c r="AH123" i="3"/>
  <c r="AI123" i="3" s="1"/>
  <c r="BD130" i="3"/>
  <c r="AL126" i="3"/>
  <c r="J121" i="3"/>
  <c r="K121" i="3" s="1"/>
  <c r="AI127" i="3"/>
  <c r="E124" i="3"/>
  <c r="E125" i="3"/>
  <c r="M125" i="3"/>
  <c r="N125" i="3" s="1"/>
  <c r="AF125" i="3"/>
  <c r="M124" i="3"/>
  <c r="N124" i="3" s="1"/>
  <c r="AQ125" i="3"/>
  <c r="AR125" i="3" s="1"/>
  <c r="M123" i="3"/>
  <c r="N123" i="3" s="1"/>
  <c r="AF123" i="3"/>
  <c r="AL122" i="3"/>
  <c r="AQ121" i="3"/>
  <c r="AR121" i="3" s="1"/>
  <c r="M121" i="3"/>
  <c r="N121" i="3" s="1"/>
  <c r="AQ123" i="3"/>
  <c r="AR123" i="3" s="1"/>
  <c r="BG14" i="3"/>
  <c r="BG127" i="3" s="1"/>
  <c r="T44" i="3"/>
  <c r="H123" i="3"/>
  <c r="AF122" i="3"/>
  <c r="AW123" i="3"/>
  <c r="AW124" i="3"/>
  <c r="G121" i="3"/>
  <c r="H121" i="3" s="1"/>
  <c r="V123" i="3"/>
  <c r="W123" i="3" s="1"/>
  <c r="AW125" i="3"/>
  <c r="AW121" i="3"/>
  <c r="V124" i="3"/>
  <c r="W124" i="3" s="1"/>
  <c r="V121" i="3"/>
  <c r="W121" i="3" s="1"/>
  <c r="W126" i="3"/>
  <c r="V125" i="3"/>
  <c r="W125" i="3" s="1"/>
  <c r="BD45" i="3"/>
  <c r="AW122" i="3"/>
  <c r="AX122" i="3" s="1"/>
  <c r="BG47" i="3"/>
  <c r="AA126" i="3"/>
  <c r="AA127" i="3"/>
  <c r="Q54" i="3"/>
  <c r="BA80" i="3"/>
  <c r="BA79" i="3"/>
  <c r="AI75" i="3"/>
  <c r="H124" i="3"/>
  <c r="AF124" i="3"/>
  <c r="Z125" i="3"/>
  <c r="T122" i="3"/>
  <c r="Z121" i="3"/>
  <c r="AM34" i="3"/>
  <c r="AM59" i="3"/>
  <c r="AM111" i="3"/>
  <c r="AM105" i="3" s="1"/>
  <c r="AM110" i="3"/>
  <c r="O126" i="3"/>
  <c r="O127" i="3"/>
  <c r="AL140" i="3"/>
  <c r="AK142" i="3"/>
  <c r="AL142" i="3" s="1"/>
  <c r="AC64" i="3"/>
  <c r="T75" i="3"/>
  <c r="S140" i="3"/>
  <c r="AR75" i="3"/>
  <c r="AQ140" i="3"/>
  <c r="Q92" i="3"/>
  <c r="R70" i="3"/>
  <c r="T70" i="3" s="1"/>
  <c r="T71" i="3"/>
  <c r="AA71" i="3"/>
  <c r="AA70" i="3" s="1"/>
  <c r="BG133" i="3"/>
  <c r="BG64" i="3"/>
  <c r="BD77" i="3"/>
  <c r="K140" i="3"/>
  <c r="J142" i="3"/>
  <c r="K142" i="3" s="1"/>
  <c r="BG117" i="3"/>
  <c r="BG24" i="3"/>
  <c r="BG116" i="3" s="1"/>
  <c r="AM127" i="3"/>
  <c r="AM126" i="3"/>
  <c r="AH70" i="3"/>
  <c r="AI70" i="3" s="1"/>
  <c r="AN71" i="3"/>
  <c r="AI71" i="3"/>
  <c r="AF121" i="3"/>
  <c r="AY126" i="3"/>
  <c r="AY127" i="3"/>
  <c r="N140" i="3"/>
  <c r="M142" i="3"/>
  <c r="N142" i="3" s="1"/>
  <c r="W71" i="3"/>
  <c r="AB71" i="3"/>
  <c r="V70" i="3"/>
  <c r="W70" i="3" s="1"/>
  <c r="AF71" i="3"/>
  <c r="AD70" i="3"/>
  <c r="AF70" i="3" s="1"/>
  <c r="AM71" i="3"/>
  <c r="AM70" i="3" s="1"/>
  <c r="AZ71" i="3"/>
  <c r="AT70" i="3"/>
  <c r="AU70" i="3" s="1"/>
  <c r="AU71" i="3"/>
  <c r="BD64" i="3"/>
  <c r="H75" i="3"/>
  <c r="G140" i="3"/>
  <c r="BG80" i="3"/>
  <c r="BG76" i="3"/>
  <c r="W140" i="3"/>
  <c r="V142" i="3"/>
  <c r="W142" i="3" s="1"/>
  <c r="AI140" i="3"/>
  <c r="BB75" i="3"/>
  <c r="BG111" i="3"/>
  <c r="BG105" i="3" s="1"/>
  <c r="BG34" i="3"/>
  <c r="BG59" i="3"/>
  <c r="BG110" i="3"/>
  <c r="AA34" i="3"/>
  <c r="AA59" i="3"/>
  <c r="AA111" i="3"/>
  <c r="AA105" i="3" s="1"/>
  <c r="AA110" i="3"/>
  <c r="AY71" i="3"/>
  <c r="AY70" i="3" s="1"/>
  <c r="AR71" i="3"/>
  <c r="AP70" i="3"/>
  <c r="AR70" i="3" s="1"/>
  <c r="AX140" i="3"/>
  <c r="AW142" i="3"/>
  <c r="AX142" i="3" s="1"/>
  <c r="F70" i="3"/>
  <c r="H70" i="3" s="1"/>
  <c r="O71" i="3"/>
  <c r="O70" i="3" s="1"/>
  <c r="H71" i="3"/>
  <c r="BB71" i="3"/>
  <c r="AC80" i="3"/>
  <c r="AC79" i="3"/>
  <c r="AO80" i="3"/>
  <c r="AO77" i="3"/>
  <c r="Z75" i="3"/>
  <c r="AX75" i="3"/>
  <c r="Z122" i="3"/>
  <c r="O34" i="3"/>
  <c r="O110" i="3"/>
  <c r="O59" i="3"/>
  <c r="O111" i="3"/>
  <c r="O105" i="3" s="1"/>
  <c r="BD39" i="3"/>
  <c r="BC49" i="3"/>
  <c r="BD49" i="3" s="1"/>
  <c r="Z140" i="3"/>
  <c r="Y142" i="3"/>
  <c r="Z142" i="3" s="1"/>
  <c r="AY34" i="3"/>
  <c r="AY59" i="3"/>
  <c r="AY110" i="3"/>
  <c r="AY111" i="3"/>
  <c r="AY105" i="3" s="1"/>
  <c r="J70" i="3"/>
  <c r="K70" i="3" s="1"/>
  <c r="K71" i="3"/>
  <c r="BC71" i="3"/>
  <c r="P71" i="3"/>
  <c r="F142" i="3"/>
  <c r="BB142" i="3" s="1"/>
  <c r="BB140" i="3"/>
  <c r="AO92" i="3"/>
  <c r="BD97" i="3"/>
  <c r="BD79" i="3"/>
  <c r="BD76" i="3"/>
  <c r="BD9" i="3"/>
  <c r="BC44" i="3"/>
  <c r="AC9" i="3"/>
  <c r="AB44" i="3"/>
  <c r="BA9" i="3"/>
  <c r="AZ44" i="3"/>
  <c r="BA44" i="3" s="1"/>
  <c r="BD14" i="3"/>
  <c r="BC126" i="3"/>
  <c r="BC127" i="3"/>
  <c r="AC14" i="3"/>
  <c r="AB126" i="3"/>
  <c r="AB127" i="3"/>
  <c r="BA14" i="3"/>
  <c r="AZ126" i="3"/>
  <c r="AZ127" i="3"/>
  <c r="BD19" i="3"/>
  <c r="BC34" i="3"/>
  <c r="BC59" i="3"/>
  <c r="BC110" i="3"/>
  <c r="BC111" i="3"/>
  <c r="AC19" i="3"/>
  <c r="AB34" i="3"/>
  <c r="AB59" i="3"/>
  <c r="AB110" i="3"/>
  <c r="AB111" i="3"/>
  <c r="BA19" i="3"/>
  <c r="AZ34" i="3"/>
  <c r="AZ59" i="3"/>
  <c r="AZ110" i="3"/>
  <c r="AZ111" i="3"/>
  <c r="Q24" i="3"/>
  <c r="P116" i="3"/>
  <c r="Q116" i="3" s="1"/>
  <c r="AO24" i="3"/>
  <c r="AN116" i="3"/>
  <c r="AO116" i="3" s="1"/>
  <c r="AC39" i="3"/>
  <c r="AB49" i="3"/>
  <c r="AC49" i="3" s="1"/>
  <c r="BA39" i="3"/>
  <c r="AZ49" i="3"/>
  <c r="BA49" i="3" s="1"/>
  <c r="BD54" i="3"/>
  <c r="Q76" i="3"/>
  <c r="AN75" i="3"/>
  <c r="AO76" i="3"/>
  <c r="AA75" i="3"/>
  <c r="AA140" i="3" s="1"/>
  <c r="AA142" i="3" s="1"/>
  <c r="AY75" i="3"/>
  <c r="AY140" i="3" s="1"/>
  <c r="AY142" i="3" s="1"/>
  <c r="AC77" i="3"/>
  <c r="BA77" i="3"/>
  <c r="BA78" i="3"/>
  <c r="AC85" i="3"/>
  <c r="BA85" i="3"/>
  <c r="AU123" i="3"/>
  <c r="AU124" i="3"/>
  <c r="Q9" i="3"/>
  <c r="P44" i="3"/>
  <c r="AO9" i="3"/>
  <c r="AN44" i="3"/>
  <c r="Q14" i="3"/>
  <c r="P126" i="3"/>
  <c r="P127" i="3"/>
  <c r="AO14" i="3"/>
  <c r="AN126" i="3"/>
  <c r="AN127" i="3"/>
  <c r="BB126" i="3"/>
  <c r="BB127" i="3"/>
  <c r="Q19" i="3"/>
  <c r="P34" i="3"/>
  <c r="P59" i="3"/>
  <c r="P110" i="3"/>
  <c r="P111" i="3"/>
  <c r="AO19" i="3"/>
  <c r="AN34" i="3"/>
  <c r="AN59" i="3"/>
  <c r="AN110" i="3"/>
  <c r="AN111" i="3"/>
  <c r="BB34" i="3"/>
  <c r="BB59" i="3"/>
  <c r="BB110" i="3"/>
  <c r="BB111" i="3"/>
  <c r="BB105" i="3" s="1"/>
  <c r="AC24" i="3"/>
  <c r="AB116" i="3"/>
  <c r="AC116" i="3" s="1"/>
  <c r="BA24" i="3"/>
  <c r="AZ116" i="3"/>
  <c r="BA116" i="3" s="1"/>
  <c r="Q39" i="3"/>
  <c r="P49" i="3"/>
  <c r="Q49" i="3" s="1"/>
  <c r="AO39" i="3"/>
  <c r="AN49" i="3"/>
  <c r="AO49" i="3" s="1"/>
  <c r="BD24" i="3"/>
  <c r="AC76" i="3"/>
  <c r="AZ75" i="3"/>
  <c r="BA76" i="3"/>
  <c r="O75" i="3"/>
  <c r="O140" i="3" s="1"/>
  <c r="O142" i="3" s="1"/>
  <c r="AM75" i="3"/>
  <c r="AM140" i="3" s="1"/>
  <c r="AM142" i="3" s="1"/>
  <c r="Q78" i="3"/>
  <c r="Q79" i="3"/>
  <c r="AO79" i="3"/>
  <c r="Q85" i="3"/>
  <c r="AO85" i="3"/>
  <c r="Z123" i="3"/>
  <c r="AU125" i="3"/>
  <c r="W122" i="3"/>
  <c r="AI122" i="3"/>
  <c r="AU122" i="3"/>
  <c r="AB75" i="3" l="1"/>
  <c r="AC75" i="3" s="1"/>
  <c r="AE140" i="3"/>
  <c r="BC140" i="3" s="1"/>
  <c r="BD140" i="3" s="1"/>
  <c r="AX125" i="3"/>
  <c r="BD78" i="3"/>
  <c r="AU140" i="3"/>
  <c r="AX121" i="3"/>
  <c r="AU75" i="3"/>
  <c r="AX123" i="3"/>
  <c r="BD75" i="3"/>
  <c r="AC44" i="3"/>
  <c r="BG75" i="3"/>
  <c r="BG140" i="3" s="1"/>
  <c r="BG142" i="3" s="1"/>
  <c r="AO44" i="3"/>
  <c r="BD44" i="3"/>
  <c r="Q44" i="3"/>
  <c r="K124" i="3"/>
  <c r="BB70" i="3"/>
  <c r="BG71" i="3"/>
  <c r="BG70" i="3" s="1"/>
  <c r="BG49" i="3"/>
  <c r="AX124" i="3"/>
  <c r="AO110" i="3"/>
  <c r="AC59" i="3"/>
  <c r="Q59" i="3"/>
  <c r="BG126" i="3"/>
  <c r="BG124" i="3" s="1"/>
  <c r="AO127" i="3"/>
  <c r="Q34" i="3"/>
  <c r="AC34" i="3"/>
  <c r="BA127" i="3"/>
  <c r="AC127" i="3"/>
  <c r="BA34" i="3"/>
  <c r="AM122" i="3"/>
  <c r="AM124" i="3"/>
  <c r="AM123" i="3"/>
  <c r="AM125" i="3"/>
  <c r="AM121" i="3"/>
  <c r="S142" i="3"/>
  <c r="T142" i="3" s="1"/>
  <c r="T140" i="3"/>
  <c r="AO59" i="3"/>
  <c r="Q110" i="3"/>
  <c r="BA110" i="3"/>
  <c r="P70" i="3"/>
  <c r="Q70" i="3" s="1"/>
  <c r="Q71" i="3"/>
  <c r="AZ70" i="3"/>
  <c r="BA70" i="3" s="1"/>
  <c r="BA71" i="3"/>
  <c r="AN70" i="3"/>
  <c r="AO70" i="3" s="1"/>
  <c r="AO71" i="3"/>
  <c r="AQ142" i="3"/>
  <c r="AR142" i="3" s="1"/>
  <c r="AR140" i="3"/>
  <c r="O124" i="3"/>
  <c r="O125" i="3"/>
  <c r="O121" i="3"/>
  <c r="O122" i="3"/>
  <c r="O123" i="3"/>
  <c r="AB70" i="3"/>
  <c r="AC70" i="3" s="1"/>
  <c r="AC71" i="3"/>
  <c r="H140" i="3"/>
  <c r="G142" i="3"/>
  <c r="AY122" i="3"/>
  <c r="AY124" i="3"/>
  <c r="AY123" i="3"/>
  <c r="AY121" i="3"/>
  <c r="AY125" i="3"/>
  <c r="AO34" i="3"/>
  <c r="Q127" i="3"/>
  <c r="BA59" i="3"/>
  <c r="AC110" i="3"/>
  <c r="BC70" i="3"/>
  <c r="BD70" i="3" s="1"/>
  <c r="BD71" i="3"/>
  <c r="AE142" i="3"/>
  <c r="AF142" i="3" s="1"/>
  <c r="AA121" i="3"/>
  <c r="AA124" i="3"/>
  <c r="AA123" i="3"/>
  <c r="AA122" i="3"/>
  <c r="AA125" i="3"/>
  <c r="Q111" i="3"/>
  <c r="Q105" i="3" s="1"/>
  <c r="P105" i="3"/>
  <c r="BB121" i="3"/>
  <c r="BB122" i="3"/>
  <c r="BB123" i="3"/>
  <c r="BB124" i="3"/>
  <c r="BB125" i="3"/>
  <c r="AN121" i="3"/>
  <c r="AN122" i="3"/>
  <c r="AN123" i="3"/>
  <c r="AO126" i="3"/>
  <c r="AN124" i="3"/>
  <c r="AN125" i="3"/>
  <c r="AO75" i="3"/>
  <c r="AN140" i="3"/>
  <c r="Q75" i="3"/>
  <c r="P140" i="3"/>
  <c r="BA111" i="3"/>
  <c r="BA105" i="3" s="1"/>
  <c r="AZ105" i="3"/>
  <c r="BC105" i="3"/>
  <c r="BD111" i="3"/>
  <c r="BD105" i="3" s="1"/>
  <c r="BD59" i="3"/>
  <c r="AZ121" i="3"/>
  <c r="AZ122" i="3"/>
  <c r="BA126" i="3"/>
  <c r="AZ123" i="3"/>
  <c r="AZ124" i="3"/>
  <c r="AZ125" i="3"/>
  <c r="BC121" i="3"/>
  <c r="BC122" i="3"/>
  <c r="BC123" i="3"/>
  <c r="BC124" i="3"/>
  <c r="BC125" i="3"/>
  <c r="BD126" i="3"/>
  <c r="BA75" i="3"/>
  <c r="AZ140" i="3"/>
  <c r="AO111" i="3"/>
  <c r="AO105" i="3" s="1"/>
  <c r="AN105" i="3"/>
  <c r="P121" i="3"/>
  <c r="P122" i="3"/>
  <c r="P123" i="3"/>
  <c r="Q126" i="3"/>
  <c r="P124" i="3"/>
  <c r="P125" i="3"/>
  <c r="AC111" i="3"/>
  <c r="AC105" i="3" s="1"/>
  <c r="AB105" i="3"/>
  <c r="BD110" i="3"/>
  <c r="BD34" i="3"/>
  <c r="AB121" i="3"/>
  <c r="AB122" i="3"/>
  <c r="AB123" i="3"/>
  <c r="AC126" i="3"/>
  <c r="AB124" i="3"/>
  <c r="AB125" i="3"/>
  <c r="BD127" i="3"/>
  <c r="AC125" i="3" l="1"/>
  <c r="AB140" i="3"/>
  <c r="AF140" i="3"/>
  <c r="BA124" i="3"/>
  <c r="BG121" i="3"/>
  <c r="BG122" i="3"/>
  <c r="BG125" i="3"/>
  <c r="AO125" i="3"/>
  <c r="BG123" i="3"/>
  <c r="Q124" i="3"/>
  <c r="AC123" i="3"/>
  <c r="Q121" i="3"/>
  <c r="BD125" i="3"/>
  <c r="BD121" i="3"/>
  <c r="AO122" i="3"/>
  <c r="AC122" i="3"/>
  <c r="AO124" i="3"/>
  <c r="AC121" i="3"/>
  <c r="Q123" i="3"/>
  <c r="Q125" i="3"/>
  <c r="Q122" i="3"/>
  <c r="BD122" i="3"/>
  <c r="BA123" i="3"/>
  <c r="AO123" i="3"/>
  <c r="BD124" i="3"/>
  <c r="BA125" i="3"/>
  <c r="BA122" i="3"/>
  <c r="AO121" i="3"/>
  <c r="H142" i="3"/>
  <c r="BC142" i="3"/>
  <c r="BD142" i="3" s="1"/>
  <c r="AC124" i="3"/>
  <c r="BD123" i="3"/>
  <c r="BA121" i="3"/>
  <c r="AC140" i="3"/>
  <c r="AB142" i="3"/>
  <c r="AC142" i="3" s="1"/>
  <c r="BA140" i="3"/>
  <c r="AZ142" i="3"/>
  <c r="BA142" i="3" s="1"/>
  <c r="Q140" i="3"/>
  <c r="P142" i="3"/>
  <c r="Q142" i="3" s="1"/>
  <c r="AO140" i="3"/>
  <c r="AN142" i="3"/>
  <c r="AO142" i="3" s="1"/>
</calcChain>
</file>

<file path=xl/sharedStrings.xml><?xml version="1.0" encoding="utf-8"?>
<sst xmlns="http://schemas.openxmlformats.org/spreadsheetml/2006/main" count="363" uniqueCount="107">
  <si>
    <t>ППДН-7 "ЗБС и углубления"</t>
  </si>
  <si>
    <t>№ п/п</t>
  </si>
  <si>
    <t>Показатель</t>
  </si>
  <si>
    <t>ед.изм.</t>
  </si>
  <si>
    <t>январь</t>
  </si>
  <si>
    <t>февраль</t>
  </si>
  <si>
    <t>март</t>
  </si>
  <si>
    <t>1 квартал</t>
  </si>
  <si>
    <t>апрель</t>
  </si>
  <si>
    <t>май</t>
  </si>
  <si>
    <t>июнь</t>
  </si>
  <si>
    <t>2 квартал</t>
  </si>
  <si>
    <t>июль</t>
  </si>
  <si>
    <t>август</t>
  </si>
  <si>
    <t>сентябрь</t>
  </si>
  <si>
    <t>3 квартал</t>
  </si>
  <si>
    <t>октябрь</t>
  </si>
  <si>
    <t>ноябрь</t>
  </si>
  <si>
    <t>декабрь</t>
  </si>
  <si>
    <t>4 квартал</t>
  </si>
  <si>
    <t>ИТОГО</t>
  </si>
  <si>
    <t>Факт</t>
  </si>
  <si>
    <t>План</t>
  </si>
  <si>
    <t>Отклонение</t>
  </si>
  <si>
    <t>1. Производственные показатели</t>
  </si>
  <si>
    <t>1.1.</t>
  </si>
  <si>
    <t>Проходка (выполненный объем)</t>
  </si>
  <si>
    <t>м.</t>
  </si>
  <si>
    <t xml:space="preserve">   -наклонно направленные</t>
  </si>
  <si>
    <t xml:space="preserve">   -горизонтальные</t>
  </si>
  <si>
    <t xml:space="preserve">   -МГРП</t>
  </si>
  <si>
    <t xml:space="preserve">   -углубления</t>
  </si>
  <si>
    <t>1.2.</t>
  </si>
  <si>
    <t>Проходка (по зак.бурением скважинам)</t>
  </si>
  <si>
    <t>1.3.</t>
  </si>
  <si>
    <t>Скважины законченые бурением</t>
  </si>
  <si>
    <t>шт.</t>
  </si>
  <si>
    <t>1.4.</t>
  </si>
  <si>
    <t>Сдача скважин</t>
  </si>
  <si>
    <t>1.5.</t>
  </si>
  <si>
    <t>Ввод скважин</t>
  </si>
  <si>
    <t>1.6.</t>
  </si>
  <si>
    <t>Средняя проходка по скв.зак.бур.</t>
  </si>
  <si>
    <t>1.7.</t>
  </si>
  <si>
    <t>Сутки бурения выполненный объем</t>
  </si>
  <si>
    <t>сут.</t>
  </si>
  <si>
    <t>1.8.</t>
  </si>
  <si>
    <t xml:space="preserve">Сутки бурения 1 000 м. </t>
  </si>
  <si>
    <t>1.9.</t>
  </si>
  <si>
    <t>Коммерческая скорость бурения 1 скважины</t>
  </si>
  <si>
    <t>м/ст.мес.</t>
  </si>
  <si>
    <t>1.10.</t>
  </si>
  <si>
    <t>Сутки бурения по зак.бур.скв.</t>
  </si>
  <si>
    <t>1.11.</t>
  </si>
  <si>
    <t>Сутки бурения 1 скважины зак.бур.</t>
  </si>
  <si>
    <t>1.12.</t>
  </si>
  <si>
    <t>Количество операций ВМР</t>
  </si>
  <si>
    <t>шт</t>
  </si>
  <si>
    <t xml:space="preserve"> - Мобилизация</t>
  </si>
  <si>
    <t xml:space="preserve"> - Переезд</t>
  </si>
  <si>
    <t xml:space="preserve"> - Первичный монтаж</t>
  </si>
  <si>
    <t xml:space="preserve"> - Монтаж</t>
  </si>
  <si>
    <t xml:space="preserve"> - Демонтаж</t>
  </si>
  <si>
    <t>1.13.</t>
  </si>
  <si>
    <t>Среднемесячное кол-во бригад бурения</t>
  </si>
  <si>
    <t>бр/мес</t>
  </si>
  <si>
    <t xml:space="preserve"> - Среднемесячное кол-во бригад бурения</t>
  </si>
  <si>
    <t>2. Финансовые показатели</t>
  </si>
  <si>
    <t>2.1.</t>
  </si>
  <si>
    <t>ВМР+Бурение+Освоение</t>
  </si>
  <si>
    <t>т.р.</t>
  </si>
  <si>
    <t>2.2.</t>
  </si>
  <si>
    <t>ВМР</t>
  </si>
  <si>
    <t>*СПРАВОЧНО ВМР по операциям</t>
  </si>
  <si>
    <t xml:space="preserve"> - Прочие</t>
  </si>
  <si>
    <t>2.3.</t>
  </si>
  <si>
    <t>Раздел "Бурение скважин" в т.ч.:</t>
  </si>
  <si>
    <t>2.4.</t>
  </si>
  <si>
    <t>Раздел "Освоение с учетом ГРП" в т.ч.:</t>
  </si>
  <si>
    <t>3. Удельные финансовые показатели</t>
  </si>
  <si>
    <t>3.1.</t>
  </si>
  <si>
    <t xml:space="preserve">Стоимость 1 скв всего </t>
  </si>
  <si>
    <t>3.2.</t>
  </si>
  <si>
    <t>Стоимость ВМР на 1 скв</t>
  </si>
  <si>
    <t>3.3.</t>
  </si>
  <si>
    <t>Стоимость Бурения на 1 скв</t>
  </si>
  <si>
    <t>3.4.</t>
  </si>
  <si>
    <t>Стоимость освоения на 1 скв</t>
  </si>
  <si>
    <t>3.5.</t>
  </si>
  <si>
    <t xml:space="preserve">Стоимость 1 метра всего </t>
  </si>
  <si>
    <t>3.6.</t>
  </si>
  <si>
    <t>Стоимость ВМР на 1 метра</t>
  </si>
  <si>
    <t>3.7.</t>
  </si>
  <si>
    <t>Стоимость Бурения на 1 метр</t>
  </si>
  <si>
    <t>* СПРАВОЧНО Стоимость операций ВМР</t>
  </si>
  <si>
    <t>4. Справочная информация</t>
  </si>
  <si>
    <t>4.1.</t>
  </si>
  <si>
    <t>Каптильные вложения на бурение с учетом челлендж</t>
  </si>
  <si>
    <t>В том числе челленж</t>
  </si>
  <si>
    <t>4.2.</t>
  </si>
  <si>
    <t>Каптильные вложения на бурение с учетом челлендж, ОХР, Рентабельность</t>
  </si>
  <si>
    <t>ОХР</t>
  </si>
  <si>
    <t>Рентабельность</t>
  </si>
  <si>
    <t>800.M.START_DATE_BMP_NA</t>
  </si>
  <si>
    <t>800.M.START_DATE_DRILLING_NA</t>
  </si>
  <si>
    <t>800.M.END_DATE_BMP_NA</t>
  </si>
  <si>
    <t>800.M.END_DATE_DRILLING_NA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</si>
</sst>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#,##0.0"/>
  </numFmts>
  <fonts count="37" x14ac:knownFonts="1">
    <font>
      <sz val="11"/>
      <color indexed="8"/>
      <name val="Calibri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9"/>
      <name val="Times New Roman"/>
      <family val="1"/>
      <charset val="204"/>
    </font>
    <font>
      <b/>
      <u/>
      <sz val="16"/>
      <color indexed="9"/>
      <name val="Times New Roman"/>
      <family val="1"/>
      <charset val="204"/>
    </font>
    <font>
      <b/>
      <i/>
      <sz val="11"/>
      <color indexed="9"/>
      <name val="Times New Roman"/>
      <family val="1"/>
      <charset val="204"/>
    </font>
    <font>
      <b/>
      <sz val="10"/>
      <color indexed="9"/>
      <name val="Times New Roman"/>
      <family val="1"/>
      <charset val="204"/>
    </font>
    <font>
      <sz val="10"/>
      <color indexed="64"/>
      <name val="Arial Cyr"/>
      <charset val="204"/>
    </font>
    <font>
      <sz val="11"/>
      <color indexed="8"/>
      <name val="Calibri"/>
      <family val="2"/>
      <charset val="204"/>
    </font>
    <font>
      <b/>
      <u/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11"/>
      <color indexed="9"/>
      <name val="Times New Roman"/>
      <family val="1"/>
      <charset val="204"/>
    </font>
    <font>
      <b/>
      <sz val="11"/>
      <color indexed="64"/>
      <name val="Arial"/>
      <family val="2"/>
      <charset val="204"/>
    </font>
    <font>
      <b/>
      <sz val="10"/>
      <color indexed="64"/>
      <name val="Arial"/>
      <family val="2"/>
      <charset val="204"/>
    </font>
    <font>
      <b/>
      <sz val="11"/>
      <color indexed="9"/>
      <name val="Arial"/>
      <family val="2"/>
      <charset val="204"/>
    </font>
    <font>
      <b/>
      <sz val="10"/>
      <color indexed="9"/>
      <name val="Arial"/>
      <family val="2"/>
      <charset val="204"/>
    </font>
    <font>
      <sz val="11"/>
      <color indexed="9"/>
      <name val="Arial"/>
      <family val="2"/>
      <charset val="204"/>
    </font>
    <font>
      <b/>
      <u/>
      <sz val="14"/>
      <name val="Times New Roman"/>
      <family val="1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0" fontId="27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3" borderId="0" applyNumberFormat="0" applyBorder="0" applyAlignment="0" applyProtection="0"/>
    <xf numFmtId="0" fontId="27" fillId="5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7" borderId="0" applyNumberFormat="0" applyBorder="0" applyAlignment="0" applyProtection="0"/>
    <xf numFmtId="0" fontId="27" fillId="9" borderId="0" applyNumberFormat="0" applyBorder="0" applyAlignment="0" applyProtection="0"/>
    <xf numFmtId="0" fontId="27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9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2" borderId="0" applyNumberFormat="0" applyBorder="0" applyAlignment="0" applyProtection="0"/>
    <xf numFmtId="0" fontId="7" fillId="5" borderId="1" applyNumberFormat="0" applyAlignment="0" applyProtection="0"/>
    <xf numFmtId="0" fontId="8" fillId="12" borderId="2" applyNumberFormat="0" applyAlignment="0" applyProtection="0"/>
    <xf numFmtId="0" fontId="9" fillId="12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23" borderId="7" applyNumberFormat="0" applyAlignment="0" applyProtection="0"/>
    <xf numFmtId="0" fontId="15" fillId="0" borderId="0" applyNumberFormat="0" applyFill="0" applyBorder="0" applyAlignment="0" applyProtection="0"/>
    <xf numFmtId="0" fontId="16" fillId="13" borderId="0" applyNumberFormat="0" applyBorder="0" applyAlignment="0" applyProtection="0"/>
    <xf numFmtId="0" fontId="26" fillId="0" borderId="0"/>
    <xf numFmtId="0" fontId="17" fillId="4" borderId="0" applyNumberFormat="0" applyBorder="0" applyAlignment="0" applyProtection="0"/>
    <xf numFmtId="0" fontId="18" fillId="0" borderId="0" applyNumberFormat="0" applyFill="0" applyBorder="0" applyAlignment="0" applyProtection="0"/>
    <xf numFmtId="0" fontId="27" fillId="8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164" fontId="27" fillId="0" borderId="0" applyFont="0" applyFill="0" applyBorder="0" applyAlignment="0" applyProtection="0"/>
    <xf numFmtId="0" fontId="21" fillId="6" borderId="0" applyNumberFormat="0" applyBorder="0" applyAlignment="0" applyProtection="0"/>
  </cellStyleXfs>
  <cellXfs count="204">
    <xf numFmtId="0" fontId="0" fillId="0" borderId="0" xfId="0"/>
    <xf numFmtId="3" fontId="1" fillId="0" borderId="12" xfId="0" applyNumberFormat="1" applyFont="1" applyFill="1" applyBorder="1" applyAlignment="1" applyProtection="1">
      <alignment horizontal="center" vertical="center" wrapText="1"/>
    </xf>
    <xf numFmtId="3" fontId="1" fillId="0" borderId="13" xfId="0" applyNumberFormat="1" applyFont="1" applyFill="1" applyBorder="1" applyAlignment="1" applyProtection="1">
      <alignment horizontal="center" vertical="center" wrapText="1"/>
    </xf>
    <xf numFmtId="3" fontId="1" fillId="0" borderId="14" xfId="0" applyNumberFormat="1" applyFont="1" applyFill="1" applyBorder="1" applyAlignment="1" applyProtection="1">
      <alignment horizontal="center" vertical="center" wrapText="1"/>
    </xf>
    <xf numFmtId="3" fontId="1" fillId="0" borderId="15" xfId="0" applyNumberFormat="1" applyFont="1" applyFill="1" applyBorder="1" applyAlignment="1" applyProtection="1">
      <alignment horizontal="center" vertical="center" wrapText="1"/>
    </xf>
    <xf numFmtId="3" fontId="1" fillId="0" borderId="16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left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3" fontId="2" fillId="25" borderId="19" xfId="0" applyNumberFormat="1" applyFont="1" applyFill="1" applyBorder="1" applyAlignment="1" applyProtection="1">
      <alignment horizontal="center" vertical="center" wrapText="1"/>
    </xf>
    <xf numFmtId="3" fontId="2" fillId="25" borderId="20" xfId="0" applyNumberFormat="1" applyFont="1" applyFill="1" applyBorder="1" applyAlignment="1" applyProtection="1">
      <alignment horizontal="center" vertical="center" wrapText="1"/>
    </xf>
    <xf numFmtId="3" fontId="2" fillId="25" borderId="21" xfId="0" applyNumberFormat="1" applyFont="1" applyFill="1" applyBorder="1" applyAlignment="1" applyProtection="1">
      <alignment horizontal="center" vertical="center" wrapText="1"/>
    </xf>
    <xf numFmtId="3" fontId="2" fillId="25" borderId="22" xfId="0" applyNumberFormat="1" applyFont="1" applyFill="1" applyBorder="1" applyAlignment="1" applyProtection="1">
      <alignment horizontal="center" vertical="center" wrapText="1"/>
    </xf>
    <xf numFmtId="0" fontId="2" fillId="25" borderId="23" xfId="0" applyNumberFormat="1" applyFont="1" applyFill="1" applyBorder="1" applyAlignment="1" applyProtection="1">
      <alignment horizontal="center" vertical="center" wrapText="1"/>
    </xf>
    <xf numFmtId="3" fontId="2" fillId="25" borderId="23" xfId="0" applyNumberFormat="1" applyFont="1" applyFill="1" applyBorder="1" applyAlignment="1" applyProtection="1">
      <alignment horizontal="center" vertical="center" wrapText="1"/>
    </xf>
    <xf numFmtId="0" fontId="2" fillId="25" borderId="24" xfId="0" applyNumberFormat="1" applyFont="1" applyFill="1" applyBorder="1" applyAlignment="1" applyProtection="1">
      <alignment horizontal="center" vertical="center" wrapText="1"/>
    </xf>
    <xf numFmtId="0" fontId="2" fillId="25" borderId="19" xfId="0" applyNumberFormat="1" applyFont="1" applyFill="1" applyBorder="1" applyAlignment="1" applyProtection="1">
      <alignment horizontal="left" vertical="center" wrapText="1"/>
    </xf>
    <xf numFmtId="0" fontId="2" fillId="25" borderId="22" xfId="0" applyNumberFormat="1" applyFont="1" applyFill="1" applyBorder="1" applyAlignment="1" applyProtection="1">
      <alignment horizontal="center" vertical="center" wrapText="1"/>
    </xf>
    <xf numFmtId="3" fontId="1" fillId="0" borderId="23" xfId="0" applyNumberFormat="1" applyFont="1" applyFill="1" applyBorder="1" applyAlignment="1" applyProtection="1">
      <alignment horizontal="center" vertical="center" wrapText="1"/>
    </xf>
    <xf numFmtId="3" fontId="1" fillId="0" borderId="19" xfId="0" applyNumberFormat="1" applyFont="1" applyFill="1" applyBorder="1" applyAlignment="1" applyProtection="1">
      <alignment horizontal="center" vertical="center" wrapText="1"/>
    </xf>
    <xf numFmtId="3" fontId="1" fillId="0" borderId="20" xfId="0" applyNumberFormat="1" applyFont="1" applyFill="1" applyBorder="1" applyAlignment="1" applyProtection="1">
      <alignment horizontal="center" vertical="center" wrapText="1"/>
    </xf>
    <xf numFmtId="3" fontId="1" fillId="0" borderId="21" xfId="0" applyNumberFormat="1" applyFont="1" applyFill="1" applyBorder="1" applyAlignment="1" applyProtection="1">
      <alignment horizontal="center" vertical="center" wrapText="1"/>
    </xf>
    <xf numFmtId="3" fontId="1" fillId="0" borderId="22" xfId="0" applyNumberFormat="1" applyFont="1" applyFill="1" applyBorder="1" applyAlignment="1" applyProtection="1">
      <alignment horizontal="center" vertical="center" wrapText="1"/>
    </xf>
    <xf numFmtId="0" fontId="2" fillId="0" borderId="23" xfId="0" applyNumberFormat="1" applyFont="1" applyFill="1" applyBorder="1" applyAlignment="1" applyProtection="1">
      <alignment horizontal="center" vertical="center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left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3" fontId="2" fillId="24" borderId="25" xfId="0" applyNumberFormat="1" applyFont="1" applyFill="1" applyBorder="1" applyAlignment="1" applyProtection="1">
      <alignment horizontal="center" vertical="center" wrapText="1"/>
    </xf>
    <xf numFmtId="3" fontId="2" fillId="25" borderId="26" xfId="0" applyNumberFormat="1" applyFont="1" applyFill="1" applyBorder="1" applyAlignment="1" applyProtection="1">
      <alignment horizontal="center" vertical="center" wrapText="1"/>
    </xf>
    <xf numFmtId="3" fontId="2" fillId="25" borderId="27" xfId="0" applyNumberFormat="1" applyFont="1" applyFill="1" applyBorder="1" applyAlignment="1" applyProtection="1">
      <alignment horizontal="center" vertical="center" wrapText="1"/>
    </xf>
    <xf numFmtId="3" fontId="2" fillId="25" borderId="28" xfId="0" applyNumberFormat="1" applyFont="1" applyFill="1" applyBorder="1" applyAlignment="1" applyProtection="1">
      <alignment horizontal="center" vertical="center" wrapText="1"/>
    </xf>
    <xf numFmtId="3" fontId="2" fillId="25" borderId="11" xfId="0" applyNumberFormat="1" applyFont="1" applyFill="1" applyBorder="1" applyAlignment="1" applyProtection="1">
      <alignment horizontal="center" vertical="center" wrapText="1"/>
    </xf>
    <xf numFmtId="0" fontId="2" fillId="25" borderId="25" xfId="0" applyNumberFormat="1" applyFont="1" applyFill="1" applyBorder="1" applyAlignment="1" applyProtection="1">
      <alignment horizontal="center" vertical="center" wrapText="1"/>
    </xf>
    <xf numFmtId="3" fontId="2" fillId="25" borderId="25" xfId="0" applyNumberFormat="1" applyFont="1" applyFill="1" applyBorder="1" applyAlignment="1" applyProtection="1">
      <alignment horizontal="center" vertical="center" wrapText="1"/>
    </xf>
    <xf numFmtId="0" fontId="2" fillId="25" borderId="29" xfId="0" applyNumberFormat="1" applyFont="1" applyFill="1" applyBorder="1" applyAlignment="1" applyProtection="1">
      <alignment horizontal="center" vertical="center" wrapText="1"/>
    </xf>
    <xf numFmtId="0" fontId="2" fillId="25" borderId="26" xfId="0" applyNumberFormat="1" applyFont="1" applyFill="1" applyBorder="1" applyAlignment="1" applyProtection="1">
      <alignment horizontal="left" vertical="center" wrapText="1"/>
    </xf>
    <xf numFmtId="0" fontId="2" fillId="25" borderId="11" xfId="0" applyNumberFormat="1" applyFont="1" applyFill="1" applyBorder="1" applyAlignment="1" applyProtection="1">
      <alignment horizontal="center" vertical="center" wrapText="1"/>
    </xf>
    <xf numFmtId="0" fontId="23" fillId="26" borderId="30" xfId="0" applyNumberFormat="1" applyFont="1" applyFill="1" applyBorder="1" applyAlignment="1" applyProtection="1">
      <alignment horizontal="center" vertical="center" wrapText="1"/>
    </xf>
    <xf numFmtId="0" fontId="23" fillId="26" borderId="31" xfId="0" applyNumberFormat="1" applyFont="1" applyFill="1" applyBorder="1" applyAlignment="1" applyProtection="1">
      <alignment horizontal="center" vertical="center" wrapText="1"/>
    </xf>
    <xf numFmtId="0" fontId="23" fillId="26" borderId="32" xfId="0" applyNumberFormat="1" applyFont="1" applyFill="1" applyBorder="1" applyAlignment="1" applyProtection="1">
      <alignment horizontal="center" vertical="center" wrapText="1"/>
    </xf>
    <xf numFmtId="0" fontId="23" fillId="26" borderId="33" xfId="0" applyNumberFormat="1" applyFont="1" applyFill="1" applyBorder="1" applyAlignment="1" applyProtection="1">
      <alignment horizontal="center" vertical="center" wrapText="1"/>
    </xf>
    <xf numFmtId="0" fontId="23" fillId="26" borderId="30" xfId="0" applyNumberFormat="1" applyFont="1" applyFill="1" applyBorder="1" applyAlignment="1" applyProtection="1">
      <alignment horizontal="left" vertical="center" wrapText="1"/>
    </xf>
    <xf numFmtId="3" fontId="2" fillId="0" borderId="0" xfId="0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Border="1" applyAlignment="1" applyProtection="1">
      <alignment horizontal="center" vertical="center" wrapText="1"/>
    </xf>
    <xf numFmtId="2" fontId="2" fillId="0" borderId="0" xfId="0" applyNumberFormat="1" applyFont="1" applyFill="1" applyBorder="1" applyAlignment="1" applyProtection="1">
      <alignment horizontal="center" vertical="center" wrapText="1"/>
    </xf>
    <xf numFmtId="0" fontId="23" fillId="26" borderId="34" xfId="0" applyNumberFormat="1" applyFont="1" applyFill="1" applyBorder="1" applyAlignment="1" applyProtection="1">
      <alignment vertical="center" wrapText="1"/>
    </xf>
    <xf numFmtId="0" fontId="23" fillId="26" borderId="0" xfId="0" applyNumberFormat="1" applyFont="1" applyFill="1" applyBorder="1" applyAlignment="1" applyProtection="1">
      <alignment horizontal="center" vertical="center" wrapText="1"/>
    </xf>
    <xf numFmtId="0" fontId="23" fillId="26" borderId="35" xfId="0" applyNumberFormat="1" applyFont="1" applyFill="1" applyBorder="1" applyAlignment="1" applyProtection="1">
      <alignment horizontal="center" vertical="center" wrapText="1"/>
    </xf>
    <xf numFmtId="0" fontId="23" fillId="26" borderId="36" xfId="0" applyNumberFormat="1" applyFont="1" applyFill="1" applyBorder="1" applyAlignment="1" applyProtection="1">
      <alignment horizontal="center" vertical="center" wrapText="1"/>
    </xf>
    <xf numFmtId="0" fontId="23" fillId="26" borderId="37" xfId="0" applyNumberFormat="1" applyFont="1" applyFill="1" applyBorder="1" applyAlignment="1" applyProtection="1">
      <alignment horizontal="center" vertical="center" wrapText="1"/>
    </xf>
    <xf numFmtId="0" fontId="2" fillId="24" borderId="11" xfId="0" applyNumberFormat="1" applyFont="1" applyFill="1" applyBorder="1" applyAlignment="1" applyProtection="1">
      <alignment horizontal="center" vertical="center" wrapText="1"/>
    </xf>
    <xf numFmtId="0" fontId="2" fillId="24" borderId="26" xfId="0" applyNumberFormat="1" applyFont="1" applyFill="1" applyBorder="1" applyAlignment="1" applyProtection="1">
      <alignment horizontal="left" vertical="center" wrapText="1"/>
    </xf>
    <xf numFmtId="3" fontId="2" fillId="24" borderId="11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left" vertical="center" wrapText="1"/>
    </xf>
    <xf numFmtId="3" fontId="1" fillId="0" borderId="39" xfId="0" applyNumberFormat="1" applyFont="1" applyFill="1" applyBorder="1" applyAlignment="1" applyProtection="1">
      <alignment horizontal="center" vertical="center" wrapText="1"/>
    </xf>
    <xf numFmtId="3" fontId="1" fillId="0" borderId="40" xfId="0" applyNumberFormat="1" applyFont="1" applyFill="1" applyBorder="1" applyAlignment="1" applyProtection="1">
      <alignment horizontal="center" vertical="center" wrapText="1"/>
    </xf>
    <xf numFmtId="3" fontId="2" fillId="0" borderId="12" xfId="0" applyNumberFormat="1" applyFont="1" applyFill="1" applyBorder="1" applyAlignment="1" applyProtection="1">
      <alignment horizontal="center" vertical="center" wrapText="1"/>
    </xf>
    <xf numFmtId="0" fontId="1" fillId="0" borderId="41" xfId="0" applyNumberFormat="1" applyFont="1" applyFill="1" applyBorder="1" applyAlignment="1" applyProtection="1">
      <alignment horizontal="center" vertical="center" wrapText="1"/>
    </xf>
    <xf numFmtId="0" fontId="1" fillId="0" borderId="39" xfId="0" applyNumberFormat="1" applyFont="1" applyFill="1" applyBorder="1" applyAlignment="1" applyProtection="1">
      <alignment horizontal="center" vertical="center" wrapText="1"/>
    </xf>
    <xf numFmtId="0" fontId="1" fillId="0" borderId="38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left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left" vertical="center" wrapText="1"/>
    </xf>
    <xf numFmtId="16" fontId="2" fillId="24" borderId="11" xfId="0" applyNumberFormat="1" applyFont="1" applyFill="1" applyBorder="1" applyAlignment="1" applyProtection="1">
      <alignment horizontal="center" vertical="center" wrapText="1"/>
    </xf>
    <xf numFmtId="16" fontId="2" fillId="24" borderId="42" xfId="0" applyNumberFormat="1" applyFont="1" applyFill="1" applyBorder="1" applyAlignment="1" applyProtection="1">
      <alignment horizontal="center" vertical="center" wrapText="1"/>
    </xf>
    <xf numFmtId="0" fontId="2" fillId="24" borderId="43" xfId="0" applyNumberFormat="1" applyFont="1" applyFill="1" applyBorder="1" applyAlignment="1" applyProtection="1">
      <alignment horizontal="left" vertical="center" wrapText="1"/>
    </xf>
    <xf numFmtId="3" fontId="2" fillId="24" borderId="42" xfId="0" applyNumberFormat="1" applyFont="1" applyFill="1" applyBorder="1" applyAlignment="1" applyProtection="1">
      <alignment horizontal="center" vertical="center" wrapText="1"/>
    </xf>
    <xf numFmtId="3" fontId="2" fillId="24" borderId="30" xfId="0" applyNumberFormat="1" applyFont="1" applyFill="1" applyBorder="1" applyAlignment="1" applyProtection="1">
      <alignment horizontal="center" vertical="center" wrapText="1"/>
    </xf>
    <xf numFmtId="165" fontId="2" fillId="24" borderId="11" xfId="0" applyNumberFormat="1" applyFont="1" applyFill="1" applyBorder="1" applyAlignment="1" applyProtection="1">
      <alignment horizontal="center" vertical="center" wrapText="1"/>
    </xf>
    <xf numFmtId="165" fontId="2" fillId="24" borderId="25" xfId="0" applyNumberFormat="1" applyFont="1" applyFill="1" applyBorder="1" applyAlignment="1" applyProtection="1">
      <alignment horizontal="center" vertical="center" wrapText="1"/>
    </xf>
    <xf numFmtId="165" fontId="2" fillId="24" borderId="42" xfId="0" applyNumberFormat="1" applyFont="1" applyFill="1" applyBorder="1" applyAlignment="1" applyProtection="1">
      <alignment horizontal="center" vertical="center" wrapText="1"/>
    </xf>
    <xf numFmtId="165" fontId="2" fillId="24" borderId="30" xfId="0" applyNumberFormat="1" applyFont="1" applyFill="1" applyBorder="1" applyAlignment="1" applyProtection="1">
      <alignment horizontal="center" vertical="center" wrapText="1"/>
    </xf>
    <xf numFmtId="3" fontId="2" fillId="0" borderId="22" xfId="0" applyNumberFormat="1" applyFont="1" applyFill="1" applyBorder="1" applyAlignment="1" applyProtection="1">
      <alignment horizontal="center" vertical="center" wrapText="1"/>
    </xf>
    <xf numFmtId="3" fontId="2" fillId="0" borderId="16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3" fontId="1" fillId="0" borderId="0" xfId="0" applyNumberFormat="1" applyFont="1" applyFill="1" applyBorder="1" applyAlignment="1" applyProtection="1">
      <alignment vertical="center" wrapText="1"/>
    </xf>
    <xf numFmtId="3" fontId="2" fillId="0" borderId="0" xfId="0" applyNumberFormat="1" applyFont="1" applyFill="1" applyBorder="1" applyAlignment="1" applyProtection="1">
      <alignment vertical="center" wrapText="1"/>
    </xf>
    <xf numFmtId="0" fontId="23" fillId="26" borderId="44" xfId="0" applyNumberFormat="1" applyFont="1" applyFill="1" applyBorder="1" applyAlignment="1" applyProtection="1">
      <alignment vertical="center" wrapText="1"/>
    </xf>
    <xf numFmtId="0" fontId="23" fillId="26" borderId="14" xfId="0" applyNumberFormat="1" applyFont="1" applyFill="1" applyBorder="1" applyAlignment="1" applyProtection="1">
      <alignment vertical="center" wrapText="1"/>
    </xf>
    <xf numFmtId="0" fontId="3" fillId="0" borderId="22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left" vertical="center" wrapText="1"/>
    </xf>
    <xf numFmtId="3" fontId="2" fillId="0" borderId="22" xfId="42" applyNumberFormat="1" applyFont="1" applyFill="1" applyBorder="1" applyAlignment="1" applyProtection="1">
      <alignment horizontal="center" vertical="center" wrapText="1"/>
    </xf>
    <xf numFmtId="0" fontId="1" fillId="0" borderId="45" xfId="0" applyNumberFormat="1" applyFont="1" applyFill="1" applyBorder="1" applyAlignment="1" applyProtection="1">
      <alignment horizontal="center" vertical="center" wrapText="1"/>
    </xf>
    <xf numFmtId="0" fontId="1" fillId="0" borderId="41" xfId="0" applyNumberFormat="1" applyFont="1" applyFill="1" applyBorder="1" applyAlignment="1" applyProtection="1">
      <alignment horizontal="left" vertical="center" wrapText="1"/>
    </xf>
    <xf numFmtId="3" fontId="1" fillId="0" borderId="18" xfId="0" applyNumberFormat="1" applyFont="1" applyFill="1" applyBorder="1" applyAlignment="1" applyProtection="1">
      <alignment horizontal="center" vertical="center" wrapText="1"/>
    </xf>
    <xf numFmtId="3" fontId="2" fillId="24" borderId="28" xfId="0" applyNumberFormat="1" applyFont="1" applyFill="1" applyBorder="1" applyAlignment="1" applyProtection="1">
      <alignment horizontal="center" vertical="center" wrapText="1"/>
    </xf>
    <xf numFmtId="3" fontId="1" fillId="0" borderId="46" xfId="0" applyNumberFormat="1" applyFont="1" applyFill="1" applyBorder="1" applyAlignment="1" applyProtection="1">
      <alignment horizontal="center" vertical="center" wrapText="1"/>
    </xf>
    <xf numFmtId="3" fontId="2" fillId="0" borderId="21" xfId="0" applyNumberFormat="1" applyFont="1" applyFill="1" applyBorder="1" applyAlignment="1" applyProtection="1">
      <alignment horizontal="center" vertical="center" wrapText="1"/>
    </xf>
    <xf numFmtId="3" fontId="2" fillId="0" borderId="15" xfId="0" applyNumberFormat="1" applyFont="1" applyFill="1" applyBorder="1" applyAlignment="1" applyProtection="1">
      <alignment horizontal="center" vertical="center" wrapText="1"/>
    </xf>
    <xf numFmtId="3" fontId="2" fillId="24" borderId="47" xfId="0" applyNumberFormat="1" applyFont="1" applyFill="1" applyBorder="1" applyAlignment="1" applyProtection="1">
      <alignment horizontal="center" vertical="center" wrapText="1"/>
    </xf>
    <xf numFmtId="165" fontId="2" fillId="24" borderId="28" xfId="0" applyNumberFormat="1" applyFont="1" applyFill="1" applyBorder="1" applyAlignment="1" applyProtection="1">
      <alignment horizontal="center" vertical="center" wrapText="1"/>
    </xf>
    <xf numFmtId="165" fontId="2" fillId="24" borderId="47" xfId="0" applyNumberFormat="1" applyFont="1" applyFill="1" applyBorder="1" applyAlignment="1" applyProtection="1">
      <alignment horizontal="center" vertical="center" wrapText="1"/>
    </xf>
    <xf numFmtId="0" fontId="23" fillId="26" borderId="49" xfId="0" applyNumberFormat="1" applyFont="1" applyFill="1" applyBorder="1" applyAlignment="1" applyProtection="1">
      <alignment horizontal="center" vertical="center" wrapText="1"/>
    </xf>
    <xf numFmtId="3" fontId="2" fillId="24" borderId="27" xfId="0" applyNumberFormat="1" applyFont="1" applyFill="1" applyBorder="1" applyAlignment="1" applyProtection="1">
      <alignment horizontal="center" vertical="center" wrapText="1"/>
    </xf>
    <xf numFmtId="3" fontId="1" fillId="0" borderId="50" xfId="0" applyNumberFormat="1" applyFont="1" applyFill="1" applyBorder="1" applyAlignment="1" applyProtection="1">
      <alignment horizontal="center" vertical="center" wrapText="1"/>
    </xf>
    <xf numFmtId="3" fontId="2" fillId="0" borderId="20" xfId="0" applyNumberFormat="1" applyFont="1" applyFill="1" applyBorder="1" applyAlignment="1" applyProtection="1">
      <alignment horizontal="center" vertical="center" wrapText="1"/>
    </xf>
    <xf numFmtId="3" fontId="2" fillId="0" borderId="14" xfId="0" applyNumberFormat="1" applyFont="1" applyFill="1" applyBorder="1" applyAlignment="1" applyProtection="1">
      <alignment horizontal="center" vertical="center" wrapText="1"/>
    </xf>
    <xf numFmtId="3" fontId="2" fillId="24" borderId="31" xfId="0" applyNumberFormat="1" applyFont="1" applyFill="1" applyBorder="1" applyAlignment="1" applyProtection="1">
      <alignment horizontal="center" vertical="center" wrapText="1"/>
    </xf>
    <xf numFmtId="165" fontId="2" fillId="24" borderId="27" xfId="0" applyNumberFormat="1" applyFont="1" applyFill="1" applyBorder="1" applyAlignment="1" applyProtection="1">
      <alignment horizontal="center" vertical="center" wrapText="1"/>
    </xf>
    <xf numFmtId="165" fontId="2" fillId="24" borderId="31" xfId="0" applyNumberFormat="1" applyFont="1" applyFill="1" applyBorder="1" applyAlignment="1" applyProtection="1">
      <alignment horizontal="center" vertical="center" wrapText="1"/>
    </xf>
    <xf numFmtId="0" fontId="2" fillId="27" borderId="11" xfId="0" applyNumberFormat="1" applyFont="1" applyFill="1" applyBorder="1" applyAlignment="1" applyProtection="1">
      <alignment horizontal="center" vertical="center" wrapText="1"/>
    </xf>
    <xf numFmtId="0" fontId="2" fillId="27" borderId="26" xfId="0" applyNumberFormat="1" applyFont="1" applyFill="1" applyBorder="1" applyAlignment="1" applyProtection="1">
      <alignment horizontal="left" vertical="center" wrapText="1"/>
    </xf>
    <xf numFmtId="3" fontId="1" fillId="27" borderId="11" xfId="0" applyNumberFormat="1" applyFont="1" applyFill="1" applyBorder="1" applyAlignment="1" applyProtection="1">
      <alignment horizontal="center" vertical="center" wrapText="1"/>
    </xf>
    <xf numFmtId="3" fontId="1" fillId="27" borderId="28" xfId="0" applyNumberFormat="1" applyFont="1" applyFill="1" applyBorder="1" applyAlignment="1" applyProtection="1">
      <alignment horizontal="center" vertical="center" wrapText="1"/>
    </xf>
    <xf numFmtId="3" fontId="1" fillId="27" borderId="27" xfId="0" applyNumberFormat="1" applyFont="1" applyFill="1" applyBorder="1" applyAlignment="1" applyProtection="1">
      <alignment horizontal="center" vertical="center" wrapText="1"/>
    </xf>
    <xf numFmtId="3" fontId="1" fillId="27" borderId="25" xfId="0" applyNumberFormat="1" applyFont="1" applyFill="1" applyBorder="1" applyAlignment="1" applyProtection="1">
      <alignment horizontal="center" vertical="center" wrapText="1"/>
    </xf>
    <xf numFmtId="165" fontId="1" fillId="0" borderId="22" xfId="0" applyNumberFormat="1" applyFont="1" applyFill="1" applyBorder="1" applyAlignment="1" applyProtection="1">
      <alignment horizontal="center" vertical="center" wrapText="1"/>
    </xf>
    <xf numFmtId="165" fontId="1" fillId="0" borderId="20" xfId="0" applyNumberFormat="1" applyFont="1" applyFill="1" applyBorder="1" applyAlignment="1" applyProtection="1">
      <alignment horizontal="center" vertical="center" wrapText="1"/>
    </xf>
    <xf numFmtId="165" fontId="1" fillId="0" borderId="21" xfId="0" applyNumberFormat="1" applyFont="1" applyFill="1" applyBorder="1" applyAlignment="1" applyProtection="1">
      <alignment horizontal="center" vertical="center" wrapText="1"/>
    </xf>
    <xf numFmtId="3" fontId="2" fillId="0" borderId="23" xfId="0" applyNumberFormat="1" applyFont="1" applyFill="1" applyBorder="1" applyAlignment="1" applyProtection="1">
      <alignment horizontal="center" vertical="center" wrapText="1"/>
    </xf>
    <xf numFmtId="165" fontId="1" fillId="0" borderId="23" xfId="0" applyNumberFormat="1" applyFont="1" applyFill="1" applyBorder="1" applyAlignment="1" applyProtection="1">
      <alignment horizontal="center" vertical="center" wrapText="1"/>
    </xf>
    <xf numFmtId="3" fontId="2" fillId="0" borderId="20" xfId="42" applyNumberFormat="1" applyFont="1" applyFill="1" applyBorder="1" applyAlignment="1" applyProtection="1">
      <alignment horizontal="center" vertical="center" wrapText="1"/>
    </xf>
    <xf numFmtId="3" fontId="2" fillId="0" borderId="21" xfId="42" applyNumberFormat="1" applyFont="1" applyFill="1" applyBorder="1" applyAlignment="1" applyProtection="1">
      <alignment horizontal="center" vertical="center" wrapText="1"/>
    </xf>
    <xf numFmtId="0" fontId="2" fillId="24" borderId="29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center" vertical="center"/>
    </xf>
    <xf numFmtId="0" fontId="1" fillId="0" borderId="53" xfId="0" applyNumberFormat="1" applyFont="1" applyFill="1" applyBorder="1" applyAlignment="1" applyProtection="1">
      <alignment horizontal="center" vertical="center" wrapText="1"/>
    </xf>
    <xf numFmtId="0" fontId="1" fillId="0" borderId="54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2" fillId="24" borderId="56" xfId="0" applyNumberFormat="1" applyFont="1" applyFill="1" applyBorder="1" applyAlignment="1" applyProtection="1">
      <alignment horizontal="center" vertical="center" wrapText="1"/>
    </xf>
    <xf numFmtId="3" fontId="2" fillId="0" borderId="23" xfId="42" applyNumberFormat="1" applyFont="1" applyFill="1" applyBorder="1" applyAlignment="1" applyProtection="1">
      <alignment horizontal="center" vertical="center" wrapText="1"/>
    </xf>
    <xf numFmtId="0" fontId="23" fillId="26" borderId="12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1" xfId="42" applyNumberFormat="1" applyFont="1" applyFill="1" applyBorder="1" applyAlignment="1" applyProtection="1">
      <alignment horizontal="center" vertical="center" wrapText="1"/>
    </xf>
    <xf numFmtId="3" fontId="1" fillId="0" borderId="45" xfId="0" applyNumberFormat="1" applyFont="1" applyFill="1" applyBorder="1" applyAlignment="1" applyProtection="1">
      <alignment horizontal="center" vertical="center" wrapText="1"/>
    </xf>
    <xf numFmtId="3" fontId="1" fillId="0" borderId="57" xfId="0" applyNumberFormat="1" applyFont="1" applyFill="1" applyBorder="1" applyAlignment="1" applyProtection="1">
      <alignment horizontal="center" vertical="center" wrapText="1"/>
    </xf>
    <xf numFmtId="3" fontId="1" fillId="0" borderId="58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3" fontId="2" fillId="0" borderId="11" xfId="42" applyNumberFormat="1" applyFont="1" applyFill="1" applyBorder="1" applyAlignment="1" applyProtection="1">
      <alignment horizontal="center" vertical="center" wrapText="1"/>
    </xf>
    <xf numFmtId="14" fontId="22" fillId="30" borderId="0" xfId="0" applyNumberFormat="1" applyFont="1" applyFill="1" applyBorder="1" applyAlignment="1" applyProtection="1">
      <alignment horizontal="center" vertical="center"/>
    </xf>
    <xf numFmtId="0" fontId="28" fillId="30" borderId="0" xfId="0" applyNumberFormat="1" applyFont="1" applyFill="1" applyBorder="1" applyAlignment="1" applyProtection="1">
      <alignment vertical="center"/>
    </xf>
    <xf numFmtId="0" fontId="28" fillId="30" borderId="0" xfId="0" applyNumberFormat="1" applyFont="1" applyFill="1" applyBorder="1" applyAlignment="1" applyProtection="1">
      <alignment vertical="center" wrapText="1"/>
    </xf>
    <xf numFmtId="0" fontId="28" fillId="30" borderId="0" xfId="0" applyNumberFormat="1" applyFont="1" applyFill="1" applyBorder="1" applyAlignment="1" applyProtection="1">
      <alignment horizontal="left" vertical="center" wrapText="1"/>
    </xf>
    <xf numFmtId="0" fontId="30" fillId="30" borderId="0" xfId="0" applyNumberFormat="1" applyFont="1" applyFill="1" applyBorder="1" applyAlignment="1" applyProtection="1">
      <alignment horizontal="left"/>
    </xf>
    <xf numFmtId="0" fontId="31" fillId="30" borderId="0" xfId="0" applyNumberFormat="1" applyFont="1" applyFill="1" applyBorder="1" applyAlignment="1" applyProtection="1">
      <alignment horizontal="center" vertical="center"/>
    </xf>
    <xf numFmtId="0" fontId="32" fillId="30" borderId="0" xfId="0" applyNumberFormat="1" applyFont="1" applyFill="1" applyBorder="1" applyAlignment="1" applyProtection="1"/>
    <xf numFmtId="0" fontId="31" fillId="0" borderId="0" xfId="0" applyNumberFormat="1" applyFont="1" applyFill="1" applyBorder="1" applyAlignment="1" applyProtection="1">
      <alignment horizontal="center" vertical="center"/>
    </xf>
    <xf numFmtId="0" fontId="24" fillId="30" borderId="0" xfId="0" applyNumberFormat="1" applyFont="1" applyFill="1" applyBorder="1" applyAlignment="1" applyProtection="1">
      <alignment vertical="center"/>
    </xf>
    <xf numFmtId="0" fontId="33" fillId="30" borderId="0" xfId="0" applyNumberFormat="1" applyFont="1" applyFill="1" applyBorder="1" applyAlignment="1" applyProtection="1">
      <alignment horizontal="center" vertical="center"/>
    </xf>
    <xf numFmtId="0" fontId="34" fillId="30" borderId="0" xfId="0" applyNumberFormat="1" applyFont="1" applyFill="1" applyBorder="1" applyAlignment="1" applyProtection="1"/>
    <xf numFmtId="0" fontId="35" fillId="30" borderId="0" xfId="0" applyNumberFormat="1" applyFont="1" applyFill="1" applyBorder="1" applyAlignment="1" applyProtection="1">
      <alignment horizontal="left"/>
    </xf>
    <xf numFmtId="0" fontId="24" fillId="30" borderId="0" xfId="0" applyNumberFormat="1" applyFont="1" applyFill="1" applyBorder="1" applyAlignment="1" applyProtection="1">
      <alignment vertical="center" wrapText="1"/>
    </xf>
    <xf numFmtId="0" fontId="24" fillId="30" borderId="0" xfId="0" applyNumberFormat="1" applyFont="1" applyFill="1" applyBorder="1" applyAlignment="1" applyProtection="1">
      <alignment horizontal="left" vertical="center" wrapText="1"/>
    </xf>
    <xf numFmtId="0" fontId="22" fillId="30" borderId="0" xfId="0" applyNumberFormat="1" applyFont="1" applyFill="1" applyBorder="1" applyAlignment="1" applyProtection="1">
      <alignment horizontal="center" vertical="center"/>
    </xf>
    <xf numFmtId="3" fontId="22" fillId="30" borderId="0" xfId="0" applyNumberFormat="1" applyFont="1" applyFill="1" applyBorder="1" applyAlignment="1" applyProtection="1">
      <alignment horizontal="center" vertical="center" wrapText="1"/>
    </xf>
    <xf numFmtId="14" fontId="6" fillId="30" borderId="0" xfId="0" applyNumberFormat="1" applyFont="1" applyFill="1" applyBorder="1" applyAlignment="1" applyProtection="1"/>
    <xf numFmtId="0" fontId="22" fillId="30" borderId="0" xfId="0" applyNumberFormat="1" applyFont="1" applyFill="1" applyBorder="1" applyAlignment="1" applyProtection="1">
      <alignment horizontal="center" vertical="center" wrapText="1"/>
    </xf>
    <xf numFmtId="3" fontId="25" fillId="30" borderId="0" xfId="0" applyNumberFormat="1" applyFont="1" applyFill="1" applyBorder="1" applyAlignment="1" applyProtection="1">
      <alignment horizontal="center" vertical="center" wrapText="1"/>
    </xf>
    <xf numFmtId="0" fontId="4" fillId="29" borderId="0" xfId="0" applyNumberFormat="1" applyFont="1" applyFill="1" applyBorder="1" applyAlignment="1" applyProtection="1">
      <alignment wrapText="1"/>
    </xf>
    <xf numFmtId="0" fontId="36" fillId="29" borderId="0" xfId="0" applyNumberFormat="1" applyFont="1" applyFill="1" applyBorder="1" applyAlignment="1" applyProtection="1">
      <alignment wrapText="1"/>
    </xf>
    <xf numFmtId="3" fontId="1" fillId="29" borderId="51" xfId="0" applyNumberFormat="1" applyFont="1" applyFill="1" applyBorder="1" applyAlignment="1" applyProtection="1">
      <alignment horizontal="center" vertical="center" wrapText="1"/>
    </xf>
    <xf numFmtId="3" fontId="1" fillId="29" borderId="31" xfId="0" applyNumberFormat="1" applyFont="1" applyFill="1" applyBorder="1" applyAlignment="1" applyProtection="1">
      <alignment horizontal="center" vertical="center" wrapText="1"/>
    </xf>
    <xf numFmtId="3" fontId="1" fillId="29" borderId="32" xfId="0" applyNumberFormat="1" applyFont="1" applyFill="1" applyBorder="1" applyAlignment="1" applyProtection="1">
      <alignment horizontal="center" vertical="center" wrapText="1"/>
    </xf>
    <xf numFmtId="3" fontId="1" fillId="29" borderId="33" xfId="0" applyNumberFormat="1" applyFont="1" applyFill="1" applyBorder="1" applyAlignment="1" applyProtection="1">
      <alignment horizontal="center" vertical="center" wrapText="1"/>
    </xf>
    <xf numFmtId="3" fontId="1" fillId="29" borderId="37" xfId="0" applyNumberFormat="1" applyFont="1" applyFill="1" applyBorder="1" applyAlignment="1" applyProtection="1">
      <alignment horizontal="center" vertical="center" wrapText="1"/>
    </xf>
    <xf numFmtId="0" fontId="1" fillId="29" borderId="31" xfId="0" applyNumberFormat="1" applyFont="1" applyFill="1" applyBorder="1" applyAlignment="1" applyProtection="1">
      <alignment horizontal="center" vertical="center" wrapText="1"/>
    </xf>
    <xf numFmtId="0" fontId="1" fillId="29" borderId="32" xfId="0" applyNumberFormat="1" applyFont="1" applyFill="1" applyBorder="1" applyAlignment="1" applyProtection="1">
      <alignment horizontal="center" vertical="center" wrapText="1"/>
    </xf>
    <xf numFmtId="0" fontId="1" fillId="29" borderId="33" xfId="0" applyNumberFormat="1" applyFont="1" applyFill="1" applyBorder="1" applyAlignment="1" applyProtection="1">
      <alignment horizontal="center" vertical="center" wrapText="1"/>
    </xf>
    <xf numFmtId="3" fontId="1" fillId="29" borderId="45" xfId="0" applyNumberFormat="1" applyFont="1" applyFill="1" applyBorder="1" applyAlignment="1" applyProtection="1">
      <alignment horizontal="center" vertical="center" wrapText="1"/>
    </xf>
    <xf numFmtId="3" fontId="2" fillId="0" borderId="13" xfId="0" applyNumberFormat="1" applyFont="1" applyFill="1" applyBorder="1" applyAlignment="1" applyProtection="1">
      <alignment horizontal="center" vertical="center" wrapText="1"/>
    </xf>
    <xf numFmtId="3" fontId="2" fillId="0" borderId="11" xfId="42" applyNumberFormat="1" applyFont="1" applyFill="1" applyBorder="1" applyAlignment="1" applyProtection="1">
      <alignment horizontal="center" vertical="center" wrapText="1"/>
    </xf>
    <xf numFmtId="0" fontId="1" fillId="29" borderId="63" xfId="0" applyNumberFormat="1" applyFont="1" applyFill="1" applyBorder="1" applyAlignment="1" applyProtection="1">
      <alignment horizontal="center" vertical="center" wrapText="1"/>
    </xf>
    <xf numFmtId="0" fontId="1" fillId="29" borderId="0" xfId="0" applyNumberFormat="1" applyFont="1" applyFill="1" applyBorder="1" applyAlignment="1" applyProtection="1">
      <alignment horizontal="center" vertical="center"/>
    </xf>
    <xf numFmtId="0" fontId="0" fillId="29" borderId="0" xfId="0" applyNumberFormat="1" applyFont="1" applyFill="1" applyBorder="1" applyAlignment="1" applyProtection="1"/>
    <xf numFmtId="0" fontId="5" fillId="29" borderId="0" xfId="0" applyNumberFormat="1" applyFont="1" applyFill="1" applyBorder="1" applyAlignment="1" applyProtection="1">
      <alignment wrapText="1"/>
    </xf>
    <xf numFmtId="0" fontId="1" fillId="29" borderId="63" xfId="0" applyNumberFormat="1" applyFont="1" applyFill="1" applyBorder="1" applyAlignment="1" applyProtection="1">
      <alignment vertical="center" wrapText="1"/>
    </xf>
    <xf numFmtId="0" fontId="28" fillId="29" borderId="0" xfId="0" applyNumberFormat="1" applyFont="1" applyFill="1" applyBorder="1" applyAlignment="1" applyProtection="1">
      <alignment vertical="center" wrapText="1"/>
    </xf>
    <xf numFmtId="0" fontId="30" fillId="29" borderId="0" xfId="0" applyNumberFormat="1" applyFont="1" applyFill="1" applyBorder="1" applyAlignment="1" applyProtection="1">
      <alignment horizontal="left"/>
    </xf>
    <xf numFmtId="0" fontId="5" fillId="29" borderId="0" xfId="0" applyNumberFormat="1" applyFont="1" applyFill="1" applyBorder="1" applyAlignment="1" applyProtection="1"/>
    <xf numFmtId="0" fontId="2" fillId="27" borderId="29" xfId="0" applyNumberFormat="1" applyFont="1" applyFill="1" applyBorder="1" applyAlignment="1" applyProtection="1">
      <alignment horizontal="center" vertical="center" wrapText="1"/>
    </xf>
    <xf numFmtId="3" fontId="1" fillId="0" borderId="49" xfId="0" applyNumberFormat="1" applyFont="1" applyFill="1" applyBorder="1" applyAlignment="1" applyProtection="1">
      <alignment horizontal="center" vertical="center" wrapText="1"/>
    </xf>
    <xf numFmtId="3" fontId="2" fillId="0" borderId="11" xfId="42" applyNumberFormat="1" applyFont="1" applyFill="1" applyBorder="1" applyAlignment="1" applyProtection="1">
      <alignment horizontal="center" vertical="center" wrapText="1"/>
    </xf>
    <xf numFmtId="3" fontId="2" fillId="0" borderId="26" xfId="42" applyNumberFormat="1" applyFont="1" applyFill="1" applyBorder="1" applyAlignment="1" applyProtection="1">
      <alignment horizontal="center" vertical="center" wrapText="1"/>
    </xf>
    <xf numFmtId="3" fontId="2" fillId="0" borderId="10" xfId="42" applyNumberFormat="1" applyFont="1" applyFill="1" applyBorder="1" applyAlignment="1" applyProtection="1">
      <alignment horizontal="center" vertical="center" wrapText="1"/>
    </xf>
    <xf numFmtId="3" fontId="2" fillId="28" borderId="11" xfId="42" applyNumberFormat="1" applyFont="1" applyFill="1" applyBorder="1" applyAlignment="1" applyProtection="1">
      <alignment horizontal="center" vertical="center" wrapText="1"/>
    </xf>
    <xf numFmtId="3" fontId="2" fillId="28" borderId="26" xfId="42" applyNumberFormat="1" applyFont="1" applyFill="1" applyBorder="1" applyAlignment="1" applyProtection="1">
      <alignment horizontal="center" vertical="center" wrapText="1"/>
    </xf>
    <xf numFmtId="3" fontId="2" fillId="28" borderId="10" xfId="42" applyNumberFormat="1" applyFont="1" applyFill="1" applyBorder="1" applyAlignment="1" applyProtection="1">
      <alignment horizontal="center" vertical="center" wrapText="1"/>
    </xf>
    <xf numFmtId="0" fontId="2" fillId="0" borderId="59" xfId="0" applyNumberFormat="1" applyFont="1" applyFill="1" applyBorder="1" applyAlignment="1" applyProtection="1">
      <alignment horizontal="center" vertical="center" wrapText="1"/>
    </xf>
    <xf numFmtId="0" fontId="2" fillId="0" borderId="51" xfId="0" applyNumberFormat="1" applyFont="1" applyFill="1" applyBorder="1" applyAlignment="1" applyProtection="1">
      <alignment horizontal="center" vertical="center" wrapText="1"/>
    </xf>
    <xf numFmtId="0" fontId="2" fillId="0" borderId="45" xfId="0" applyNumberFormat="1" applyFont="1" applyFill="1" applyBorder="1" applyAlignment="1" applyProtection="1">
      <alignment horizontal="center" vertical="center" wrapText="1"/>
    </xf>
    <xf numFmtId="0" fontId="2" fillId="0" borderId="62" xfId="0" applyNumberFormat="1" applyFont="1" applyFill="1" applyBorder="1" applyAlignment="1" applyProtection="1">
      <alignment horizontal="center" vertical="center" wrapText="1"/>
    </xf>
    <xf numFmtId="0" fontId="2" fillId="0" borderId="52" xfId="0" applyNumberFormat="1" applyFont="1" applyFill="1" applyBorder="1" applyAlignment="1" applyProtection="1">
      <alignment horizontal="center" vertical="center" wrapText="1"/>
    </xf>
    <xf numFmtId="0" fontId="2" fillId="0" borderId="41" xfId="0" applyNumberFormat="1" applyFont="1" applyFill="1" applyBorder="1" applyAlignment="1" applyProtection="1">
      <alignment horizontal="center" vertical="center" wrapText="1"/>
    </xf>
    <xf numFmtId="0" fontId="2" fillId="0" borderId="61" xfId="0" applyNumberFormat="1" applyFont="1" applyFill="1" applyBorder="1" applyAlignment="1" applyProtection="1">
      <alignment horizontal="center" vertical="center" wrapText="1"/>
    </xf>
    <xf numFmtId="0" fontId="2" fillId="0" borderId="55" xfId="0" applyNumberFormat="1" applyFont="1" applyFill="1" applyBorder="1" applyAlignment="1" applyProtection="1">
      <alignment horizontal="center" vertical="center" wrapText="1"/>
    </xf>
    <xf numFmtId="0" fontId="2" fillId="0" borderId="53" xfId="0" applyNumberFormat="1" applyFont="1" applyFill="1" applyBorder="1" applyAlignment="1" applyProtection="1">
      <alignment horizontal="center" vertical="center" wrapText="1"/>
    </xf>
    <xf numFmtId="3" fontId="2" fillId="0" borderId="60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14" fontId="29" fillId="29" borderId="0" xfId="0" applyNumberFormat="1" applyFont="1" applyFill="1" applyBorder="1" applyAlignment="1" applyProtection="1">
      <alignment horizontal="center" vertical="center" wrapText="1"/>
    </xf>
    <xf numFmtId="0" fontId="4" fillId="29" borderId="0" xfId="0" applyNumberFormat="1" applyFont="1" applyFill="1" applyBorder="1" applyAlignment="1" applyProtection="1">
      <alignment horizontal="left" vertical="center" wrapText="1"/>
    </xf>
    <xf numFmtId="0" fontId="23" fillId="26" borderId="33" xfId="0" applyNumberFormat="1" applyFont="1" applyFill="1" applyBorder="1" applyAlignment="1" applyProtection="1">
      <alignment horizontal="left" vertical="center" wrapText="1"/>
    </xf>
    <xf numFmtId="0" fontId="23" fillId="26" borderId="32" xfId="0" applyNumberFormat="1" applyFont="1" applyFill="1" applyBorder="1" applyAlignment="1" applyProtection="1">
      <alignment horizontal="left" vertical="center" wrapText="1"/>
    </xf>
    <xf numFmtId="3" fontId="2" fillId="0" borderId="33" xfId="42" applyNumberFormat="1" applyFont="1" applyFill="1" applyBorder="1" applyAlignment="1" applyProtection="1">
      <alignment horizontal="center" vertical="center" wrapText="1"/>
    </xf>
    <xf numFmtId="3" fontId="2" fillId="0" borderId="32" xfId="42" applyNumberFormat="1" applyFont="1" applyFill="1" applyBorder="1" applyAlignment="1" applyProtection="1">
      <alignment horizontal="center" vertical="center" wrapText="1"/>
    </xf>
    <xf numFmtId="3" fontId="2" fillId="0" borderId="31" xfId="42" applyNumberFormat="1" applyFont="1" applyFill="1" applyBorder="1" applyAlignment="1" applyProtection="1">
      <alignment horizontal="center" vertical="center" wrapText="1"/>
    </xf>
    <xf numFmtId="0" fontId="23" fillId="26" borderId="44" xfId="0" applyNumberFormat="1" applyFont="1" applyFill="1" applyBorder="1" applyAlignment="1" applyProtection="1">
      <alignment horizontal="left" vertical="center" wrapText="1"/>
    </xf>
    <xf numFmtId="0" fontId="23" fillId="26" borderId="34" xfId="0" applyNumberFormat="1" applyFont="1" applyFill="1" applyBorder="1" applyAlignment="1" applyProtection="1">
      <alignment horizontal="left" vertical="center" wrapText="1"/>
    </xf>
    <xf numFmtId="0" fontId="23" fillId="26" borderId="49" xfId="0" applyNumberFormat="1" applyFont="1" applyFill="1" applyBorder="1" applyAlignment="1" applyProtection="1">
      <alignment horizontal="left" vertical="center" wrapText="1"/>
    </xf>
    <xf numFmtId="0" fontId="23" fillId="26" borderId="48" xfId="0" applyNumberFormat="1" applyFont="1" applyFill="1" applyBorder="1" applyAlignment="1" applyProtection="1">
      <alignment horizontal="left" vertical="center" wrapText="1"/>
    </xf>
  </cellXfs>
  <cellStyles count="44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6;&#1077;&#1078;&#1080;&#1084;&#1099;\2002%20&#1075;\&#1053;&#1072;%20&#1085;&#1086;&#1103;&#1073;&#1088;&#1100;\&#1055;&#1086;&#1090;&#1077;&#1088;&#1080;\&#1055;&#1086;&#1090;&#1077;&#1088;&#1080;%20&#1053;&#1055;-2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git2\ngdu\DOCUME~1\IAKachin\LOCALS~1\Temp\C.Lotus.Notes.Data\GroupPage_Upstream_finaldraft_050405_R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v-tnknv-fs01\userdata$\Documents%20and%20Settings\geo19\&#1056;&#1072;&#1073;&#1086;&#1095;&#1080;&#1081;%20&#1089;&#1090;&#1086;&#1083;\&#1041;&#1072;&#1079;&#1072;%20&#1086;&#1087;&#1090;&#1080;&#1084;&#1080;&#1079;&#1072;&#1094;&#1080;&#1080;%20&#1079;&#1072;%2010%20&#1084;&#1077;&#1089;%20&#1074;%20&#1076;&#1083;&#1080;&#1085;&#109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oot_hbh\sys\MER_KRS\EFFE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44;&#1080;&#1085;&#1072;&#1084;&#1080;&#1082;&#1072;%20&#1091;&#1095;&#1072;&#1089;&#1090;&#1082;&#1086;&#1074;%202002\45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~1\geol25\LOCALS~1\Temp\&#1086;&#1087;&#1090;&#1080;&#1084;&#1080;&#1079;&#1072;&#1094;&#1080;&#1103;%20&#1074;&#1072;&#1088;&#1080;&#1072;&#1085;&#1090;&#109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rilova\ECON_MEST_20\DOCUME~1\LARION~1\LOCALS~1\Temp\Econom\UKS\&#1069;&#1092;&#1092;&#1077;&#1082;&#1090;\&#1041;&#1080;&#1079;&#1085;&#1077;&#1089;%202001(2668,8)\&#1091;&#1090;&#1086;&#1095;&#1085;.%20&#1041;&#1091;&#1088;&#1077;&#1085;&#1080;&#1077;-2001\&#1080;&#1090;&#1086;&#1075;&#1086;%20&#1041;&#1091;&#1088;.&#1087;&#1083;&#1072;&#1085;%2020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indows\TEMP\C.Lotus.Notes.Data\Option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IF2004\&#1054;&#1090;&#1095;&#1077;&#1090;&#1099;%20&#1087;&#1086;%20&#1043;&#1058;&#1052;\&#1057;&#1053;&#1043;&#1044;&#1059;2\&#1050;&#1056;&#1057;\&#1080;&#1102;&#1085;&#1100;\DIF4.5&#1080;&#1102;&#1085;&#110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IF2004\&#1052;&#1086;&#1085;&#1080;&#1090;&#1086;&#1088;&#1080;&#1085;&#1075;%202002\&#1043;&#1088;&#1072;&#1092;&#1080;&#1082;&#1080;\&#1054;&#1087;&#1090;&#1080;&#1084;&#1080;&#1079;&#1072;&#1094;&#1080;&#1103;\&#1048;&#1085;&#1074;&#1077;&#1089;&#1090;%20&#1085;&#1072;%20140%20&#1089;&#1082;&#107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2;&#1086;&#1080;%20&#1076;&#1086;&#1082;&#1091;&#1084;&#1077;&#1085;&#1090;&#1099;\&#1054;&#1087;&#1090;&#1080;&#1084;&#1080;&#1079;&#1072;&#1094;&#1080;&#1103;%202002&#1075;\&#1054;&#1090;&#1095;&#1077;&#1090;&#1099;%20&#1087;&#1086;%20&#1086;&#1087;&#1090;&#1080;&#1084;&#1080;&#1079;&#1072;&#1094;&#1080;&#1080;\&#1043;&#1088;&#1072;&#1092;&#1080;&#1082;&#1080;%20&#1043;&#1058;&#105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v-tnknv-fs01\userdata$\&#1054;&#1087;&#1090;&#1080;&#1084;&#1080;&#1079;&#1072;&#1094;&#1080;&#1103;\&#1041;&#1072;&#1079;&#1072;%20&#1086;&#1082;&#109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git2\ngdu\211\&#1055;&#1086;&#1095;&#1091;&#1077;&#1074;&#1072;\&#1052;&#1054;&#1045;\&#1055;&#1086;&#1090;&#1077;&#1088;&#108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vinichenko\c\&#1052;&#1086;&#1080;%20&#1076;&#1086;&#1082;&#1091;&#1084;&#1077;&#1085;&#1090;&#1099;\&#1052;&#1072;&#1088;&#1072;&#1090;\Book\&#1052;&#1086;&#1080;%20&#1076;&#1086;&#1082;&#1091;&#1084;&#1077;&#1085;&#1090;&#1099;\&#1056;&#1072;&#1089;&#1095;&#1077;&#1090;&#1099;%20&#1043;&#1058;&#1052;%20&#1087;&#1086;%20&#1053;&#1043;&#1044;&#1059;%207_02\&#1041;&#1091;&#1075;&#1091;&#1088;&#1091;&#1089;&#1083;&#1072;&#1085;\&#1042;&#1074;&#1086;&#1076;_&#1041;&#1091;&#1075;&#1091;&#1088;&#1091;&#1089;&#1083;&#1072;&#1085;%20&#1073;&#1072;&#107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~1\KASYAN~1\LOCALS~1\Temp\2000%20&#1075;&#1086;&#1076;\&#1056;&#1077;&#1075;&#1083;&#1072;&#1084;&#1077;&#1085;&#1090;&#1099;,%20&#1087;&#1086;&#1083;&#1086;&#1078;&#1077;&#1085;&#1080;&#1103;\&#1092;&#1086;&#1088;&#1084;&#1099;%20&#1086;&#1090;&#1095;&#1077;&#1090;&#1085;&#1086;&#1089;&#1090;&#1080;\1999%20&#1075;&#1086;&#1076;\&#1053;&#1077;&#1092;&#1090;&#1077;&#1076;&#1086;&#1073;&#1099;&#1095;&#1072;\&#1060;&#1054;&#1056;&#1052;&#106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v-tnknv-fs01\userdata$\&#1052;&#1086;&#1080;%20&#1076;&#1086;&#1082;&#1091;&#1084;&#1077;&#1085;&#1090;&#1099;\&#1044;&#1083;&#1103;%20&#1088;&#1072;&#1073;&#1086;&#1090;&#1099;\&#1056;&#1072;&#1073;&#1086;&#1095;&#1080;&#1077;%20&#1076;&#1086;&#1082;&#1091;&#1084;&#1077;&#1085;&#1090;&#1099;\&#1041;-&#1055;%202001&#1075;\2%20&#1082;&#1074;%202001\1&#1082;&#1074;%202001%20(&#1071;&#1085;&#1074;%20%20&#1060;&#1077;&#1074;&#1088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52;&#1086;&#1080;%20&#1076;&#1086;&#1082;&#1091;&#1084;&#1077;&#1085;&#1090;&#1099;\&#1040;&#1053;&#1040;&#1051;&#1048;&#1047;%20&#1050;&#1056;&#1057;\2001\&#1040;&#1053;&#1040;&#1051;&#1048;&#1058;&#1048;&#1063;&#1045;&#1057;&#1050;&#1040;&#1071;%20&#1041;&#1040;&#1047;&#1040;%20&#1050;&#1056;&#1057;%202001\technolog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ng\.fs_sng_nsseng.sng\New_2000\O_ANALIZ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INDOWS\TEMP\WINDOWS\TEMP\&#1069;&#1092;&#1092;&#1077;&#1082;&#1090;&#1080;&#1074;&#1085;&#1086;&#1089;&#1090;&#1100;\&#1055;&#1086;&#1076;&#1087;&#1080;&#1089;&#1072;&#1085;&#1085;&#1099;&#1077;%20&#1085;&#1077;&#1092;&#1090;&#1100;\&#1069;&#1092;&#1092;&#1077;&#1082;&#1090;&#1080;&#1074;&#1085;&#1086;&#1089;&#1090;&#1100;%20&#1086;&#1087;&#1090;&#1080;&#1084;&#1080;&#1079;&#1072;&#1094;&#1080;&#1081;%20&#1057;&#1053;&#1043;&#1044;&#1059;2%20&#1087;&#1086;%20&#1087;&#1088;&#1086;&#1075;&#1088;&#1072;&#1084;&#1084;&#1077;%20&#1055;&#1088;&#1094;&#1091;&#1082;&#109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&#1080;&#1093;&#1072;&#1081;&#1083;&#1086;&#1074;&#1072;\&#1041;-&#1055;&#1051;&#1040;&#1053;%20&#1086;&#1078;&#1080;&#1076;%202003%202004%202005%202006\%20%2018%20&#1080;&#1102;&#1085;&#1103;\1%20&#1080;&#1102;&#1083;&#1103;\PTO\NK&#1086;&#1073;&#1097;&#1072;&#1103;\2003&#1075;&#1086;&#1076;\2003&#1075;(8305)20.01\&#1044;&#1053;-1%20&#1080;%20&#1044;&#1053;-5%20(8305)%20&#1086;&#1090;4.03.03&#107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v-tnknv-fs01\userdata$\Temp\$wc\12005~1\2003%20&#1075;&#1086;&#1076;\&#1041;&#1072;&#1079;&#1099;%20&#1050;&#1056;&#1057;\&#1054;&#1090;&#1095;&#1077;&#1090;&#1099;%20&#1076;&#1083;&#1103;%20&#1052;&#1086;&#1089;&#1082;&#1074;&#1099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4\uh$\khomyakovanf\Desktop\&#1053;&#1086;&#1074;&#1072;&#1103;%20&#1089;&#1074;&#1086;&#1076;&#1082;&#1072;\&#1092;&#1086;&#1088;&#1084;&#1072;%20&#1089;&#1074;&#1086;&#1076;&#1082;&#108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gadm1\invest\&#1053;&#1086;&#1074;&#1072;&#1103;%20&#1087;&#1072;&#1087;&#1082;&#1072;\NORTH\&#1050;&#1086;&#1085;&#1090;&#1077;&#1082;&#1089;&#1090;_CENTER\Context_&#1041;&#104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тери"/>
      <sheetName val="Control"/>
      <sheetName val="изм"/>
      <sheetName val="История"/>
      <sheetName val="Input"/>
      <sheetName val="Calculation"/>
      <sheetName val="В работе"/>
      <sheetName val="Финплан"/>
      <sheetName val="ст ГТМ"/>
      <sheetName val="таблица руководству"/>
      <sheetName val="Суточная добыча за неделю"/>
      <sheetName val="93"/>
      <sheetName val="Вахит_Д5_Maт Баланс"/>
      <sheetName val="WOR&amp;MBAL_base"/>
      <sheetName val="Возвраты и приобщения"/>
      <sheetName val="Баланс нпр"/>
      <sheetName val="КПП"/>
      <sheetName val="Деб и запасы"/>
      <sheetName val="Баланс нефти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up Page Production_1"/>
      <sheetName val="Group Page Production_1 (Качин)"/>
      <sheetName val="Group Page Production_1 (ДиР)"/>
      <sheetName val="Group Page Production_2"/>
      <sheetName val="Group Page Lifting Cost"/>
      <sheetName val="Lifting Cost Data"/>
      <sheetName val="Production and Spend"/>
      <sheetName val="Production and Spend (Plan)"/>
      <sheetName val="EBITDA Full Year"/>
      <sheetName val="Самотлор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 темпов падения"/>
      <sheetName val="доп ГТМ"/>
      <sheetName val="Лист1"/>
      <sheetName val="Темпы падения по опт за 10 м"/>
      <sheetName val="1"/>
      <sheetName val="единички"/>
      <sheetName val="инвест"/>
      <sheetName val="Основа"/>
      <sheetName val="общая база (2)"/>
      <sheetName val="Input Assumptions"/>
      <sheetName val="потери по ГТМ 2003г"/>
      <sheetName val="Список ГТМ "/>
      <sheetName val="Header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"/>
      <sheetName val="ФИЛЬТР"/>
      <sheetName val="ИТОГИ"/>
      <sheetName val="Итоги по дням"/>
      <sheetName val="январь 2000"/>
      <sheetName val="февраль 2000"/>
      <sheetName val="Модуль1"/>
      <sheetName val="Модуль2"/>
      <sheetName val="Модуль3"/>
      <sheetName val="Модуль4"/>
      <sheetName val="Модуль5"/>
      <sheetName val="Модуль6"/>
      <sheetName val="Модуль7"/>
      <sheetName val="Модуль8"/>
      <sheetName val="Модуль9"/>
      <sheetName val="Модуль13"/>
      <sheetName val="Модуль10"/>
      <sheetName val="Модуль11"/>
      <sheetName val="март 2000 "/>
      <sheetName val="апрель 2000"/>
      <sheetName val="май 2000 "/>
      <sheetName val="июнь 2000"/>
      <sheetName val="июль 2000"/>
      <sheetName val="август 2000"/>
      <sheetName val="сентябрь 2000"/>
      <sheetName val="октябрь 2000"/>
      <sheetName val="ДЕКАБРЬ 2000"/>
      <sheetName val="январь"/>
      <sheetName val="ФЕВРАЛЬ"/>
      <sheetName val="МАРТ"/>
      <sheetName val="апрель"/>
      <sheetName val="май-ерм"/>
      <sheetName val="май-ннп"/>
      <sheetName val="июнь-ннп"/>
      <sheetName val="июнь-ерм"/>
      <sheetName val="июль-ннп"/>
      <sheetName val="август"/>
      <sheetName val="август (2)"/>
      <sheetName val="декабрь ННП+Ермаки"/>
      <sheetName val="март  ННП+Ермаки "/>
      <sheetName val="апрель  ННП+Ермаки  "/>
      <sheetName val="январь ННП (инвест)"/>
      <sheetName val="Линейная чувствительность"/>
      <sheetName val="Расчет темпов падения"/>
      <sheetName val="Добыча"/>
      <sheetName val="Гаршино (2)"/>
      <sheetName val="Tab"/>
      <sheetName val="НПА"/>
      <sheetName val="scenario summary"/>
      <sheetName val="обзор"/>
      <sheetName val="SelectionCriteria"/>
      <sheetName val="Controls"/>
      <sheetName val="Input Assumptions"/>
      <sheetName val="поставка ПНГ"/>
      <sheetName val="исходные данные"/>
      <sheetName val="потери по ГТМ 2003г"/>
      <sheetName val="Список ГТМ "/>
      <sheetName val="NPIP"/>
      <sheetName val="PIP"/>
      <sheetName val="DD&amp;A Exist Base"/>
      <sheetName val="Resources"/>
      <sheetName val="Settings"/>
      <sheetName val="Титул"/>
      <sheetName val="СКО"/>
      <sheetName val="assump"/>
      <sheetName val="#ССЫЛКА"/>
      <sheetName val="9 мес на 12 т"/>
      <sheetName val="Context_LTP"/>
      <sheetName val=""/>
      <sheetName val="MAIN_PARAMETERS"/>
      <sheetName val="Production and Spend"/>
      <sheetName val="di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нд "/>
      <sheetName val="динам"/>
      <sheetName val="динам 1992"/>
      <sheetName val="фонд4501"/>
      <sheetName val="нефть4501"/>
      <sheetName val="Лист3"/>
      <sheetName val="DIF-6"/>
      <sheetName val="Линейная чувствительность"/>
      <sheetName val="2.98"/>
      <sheetName val="Гаршино (2)"/>
      <sheetName val="Production and Spend"/>
      <sheetName val="Materials"/>
      <sheetName val="lang"/>
      <sheetName val="Cover page"/>
      <sheetName val="MER"/>
      <sheetName val="Data"/>
      <sheetName val="кода"/>
      <sheetName val="Лист1"/>
      <sheetName val="Обоснование"/>
      <sheetName val="Resources"/>
      <sheetName val="US_GA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тим 300"/>
      <sheetName val="оптим 150 имп"/>
      <sheetName val="оптим 150 русс"/>
      <sheetName val="оптим (400скв)"/>
      <sheetName val="оптим 370 8т"/>
      <sheetName val="оптим 350 8,5т"/>
      <sheetName val="оптим 330 9"/>
      <sheetName val="оптим 330 9 (2)"/>
      <sheetName val="оптим 150 имп (2)"/>
      <sheetName val="оптим 150 русс (2)"/>
      <sheetName val="оптим 150 имп (3)"/>
      <sheetName val="оптим 150 русс (3)"/>
      <sheetName val="Лист1"/>
      <sheetName val="Лист2"/>
      <sheetName val="Лист3"/>
      <sheetName val="фонд "/>
      <sheetName val="Добыч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зор"/>
      <sheetName val="цены"/>
      <sheetName val="уд.затр."/>
      <sheetName val="произв."/>
      <sheetName val="Ввод"/>
      <sheetName val="Кап.вл."/>
      <sheetName val="дин"/>
      <sheetName val="опер"/>
      <sheetName val="эф."/>
      <sheetName val="поток"/>
      <sheetName val="Ан.ч."/>
      <sheetName val="Resources"/>
      <sheetName val="база общая"/>
      <sheetName val="9 мес на 12 т"/>
      <sheetName val="Лист1"/>
      <sheetName val="Справочник"/>
      <sheetName val="1"/>
      <sheetName val="Nodes"/>
      <sheetName val="Periods"/>
      <sheetName val="НЕДЕЛИ"/>
      <sheetName val="Well Calculations"/>
      <sheetName val="5SpotPatternCalcsField"/>
      <sheetName val="9SpotCornerCalcs"/>
      <sheetName val="GRAPHS"/>
      <sheetName val="Обоснование"/>
      <sheetName val="GTM_Welln"/>
      <sheetName val="All_GTM_T1"/>
      <sheetName val="All_GTM_T2"/>
      <sheetName val="КРС"/>
      <sheetName val="Carry out projects"/>
      <sheetName val="ВКЕ"/>
      <sheetName val="Список ГТМ "/>
      <sheetName val="потери по ГТМ 2003г"/>
      <sheetName val="Portfolio Ranking"/>
      <sheetName val="январь"/>
      <sheetName val="фонд "/>
      <sheetName val="Input Assumptions"/>
      <sheetName val="Product Assumptions"/>
      <sheetName val="Финплан"/>
      <sheetName val="JOE(для нов скв)"/>
      <sheetName val="ОТМ май"/>
      <sheetName val="Downstream - performance"/>
      <sheetName val="blank"/>
      <sheetName val="T1"/>
      <sheetName val="Assumptions"/>
      <sheetName val="ProductBundle (Naming)"/>
      <sheetName val="Product (Naming)"/>
      <sheetName val="Transportation Capacity"/>
      <sheetName val="US_GAAP"/>
      <sheetName val="НГДУ"/>
      <sheetName val="КПЭ"/>
      <sheetName val="уд_затр_"/>
      <sheetName val="произв_"/>
      <sheetName val="Кап_вл_"/>
      <sheetName val="эф_"/>
      <sheetName val="Ан_ч_"/>
      <sheetName val="база_общая"/>
      <sheetName val="9_мес_на_12_т"/>
      <sheetName val="Well_Calculations"/>
      <sheetName val="Product_Assumptions"/>
      <sheetName val="Carry_out_projects"/>
      <sheetName val="Список_ГТМ_"/>
      <sheetName val="потери_по_ГТМ_2003г"/>
      <sheetName val="Portfolio_Ranking"/>
      <sheetName val="фонд_"/>
      <sheetName val="Input_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tem"/>
      <sheetName val="Control"/>
      <sheetName val="#@@@XL3WORK@@@#"/>
      <sheetName val="Definitions"/>
      <sheetName val="Template"/>
      <sheetName val="PAS_Portal"/>
      <sheetName val="PAS_ASRead"/>
      <sheetName val="PAS_ASSend"/>
      <sheetName val="PAS_PUStart"/>
      <sheetName val="PAS_PUEnd"/>
      <sheetName val="C_Portal"/>
      <sheetName val="C_ASRead"/>
      <sheetName val="C_ASSend"/>
      <sheetName val="C_PUStart"/>
      <sheetName val="C_PUEnd"/>
      <sheetName val="Cx_Portal"/>
      <sheetName val="Cx_ASSend"/>
      <sheetName val="Cx_PUStart"/>
      <sheetName val="Cx_PUEnd"/>
      <sheetName val="обзор"/>
      <sheetName val="Суточная добыча за неделю"/>
      <sheetName val="Production and Spend"/>
      <sheetName val="Линейная чувствительность"/>
      <sheetName val="Nodes"/>
      <sheetName val="Periods"/>
      <sheetName val="Resources"/>
      <sheetName val="GRAPHS"/>
      <sheetName val="История"/>
      <sheetName val="Input"/>
      <sheetName val="Calculation"/>
      <sheetName val="таблица руководству"/>
      <sheetName val="НЕДЕЛ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3"/>
      <sheetName val="Лист2"/>
      <sheetName val="DIF5 (старый план)"/>
      <sheetName val="ппд 6 мес"/>
      <sheetName val="DIF5"/>
      <sheetName val="DIF4"/>
      <sheetName val="Control"/>
      <sheetName val="Sys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 мес в длину (основа)"/>
      <sheetName val="ст на 12т"/>
      <sheetName val="9 мес на 12 т"/>
      <sheetName val="Лист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вод новых"/>
      <sheetName val="Оптимизация"/>
      <sheetName val="ГРП на кислоте"/>
      <sheetName val="ГРП на проппанте"/>
      <sheetName val="Ликв негерм эк"/>
      <sheetName val="аварии прош"/>
      <sheetName val="аварии тек"/>
      <sheetName val="перевод"/>
      <sheetName val="ОПЗ"/>
      <sheetName val="Ветошкину"/>
      <sheetName val="Settings"/>
      <sheetName val="Справочн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ая база"/>
      <sheetName val="База инвест (окт)"/>
      <sheetName val="база общ"/>
      <sheetName val="Расчет темпов падения"/>
      <sheetName val="#ССЫЛКА"/>
      <sheetName val="Input Assumptions"/>
      <sheetName val="Neste Oy"/>
      <sheetName val="Carry out projects"/>
      <sheetName val="Context_LTP"/>
      <sheetName val="Лист1"/>
      <sheetName val="9 мес на 12 т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чист ноябрь (2)"/>
      <sheetName val="отказы ноябрь"/>
      <sheetName val="чист декаб"/>
      <sheetName val="отказы (3)"/>
      <sheetName val="отказы декабрь"/>
      <sheetName val="отказы"/>
      <sheetName val="ОТМ ма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одные данные"/>
      <sheetName val="скв№"/>
      <sheetName val="вар 3"/>
      <sheetName val="Лист3"/>
      <sheetName val="отказы"/>
      <sheetName val="GRAPHS"/>
      <sheetName val="Факт Dink-Inv 2004"/>
      <sheetName val="СНГДУ 1"/>
      <sheetName val="Control"/>
      <sheetName val="System"/>
      <sheetName val="численность"/>
      <sheetName val="Context_LTP"/>
      <sheetName val="Ввод_Бугуруслан баз"/>
      <sheetName val="НЕДЕЛИ"/>
      <sheetName val="Neste Oy"/>
      <sheetName val="Организации"/>
      <sheetName val="Расчет"/>
      <sheetName val="9 мес на 12 т"/>
      <sheetName val="ОТМ май"/>
      <sheetName val="БВ10"/>
      <sheetName val="таблица руководству"/>
      <sheetName val="ПЛАСТ НП"/>
      <sheetName val="#ССЫЛКА"/>
      <sheetName val="Input Assumptions"/>
      <sheetName val="История"/>
      <sheetName val="dict"/>
      <sheetName val="Materials"/>
      <sheetName val="Carry out projects"/>
      <sheetName val="2.98"/>
      <sheetName val="3.98"/>
      <sheetName val="CAPEX GFO-Факт 2010"/>
      <sheetName val="CAPEX GFO-0 2011"/>
      <sheetName val="analysis"/>
      <sheetName val="исх.данные"/>
      <sheetName val="CENTR"/>
      <sheetName val="оператор"/>
      <sheetName val="Списки"/>
      <sheetName val="изм"/>
      <sheetName val="база1"/>
      <sheetName val="Вахит_Д5_Maт Баланс"/>
      <sheetName val="КПП"/>
      <sheetName val="Деб и запасы"/>
      <sheetName val="приобретение нпр"/>
      <sheetName val="Параметры_i"/>
      <sheetName val="Тит. лист"/>
      <sheetName val="Справочник"/>
      <sheetName val="Баланс_2периодный1"/>
      <sheetName val="Баланс_2периодный2"/>
      <sheetName val="коэф"/>
      <sheetName val="Финплан"/>
      <sheetName val="на Январь предварительный"/>
      <sheetName val="Заголовок"/>
      <sheetName val="авиа ЮНГПДС"/>
      <sheetName val="PULin сл.1"/>
      <sheetName val="БАЛАНС"/>
      <sheetName val="подстава1"/>
      <sheetName val="Вариант1"/>
      <sheetName val="Вариант10"/>
      <sheetName val="Вариант11"/>
      <sheetName val="Вариант12"/>
      <sheetName val="Вариант2"/>
      <sheetName val="Вариант3"/>
      <sheetName val="Вариант4"/>
      <sheetName val="Вариант5"/>
      <sheetName val="Вариант6"/>
      <sheetName val="Вариант7"/>
      <sheetName val="Вариант8"/>
      <sheetName val="Вариант9"/>
      <sheetName val="lang"/>
      <sheetName val="изд.обращ."/>
      <sheetName val="статьи"/>
      <sheetName val="BUR"/>
      <sheetName val="отчет эл_эн  2000"/>
      <sheetName val="Константы"/>
      <sheetName val="МТС"/>
      <sheetName val="ИТОГ"/>
      <sheetName val="МВЗ"/>
      <sheetName val="расчетные таблицы"/>
      <sheetName val="Input"/>
      <sheetName val="финплан благотворительность"/>
      <sheetName val="ВВ"/>
      <sheetName val="ВНГДУ_П"/>
      <sheetName val="ВНГДУ"/>
      <sheetName val="ВП"/>
      <sheetName val="Гер"/>
      <sheetName val="Гр"/>
      <sheetName val="Двур"/>
      <sheetName val="ДЛМ"/>
      <sheetName val="ЗКат"/>
      <sheetName val="Трайгор"/>
      <sheetName val="ЗОст"/>
      <sheetName val="ЗП"/>
      <sheetName val="ИТал"/>
      <sheetName val="Кат"/>
      <sheetName val="Кол"/>
      <sheetName val="Крап"/>
      <sheetName val="НПерв"/>
      <sheetName val="ЛНГДУ"/>
      <sheetName val="Лом"/>
      <sheetName val="Луг"/>
      <sheetName val="ЛЯх"/>
      <sheetName val="Мл"/>
      <sheetName val="НВ"/>
      <sheetName val="Озер"/>
      <sheetName val="Олен"/>
      <sheetName val="Онт"/>
      <sheetName val="Перв"/>
      <sheetName val="ПЕТРОЛЕУМ"/>
      <sheetName val="ВАХСКАЯ"/>
      <sheetName val="ПОЛУД"/>
      <sheetName val="Пр"/>
      <sheetName val="СВ"/>
      <sheetName val="Сев"/>
      <sheetName val="СНГДУ"/>
      <sheetName val="Сов"/>
      <sheetName val="Сов_ц1"/>
      <sheetName val="СОлен"/>
      <sheetName val="Стр"/>
      <sheetName val="Тамб"/>
      <sheetName val="ОАО"/>
      <sheetName val="ЦВ"/>
      <sheetName val="Чк"/>
      <sheetName val="ЮЧер"/>
      <sheetName val="MAIN_PARAMETERS"/>
      <sheetName val="АУП"/>
      <sheetName val="Periods"/>
      <sheetName val="Курс $"/>
      <sheetName val="ИД"/>
      <sheetName val="Мес"/>
      <sheetName val="СВОД"/>
      <sheetName val="Macros"/>
      <sheetName val="Вспом-2 кв."/>
      <sheetName val="Время"/>
      <sheetName val="Входные параметрыВНГДУ"/>
      <sheetName val="исходные_данные"/>
      <sheetName val="вар_3"/>
      <sheetName val="Факт_Dink-Inv_2004"/>
      <sheetName val="СНГДУ_1"/>
      <sheetName val="Ввод_Бугуруслан_баз"/>
      <sheetName val="таблица_руководству"/>
      <sheetName val="ПЛАСТ_НП"/>
      <sheetName val="ОТМ_май"/>
      <sheetName val="9_мес_на_12_т"/>
      <sheetName val="Input_Assumptions"/>
      <sheetName val="Neste_Oy"/>
      <sheetName val="Carry_out_projects"/>
      <sheetName val="2_98"/>
      <sheetName val="3_98"/>
      <sheetName val="исх_данные"/>
      <sheetName val="CAPEX_GFO-Факт_2010"/>
      <sheetName val="CAPEX_GFO-0_2011"/>
      <sheetName val="Тит__лист"/>
      <sheetName val="Вахит_Д5_Maт_Баланс"/>
      <sheetName val="Деб_и_запасы"/>
      <sheetName val="приобретение_нпр"/>
      <sheetName val="на_Январь_предварительный"/>
      <sheetName val="PULin сл_1"/>
      <sheetName val="мс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порт"/>
      <sheetName val="Добыча"/>
      <sheetName val="ФОНД СКВАЖИН"/>
      <sheetName val="БУРЕНИЕ"/>
      <sheetName val="krsННГ"/>
      <sheetName val="prsННГ"/>
      <sheetName val="krsННГ-2"/>
      <sheetName val="prsННГ-2"/>
      <sheetName val="krsТНГ"/>
      <sheetName val="prsТНГ"/>
      <sheetName val="krsТНГ-2"/>
      <sheetName val="prsТНГ-2"/>
      <sheetName val="Пр.показатели"/>
      <sheetName val="ПОТЕРИ-ТНГ"/>
      <sheetName val="ПОТЕРИ-ННГ "/>
      <sheetName val="ПОРЫВЫ-ННГ"/>
      <sheetName val="ПОРЫВЫ-ТНГ"/>
      <sheetName val="БАЛАНС-ТНК"/>
      <sheetName val="БАЛАНС-ННГ"/>
      <sheetName val="БАЛАНС-ТНГ"/>
      <sheetName val="ПЛАНЫ"/>
      <sheetName val="ПЛАН-ННГ"/>
      <sheetName val="ПЛАН-ТНГ"/>
      <sheetName val="Итоги"/>
      <sheetName val="Дельта"/>
      <sheetName val="исходные данн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 кв.2001План-Факт"/>
      <sheetName val="Добыча"/>
      <sheetName val="Расчет"/>
      <sheetName val="Организации"/>
      <sheetName val="#ССЫЛКА"/>
      <sheetName val="отказы"/>
      <sheetName val="исходные данн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2.98"/>
      <sheetName val="3.98"/>
      <sheetName val="#ССЫЛКА"/>
      <sheetName val="Calculation"/>
      <sheetName val="ПЛАСТ НП"/>
      <sheetName val="параметры"/>
      <sheetName val="исходные данные"/>
      <sheetName val="DIF-2_INV_K"/>
      <sheetName val="2003"/>
      <sheetName val="фзп"/>
      <sheetName val="содержание офиса"/>
      <sheetName val="БВ10"/>
      <sheetName val="СПРАВОЧНИК"/>
      <sheetName val="свод"/>
      <sheetName val="отказы"/>
      <sheetName val="Линейная чувствительность"/>
      <sheetName val="technology"/>
      <sheetName val="Вахит_Д5_Maт Баланс"/>
      <sheetName val="изм"/>
      <sheetName val="Расчет"/>
      <sheetName val="Организации"/>
      <sheetName val="мсн"/>
      <sheetName val="Остановка I этап"/>
      <sheetName val="В работе"/>
      <sheetName val="Прогноз нараб (изм 51, 55, 56)"/>
      <sheetName val="Добыча"/>
      <sheetName val="welldata frac analysis"/>
      <sheetName val="ЦДНГ-2"/>
      <sheetName val="таблица руководств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вод"/>
      <sheetName val="ННП"/>
      <sheetName val="СНГ"/>
      <sheetName val="База"/>
      <sheetName val="Расчет"/>
      <sheetName val="Корректировка"/>
      <sheetName val="План"/>
      <sheetName val="Даты"/>
      <sheetName val="бланк на нач мес"/>
      <sheetName val="Модуль1"/>
      <sheetName val="Модуль2"/>
      <sheetName val="Модуль3"/>
      <sheetName val="Куда"/>
      <sheetName val="Организации"/>
      <sheetName val="Параметры"/>
      <sheetName val="ОТМ май"/>
      <sheetName val="Индексы"/>
      <sheetName val="Линейная чувствительность"/>
      <sheetName val="экспорт"/>
      <sheetName val="План_РиД_долл"/>
      <sheetName val="Факт_объекты до 2010"/>
      <sheetName val="СНГДУ 1"/>
      <sheetName val="СПРАВОЧНИК ППД"/>
      <sheetName val="Содержание"/>
      <sheetName val="Ответственные"/>
      <sheetName val="Лист1"/>
      <sheetName val="Бурение"/>
      <sheetName val="таблица руководству"/>
      <sheetName val="фзп"/>
      <sheetName val="содержание офиса"/>
      <sheetName val="БВ10"/>
      <sheetName val="ст ГТМ"/>
      <sheetName val="Остановка I этап"/>
      <sheetName val="ИТОГ"/>
      <sheetName val="P&amp;L_2002"/>
      <sheetName val="P&amp;L_БП_2003"/>
      <sheetName val="sapactivexlhidde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НГ (2)"/>
      <sheetName val="СНГ"/>
      <sheetName val="ИТОГ"/>
      <sheetName val="Январь"/>
      <sheetName val="Февраль"/>
      <sheetName val="Март"/>
      <sheetName val="Апрель"/>
      <sheetName val="Май"/>
      <sheetName val="Организации"/>
      <sheetName val="Расчет"/>
      <sheetName val="Линейная чувствительность"/>
      <sheetName val="фонд "/>
      <sheetName val="Data"/>
      <sheetName val="содержание офиса"/>
      <sheetName val="фзп"/>
      <sheetName val="ф.ТНК Север"/>
      <sheetName val="DIF-6"/>
      <sheetName val="экспорт"/>
      <sheetName val="СПРАВОЧНИК ППД"/>
      <sheetName val="ControlList"/>
      <sheetName val="Индексы"/>
      <sheetName val="WOR&amp;MBAL_base"/>
      <sheetName val="2.98"/>
      <sheetName val="Resources"/>
      <sheetName val="Гаршино (2)"/>
      <sheetName val="Справочник"/>
      <sheetName val="стат.пар"/>
      <sheetName val="база об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Н-1"/>
      <sheetName val="ДН-5"/>
      <sheetName val="ст ГТМ"/>
      <sheetName val="Production and Spend"/>
      <sheetName val="#ССЫЛКА"/>
      <sheetName val="Самотлор"/>
      <sheetName val="Context_LTP"/>
      <sheetName val="прирост"/>
      <sheetName val="Свод ГТМ 2004г"/>
      <sheetName val="Resources"/>
      <sheetName val="Остановка I этап"/>
      <sheetName val="2008 Plan"/>
      <sheetName val="ИТОГ"/>
      <sheetName val="экспор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В работе"/>
      <sheetName val="1"/>
      <sheetName val="Расчет"/>
      <sheetName val="Организации"/>
      <sheetName val=""/>
      <sheetName val="Стоимость услуг"/>
      <sheetName val="Production and Spend"/>
      <sheetName val="Resources"/>
      <sheetName val="ст ГТМ"/>
      <sheetName val="NPIP"/>
      <sheetName val="PIP"/>
      <sheetName val="Линейная чувствительност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Графики"/>
      <sheetName val="таблица руководству"/>
      <sheetName val="суточная сводка"/>
      <sheetName val="Суточная добыча за неделю"/>
      <sheetName val="Лист3"/>
      <sheetName val="СНГДУ-1"/>
      <sheetName val="Input Assumptions"/>
      <sheetName val="В работе"/>
      <sheetName val="потери по ГТМ 2003г"/>
      <sheetName val="Список ГТМ "/>
      <sheetName val="15 August no challenges"/>
      <sheetName val="26 July flat"/>
      <sheetName val="26 July no challenges"/>
      <sheetName val="Возвраты и приобщения"/>
      <sheetName val="ИТОГ"/>
      <sheetName val="ст ГТМ"/>
      <sheetName val="ВКЕ"/>
      <sheetName val="Гаршино (2)"/>
      <sheetName val="2003"/>
      <sheetName val="Остановки"/>
      <sheetName val="Ф-2"/>
      <sheetName val="Бурение"/>
      <sheetName val="обзор"/>
      <sheetName val="System"/>
      <sheetName val="Control"/>
      <sheetName val="Лист1"/>
      <sheetName val="Группы закупок - ТС"/>
      <sheetName val="MAIN_PARAMETERS"/>
      <sheetName val="Capacity"/>
      <sheetName val="M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ТА1"/>
      <sheetName val="ЛТА2"/>
      <sheetName val="ППД1"/>
      <sheetName val="ППД2"/>
      <sheetName val="пер_ППД1"/>
      <sheetName val="пер_ППД2"/>
      <sheetName val="Бур_Гор1"/>
      <sheetName val="Бур_Гор2"/>
      <sheetName val="оптим1"/>
      <sheetName val="оптим 2"/>
      <sheetName val="ГРП1"/>
      <sheetName val="ГРП 2"/>
      <sheetName val="ПП1"/>
      <sheetName val="ПП2"/>
      <sheetName val=" ОПЗ1"/>
      <sheetName val="ОПЗ2"/>
      <sheetName val="ОВП1"/>
      <sheetName val="ОВП2"/>
      <sheetName val="ЛАПЛ1"/>
      <sheetName val="ЛАПЛ2"/>
      <sheetName val="ПРС1"/>
      <sheetName val="ПРС2"/>
      <sheetName val="БОПЗ1 "/>
      <sheetName val="БОПЗ2"/>
      <sheetName val="Approval Process"/>
      <sheetName val="Early Warning Ind. Definitions"/>
      <sheetName val="Cap Alloc to FM"/>
      <sheetName val="Map"/>
      <sheetName val="Summary"/>
      <sheetName val="таблица руководству"/>
      <sheetName val="Суточная добыча за неделю"/>
      <sheetName val="СкладС цен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45"/>
  <sheetViews>
    <sheetView tabSelected="1" zoomScale="75" zoomScaleNormal="7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B1" sqref="B1"/>
    </sheetView>
  </sheetViews>
  <sheetFormatPr defaultRowHeight="12.75" outlineLevelRow="1" outlineLevelCol="1" x14ac:dyDescent="0.25"/>
  <cols>
    <col min="1" max="1" width="6.7109375" style="126" customWidth="1"/>
    <col min="2" max="2" width="41.28515625" style="126" customWidth="1"/>
    <col min="3" max="3" width="9" style="126" customWidth="1"/>
    <col min="4" max="5" width="15.7109375" style="44" customWidth="1"/>
    <col min="6" max="53" width="15.7109375" style="44" hidden="1" customWidth="1" outlineLevel="1"/>
    <col min="54" max="54" width="15.7109375" style="43" customWidth="1" collapsed="1"/>
    <col min="55" max="56" width="15.7109375" style="43" customWidth="1"/>
    <col min="57" max="57" width="15.7109375" style="44" customWidth="1"/>
    <col min="58" max="59" width="15.7109375" style="126" customWidth="1"/>
    <col min="60" max="16384" width="9.140625" style="126"/>
  </cols>
  <sheetData>
    <row r="1" spans="1:59" s="125" customFormat="1" ht="18.75" customHeight="1" x14ac:dyDescent="0.3">
      <c r="A1" s="153"/>
      <c r="B1" s="154" t="s">
        <v>0</v>
      </c>
      <c r="C1" s="153"/>
      <c r="D1" s="134"/>
      <c r="E1" s="134"/>
      <c r="F1" s="135"/>
      <c r="G1" s="135"/>
      <c r="H1" s="135"/>
      <c r="I1" s="135"/>
      <c r="J1" s="171"/>
      <c r="K1" s="194"/>
      <c r="L1" s="194"/>
      <c r="M1" s="194"/>
      <c r="N1" s="193"/>
      <c r="O1" s="193"/>
      <c r="P1" s="193"/>
      <c r="Q1" s="194"/>
      <c r="R1" s="194"/>
      <c r="S1" s="194"/>
      <c r="T1" s="194"/>
      <c r="U1" s="193"/>
      <c r="V1" s="193"/>
      <c r="W1" s="193"/>
      <c r="X1" s="194"/>
      <c r="Y1" s="194"/>
      <c r="Z1" s="194"/>
      <c r="AA1" s="194"/>
      <c r="AB1" s="193"/>
      <c r="AC1" s="193"/>
      <c r="AD1" s="193"/>
      <c r="AE1" s="171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7"/>
      <c r="BD1" s="137"/>
      <c r="BE1" s="134"/>
      <c r="BF1" s="167"/>
      <c r="BG1" s="167"/>
    </row>
    <row r="2" spans="1:59" s="125" customFormat="1" ht="18.75" customHeight="1" x14ac:dyDescent="0.3">
      <c r="A2" s="153"/>
      <c r="B2" s="153"/>
      <c r="C2" s="153"/>
      <c r="D2" s="134"/>
      <c r="E2" s="134"/>
      <c r="F2" s="135"/>
      <c r="G2" s="135"/>
      <c r="H2" s="135"/>
      <c r="I2" s="135"/>
      <c r="J2" s="171"/>
      <c r="K2" s="194"/>
      <c r="L2" s="194"/>
      <c r="M2" s="194"/>
      <c r="N2" s="193"/>
      <c r="O2" s="193"/>
      <c r="P2" s="193"/>
      <c r="Q2" s="194"/>
      <c r="R2" s="194"/>
      <c r="S2" s="194"/>
      <c r="T2" s="194"/>
      <c r="U2" s="193"/>
      <c r="V2" s="193"/>
      <c r="W2" s="193"/>
      <c r="X2" s="171"/>
      <c r="Y2" s="171"/>
      <c r="Z2" s="171"/>
      <c r="AA2" s="171"/>
      <c r="AB2" s="172"/>
      <c r="AC2" s="171"/>
      <c r="AD2" s="171"/>
      <c r="AE2" s="171"/>
      <c r="AF2" s="139"/>
      <c r="AG2" s="139"/>
      <c r="AH2" s="139"/>
      <c r="AI2" s="140"/>
      <c r="AJ2" s="139"/>
      <c r="AK2" s="139"/>
      <c r="AL2" s="139"/>
      <c r="AM2" s="139"/>
      <c r="AN2" s="141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7"/>
      <c r="BD2" s="137"/>
      <c r="BE2" s="134"/>
      <c r="BF2" s="167"/>
      <c r="BG2" s="167"/>
    </row>
    <row r="3" spans="1:59" s="125" customFormat="1" ht="15" customHeight="1" x14ac:dyDescent="0.25">
      <c r="A3" s="169"/>
      <c r="B3" s="173"/>
      <c r="C3" s="169"/>
      <c r="D3" s="142"/>
      <c r="E3" s="142"/>
      <c r="F3" s="142"/>
      <c r="G3" s="143"/>
      <c r="H3" s="143"/>
      <c r="I3" s="143"/>
      <c r="J3" s="144"/>
      <c r="K3" s="143"/>
      <c r="L3" s="143"/>
      <c r="M3" s="143"/>
      <c r="N3" s="145" t="s">
        <v>103</v>
      </c>
      <c r="O3" s="145" t="s">
        <v>104</v>
      </c>
      <c r="P3" s="146"/>
      <c r="Q3" s="146"/>
      <c r="R3" s="146"/>
      <c r="S3" s="146"/>
      <c r="T3" s="146"/>
      <c r="U3" s="138" t="s">
        <v>105</v>
      </c>
      <c r="V3" s="138" t="s">
        <v>106</v>
      </c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7"/>
      <c r="BD3" s="147"/>
      <c r="BE3" s="148"/>
      <c r="BF3" s="167"/>
      <c r="BG3" s="167"/>
    </row>
    <row r="4" spans="1:59" s="124" customFormat="1" ht="15.75" thickBot="1" x14ac:dyDescent="0.3">
      <c r="A4" s="170"/>
      <c r="B4" s="166" t="str">
        <f>F5&amp;" год"</f>
        <v xml:space="preserve"> год</v>
      </c>
      <c r="C4" s="170"/>
      <c r="D4" s="149"/>
      <c r="E4" s="149"/>
      <c r="F4" s="150"/>
      <c r="G4" s="151"/>
      <c r="H4" s="149"/>
      <c r="I4" s="150"/>
      <c r="J4" s="151"/>
      <c r="K4" s="149"/>
      <c r="L4" s="150"/>
      <c r="M4" s="151"/>
      <c r="N4" s="149"/>
      <c r="O4" s="149"/>
      <c r="P4" s="149"/>
      <c r="Q4" s="149"/>
      <c r="R4" s="150"/>
      <c r="S4" s="151"/>
      <c r="T4" s="149"/>
      <c r="U4" s="150"/>
      <c r="V4" s="151"/>
      <c r="W4" s="149"/>
      <c r="X4" s="150"/>
      <c r="Y4" s="151"/>
      <c r="Z4" s="149"/>
      <c r="AA4" s="149"/>
      <c r="AB4" s="149"/>
      <c r="AC4" s="149"/>
      <c r="AD4" s="150"/>
      <c r="AE4" s="151">
        <f>DAY(AD$4)</f>
        <v>0</v>
      </c>
      <c r="AF4" s="149"/>
      <c r="AG4" s="150"/>
      <c r="AH4" s="151">
        <f>DAY(AG$4)</f>
        <v>0</v>
      </c>
      <c r="AI4" s="149"/>
      <c r="AJ4" s="150"/>
      <c r="AK4" s="151">
        <f>DAY(AJ$4)</f>
        <v>0</v>
      </c>
      <c r="AL4" s="149"/>
      <c r="AM4" s="149"/>
      <c r="AN4" s="149"/>
      <c r="AO4" s="149"/>
      <c r="AP4" s="150"/>
      <c r="AQ4" s="151"/>
      <c r="AR4" s="149"/>
      <c r="AS4" s="150"/>
      <c r="AT4" s="151"/>
      <c r="AU4" s="149"/>
      <c r="AV4" s="150"/>
      <c r="AW4" s="151"/>
      <c r="AX4" s="149"/>
      <c r="AY4" s="149"/>
      <c r="AZ4" s="149"/>
      <c r="BA4" s="149"/>
      <c r="BB4" s="152"/>
      <c r="BC4" s="152"/>
      <c r="BD4" s="152"/>
      <c r="BE4" s="151"/>
      <c r="BF4" s="168"/>
      <c r="BG4" s="168"/>
    </row>
    <row r="5" spans="1:59" s="127" customFormat="1" ht="15.75" customHeight="1" thickBot="1" x14ac:dyDescent="0.3">
      <c r="A5" s="182" t="s">
        <v>1</v>
      </c>
      <c r="B5" s="185" t="s">
        <v>2</v>
      </c>
      <c r="C5" s="188" t="s">
        <v>3</v>
      </c>
      <c r="D5" s="191">
        <f>F5-2</f>
        <v>-2</v>
      </c>
      <c r="E5" s="191">
        <f>F5-1</f>
        <v>-1</v>
      </c>
      <c r="F5" s="197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9"/>
      <c r="BE5" s="133">
        <f>F5+1</f>
        <v>1</v>
      </c>
      <c r="BF5" s="165">
        <f>F5+2</f>
        <v>2</v>
      </c>
      <c r="BG5" s="165" t="str">
        <f>F5&amp;"-"&amp;BF5&amp;"гг."</f>
        <v>-2гг.</v>
      </c>
    </row>
    <row r="6" spans="1:59" s="45" customFormat="1" ht="15" customHeight="1" x14ac:dyDescent="0.25">
      <c r="A6" s="183"/>
      <c r="B6" s="186"/>
      <c r="C6" s="189"/>
      <c r="D6" s="192"/>
      <c r="E6" s="192"/>
      <c r="F6" s="176" t="s">
        <v>4</v>
      </c>
      <c r="G6" s="177"/>
      <c r="H6" s="178"/>
      <c r="I6" s="176" t="s">
        <v>5</v>
      </c>
      <c r="J6" s="177"/>
      <c r="K6" s="178"/>
      <c r="L6" s="176" t="s">
        <v>6</v>
      </c>
      <c r="M6" s="177"/>
      <c r="N6" s="178"/>
      <c r="O6" s="179" t="s">
        <v>7</v>
      </c>
      <c r="P6" s="180"/>
      <c r="Q6" s="181"/>
      <c r="R6" s="176" t="s">
        <v>8</v>
      </c>
      <c r="S6" s="177"/>
      <c r="T6" s="178"/>
      <c r="U6" s="176" t="s">
        <v>9</v>
      </c>
      <c r="V6" s="177"/>
      <c r="W6" s="178"/>
      <c r="X6" s="176" t="s">
        <v>10</v>
      </c>
      <c r="Y6" s="177"/>
      <c r="Z6" s="178"/>
      <c r="AA6" s="179" t="s">
        <v>11</v>
      </c>
      <c r="AB6" s="180"/>
      <c r="AC6" s="181"/>
      <c r="AD6" s="176" t="s">
        <v>12</v>
      </c>
      <c r="AE6" s="177"/>
      <c r="AF6" s="178"/>
      <c r="AG6" s="176" t="s">
        <v>13</v>
      </c>
      <c r="AH6" s="177"/>
      <c r="AI6" s="178"/>
      <c r="AJ6" s="176" t="s">
        <v>14</v>
      </c>
      <c r="AK6" s="177"/>
      <c r="AL6" s="178"/>
      <c r="AM6" s="179" t="s">
        <v>15</v>
      </c>
      <c r="AN6" s="180"/>
      <c r="AO6" s="181"/>
      <c r="AP6" s="176" t="s">
        <v>16</v>
      </c>
      <c r="AQ6" s="177"/>
      <c r="AR6" s="178"/>
      <c r="AS6" s="176" t="s">
        <v>17</v>
      </c>
      <c r="AT6" s="177"/>
      <c r="AU6" s="178"/>
      <c r="AV6" s="176" t="s">
        <v>18</v>
      </c>
      <c r="AW6" s="177"/>
      <c r="AX6" s="178"/>
      <c r="AY6" s="179" t="s">
        <v>19</v>
      </c>
      <c r="AZ6" s="180"/>
      <c r="BA6" s="181"/>
      <c r="BB6" s="176" t="s">
        <v>20</v>
      </c>
      <c r="BC6" s="177"/>
      <c r="BD6" s="178"/>
      <c r="BE6" s="128"/>
      <c r="BF6" s="128"/>
      <c r="BG6" s="128"/>
    </row>
    <row r="7" spans="1:59" s="124" customFormat="1" ht="31.5" customHeight="1" x14ac:dyDescent="0.25">
      <c r="A7" s="184"/>
      <c r="B7" s="187"/>
      <c r="C7" s="190"/>
      <c r="D7" s="122" t="s">
        <v>21</v>
      </c>
      <c r="E7" s="122" t="s">
        <v>21</v>
      </c>
      <c r="F7" s="84" t="s">
        <v>22</v>
      </c>
      <c r="G7" s="115" t="s">
        <v>21</v>
      </c>
      <c r="H7" s="114" t="s">
        <v>23</v>
      </c>
      <c r="I7" s="84" t="s">
        <v>22</v>
      </c>
      <c r="J7" s="115" t="s">
        <v>21</v>
      </c>
      <c r="K7" s="114" t="s">
        <v>23</v>
      </c>
      <c r="L7" s="84" t="s">
        <v>22</v>
      </c>
      <c r="M7" s="115" t="s">
        <v>21</v>
      </c>
      <c r="N7" s="114" t="s">
        <v>23</v>
      </c>
      <c r="O7" s="84" t="s">
        <v>22</v>
      </c>
      <c r="P7" s="115" t="str">
        <f>IF(AND(G7="Факт",J7="Факт",M7="Факт"),"Факт","Прогноз")</f>
        <v>Факт</v>
      </c>
      <c r="Q7" s="114" t="s">
        <v>23</v>
      </c>
      <c r="R7" s="84" t="s">
        <v>22</v>
      </c>
      <c r="S7" s="115" t="s">
        <v>21</v>
      </c>
      <c r="T7" s="114" t="s">
        <v>23</v>
      </c>
      <c r="U7" s="84" t="s">
        <v>22</v>
      </c>
      <c r="V7" s="115" t="s">
        <v>21</v>
      </c>
      <c r="W7" s="114" t="s">
        <v>23</v>
      </c>
      <c r="X7" s="84" t="s">
        <v>22</v>
      </c>
      <c r="Y7" s="115" t="s">
        <v>21</v>
      </c>
      <c r="Z7" s="114" t="s">
        <v>23</v>
      </c>
      <c r="AA7" s="84" t="s">
        <v>22</v>
      </c>
      <c r="AB7" s="115" t="str">
        <f>IF(AND(S7="Факт",V7="Факт",Y7="Факт"),"Факт","Прогноз")</f>
        <v>Факт</v>
      </c>
      <c r="AC7" s="114" t="s">
        <v>23</v>
      </c>
      <c r="AD7" s="84" t="s">
        <v>22</v>
      </c>
      <c r="AE7" s="115" t="s">
        <v>21</v>
      </c>
      <c r="AF7" s="114" t="s">
        <v>23</v>
      </c>
      <c r="AG7" s="84" t="s">
        <v>22</v>
      </c>
      <c r="AH7" s="115" t="s">
        <v>21</v>
      </c>
      <c r="AI7" s="114" t="s">
        <v>23</v>
      </c>
      <c r="AJ7" s="84" t="s">
        <v>22</v>
      </c>
      <c r="AK7" s="115" t="s">
        <v>21</v>
      </c>
      <c r="AL7" s="114" t="s">
        <v>23</v>
      </c>
      <c r="AM7" s="84" t="s">
        <v>22</v>
      </c>
      <c r="AN7" s="115" t="str">
        <f>IF(AND(AE7="Факт",AH7="Факт",AK7="Факт"),"Факт","Прогноз")</f>
        <v>Факт</v>
      </c>
      <c r="AO7" s="114" t="s">
        <v>23</v>
      </c>
      <c r="AP7" s="84" t="s">
        <v>22</v>
      </c>
      <c r="AQ7" s="115" t="s">
        <v>21</v>
      </c>
      <c r="AR7" s="114" t="s">
        <v>23</v>
      </c>
      <c r="AS7" s="84" t="s">
        <v>22</v>
      </c>
      <c r="AT7" s="115" t="s">
        <v>21</v>
      </c>
      <c r="AU7" s="114" t="s">
        <v>23</v>
      </c>
      <c r="AV7" s="84" t="s">
        <v>22</v>
      </c>
      <c r="AW7" s="115" t="s">
        <v>21</v>
      </c>
      <c r="AX7" s="114" t="s">
        <v>23</v>
      </c>
      <c r="AY7" s="84" t="s">
        <v>22</v>
      </c>
      <c r="AZ7" s="115" t="str">
        <f>IF(AND(AQ7="Факт",AT7="Факт",AW7="Факт"),"Факт","Прогноз")</f>
        <v>Факт</v>
      </c>
      <c r="BA7" s="114" t="s">
        <v>23</v>
      </c>
      <c r="BB7" s="84" t="s">
        <v>22</v>
      </c>
      <c r="BC7" s="115" t="s">
        <v>21</v>
      </c>
      <c r="BD7" s="114" t="s">
        <v>23</v>
      </c>
      <c r="BE7" s="84" t="s">
        <v>20</v>
      </c>
      <c r="BF7" s="84" t="s">
        <v>20</v>
      </c>
      <c r="BG7" s="84" t="s">
        <v>20</v>
      </c>
    </row>
    <row r="8" spans="1:59" s="124" customFormat="1" ht="25.5" customHeight="1" thickBot="1" x14ac:dyDescent="0.3">
      <c r="A8" s="200" t="s">
        <v>24</v>
      </c>
      <c r="B8" s="201"/>
      <c r="C8" s="201"/>
      <c r="D8" s="123"/>
      <c r="E8" s="123"/>
      <c r="F8" s="80"/>
      <c r="G8" s="46"/>
      <c r="H8" s="81"/>
      <c r="I8" s="80"/>
      <c r="J8" s="46"/>
      <c r="K8" s="81"/>
      <c r="L8" s="80"/>
      <c r="M8" s="46"/>
      <c r="N8" s="81"/>
      <c r="O8" s="80"/>
      <c r="P8" s="46"/>
      <c r="Q8" s="81"/>
      <c r="R8" s="80"/>
      <c r="S8" s="46"/>
      <c r="T8" s="81"/>
      <c r="U8" s="80"/>
      <c r="V8" s="46"/>
      <c r="W8" s="81"/>
      <c r="X8" s="80"/>
      <c r="Y8" s="46"/>
      <c r="Z8" s="81"/>
      <c r="AA8" s="80"/>
      <c r="AB8" s="46"/>
      <c r="AC8" s="81"/>
      <c r="AD8" s="80"/>
      <c r="AE8" s="46"/>
      <c r="AF8" s="81"/>
      <c r="AG8" s="80"/>
      <c r="AH8" s="46"/>
      <c r="AI8" s="81"/>
      <c r="AJ8" s="80"/>
      <c r="AK8" s="46"/>
      <c r="AL8" s="81"/>
      <c r="AM8" s="80"/>
      <c r="AN8" s="46"/>
      <c r="AO8" s="81"/>
      <c r="AP8" s="80"/>
      <c r="AQ8" s="46"/>
      <c r="AR8" s="81"/>
      <c r="AS8" s="80"/>
      <c r="AT8" s="46"/>
      <c r="AU8" s="81"/>
      <c r="AV8" s="80"/>
      <c r="AW8" s="46"/>
      <c r="AX8" s="81"/>
      <c r="AY8" s="80"/>
      <c r="AZ8" s="46"/>
      <c r="BA8" s="81"/>
      <c r="BB8" s="80"/>
      <c r="BC8" s="46"/>
      <c r="BD8" s="81"/>
      <c r="BE8" s="48"/>
      <c r="BF8" s="48"/>
      <c r="BG8" s="48"/>
    </row>
    <row r="9" spans="1:59" s="127" customFormat="1" ht="13.5" thickBot="1" x14ac:dyDescent="0.3">
      <c r="A9" s="51" t="s">
        <v>25</v>
      </c>
      <c r="B9" s="52" t="s">
        <v>26</v>
      </c>
      <c r="C9" s="116" t="s">
        <v>27</v>
      </c>
      <c r="D9" s="28">
        <f>SUM(D10:D13)</f>
        <v>0</v>
      </c>
      <c r="E9" s="28">
        <f>SUM(E10:E13)</f>
        <v>0</v>
      </c>
      <c r="F9" s="53">
        <f>SUM(F10:F13)</f>
        <v>0</v>
      </c>
      <c r="G9" s="88">
        <f>SUM(G10:G13)</f>
        <v>0</v>
      </c>
      <c r="H9" s="96">
        <f t="shared" ref="H9:H40" si="0">G9-F9</f>
        <v>0</v>
      </c>
      <c r="I9" s="53">
        <f>SUM(I10:I13)</f>
        <v>0</v>
      </c>
      <c r="J9" s="88">
        <f>SUM(J10:J13)</f>
        <v>0</v>
      </c>
      <c r="K9" s="96">
        <f t="shared" ref="K9:K40" si="1">J9-I9</f>
        <v>0</v>
      </c>
      <c r="L9" s="53">
        <f>SUM(L10:L13)</f>
        <v>0</v>
      </c>
      <c r="M9" s="88">
        <f>SUM(M10:M13)</f>
        <v>0</v>
      </c>
      <c r="N9" s="96">
        <f t="shared" ref="N9:N40" si="2">M9-L9</f>
        <v>0</v>
      </c>
      <c r="O9" s="53">
        <f>SUM(O10:O13)</f>
        <v>0</v>
      </c>
      <c r="P9" s="88">
        <f>SUM(P10:P13)</f>
        <v>0</v>
      </c>
      <c r="Q9" s="96">
        <f t="shared" ref="Q9:Q40" si="3">P9-O9</f>
        <v>0</v>
      </c>
      <c r="R9" s="53">
        <f>SUM(R10:R13)</f>
        <v>0</v>
      </c>
      <c r="S9" s="88">
        <f>SUM(S10:S13)</f>
        <v>0</v>
      </c>
      <c r="T9" s="96">
        <f t="shared" ref="T9:T40" si="4">S9-R9</f>
        <v>0</v>
      </c>
      <c r="U9" s="53">
        <f>SUM(U10:U13)</f>
        <v>0</v>
      </c>
      <c r="V9" s="88">
        <f>SUM(V10:V13)</f>
        <v>0</v>
      </c>
      <c r="W9" s="96">
        <f t="shared" ref="W9:W40" si="5">V9-U9</f>
        <v>0</v>
      </c>
      <c r="X9" s="53">
        <f>SUM(X10:X13)</f>
        <v>0</v>
      </c>
      <c r="Y9" s="88">
        <f>SUM(Y10:Y13)</f>
        <v>0</v>
      </c>
      <c r="Z9" s="96">
        <f t="shared" ref="Z9:Z40" si="6">Y9-X9</f>
        <v>0</v>
      </c>
      <c r="AA9" s="53">
        <f>SUM(AA10:AA13)</f>
        <v>0</v>
      </c>
      <c r="AB9" s="88">
        <f>SUM(AB10:AB13)</f>
        <v>0</v>
      </c>
      <c r="AC9" s="96">
        <f t="shared" ref="AC9:AC40" si="7">AB9-AA9</f>
        <v>0</v>
      </c>
      <c r="AD9" s="53">
        <f>SUM(AD10:AD13)</f>
        <v>0</v>
      </c>
      <c r="AE9" s="88">
        <f>SUM(AE10:AE13)</f>
        <v>0</v>
      </c>
      <c r="AF9" s="96">
        <f t="shared" ref="AF9:AF40" si="8">AE9-AD9</f>
        <v>0</v>
      </c>
      <c r="AG9" s="53">
        <f>SUM(AG10:AG13)</f>
        <v>0</v>
      </c>
      <c r="AH9" s="88">
        <f>SUM(AH10:AH13)</f>
        <v>0</v>
      </c>
      <c r="AI9" s="96">
        <f t="shared" ref="AI9:AI40" si="9">AH9-AG9</f>
        <v>0</v>
      </c>
      <c r="AJ9" s="53">
        <f>SUM(AJ10:AJ13)</f>
        <v>0</v>
      </c>
      <c r="AK9" s="88">
        <f>SUM(AK10:AK13)</f>
        <v>0</v>
      </c>
      <c r="AL9" s="96">
        <f t="shared" ref="AL9:AL40" si="10">AK9-AJ9</f>
        <v>0</v>
      </c>
      <c r="AM9" s="53">
        <f>SUM(AM10:AM13)</f>
        <v>0</v>
      </c>
      <c r="AN9" s="88">
        <f>SUM(AN10:AN13)</f>
        <v>0</v>
      </c>
      <c r="AO9" s="96">
        <f t="shared" ref="AO9:AO40" si="11">AN9-AM9</f>
        <v>0</v>
      </c>
      <c r="AP9" s="53">
        <f>SUM(AP10:AP13)</f>
        <v>0</v>
      </c>
      <c r="AQ9" s="88">
        <f>SUM(AQ10:AQ13)</f>
        <v>0</v>
      </c>
      <c r="AR9" s="96">
        <f t="shared" ref="AR9:AR40" si="12">AQ9-AP9</f>
        <v>0</v>
      </c>
      <c r="AS9" s="53">
        <f>SUM(AS10:AS13)</f>
        <v>0</v>
      </c>
      <c r="AT9" s="88">
        <f>SUM(AT10:AT13)</f>
        <v>0</v>
      </c>
      <c r="AU9" s="96">
        <f t="shared" ref="AU9:AU40" si="13">AT9-AS9</f>
        <v>0</v>
      </c>
      <c r="AV9" s="53">
        <f>SUM(AV10:AV13)</f>
        <v>0</v>
      </c>
      <c r="AW9" s="88">
        <f>SUM(AW10:AW13)</f>
        <v>0</v>
      </c>
      <c r="AX9" s="96">
        <f t="shared" ref="AX9:AX40" si="14">AW9-AV9</f>
        <v>0</v>
      </c>
      <c r="AY9" s="53">
        <f>SUM(AY10:AY13)</f>
        <v>0</v>
      </c>
      <c r="AZ9" s="88">
        <f>SUM(AZ10:AZ13)</f>
        <v>0</v>
      </c>
      <c r="BA9" s="96">
        <f t="shared" ref="BA9:BA40" si="15">AZ9-AY9</f>
        <v>0</v>
      </c>
      <c r="BB9" s="53">
        <f>SUM(BB10:BB13)</f>
        <v>0</v>
      </c>
      <c r="BC9" s="88">
        <f>SUM(BC10:BC13)</f>
        <v>0</v>
      </c>
      <c r="BD9" s="96">
        <f t="shared" ref="BD9:BD40" si="16">BC9-BB9</f>
        <v>0</v>
      </c>
      <c r="BE9" s="53">
        <f>SUM(BE10:BE13)</f>
        <v>0</v>
      </c>
      <c r="BF9" s="53">
        <f>SUM(BF10:BF13)</f>
        <v>0</v>
      </c>
      <c r="BG9" s="53">
        <f>SUM(BG10:BG13)</f>
        <v>0</v>
      </c>
    </row>
    <row r="10" spans="1:59" s="127" customFormat="1" ht="13.5" hidden="1" outlineLevel="1" x14ac:dyDescent="0.25">
      <c r="A10" s="27"/>
      <c r="B10" s="83" t="s">
        <v>28</v>
      </c>
      <c r="C10" s="117" t="s">
        <v>27</v>
      </c>
      <c r="D10" s="19">
        <v>0</v>
      </c>
      <c r="E10" s="19">
        <v>0</v>
      </c>
      <c r="F10" s="23">
        <v>0</v>
      </c>
      <c r="G10" s="22">
        <v>0</v>
      </c>
      <c r="H10" s="21">
        <f t="shared" si="0"/>
        <v>0</v>
      </c>
      <c r="I10" s="23">
        <v>0</v>
      </c>
      <c r="J10" s="22">
        <v>0</v>
      </c>
      <c r="K10" s="21">
        <f t="shared" si="1"/>
        <v>0</v>
      </c>
      <c r="L10" s="23">
        <v>0</v>
      </c>
      <c r="M10" s="22">
        <v>0</v>
      </c>
      <c r="N10" s="21">
        <f t="shared" si="2"/>
        <v>0</v>
      </c>
      <c r="O10" s="23">
        <f t="shared" ref="O10:P13" si="17">SUM(F10,I10,L10)</f>
        <v>0</v>
      </c>
      <c r="P10" s="22">
        <f t="shared" si="17"/>
        <v>0</v>
      </c>
      <c r="Q10" s="21">
        <f t="shared" si="3"/>
        <v>0</v>
      </c>
      <c r="R10" s="23">
        <v>0</v>
      </c>
      <c r="S10" s="22">
        <v>0</v>
      </c>
      <c r="T10" s="21">
        <f t="shared" si="4"/>
        <v>0</v>
      </c>
      <c r="U10" s="23">
        <v>0</v>
      </c>
      <c r="V10" s="22">
        <v>0</v>
      </c>
      <c r="W10" s="21">
        <f t="shared" si="5"/>
        <v>0</v>
      </c>
      <c r="X10" s="23">
        <v>0</v>
      </c>
      <c r="Y10" s="22">
        <v>0</v>
      </c>
      <c r="Z10" s="21">
        <f t="shared" si="6"/>
        <v>0</v>
      </c>
      <c r="AA10" s="23">
        <f t="shared" ref="AA10:AB13" si="18">SUM(R10,U10,X10)</f>
        <v>0</v>
      </c>
      <c r="AB10" s="22">
        <f t="shared" si="18"/>
        <v>0</v>
      </c>
      <c r="AC10" s="21">
        <f t="shared" si="7"/>
        <v>0</v>
      </c>
      <c r="AD10" s="23">
        <v>0</v>
      </c>
      <c r="AE10" s="22">
        <v>0</v>
      </c>
      <c r="AF10" s="21">
        <f t="shared" si="8"/>
        <v>0</v>
      </c>
      <c r="AG10" s="23">
        <v>0</v>
      </c>
      <c r="AH10" s="22">
        <v>0</v>
      </c>
      <c r="AI10" s="21">
        <f t="shared" si="9"/>
        <v>0</v>
      </c>
      <c r="AJ10" s="23">
        <v>0</v>
      </c>
      <c r="AK10" s="22">
        <v>0</v>
      </c>
      <c r="AL10" s="21">
        <f t="shared" si="10"/>
        <v>0</v>
      </c>
      <c r="AM10" s="23">
        <f t="shared" ref="AM10:AN13" si="19">SUM(AD10,AG10,AJ10)</f>
        <v>0</v>
      </c>
      <c r="AN10" s="22">
        <f t="shared" si="19"/>
        <v>0</v>
      </c>
      <c r="AO10" s="21">
        <f t="shared" si="11"/>
        <v>0</v>
      </c>
      <c r="AP10" s="23">
        <v>0</v>
      </c>
      <c r="AQ10" s="22">
        <v>0</v>
      </c>
      <c r="AR10" s="21">
        <f t="shared" si="12"/>
        <v>0</v>
      </c>
      <c r="AS10" s="23">
        <v>0</v>
      </c>
      <c r="AT10" s="22">
        <v>0</v>
      </c>
      <c r="AU10" s="21">
        <f t="shared" si="13"/>
        <v>0</v>
      </c>
      <c r="AV10" s="23">
        <v>0</v>
      </c>
      <c r="AW10" s="22">
        <v>0</v>
      </c>
      <c r="AX10" s="21">
        <f t="shared" si="14"/>
        <v>0</v>
      </c>
      <c r="AY10" s="23">
        <f t="shared" ref="AY10:AZ13" si="20">SUM(AP10,AS10,AV10)</f>
        <v>0</v>
      </c>
      <c r="AZ10" s="22">
        <f t="shared" si="20"/>
        <v>0</v>
      </c>
      <c r="BA10" s="21">
        <f t="shared" si="15"/>
        <v>0</v>
      </c>
      <c r="BB10" s="23">
        <f t="shared" ref="BB10:BC13" si="21">SUM(F10,I10,L10,R10,U10,X10,AD10,AG10,AJ10,AP10,AS10,AV10)</f>
        <v>0</v>
      </c>
      <c r="BC10" s="22">
        <f t="shared" si="21"/>
        <v>0</v>
      </c>
      <c r="BD10" s="21">
        <f t="shared" si="16"/>
        <v>0</v>
      </c>
      <c r="BE10" s="175">
        <v>0</v>
      </c>
      <c r="BF10" s="19">
        <v>0</v>
      </c>
      <c r="BG10" s="23">
        <f>BB10+BE10+BF10</f>
        <v>0</v>
      </c>
    </row>
    <row r="11" spans="1:59" s="124" customFormat="1" ht="13.5" hidden="1" customHeight="1" outlineLevel="1" x14ac:dyDescent="0.25">
      <c r="A11" s="82"/>
      <c r="B11" s="83" t="s">
        <v>29</v>
      </c>
      <c r="C11" s="117" t="s">
        <v>27</v>
      </c>
      <c r="D11" s="19">
        <v>0</v>
      </c>
      <c r="E11" s="19">
        <v>0</v>
      </c>
      <c r="F11" s="23">
        <v>0</v>
      </c>
      <c r="G11" s="22">
        <v>0</v>
      </c>
      <c r="H11" s="21">
        <f t="shared" si="0"/>
        <v>0</v>
      </c>
      <c r="I11" s="23">
        <v>0</v>
      </c>
      <c r="J11" s="22">
        <v>0</v>
      </c>
      <c r="K11" s="21">
        <f t="shared" si="1"/>
        <v>0</v>
      </c>
      <c r="L11" s="23">
        <v>0</v>
      </c>
      <c r="M11" s="22">
        <v>0</v>
      </c>
      <c r="N11" s="21">
        <f t="shared" si="2"/>
        <v>0</v>
      </c>
      <c r="O11" s="23">
        <f t="shared" si="17"/>
        <v>0</v>
      </c>
      <c r="P11" s="22">
        <f t="shared" si="17"/>
        <v>0</v>
      </c>
      <c r="Q11" s="21">
        <f t="shared" si="3"/>
        <v>0</v>
      </c>
      <c r="R11" s="23">
        <v>0</v>
      </c>
      <c r="S11" s="22">
        <v>0</v>
      </c>
      <c r="T11" s="21">
        <f t="shared" si="4"/>
        <v>0</v>
      </c>
      <c r="U11" s="23">
        <v>0</v>
      </c>
      <c r="V11" s="22">
        <v>0</v>
      </c>
      <c r="W11" s="21">
        <f t="shared" si="5"/>
        <v>0</v>
      </c>
      <c r="X11" s="23">
        <v>0</v>
      </c>
      <c r="Y11" s="22">
        <v>0</v>
      </c>
      <c r="Z11" s="21">
        <f t="shared" si="6"/>
        <v>0</v>
      </c>
      <c r="AA11" s="23">
        <f t="shared" si="18"/>
        <v>0</v>
      </c>
      <c r="AB11" s="22">
        <f t="shared" si="18"/>
        <v>0</v>
      </c>
      <c r="AC11" s="21">
        <f t="shared" si="7"/>
        <v>0</v>
      </c>
      <c r="AD11" s="23">
        <v>0</v>
      </c>
      <c r="AE11" s="22">
        <v>0</v>
      </c>
      <c r="AF11" s="21">
        <f t="shared" si="8"/>
        <v>0</v>
      </c>
      <c r="AG11" s="23">
        <v>0</v>
      </c>
      <c r="AH11" s="22">
        <v>0</v>
      </c>
      <c r="AI11" s="21">
        <f t="shared" si="9"/>
        <v>0</v>
      </c>
      <c r="AJ11" s="23">
        <v>0</v>
      </c>
      <c r="AK11" s="22">
        <v>0</v>
      </c>
      <c r="AL11" s="21">
        <f t="shared" si="10"/>
        <v>0</v>
      </c>
      <c r="AM11" s="23">
        <f t="shared" si="19"/>
        <v>0</v>
      </c>
      <c r="AN11" s="22">
        <f t="shared" si="19"/>
        <v>0</v>
      </c>
      <c r="AO11" s="21">
        <f t="shared" si="11"/>
        <v>0</v>
      </c>
      <c r="AP11" s="23">
        <v>0</v>
      </c>
      <c r="AQ11" s="22">
        <v>0</v>
      </c>
      <c r="AR11" s="21">
        <f t="shared" si="12"/>
        <v>0</v>
      </c>
      <c r="AS11" s="23">
        <v>0</v>
      </c>
      <c r="AT11" s="22">
        <v>0</v>
      </c>
      <c r="AU11" s="21">
        <f t="shared" si="13"/>
        <v>0</v>
      </c>
      <c r="AV11" s="23">
        <v>0</v>
      </c>
      <c r="AW11" s="22">
        <v>0</v>
      </c>
      <c r="AX11" s="21">
        <f t="shared" si="14"/>
        <v>0</v>
      </c>
      <c r="AY11" s="23">
        <f t="shared" si="20"/>
        <v>0</v>
      </c>
      <c r="AZ11" s="22">
        <f t="shared" si="20"/>
        <v>0</v>
      </c>
      <c r="BA11" s="21">
        <f t="shared" si="15"/>
        <v>0</v>
      </c>
      <c r="BB11" s="23">
        <f t="shared" si="21"/>
        <v>0</v>
      </c>
      <c r="BC11" s="22">
        <f t="shared" si="21"/>
        <v>0</v>
      </c>
      <c r="BD11" s="21">
        <f t="shared" si="16"/>
        <v>0</v>
      </c>
      <c r="BE11" s="175">
        <v>0</v>
      </c>
      <c r="BF11" s="19">
        <v>0</v>
      </c>
      <c r="BG11" s="23">
        <f t="shared" ref="BG11:BG13" si="22">BB11+BE11+BF11</f>
        <v>0</v>
      </c>
    </row>
    <row r="12" spans="1:59" s="124" customFormat="1" ht="13.5" hidden="1" customHeight="1" outlineLevel="1" x14ac:dyDescent="0.25">
      <c r="A12" s="82"/>
      <c r="B12" s="83" t="s">
        <v>30</v>
      </c>
      <c r="C12" s="117" t="s">
        <v>27</v>
      </c>
      <c r="D12" s="19">
        <v>0</v>
      </c>
      <c r="E12" s="19">
        <v>0</v>
      </c>
      <c r="F12" s="23">
        <v>0</v>
      </c>
      <c r="G12" s="22">
        <v>0</v>
      </c>
      <c r="H12" s="21">
        <f t="shared" si="0"/>
        <v>0</v>
      </c>
      <c r="I12" s="23">
        <v>0</v>
      </c>
      <c r="J12" s="22">
        <v>0</v>
      </c>
      <c r="K12" s="21">
        <f t="shared" si="1"/>
        <v>0</v>
      </c>
      <c r="L12" s="23">
        <v>0</v>
      </c>
      <c r="M12" s="22">
        <v>0</v>
      </c>
      <c r="N12" s="21">
        <f t="shared" si="2"/>
        <v>0</v>
      </c>
      <c r="O12" s="23">
        <f t="shared" si="17"/>
        <v>0</v>
      </c>
      <c r="P12" s="22">
        <f t="shared" si="17"/>
        <v>0</v>
      </c>
      <c r="Q12" s="21">
        <f t="shared" si="3"/>
        <v>0</v>
      </c>
      <c r="R12" s="23">
        <v>0</v>
      </c>
      <c r="S12" s="22">
        <v>0</v>
      </c>
      <c r="T12" s="21">
        <f t="shared" si="4"/>
        <v>0</v>
      </c>
      <c r="U12" s="23">
        <v>0</v>
      </c>
      <c r="V12" s="22">
        <v>0</v>
      </c>
      <c r="W12" s="21">
        <f t="shared" si="5"/>
        <v>0</v>
      </c>
      <c r="X12" s="23">
        <v>0</v>
      </c>
      <c r="Y12" s="22">
        <v>0</v>
      </c>
      <c r="Z12" s="21">
        <f t="shared" si="6"/>
        <v>0</v>
      </c>
      <c r="AA12" s="23">
        <f t="shared" si="18"/>
        <v>0</v>
      </c>
      <c r="AB12" s="22">
        <f t="shared" si="18"/>
        <v>0</v>
      </c>
      <c r="AC12" s="21">
        <f t="shared" si="7"/>
        <v>0</v>
      </c>
      <c r="AD12" s="23">
        <v>0</v>
      </c>
      <c r="AE12" s="22">
        <v>0</v>
      </c>
      <c r="AF12" s="21">
        <f t="shared" si="8"/>
        <v>0</v>
      </c>
      <c r="AG12" s="23">
        <v>0</v>
      </c>
      <c r="AH12" s="22">
        <v>0</v>
      </c>
      <c r="AI12" s="21">
        <f t="shared" si="9"/>
        <v>0</v>
      </c>
      <c r="AJ12" s="23">
        <v>0</v>
      </c>
      <c r="AK12" s="22">
        <v>0</v>
      </c>
      <c r="AL12" s="21">
        <f t="shared" si="10"/>
        <v>0</v>
      </c>
      <c r="AM12" s="23">
        <f t="shared" si="19"/>
        <v>0</v>
      </c>
      <c r="AN12" s="22">
        <f t="shared" si="19"/>
        <v>0</v>
      </c>
      <c r="AO12" s="21">
        <f t="shared" si="11"/>
        <v>0</v>
      </c>
      <c r="AP12" s="23">
        <v>0</v>
      </c>
      <c r="AQ12" s="22">
        <v>0</v>
      </c>
      <c r="AR12" s="21">
        <f t="shared" si="12"/>
        <v>0</v>
      </c>
      <c r="AS12" s="23">
        <v>0</v>
      </c>
      <c r="AT12" s="22">
        <v>0</v>
      </c>
      <c r="AU12" s="21">
        <f t="shared" si="13"/>
        <v>0</v>
      </c>
      <c r="AV12" s="23">
        <v>0</v>
      </c>
      <c r="AW12" s="22">
        <v>0</v>
      </c>
      <c r="AX12" s="21">
        <f t="shared" si="14"/>
        <v>0</v>
      </c>
      <c r="AY12" s="23">
        <f t="shared" si="20"/>
        <v>0</v>
      </c>
      <c r="AZ12" s="22">
        <f t="shared" si="20"/>
        <v>0</v>
      </c>
      <c r="BA12" s="21">
        <f t="shared" si="15"/>
        <v>0</v>
      </c>
      <c r="BB12" s="23">
        <f t="shared" si="21"/>
        <v>0</v>
      </c>
      <c r="BC12" s="22">
        <f t="shared" si="21"/>
        <v>0</v>
      </c>
      <c r="BD12" s="21">
        <f t="shared" si="16"/>
        <v>0</v>
      </c>
      <c r="BE12" s="175">
        <v>0</v>
      </c>
      <c r="BF12" s="19">
        <v>0</v>
      </c>
      <c r="BG12" s="23">
        <f t="shared" si="22"/>
        <v>0</v>
      </c>
    </row>
    <row r="13" spans="1:59" s="124" customFormat="1" ht="13.5" hidden="1" customHeight="1" outlineLevel="1" thickBot="1" x14ac:dyDescent="0.3">
      <c r="A13" s="82"/>
      <c r="B13" s="83" t="s">
        <v>31</v>
      </c>
      <c r="C13" s="117" t="s">
        <v>27</v>
      </c>
      <c r="D13" s="19">
        <v>0</v>
      </c>
      <c r="E13" s="19">
        <v>0</v>
      </c>
      <c r="F13" s="23">
        <v>0</v>
      </c>
      <c r="G13" s="22">
        <v>0</v>
      </c>
      <c r="H13" s="21">
        <f t="shared" si="0"/>
        <v>0</v>
      </c>
      <c r="I13" s="23">
        <v>0</v>
      </c>
      <c r="J13" s="22">
        <v>0</v>
      </c>
      <c r="K13" s="21">
        <f t="shared" si="1"/>
        <v>0</v>
      </c>
      <c r="L13" s="23">
        <v>0</v>
      </c>
      <c r="M13" s="22">
        <v>0</v>
      </c>
      <c r="N13" s="21">
        <f t="shared" si="2"/>
        <v>0</v>
      </c>
      <c r="O13" s="23">
        <f t="shared" si="17"/>
        <v>0</v>
      </c>
      <c r="P13" s="22">
        <f t="shared" si="17"/>
        <v>0</v>
      </c>
      <c r="Q13" s="21">
        <f t="shared" si="3"/>
        <v>0</v>
      </c>
      <c r="R13" s="23">
        <v>0</v>
      </c>
      <c r="S13" s="22">
        <v>0</v>
      </c>
      <c r="T13" s="21">
        <f t="shared" si="4"/>
        <v>0</v>
      </c>
      <c r="U13" s="23">
        <v>0</v>
      </c>
      <c r="V13" s="22">
        <v>0</v>
      </c>
      <c r="W13" s="21">
        <f t="shared" si="5"/>
        <v>0</v>
      </c>
      <c r="X13" s="23">
        <v>0</v>
      </c>
      <c r="Y13" s="22">
        <v>0</v>
      </c>
      <c r="Z13" s="21">
        <f t="shared" si="6"/>
        <v>0</v>
      </c>
      <c r="AA13" s="23">
        <f t="shared" si="18"/>
        <v>0</v>
      </c>
      <c r="AB13" s="22">
        <f t="shared" si="18"/>
        <v>0</v>
      </c>
      <c r="AC13" s="21">
        <f t="shared" si="7"/>
        <v>0</v>
      </c>
      <c r="AD13" s="23">
        <v>0</v>
      </c>
      <c r="AE13" s="22">
        <v>0</v>
      </c>
      <c r="AF13" s="21">
        <f t="shared" si="8"/>
        <v>0</v>
      </c>
      <c r="AG13" s="23">
        <v>0</v>
      </c>
      <c r="AH13" s="22">
        <v>0</v>
      </c>
      <c r="AI13" s="21">
        <f t="shared" si="9"/>
        <v>0</v>
      </c>
      <c r="AJ13" s="23">
        <v>0</v>
      </c>
      <c r="AK13" s="22">
        <v>0</v>
      </c>
      <c r="AL13" s="21">
        <f t="shared" si="10"/>
        <v>0</v>
      </c>
      <c r="AM13" s="23">
        <f t="shared" si="19"/>
        <v>0</v>
      </c>
      <c r="AN13" s="22">
        <f t="shared" si="19"/>
        <v>0</v>
      </c>
      <c r="AO13" s="21">
        <f t="shared" si="11"/>
        <v>0</v>
      </c>
      <c r="AP13" s="23">
        <v>0</v>
      </c>
      <c r="AQ13" s="22">
        <v>0</v>
      </c>
      <c r="AR13" s="21">
        <f t="shared" si="12"/>
        <v>0</v>
      </c>
      <c r="AS13" s="23">
        <v>0</v>
      </c>
      <c r="AT13" s="22">
        <v>0</v>
      </c>
      <c r="AU13" s="21">
        <f t="shared" si="13"/>
        <v>0</v>
      </c>
      <c r="AV13" s="23">
        <v>0</v>
      </c>
      <c r="AW13" s="22">
        <v>0</v>
      </c>
      <c r="AX13" s="21">
        <f t="shared" si="14"/>
        <v>0</v>
      </c>
      <c r="AY13" s="23">
        <f t="shared" si="20"/>
        <v>0</v>
      </c>
      <c r="AZ13" s="22">
        <f t="shared" si="20"/>
        <v>0</v>
      </c>
      <c r="BA13" s="21">
        <f t="shared" si="15"/>
        <v>0</v>
      </c>
      <c r="BB13" s="23">
        <f t="shared" si="21"/>
        <v>0</v>
      </c>
      <c r="BC13" s="22">
        <f t="shared" si="21"/>
        <v>0</v>
      </c>
      <c r="BD13" s="21">
        <f t="shared" si="16"/>
        <v>0</v>
      </c>
      <c r="BE13" s="175">
        <v>0</v>
      </c>
      <c r="BF13" s="1">
        <v>0</v>
      </c>
      <c r="BG13" s="23">
        <f t="shared" si="22"/>
        <v>0</v>
      </c>
    </row>
    <row r="14" spans="1:59" s="127" customFormat="1" ht="13.5" collapsed="1" thickBot="1" x14ac:dyDescent="0.3">
      <c r="A14" s="51" t="s">
        <v>32</v>
      </c>
      <c r="B14" s="52" t="s">
        <v>33</v>
      </c>
      <c r="C14" s="116" t="s">
        <v>27</v>
      </c>
      <c r="D14" s="28">
        <f>SUM(D15:D18)</f>
        <v>0</v>
      </c>
      <c r="E14" s="28">
        <f>SUM(E15:E18)</f>
        <v>0</v>
      </c>
      <c r="F14" s="53">
        <f>SUM(F15:F18)</f>
        <v>0</v>
      </c>
      <c r="G14" s="88">
        <f>SUM(G15:G18)</f>
        <v>0</v>
      </c>
      <c r="H14" s="96">
        <f t="shared" si="0"/>
        <v>0</v>
      </c>
      <c r="I14" s="53">
        <f>SUM(I15:I18)</f>
        <v>0</v>
      </c>
      <c r="J14" s="88">
        <f>SUM(J15:J18)</f>
        <v>0</v>
      </c>
      <c r="K14" s="96">
        <f t="shared" si="1"/>
        <v>0</v>
      </c>
      <c r="L14" s="53">
        <f>SUM(L15:L18)</f>
        <v>0</v>
      </c>
      <c r="M14" s="88">
        <f>SUM(M15:M18)</f>
        <v>0</v>
      </c>
      <c r="N14" s="96">
        <f t="shared" si="2"/>
        <v>0</v>
      </c>
      <c r="O14" s="53">
        <f>SUM(O15:O18)</f>
        <v>0</v>
      </c>
      <c r="P14" s="88">
        <f>SUM(P15:P18)</f>
        <v>0</v>
      </c>
      <c r="Q14" s="96">
        <f t="shared" si="3"/>
        <v>0</v>
      </c>
      <c r="R14" s="53">
        <f>SUM(R15:R18)</f>
        <v>0</v>
      </c>
      <c r="S14" s="88">
        <f>SUM(S15:S18)</f>
        <v>0</v>
      </c>
      <c r="T14" s="96">
        <f t="shared" si="4"/>
        <v>0</v>
      </c>
      <c r="U14" s="53">
        <f>SUM(U15:U18)</f>
        <v>0</v>
      </c>
      <c r="V14" s="88">
        <f>SUM(V15:V18)</f>
        <v>0</v>
      </c>
      <c r="W14" s="96">
        <f t="shared" si="5"/>
        <v>0</v>
      </c>
      <c r="X14" s="53">
        <f>SUM(X15:X18)</f>
        <v>0</v>
      </c>
      <c r="Y14" s="88">
        <f>SUM(Y15:Y18)</f>
        <v>0</v>
      </c>
      <c r="Z14" s="96">
        <f t="shared" si="6"/>
        <v>0</v>
      </c>
      <c r="AA14" s="53">
        <f>SUM(AA15:AA18)</f>
        <v>0</v>
      </c>
      <c r="AB14" s="88">
        <f>SUM(AB15:AB18)</f>
        <v>0</v>
      </c>
      <c r="AC14" s="96">
        <f t="shared" si="7"/>
        <v>0</v>
      </c>
      <c r="AD14" s="53">
        <f>SUM(AD15:AD18)</f>
        <v>0</v>
      </c>
      <c r="AE14" s="88">
        <f>SUM(AE15:AE18)</f>
        <v>0</v>
      </c>
      <c r="AF14" s="96">
        <f t="shared" si="8"/>
        <v>0</v>
      </c>
      <c r="AG14" s="53">
        <f>SUM(AG15:AG18)</f>
        <v>0</v>
      </c>
      <c r="AH14" s="88">
        <f>SUM(AH15:AH18)</f>
        <v>0</v>
      </c>
      <c r="AI14" s="96">
        <f t="shared" si="9"/>
        <v>0</v>
      </c>
      <c r="AJ14" s="53">
        <f>SUM(AJ15:AJ18)</f>
        <v>0</v>
      </c>
      <c r="AK14" s="88">
        <f>SUM(AK15:AK18)</f>
        <v>0</v>
      </c>
      <c r="AL14" s="96">
        <f t="shared" si="10"/>
        <v>0</v>
      </c>
      <c r="AM14" s="53">
        <f>SUM(AM15:AM18)</f>
        <v>0</v>
      </c>
      <c r="AN14" s="88">
        <f>SUM(AN15:AN18)</f>
        <v>0</v>
      </c>
      <c r="AO14" s="96">
        <f t="shared" si="11"/>
        <v>0</v>
      </c>
      <c r="AP14" s="53">
        <f>SUM(AP15:AP18)</f>
        <v>0</v>
      </c>
      <c r="AQ14" s="88">
        <f>SUM(AQ15:AQ18)</f>
        <v>0</v>
      </c>
      <c r="AR14" s="96">
        <f t="shared" si="12"/>
        <v>0</v>
      </c>
      <c r="AS14" s="53">
        <f>SUM(AS15:AS18)</f>
        <v>0</v>
      </c>
      <c r="AT14" s="88">
        <f>SUM(AT15:AT18)</f>
        <v>0</v>
      </c>
      <c r="AU14" s="96">
        <f t="shared" si="13"/>
        <v>0</v>
      </c>
      <c r="AV14" s="53">
        <f>SUM(AV15:AV18)</f>
        <v>0</v>
      </c>
      <c r="AW14" s="88">
        <f>SUM(AW15:AW18)</f>
        <v>0</v>
      </c>
      <c r="AX14" s="96">
        <f t="shared" si="14"/>
        <v>0</v>
      </c>
      <c r="AY14" s="53">
        <f>SUM(AY15:AY18)</f>
        <v>0</v>
      </c>
      <c r="AZ14" s="88">
        <f>SUM(AZ15:AZ18)</f>
        <v>0</v>
      </c>
      <c r="BA14" s="96">
        <f t="shared" si="15"/>
        <v>0</v>
      </c>
      <c r="BB14" s="53">
        <f>SUM(BB15:BB18)</f>
        <v>0</v>
      </c>
      <c r="BC14" s="88">
        <f>SUM(BC15:BC18)</f>
        <v>0</v>
      </c>
      <c r="BD14" s="96">
        <f t="shared" si="16"/>
        <v>0</v>
      </c>
      <c r="BE14" s="53">
        <f>SUM(BE15:BE18)</f>
        <v>0</v>
      </c>
      <c r="BF14" s="53">
        <f>SUM(BF15:BF18)</f>
        <v>0</v>
      </c>
      <c r="BG14" s="53">
        <f>SUM(BG15:BG18)</f>
        <v>0</v>
      </c>
    </row>
    <row r="15" spans="1:59" s="127" customFormat="1" ht="13.5" hidden="1" outlineLevel="1" x14ac:dyDescent="0.25">
      <c r="A15" s="27"/>
      <c r="B15" s="83" t="s">
        <v>28</v>
      </c>
      <c r="C15" s="117" t="s">
        <v>27</v>
      </c>
      <c r="D15" s="19">
        <v>0</v>
      </c>
      <c r="E15" s="19">
        <v>0</v>
      </c>
      <c r="F15" s="23">
        <v>0</v>
      </c>
      <c r="G15" s="22">
        <v>0</v>
      </c>
      <c r="H15" s="21">
        <f t="shared" si="0"/>
        <v>0</v>
      </c>
      <c r="I15" s="23">
        <v>0</v>
      </c>
      <c r="J15" s="22">
        <v>0</v>
      </c>
      <c r="K15" s="21">
        <f t="shared" si="1"/>
        <v>0</v>
      </c>
      <c r="L15" s="23">
        <v>0</v>
      </c>
      <c r="M15" s="22">
        <v>0</v>
      </c>
      <c r="N15" s="21">
        <f t="shared" si="2"/>
        <v>0</v>
      </c>
      <c r="O15" s="23">
        <f t="shared" ref="O15:P18" si="23">SUM(F15,I15,L15)</f>
        <v>0</v>
      </c>
      <c r="P15" s="22">
        <f t="shared" si="23"/>
        <v>0</v>
      </c>
      <c r="Q15" s="21">
        <f t="shared" si="3"/>
        <v>0</v>
      </c>
      <c r="R15" s="23">
        <v>0</v>
      </c>
      <c r="S15" s="22">
        <v>0</v>
      </c>
      <c r="T15" s="21">
        <f t="shared" si="4"/>
        <v>0</v>
      </c>
      <c r="U15" s="23">
        <v>0</v>
      </c>
      <c r="V15" s="22">
        <v>0</v>
      </c>
      <c r="W15" s="21">
        <f t="shared" si="5"/>
        <v>0</v>
      </c>
      <c r="X15" s="23">
        <v>0</v>
      </c>
      <c r="Y15" s="22">
        <v>0</v>
      </c>
      <c r="Z15" s="21">
        <f t="shared" si="6"/>
        <v>0</v>
      </c>
      <c r="AA15" s="23">
        <f t="shared" ref="AA15:AB18" si="24">SUM(R15,U15,X15)</f>
        <v>0</v>
      </c>
      <c r="AB15" s="22">
        <f t="shared" si="24"/>
        <v>0</v>
      </c>
      <c r="AC15" s="21">
        <f t="shared" si="7"/>
        <v>0</v>
      </c>
      <c r="AD15" s="23">
        <v>0</v>
      </c>
      <c r="AE15" s="22">
        <v>0</v>
      </c>
      <c r="AF15" s="21">
        <f t="shared" si="8"/>
        <v>0</v>
      </c>
      <c r="AG15" s="23">
        <v>0</v>
      </c>
      <c r="AH15" s="22">
        <v>0</v>
      </c>
      <c r="AI15" s="21">
        <f t="shared" si="9"/>
        <v>0</v>
      </c>
      <c r="AJ15" s="23">
        <v>0</v>
      </c>
      <c r="AK15" s="22">
        <v>0</v>
      </c>
      <c r="AL15" s="21">
        <f t="shared" si="10"/>
        <v>0</v>
      </c>
      <c r="AM15" s="23">
        <f t="shared" ref="AM15:AN18" si="25">SUM(AD15,AG15,AJ15)</f>
        <v>0</v>
      </c>
      <c r="AN15" s="22">
        <f t="shared" si="25"/>
        <v>0</v>
      </c>
      <c r="AO15" s="21">
        <f t="shared" si="11"/>
        <v>0</v>
      </c>
      <c r="AP15" s="23">
        <v>0</v>
      </c>
      <c r="AQ15" s="22">
        <v>0</v>
      </c>
      <c r="AR15" s="21">
        <f t="shared" si="12"/>
        <v>0</v>
      </c>
      <c r="AS15" s="23">
        <v>0</v>
      </c>
      <c r="AT15" s="22">
        <v>0</v>
      </c>
      <c r="AU15" s="21">
        <f t="shared" si="13"/>
        <v>0</v>
      </c>
      <c r="AV15" s="23">
        <v>0</v>
      </c>
      <c r="AW15" s="22">
        <v>0</v>
      </c>
      <c r="AX15" s="21">
        <f t="shared" si="14"/>
        <v>0</v>
      </c>
      <c r="AY15" s="23">
        <f t="shared" ref="AY15:AZ18" si="26">SUM(AP15,AS15,AV15)</f>
        <v>0</v>
      </c>
      <c r="AZ15" s="22">
        <f t="shared" si="26"/>
        <v>0</v>
      </c>
      <c r="BA15" s="21">
        <f t="shared" si="15"/>
        <v>0</v>
      </c>
      <c r="BB15" s="23">
        <f t="shared" ref="BB15:BC18" si="27">SUM(F15,I15,L15,R15,U15,X15,AD15,AG15,AJ15,AP15,AS15,AV15)</f>
        <v>0</v>
      </c>
      <c r="BC15" s="22">
        <f t="shared" si="27"/>
        <v>0</v>
      </c>
      <c r="BD15" s="21">
        <f t="shared" si="16"/>
        <v>0</v>
      </c>
      <c r="BE15" s="175">
        <v>0</v>
      </c>
      <c r="BF15" s="19">
        <v>0</v>
      </c>
      <c r="BG15" s="23">
        <f>BB15+BE15+BF15</f>
        <v>0</v>
      </c>
    </row>
    <row r="16" spans="1:59" s="124" customFormat="1" ht="13.5" hidden="1" customHeight="1" outlineLevel="1" x14ac:dyDescent="0.25">
      <c r="A16" s="82"/>
      <c r="B16" s="83" t="s">
        <v>29</v>
      </c>
      <c r="C16" s="117" t="s">
        <v>27</v>
      </c>
      <c r="D16" s="19">
        <v>0</v>
      </c>
      <c r="E16" s="19">
        <v>0</v>
      </c>
      <c r="F16" s="23">
        <v>0</v>
      </c>
      <c r="G16" s="22">
        <v>0</v>
      </c>
      <c r="H16" s="21">
        <f t="shared" si="0"/>
        <v>0</v>
      </c>
      <c r="I16" s="23">
        <v>0</v>
      </c>
      <c r="J16" s="22">
        <v>0</v>
      </c>
      <c r="K16" s="21">
        <f t="shared" si="1"/>
        <v>0</v>
      </c>
      <c r="L16" s="23">
        <v>0</v>
      </c>
      <c r="M16" s="22">
        <v>0</v>
      </c>
      <c r="N16" s="21">
        <f t="shared" si="2"/>
        <v>0</v>
      </c>
      <c r="O16" s="23">
        <f t="shared" si="23"/>
        <v>0</v>
      </c>
      <c r="P16" s="22">
        <f t="shared" si="23"/>
        <v>0</v>
      </c>
      <c r="Q16" s="21">
        <f t="shared" si="3"/>
        <v>0</v>
      </c>
      <c r="R16" s="23">
        <v>0</v>
      </c>
      <c r="S16" s="22">
        <v>0</v>
      </c>
      <c r="T16" s="21">
        <f t="shared" si="4"/>
        <v>0</v>
      </c>
      <c r="U16" s="23">
        <v>0</v>
      </c>
      <c r="V16" s="22">
        <v>0</v>
      </c>
      <c r="W16" s="21">
        <f t="shared" si="5"/>
        <v>0</v>
      </c>
      <c r="X16" s="23">
        <v>0</v>
      </c>
      <c r="Y16" s="22">
        <v>0</v>
      </c>
      <c r="Z16" s="21">
        <f t="shared" si="6"/>
        <v>0</v>
      </c>
      <c r="AA16" s="23">
        <f t="shared" si="24"/>
        <v>0</v>
      </c>
      <c r="AB16" s="22">
        <f t="shared" si="24"/>
        <v>0</v>
      </c>
      <c r="AC16" s="21">
        <f t="shared" si="7"/>
        <v>0</v>
      </c>
      <c r="AD16" s="23">
        <v>0</v>
      </c>
      <c r="AE16" s="22">
        <v>0</v>
      </c>
      <c r="AF16" s="21">
        <f t="shared" si="8"/>
        <v>0</v>
      </c>
      <c r="AG16" s="23">
        <v>0</v>
      </c>
      <c r="AH16" s="22">
        <v>0</v>
      </c>
      <c r="AI16" s="21">
        <f t="shared" si="9"/>
        <v>0</v>
      </c>
      <c r="AJ16" s="23">
        <v>0</v>
      </c>
      <c r="AK16" s="22">
        <v>0</v>
      </c>
      <c r="AL16" s="21">
        <f t="shared" si="10"/>
        <v>0</v>
      </c>
      <c r="AM16" s="23">
        <f t="shared" si="25"/>
        <v>0</v>
      </c>
      <c r="AN16" s="22">
        <f t="shared" si="25"/>
        <v>0</v>
      </c>
      <c r="AO16" s="21">
        <f t="shared" si="11"/>
        <v>0</v>
      </c>
      <c r="AP16" s="23">
        <v>0</v>
      </c>
      <c r="AQ16" s="22">
        <v>0</v>
      </c>
      <c r="AR16" s="21">
        <f t="shared" si="12"/>
        <v>0</v>
      </c>
      <c r="AS16" s="23">
        <v>0</v>
      </c>
      <c r="AT16" s="22">
        <v>0</v>
      </c>
      <c r="AU16" s="21">
        <f t="shared" si="13"/>
        <v>0</v>
      </c>
      <c r="AV16" s="23">
        <v>0</v>
      </c>
      <c r="AW16" s="22">
        <v>0</v>
      </c>
      <c r="AX16" s="21">
        <f t="shared" si="14"/>
        <v>0</v>
      </c>
      <c r="AY16" s="23">
        <f t="shared" si="26"/>
        <v>0</v>
      </c>
      <c r="AZ16" s="22">
        <f t="shared" si="26"/>
        <v>0</v>
      </c>
      <c r="BA16" s="21">
        <f t="shared" si="15"/>
        <v>0</v>
      </c>
      <c r="BB16" s="23">
        <f t="shared" si="27"/>
        <v>0</v>
      </c>
      <c r="BC16" s="22">
        <f t="shared" si="27"/>
        <v>0</v>
      </c>
      <c r="BD16" s="21">
        <f t="shared" si="16"/>
        <v>0</v>
      </c>
      <c r="BE16" s="175">
        <v>0</v>
      </c>
      <c r="BF16" s="19">
        <v>0</v>
      </c>
      <c r="BG16" s="23">
        <f t="shared" ref="BG16:BG18" si="28">BB16+BE16+BF16</f>
        <v>0</v>
      </c>
    </row>
    <row r="17" spans="1:59" s="124" customFormat="1" ht="13.5" hidden="1" customHeight="1" outlineLevel="1" x14ac:dyDescent="0.25">
      <c r="A17" s="82"/>
      <c r="B17" s="83" t="s">
        <v>30</v>
      </c>
      <c r="C17" s="117" t="s">
        <v>27</v>
      </c>
      <c r="D17" s="19">
        <v>0</v>
      </c>
      <c r="E17" s="19">
        <v>0</v>
      </c>
      <c r="F17" s="23">
        <v>0</v>
      </c>
      <c r="G17" s="22">
        <v>0</v>
      </c>
      <c r="H17" s="21">
        <f t="shared" si="0"/>
        <v>0</v>
      </c>
      <c r="I17" s="23">
        <v>0</v>
      </c>
      <c r="J17" s="22">
        <v>0</v>
      </c>
      <c r="K17" s="21">
        <f t="shared" si="1"/>
        <v>0</v>
      </c>
      <c r="L17" s="23">
        <v>0</v>
      </c>
      <c r="M17" s="22">
        <v>0</v>
      </c>
      <c r="N17" s="21">
        <f t="shared" si="2"/>
        <v>0</v>
      </c>
      <c r="O17" s="23">
        <f t="shared" si="23"/>
        <v>0</v>
      </c>
      <c r="P17" s="22">
        <f t="shared" si="23"/>
        <v>0</v>
      </c>
      <c r="Q17" s="21">
        <f t="shared" si="3"/>
        <v>0</v>
      </c>
      <c r="R17" s="23">
        <v>0</v>
      </c>
      <c r="S17" s="22">
        <v>0</v>
      </c>
      <c r="T17" s="21">
        <f t="shared" si="4"/>
        <v>0</v>
      </c>
      <c r="U17" s="23">
        <v>0</v>
      </c>
      <c r="V17" s="22">
        <v>0</v>
      </c>
      <c r="W17" s="21">
        <f t="shared" si="5"/>
        <v>0</v>
      </c>
      <c r="X17" s="23">
        <v>0</v>
      </c>
      <c r="Y17" s="22">
        <v>0</v>
      </c>
      <c r="Z17" s="21">
        <f t="shared" si="6"/>
        <v>0</v>
      </c>
      <c r="AA17" s="23">
        <f t="shared" si="24"/>
        <v>0</v>
      </c>
      <c r="AB17" s="22">
        <f t="shared" si="24"/>
        <v>0</v>
      </c>
      <c r="AC17" s="21">
        <f t="shared" si="7"/>
        <v>0</v>
      </c>
      <c r="AD17" s="23">
        <v>0</v>
      </c>
      <c r="AE17" s="22">
        <v>0</v>
      </c>
      <c r="AF17" s="21">
        <f t="shared" si="8"/>
        <v>0</v>
      </c>
      <c r="AG17" s="23">
        <v>0</v>
      </c>
      <c r="AH17" s="22">
        <v>0</v>
      </c>
      <c r="AI17" s="21">
        <f t="shared" si="9"/>
        <v>0</v>
      </c>
      <c r="AJ17" s="23">
        <v>0</v>
      </c>
      <c r="AK17" s="22">
        <v>0</v>
      </c>
      <c r="AL17" s="21">
        <f t="shared" si="10"/>
        <v>0</v>
      </c>
      <c r="AM17" s="23">
        <f t="shared" si="25"/>
        <v>0</v>
      </c>
      <c r="AN17" s="22">
        <f t="shared" si="25"/>
        <v>0</v>
      </c>
      <c r="AO17" s="21">
        <f t="shared" si="11"/>
        <v>0</v>
      </c>
      <c r="AP17" s="23">
        <v>0</v>
      </c>
      <c r="AQ17" s="22">
        <v>0</v>
      </c>
      <c r="AR17" s="21">
        <f t="shared" si="12"/>
        <v>0</v>
      </c>
      <c r="AS17" s="23">
        <v>0</v>
      </c>
      <c r="AT17" s="22">
        <v>0</v>
      </c>
      <c r="AU17" s="21">
        <f t="shared" si="13"/>
        <v>0</v>
      </c>
      <c r="AV17" s="23">
        <v>0</v>
      </c>
      <c r="AW17" s="22">
        <v>0</v>
      </c>
      <c r="AX17" s="21">
        <f t="shared" si="14"/>
        <v>0</v>
      </c>
      <c r="AY17" s="23">
        <f t="shared" si="26"/>
        <v>0</v>
      </c>
      <c r="AZ17" s="22">
        <f t="shared" si="26"/>
        <v>0</v>
      </c>
      <c r="BA17" s="21">
        <f t="shared" si="15"/>
        <v>0</v>
      </c>
      <c r="BB17" s="23">
        <f t="shared" si="27"/>
        <v>0</v>
      </c>
      <c r="BC17" s="22">
        <f t="shared" si="27"/>
        <v>0</v>
      </c>
      <c r="BD17" s="21">
        <f t="shared" si="16"/>
        <v>0</v>
      </c>
      <c r="BE17" s="175">
        <v>0</v>
      </c>
      <c r="BF17" s="19">
        <v>0</v>
      </c>
      <c r="BG17" s="23">
        <f t="shared" si="28"/>
        <v>0</v>
      </c>
    </row>
    <row r="18" spans="1:59" s="124" customFormat="1" ht="13.5" hidden="1" customHeight="1" outlineLevel="1" thickBot="1" x14ac:dyDescent="0.3">
      <c r="A18" s="82"/>
      <c r="B18" s="83" t="s">
        <v>31</v>
      </c>
      <c r="C18" s="117" t="s">
        <v>27</v>
      </c>
      <c r="D18" s="19">
        <v>0</v>
      </c>
      <c r="E18" s="19">
        <v>0</v>
      </c>
      <c r="F18" s="23">
        <v>0</v>
      </c>
      <c r="G18" s="22">
        <v>0</v>
      </c>
      <c r="H18" s="21">
        <f t="shared" si="0"/>
        <v>0</v>
      </c>
      <c r="I18" s="23">
        <v>0</v>
      </c>
      <c r="J18" s="22">
        <v>0</v>
      </c>
      <c r="K18" s="21">
        <f t="shared" si="1"/>
        <v>0</v>
      </c>
      <c r="L18" s="23">
        <v>0</v>
      </c>
      <c r="M18" s="22">
        <v>0</v>
      </c>
      <c r="N18" s="21">
        <f t="shared" si="2"/>
        <v>0</v>
      </c>
      <c r="O18" s="23">
        <f t="shared" si="23"/>
        <v>0</v>
      </c>
      <c r="P18" s="22">
        <f t="shared" si="23"/>
        <v>0</v>
      </c>
      <c r="Q18" s="21">
        <f t="shared" si="3"/>
        <v>0</v>
      </c>
      <c r="R18" s="23">
        <v>0</v>
      </c>
      <c r="S18" s="22">
        <v>0</v>
      </c>
      <c r="T18" s="21">
        <f t="shared" si="4"/>
        <v>0</v>
      </c>
      <c r="U18" s="23">
        <v>0</v>
      </c>
      <c r="V18" s="22">
        <v>0</v>
      </c>
      <c r="W18" s="21">
        <f t="shared" si="5"/>
        <v>0</v>
      </c>
      <c r="X18" s="23">
        <v>0</v>
      </c>
      <c r="Y18" s="22">
        <v>0</v>
      </c>
      <c r="Z18" s="21">
        <f t="shared" si="6"/>
        <v>0</v>
      </c>
      <c r="AA18" s="23">
        <f t="shared" si="24"/>
        <v>0</v>
      </c>
      <c r="AB18" s="22">
        <f t="shared" si="24"/>
        <v>0</v>
      </c>
      <c r="AC18" s="21">
        <f t="shared" si="7"/>
        <v>0</v>
      </c>
      <c r="AD18" s="23">
        <v>0</v>
      </c>
      <c r="AE18" s="22">
        <v>0</v>
      </c>
      <c r="AF18" s="21">
        <f t="shared" si="8"/>
        <v>0</v>
      </c>
      <c r="AG18" s="23">
        <v>0</v>
      </c>
      <c r="AH18" s="22">
        <v>0</v>
      </c>
      <c r="AI18" s="21">
        <f t="shared" si="9"/>
        <v>0</v>
      </c>
      <c r="AJ18" s="23">
        <v>0</v>
      </c>
      <c r="AK18" s="22">
        <v>0</v>
      </c>
      <c r="AL18" s="21">
        <f t="shared" si="10"/>
        <v>0</v>
      </c>
      <c r="AM18" s="23">
        <f t="shared" si="25"/>
        <v>0</v>
      </c>
      <c r="AN18" s="22">
        <f t="shared" si="25"/>
        <v>0</v>
      </c>
      <c r="AO18" s="21">
        <f t="shared" si="11"/>
        <v>0</v>
      </c>
      <c r="AP18" s="23">
        <v>0</v>
      </c>
      <c r="AQ18" s="22">
        <v>0</v>
      </c>
      <c r="AR18" s="21">
        <f t="shared" si="12"/>
        <v>0</v>
      </c>
      <c r="AS18" s="23">
        <v>0</v>
      </c>
      <c r="AT18" s="22">
        <v>0</v>
      </c>
      <c r="AU18" s="21">
        <f t="shared" si="13"/>
        <v>0</v>
      </c>
      <c r="AV18" s="23">
        <v>0</v>
      </c>
      <c r="AW18" s="22">
        <v>0</v>
      </c>
      <c r="AX18" s="21">
        <f t="shared" si="14"/>
        <v>0</v>
      </c>
      <c r="AY18" s="23">
        <f t="shared" si="26"/>
        <v>0</v>
      </c>
      <c r="AZ18" s="22">
        <f t="shared" si="26"/>
        <v>0</v>
      </c>
      <c r="BA18" s="21">
        <f t="shared" si="15"/>
        <v>0</v>
      </c>
      <c r="BB18" s="23">
        <f t="shared" si="27"/>
        <v>0</v>
      </c>
      <c r="BC18" s="22">
        <f t="shared" si="27"/>
        <v>0</v>
      </c>
      <c r="BD18" s="21">
        <f t="shared" si="16"/>
        <v>0</v>
      </c>
      <c r="BE18" s="175">
        <v>0</v>
      </c>
      <c r="BF18" s="1">
        <v>0</v>
      </c>
      <c r="BG18" s="23">
        <f t="shared" si="28"/>
        <v>0</v>
      </c>
    </row>
    <row r="19" spans="1:59" s="127" customFormat="1" ht="13.5" collapsed="1" thickBot="1" x14ac:dyDescent="0.3">
      <c r="A19" s="51" t="s">
        <v>34</v>
      </c>
      <c r="B19" s="52" t="s">
        <v>35</v>
      </c>
      <c r="C19" s="116" t="s">
        <v>36</v>
      </c>
      <c r="D19" s="28">
        <f>SUM(D20:D23)</f>
        <v>0</v>
      </c>
      <c r="E19" s="28">
        <f>SUM(E20:E23)</f>
        <v>0</v>
      </c>
      <c r="F19" s="53">
        <f>SUM(F20:F23)</f>
        <v>0</v>
      </c>
      <c r="G19" s="88">
        <f>SUM(G20:G23)</f>
        <v>0</v>
      </c>
      <c r="H19" s="96">
        <f t="shared" si="0"/>
        <v>0</v>
      </c>
      <c r="I19" s="53">
        <f>SUM(I20:I23)</f>
        <v>0</v>
      </c>
      <c r="J19" s="88">
        <f>SUM(J20:J23)</f>
        <v>0</v>
      </c>
      <c r="K19" s="96">
        <f t="shared" si="1"/>
        <v>0</v>
      </c>
      <c r="L19" s="53">
        <f>SUM(L20:L23)</f>
        <v>0</v>
      </c>
      <c r="M19" s="88">
        <f>SUM(M20:M23)</f>
        <v>0</v>
      </c>
      <c r="N19" s="96">
        <f t="shared" si="2"/>
        <v>0</v>
      </c>
      <c r="O19" s="53">
        <f>SUM(O20:O23)</f>
        <v>0</v>
      </c>
      <c r="P19" s="88">
        <f>SUM(P20:P23)</f>
        <v>0</v>
      </c>
      <c r="Q19" s="96">
        <f t="shared" si="3"/>
        <v>0</v>
      </c>
      <c r="R19" s="53">
        <f>SUM(R20:R23)</f>
        <v>0</v>
      </c>
      <c r="S19" s="88">
        <f>SUM(S20:S23)</f>
        <v>0</v>
      </c>
      <c r="T19" s="96">
        <f t="shared" si="4"/>
        <v>0</v>
      </c>
      <c r="U19" s="53">
        <f>SUM(U20:U23)</f>
        <v>0</v>
      </c>
      <c r="V19" s="88">
        <f>SUM(V20:V23)</f>
        <v>0</v>
      </c>
      <c r="W19" s="96">
        <f t="shared" si="5"/>
        <v>0</v>
      </c>
      <c r="X19" s="53">
        <f>SUM(X20:X23)</f>
        <v>0</v>
      </c>
      <c r="Y19" s="88">
        <f>SUM(Y20:Y23)</f>
        <v>0</v>
      </c>
      <c r="Z19" s="96">
        <f t="shared" si="6"/>
        <v>0</v>
      </c>
      <c r="AA19" s="53">
        <f>SUM(AA20:AA23)</f>
        <v>0</v>
      </c>
      <c r="AB19" s="88">
        <f>SUM(AB20:AB23)</f>
        <v>0</v>
      </c>
      <c r="AC19" s="96">
        <f t="shared" si="7"/>
        <v>0</v>
      </c>
      <c r="AD19" s="53">
        <f>SUM(AD20:AD23)</f>
        <v>0</v>
      </c>
      <c r="AE19" s="88">
        <f>SUM(AE20:AE23)</f>
        <v>0</v>
      </c>
      <c r="AF19" s="96">
        <f t="shared" si="8"/>
        <v>0</v>
      </c>
      <c r="AG19" s="53">
        <f>SUM(AG20:AG23)</f>
        <v>0</v>
      </c>
      <c r="AH19" s="88">
        <f>SUM(AH20:AH23)</f>
        <v>0</v>
      </c>
      <c r="AI19" s="96">
        <f t="shared" si="9"/>
        <v>0</v>
      </c>
      <c r="AJ19" s="53">
        <f>SUM(AJ20:AJ23)</f>
        <v>0</v>
      </c>
      <c r="AK19" s="88">
        <f>SUM(AK20:AK23)</f>
        <v>0</v>
      </c>
      <c r="AL19" s="96">
        <f t="shared" si="10"/>
        <v>0</v>
      </c>
      <c r="AM19" s="53">
        <f>SUM(AM20:AM23)</f>
        <v>0</v>
      </c>
      <c r="AN19" s="88">
        <f>SUM(AN20:AN23)</f>
        <v>0</v>
      </c>
      <c r="AO19" s="96">
        <f t="shared" si="11"/>
        <v>0</v>
      </c>
      <c r="AP19" s="53">
        <f>SUM(AP20:AP23)</f>
        <v>0</v>
      </c>
      <c r="AQ19" s="88">
        <f>SUM(AQ20:AQ23)</f>
        <v>0</v>
      </c>
      <c r="AR19" s="96">
        <f t="shared" si="12"/>
        <v>0</v>
      </c>
      <c r="AS19" s="53">
        <f>SUM(AS20:AS23)</f>
        <v>0</v>
      </c>
      <c r="AT19" s="88">
        <f>SUM(AT20:AT23)</f>
        <v>0</v>
      </c>
      <c r="AU19" s="96">
        <f t="shared" si="13"/>
        <v>0</v>
      </c>
      <c r="AV19" s="53">
        <f>SUM(AV20:AV23)</f>
        <v>0</v>
      </c>
      <c r="AW19" s="88">
        <f>SUM(AW20:AW23)</f>
        <v>0</v>
      </c>
      <c r="AX19" s="96">
        <f t="shared" si="14"/>
        <v>0</v>
      </c>
      <c r="AY19" s="53">
        <f>SUM(AY20:AY23)</f>
        <v>0</v>
      </c>
      <c r="AZ19" s="88">
        <f>SUM(AZ20:AZ23)</f>
        <v>0</v>
      </c>
      <c r="BA19" s="96">
        <f t="shared" si="15"/>
        <v>0</v>
      </c>
      <c r="BB19" s="53">
        <f>SUM(BB20:BB23)</f>
        <v>0</v>
      </c>
      <c r="BC19" s="88">
        <f>SUM(BC20:BC23)</f>
        <v>0</v>
      </c>
      <c r="BD19" s="96">
        <f t="shared" si="16"/>
        <v>0</v>
      </c>
      <c r="BE19" s="53">
        <f>SUM(BE20:BE23)</f>
        <v>0</v>
      </c>
      <c r="BF19" s="53">
        <f>SUM(BF20:BF23)</f>
        <v>0</v>
      </c>
      <c r="BG19" s="53">
        <f>SUM(BG20:BG23)</f>
        <v>0</v>
      </c>
    </row>
    <row r="20" spans="1:59" s="127" customFormat="1" ht="13.5" hidden="1" outlineLevel="1" x14ac:dyDescent="0.25">
      <c r="A20" s="27"/>
      <c r="B20" s="83" t="s">
        <v>28</v>
      </c>
      <c r="C20" s="117" t="s">
        <v>36</v>
      </c>
      <c r="D20" s="19">
        <v>0</v>
      </c>
      <c r="E20" s="19">
        <v>0</v>
      </c>
      <c r="F20" s="23">
        <v>0</v>
      </c>
      <c r="G20" s="22">
        <v>0</v>
      </c>
      <c r="H20" s="21">
        <f t="shared" si="0"/>
        <v>0</v>
      </c>
      <c r="I20" s="23">
        <v>0</v>
      </c>
      <c r="J20" s="22">
        <v>0</v>
      </c>
      <c r="K20" s="21">
        <f t="shared" si="1"/>
        <v>0</v>
      </c>
      <c r="L20" s="23">
        <v>0</v>
      </c>
      <c r="M20" s="22">
        <v>0</v>
      </c>
      <c r="N20" s="21">
        <f t="shared" si="2"/>
        <v>0</v>
      </c>
      <c r="O20" s="23">
        <f t="shared" ref="O20:P23" si="29">SUM(F20,I20,L20)</f>
        <v>0</v>
      </c>
      <c r="P20" s="22">
        <f t="shared" si="29"/>
        <v>0</v>
      </c>
      <c r="Q20" s="21">
        <f t="shared" si="3"/>
        <v>0</v>
      </c>
      <c r="R20" s="23">
        <v>0</v>
      </c>
      <c r="S20" s="22">
        <v>0</v>
      </c>
      <c r="T20" s="21">
        <f t="shared" si="4"/>
        <v>0</v>
      </c>
      <c r="U20" s="23">
        <v>0</v>
      </c>
      <c r="V20" s="22">
        <v>0</v>
      </c>
      <c r="W20" s="21">
        <f t="shared" si="5"/>
        <v>0</v>
      </c>
      <c r="X20" s="23">
        <v>0</v>
      </c>
      <c r="Y20" s="22">
        <v>0</v>
      </c>
      <c r="Z20" s="21">
        <f t="shared" si="6"/>
        <v>0</v>
      </c>
      <c r="AA20" s="23">
        <f t="shared" ref="AA20:AB23" si="30">SUM(R20,U20,X20)</f>
        <v>0</v>
      </c>
      <c r="AB20" s="22">
        <f t="shared" si="30"/>
        <v>0</v>
      </c>
      <c r="AC20" s="21">
        <f t="shared" si="7"/>
        <v>0</v>
      </c>
      <c r="AD20" s="23">
        <v>0</v>
      </c>
      <c r="AE20" s="22">
        <v>0</v>
      </c>
      <c r="AF20" s="21">
        <f t="shared" si="8"/>
        <v>0</v>
      </c>
      <c r="AG20" s="23">
        <v>0</v>
      </c>
      <c r="AH20" s="22">
        <v>0</v>
      </c>
      <c r="AI20" s="21">
        <f t="shared" si="9"/>
        <v>0</v>
      </c>
      <c r="AJ20" s="23">
        <v>0</v>
      </c>
      <c r="AK20" s="22">
        <v>0</v>
      </c>
      <c r="AL20" s="21">
        <f t="shared" si="10"/>
        <v>0</v>
      </c>
      <c r="AM20" s="23">
        <f t="shared" ref="AM20:AN23" si="31">SUM(AD20,AG20,AJ20)</f>
        <v>0</v>
      </c>
      <c r="AN20" s="22">
        <f t="shared" si="31"/>
        <v>0</v>
      </c>
      <c r="AO20" s="21">
        <f t="shared" si="11"/>
        <v>0</v>
      </c>
      <c r="AP20" s="23">
        <v>0</v>
      </c>
      <c r="AQ20" s="22">
        <v>0</v>
      </c>
      <c r="AR20" s="21">
        <f t="shared" si="12"/>
        <v>0</v>
      </c>
      <c r="AS20" s="23">
        <v>0</v>
      </c>
      <c r="AT20" s="22">
        <v>0</v>
      </c>
      <c r="AU20" s="21">
        <f t="shared" si="13"/>
        <v>0</v>
      </c>
      <c r="AV20" s="23">
        <v>0</v>
      </c>
      <c r="AW20" s="22">
        <v>0</v>
      </c>
      <c r="AX20" s="21">
        <f t="shared" si="14"/>
        <v>0</v>
      </c>
      <c r="AY20" s="23">
        <f t="shared" ref="AY20:AZ23" si="32">SUM(AP20,AS20,AV20)</f>
        <v>0</v>
      </c>
      <c r="AZ20" s="22">
        <f t="shared" si="32"/>
        <v>0</v>
      </c>
      <c r="BA20" s="21">
        <f t="shared" si="15"/>
        <v>0</v>
      </c>
      <c r="BB20" s="23">
        <f t="shared" ref="BB20:BC23" si="33">SUM(F20,I20,L20,R20,U20,X20,AD20,AG20,AJ20,AP20,AS20,AV20)</f>
        <v>0</v>
      </c>
      <c r="BC20" s="22">
        <f t="shared" si="33"/>
        <v>0</v>
      </c>
      <c r="BD20" s="21">
        <f t="shared" si="16"/>
        <v>0</v>
      </c>
      <c r="BE20" s="175">
        <v>0</v>
      </c>
      <c r="BF20" s="19">
        <v>0</v>
      </c>
      <c r="BG20" s="23">
        <f>BB20+BE20+BF20</f>
        <v>0</v>
      </c>
    </row>
    <row r="21" spans="1:59" s="124" customFormat="1" ht="13.5" hidden="1" customHeight="1" outlineLevel="1" x14ac:dyDescent="0.25">
      <c r="A21" s="82"/>
      <c r="B21" s="83" t="s">
        <v>29</v>
      </c>
      <c r="C21" s="117" t="s">
        <v>36</v>
      </c>
      <c r="D21" s="19">
        <v>0</v>
      </c>
      <c r="E21" s="19">
        <v>0</v>
      </c>
      <c r="F21" s="23">
        <v>0</v>
      </c>
      <c r="G21" s="22">
        <v>0</v>
      </c>
      <c r="H21" s="21">
        <f t="shared" si="0"/>
        <v>0</v>
      </c>
      <c r="I21" s="23">
        <v>0</v>
      </c>
      <c r="J21" s="22">
        <v>0</v>
      </c>
      <c r="K21" s="21">
        <f t="shared" si="1"/>
        <v>0</v>
      </c>
      <c r="L21" s="23">
        <v>0</v>
      </c>
      <c r="M21" s="22">
        <v>0</v>
      </c>
      <c r="N21" s="21">
        <f t="shared" si="2"/>
        <v>0</v>
      </c>
      <c r="O21" s="23">
        <f t="shared" si="29"/>
        <v>0</v>
      </c>
      <c r="P21" s="22">
        <f t="shared" si="29"/>
        <v>0</v>
      </c>
      <c r="Q21" s="21">
        <f t="shared" si="3"/>
        <v>0</v>
      </c>
      <c r="R21" s="23">
        <v>0</v>
      </c>
      <c r="S21" s="22">
        <v>0</v>
      </c>
      <c r="T21" s="21">
        <f t="shared" si="4"/>
        <v>0</v>
      </c>
      <c r="U21" s="23">
        <v>0</v>
      </c>
      <c r="V21" s="22">
        <v>0</v>
      </c>
      <c r="W21" s="21">
        <f t="shared" si="5"/>
        <v>0</v>
      </c>
      <c r="X21" s="23">
        <v>0</v>
      </c>
      <c r="Y21" s="22">
        <v>0</v>
      </c>
      <c r="Z21" s="21">
        <f t="shared" si="6"/>
        <v>0</v>
      </c>
      <c r="AA21" s="23">
        <f t="shared" si="30"/>
        <v>0</v>
      </c>
      <c r="AB21" s="22">
        <f t="shared" si="30"/>
        <v>0</v>
      </c>
      <c r="AC21" s="21">
        <f t="shared" si="7"/>
        <v>0</v>
      </c>
      <c r="AD21" s="23">
        <v>0</v>
      </c>
      <c r="AE21" s="22">
        <v>0</v>
      </c>
      <c r="AF21" s="21">
        <f t="shared" si="8"/>
        <v>0</v>
      </c>
      <c r="AG21" s="23">
        <v>0</v>
      </c>
      <c r="AH21" s="22">
        <v>0</v>
      </c>
      <c r="AI21" s="21">
        <f t="shared" si="9"/>
        <v>0</v>
      </c>
      <c r="AJ21" s="23">
        <v>0</v>
      </c>
      <c r="AK21" s="22">
        <v>0</v>
      </c>
      <c r="AL21" s="21">
        <f t="shared" si="10"/>
        <v>0</v>
      </c>
      <c r="AM21" s="23">
        <f t="shared" si="31"/>
        <v>0</v>
      </c>
      <c r="AN21" s="22">
        <f t="shared" si="31"/>
        <v>0</v>
      </c>
      <c r="AO21" s="21">
        <f t="shared" si="11"/>
        <v>0</v>
      </c>
      <c r="AP21" s="23">
        <v>0</v>
      </c>
      <c r="AQ21" s="22">
        <v>0</v>
      </c>
      <c r="AR21" s="21">
        <f t="shared" si="12"/>
        <v>0</v>
      </c>
      <c r="AS21" s="23">
        <v>0</v>
      </c>
      <c r="AT21" s="22">
        <v>0</v>
      </c>
      <c r="AU21" s="21">
        <f t="shared" si="13"/>
        <v>0</v>
      </c>
      <c r="AV21" s="23">
        <v>0</v>
      </c>
      <c r="AW21" s="22">
        <v>0</v>
      </c>
      <c r="AX21" s="21">
        <f t="shared" si="14"/>
        <v>0</v>
      </c>
      <c r="AY21" s="23">
        <f t="shared" si="32"/>
        <v>0</v>
      </c>
      <c r="AZ21" s="22">
        <f t="shared" si="32"/>
        <v>0</v>
      </c>
      <c r="BA21" s="21">
        <f t="shared" si="15"/>
        <v>0</v>
      </c>
      <c r="BB21" s="23">
        <f t="shared" si="33"/>
        <v>0</v>
      </c>
      <c r="BC21" s="22">
        <f t="shared" si="33"/>
        <v>0</v>
      </c>
      <c r="BD21" s="21">
        <f t="shared" si="16"/>
        <v>0</v>
      </c>
      <c r="BE21" s="175">
        <v>0</v>
      </c>
      <c r="BF21" s="19">
        <v>0</v>
      </c>
      <c r="BG21" s="23">
        <f t="shared" ref="BG21:BG23" si="34">BB21+BE21+BF21</f>
        <v>0</v>
      </c>
    </row>
    <row r="22" spans="1:59" s="124" customFormat="1" ht="13.5" hidden="1" customHeight="1" outlineLevel="1" x14ac:dyDescent="0.25">
      <c r="A22" s="82"/>
      <c r="B22" s="83" t="s">
        <v>30</v>
      </c>
      <c r="C22" s="117" t="s">
        <v>36</v>
      </c>
      <c r="D22" s="19">
        <v>0</v>
      </c>
      <c r="E22" s="19">
        <v>0</v>
      </c>
      <c r="F22" s="23">
        <v>0</v>
      </c>
      <c r="G22" s="22">
        <v>0</v>
      </c>
      <c r="H22" s="21">
        <f t="shared" si="0"/>
        <v>0</v>
      </c>
      <c r="I22" s="23">
        <v>0</v>
      </c>
      <c r="J22" s="22">
        <v>0</v>
      </c>
      <c r="K22" s="21">
        <f t="shared" si="1"/>
        <v>0</v>
      </c>
      <c r="L22" s="23">
        <v>0</v>
      </c>
      <c r="M22" s="22">
        <v>0</v>
      </c>
      <c r="N22" s="21">
        <f t="shared" si="2"/>
        <v>0</v>
      </c>
      <c r="O22" s="23">
        <f t="shared" si="29"/>
        <v>0</v>
      </c>
      <c r="P22" s="22">
        <f t="shared" si="29"/>
        <v>0</v>
      </c>
      <c r="Q22" s="21">
        <f t="shared" si="3"/>
        <v>0</v>
      </c>
      <c r="R22" s="23">
        <v>0</v>
      </c>
      <c r="S22" s="22">
        <v>0</v>
      </c>
      <c r="T22" s="21">
        <f t="shared" si="4"/>
        <v>0</v>
      </c>
      <c r="U22" s="23">
        <v>0</v>
      </c>
      <c r="V22" s="22">
        <v>0</v>
      </c>
      <c r="W22" s="21">
        <f t="shared" si="5"/>
        <v>0</v>
      </c>
      <c r="X22" s="23">
        <v>0</v>
      </c>
      <c r="Y22" s="22">
        <v>0</v>
      </c>
      <c r="Z22" s="21">
        <f t="shared" si="6"/>
        <v>0</v>
      </c>
      <c r="AA22" s="23">
        <f t="shared" si="30"/>
        <v>0</v>
      </c>
      <c r="AB22" s="22">
        <f t="shared" si="30"/>
        <v>0</v>
      </c>
      <c r="AC22" s="21">
        <f t="shared" si="7"/>
        <v>0</v>
      </c>
      <c r="AD22" s="23">
        <v>0</v>
      </c>
      <c r="AE22" s="22">
        <v>0</v>
      </c>
      <c r="AF22" s="21">
        <f t="shared" si="8"/>
        <v>0</v>
      </c>
      <c r="AG22" s="23">
        <v>0</v>
      </c>
      <c r="AH22" s="22">
        <v>0</v>
      </c>
      <c r="AI22" s="21">
        <f t="shared" si="9"/>
        <v>0</v>
      </c>
      <c r="AJ22" s="23">
        <v>0</v>
      </c>
      <c r="AK22" s="22">
        <v>0</v>
      </c>
      <c r="AL22" s="21">
        <f t="shared" si="10"/>
        <v>0</v>
      </c>
      <c r="AM22" s="23">
        <f t="shared" si="31"/>
        <v>0</v>
      </c>
      <c r="AN22" s="22">
        <f t="shared" si="31"/>
        <v>0</v>
      </c>
      <c r="AO22" s="21">
        <f t="shared" si="11"/>
        <v>0</v>
      </c>
      <c r="AP22" s="23">
        <v>0</v>
      </c>
      <c r="AQ22" s="22">
        <v>0</v>
      </c>
      <c r="AR22" s="21">
        <f t="shared" si="12"/>
        <v>0</v>
      </c>
      <c r="AS22" s="23">
        <v>0</v>
      </c>
      <c r="AT22" s="22">
        <v>0</v>
      </c>
      <c r="AU22" s="21">
        <f t="shared" si="13"/>
        <v>0</v>
      </c>
      <c r="AV22" s="23">
        <v>0</v>
      </c>
      <c r="AW22" s="22">
        <v>0</v>
      </c>
      <c r="AX22" s="21">
        <f t="shared" si="14"/>
        <v>0</v>
      </c>
      <c r="AY22" s="23">
        <f t="shared" si="32"/>
        <v>0</v>
      </c>
      <c r="AZ22" s="22">
        <f t="shared" si="32"/>
        <v>0</v>
      </c>
      <c r="BA22" s="21">
        <f t="shared" si="15"/>
        <v>0</v>
      </c>
      <c r="BB22" s="23">
        <f t="shared" si="33"/>
        <v>0</v>
      </c>
      <c r="BC22" s="22">
        <f t="shared" si="33"/>
        <v>0</v>
      </c>
      <c r="BD22" s="21">
        <f t="shared" si="16"/>
        <v>0</v>
      </c>
      <c r="BE22" s="175">
        <v>0</v>
      </c>
      <c r="BF22" s="19">
        <v>0</v>
      </c>
      <c r="BG22" s="23">
        <f t="shared" si="34"/>
        <v>0</v>
      </c>
    </row>
    <row r="23" spans="1:59" s="124" customFormat="1" ht="13.5" hidden="1" customHeight="1" outlineLevel="1" thickBot="1" x14ac:dyDescent="0.3">
      <c r="A23" s="82"/>
      <c r="B23" s="83" t="s">
        <v>31</v>
      </c>
      <c r="C23" s="117" t="s">
        <v>36</v>
      </c>
      <c r="D23" s="19">
        <v>0</v>
      </c>
      <c r="E23" s="19">
        <v>0</v>
      </c>
      <c r="F23" s="23">
        <v>0</v>
      </c>
      <c r="G23" s="22">
        <v>0</v>
      </c>
      <c r="H23" s="21">
        <f t="shared" si="0"/>
        <v>0</v>
      </c>
      <c r="I23" s="23">
        <v>0</v>
      </c>
      <c r="J23" s="22">
        <v>0</v>
      </c>
      <c r="K23" s="21">
        <f t="shared" si="1"/>
        <v>0</v>
      </c>
      <c r="L23" s="23">
        <v>0</v>
      </c>
      <c r="M23" s="22">
        <v>0</v>
      </c>
      <c r="N23" s="21">
        <f t="shared" si="2"/>
        <v>0</v>
      </c>
      <c r="O23" s="23">
        <f t="shared" si="29"/>
        <v>0</v>
      </c>
      <c r="P23" s="22">
        <f t="shared" si="29"/>
        <v>0</v>
      </c>
      <c r="Q23" s="21">
        <f t="shared" si="3"/>
        <v>0</v>
      </c>
      <c r="R23" s="23">
        <v>0</v>
      </c>
      <c r="S23" s="22">
        <v>0</v>
      </c>
      <c r="T23" s="21">
        <f t="shared" si="4"/>
        <v>0</v>
      </c>
      <c r="U23" s="23">
        <v>0</v>
      </c>
      <c r="V23" s="22">
        <v>0</v>
      </c>
      <c r="W23" s="21">
        <f t="shared" si="5"/>
        <v>0</v>
      </c>
      <c r="X23" s="23">
        <v>0</v>
      </c>
      <c r="Y23" s="22">
        <v>0</v>
      </c>
      <c r="Z23" s="21">
        <f t="shared" si="6"/>
        <v>0</v>
      </c>
      <c r="AA23" s="23">
        <f t="shared" si="30"/>
        <v>0</v>
      </c>
      <c r="AB23" s="22">
        <f t="shared" si="30"/>
        <v>0</v>
      </c>
      <c r="AC23" s="21">
        <f t="shared" si="7"/>
        <v>0</v>
      </c>
      <c r="AD23" s="23">
        <v>0</v>
      </c>
      <c r="AE23" s="22">
        <v>0</v>
      </c>
      <c r="AF23" s="21">
        <f t="shared" si="8"/>
        <v>0</v>
      </c>
      <c r="AG23" s="23">
        <v>0</v>
      </c>
      <c r="AH23" s="22">
        <v>0</v>
      </c>
      <c r="AI23" s="21">
        <f t="shared" si="9"/>
        <v>0</v>
      </c>
      <c r="AJ23" s="23">
        <v>0</v>
      </c>
      <c r="AK23" s="22">
        <v>0</v>
      </c>
      <c r="AL23" s="21">
        <f t="shared" si="10"/>
        <v>0</v>
      </c>
      <c r="AM23" s="23">
        <f t="shared" si="31"/>
        <v>0</v>
      </c>
      <c r="AN23" s="22">
        <f t="shared" si="31"/>
        <v>0</v>
      </c>
      <c r="AO23" s="21">
        <f t="shared" si="11"/>
        <v>0</v>
      </c>
      <c r="AP23" s="23">
        <v>0</v>
      </c>
      <c r="AQ23" s="22">
        <v>0</v>
      </c>
      <c r="AR23" s="21">
        <f t="shared" si="12"/>
        <v>0</v>
      </c>
      <c r="AS23" s="23">
        <v>0</v>
      </c>
      <c r="AT23" s="22">
        <v>0</v>
      </c>
      <c r="AU23" s="21">
        <f t="shared" si="13"/>
        <v>0</v>
      </c>
      <c r="AV23" s="23">
        <v>0</v>
      </c>
      <c r="AW23" s="22">
        <v>0</v>
      </c>
      <c r="AX23" s="21">
        <f t="shared" si="14"/>
        <v>0</v>
      </c>
      <c r="AY23" s="23">
        <f t="shared" si="32"/>
        <v>0</v>
      </c>
      <c r="AZ23" s="22">
        <f t="shared" si="32"/>
        <v>0</v>
      </c>
      <c r="BA23" s="21">
        <f t="shared" si="15"/>
        <v>0</v>
      </c>
      <c r="BB23" s="23">
        <f t="shared" si="33"/>
        <v>0</v>
      </c>
      <c r="BC23" s="22">
        <f t="shared" si="33"/>
        <v>0</v>
      </c>
      <c r="BD23" s="21">
        <f t="shared" si="16"/>
        <v>0</v>
      </c>
      <c r="BE23" s="175">
        <v>0</v>
      </c>
      <c r="BF23" s="1">
        <v>0</v>
      </c>
      <c r="BG23" s="23">
        <f t="shared" si="34"/>
        <v>0</v>
      </c>
    </row>
    <row r="24" spans="1:59" s="127" customFormat="1" ht="13.5" collapsed="1" thickBot="1" x14ac:dyDescent="0.3">
      <c r="A24" s="51" t="s">
        <v>37</v>
      </c>
      <c r="B24" s="52" t="s">
        <v>38</v>
      </c>
      <c r="C24" s="116" t="s">
        <v>36</v>
      </c>
      <c r="D24" s="28">
        <f>SUM(D25:D28)</f>
        <v>0</v>
      </c>
      <c r="E24" s="28">
        <f>SUM(E25:E28)</f>
        <v>0</v>
      </c>
      <c r="F24" s="53">
        <f>SUM(F25:F28)</f>
        <v>0</v>
      </c>
      <c r="G24" s="88">
        <f>SUM(G25:G28)</f>
        <v>0</v>
      </c>
      <c r="H24" s="96">
        <f t="shared" si="0"/>
        <v>0</v>
      </c>
      <c r="I24" s="53">
        <f>SUM(I25:I28)</f>
        <v>0</v>
      </c>
      <c r="J24" s="88">
        <f>SUM(J25:J28)</f>
        <v>0</v>
      </c>
      <c r="K24" s="96">
        <f t="shared" si="1"/>
        <v>0</v>
      </c>
      <c r="L24" s="53">
        <f>SUM(L25:L28)</f>
        <v>0</v>
      </c>
      <c r="M24" s="88">
        <f>SUM(M25:M28)</f>
        <v>0</v>
      </c>
      <c r="N24" s="96">
        <f t="shared" si="2"/>
        <v>0</v>
      </c>
      <c r="O24" s="53">
        <f>SUM(O25:O28)</f>
        <v>0</v>
      </c>
      <c r="P24" s="88">
        <f>SUM(P25:P28)</f>
        <v>0</v>
      </c>
      <c r="Q24" s="96">
        <f t="shared" si="3"/>
        <v>0</v>
      </c>
      <c r="R24" s="53">
        <f>SUM(R25:R28)</f>
        <v>0</v>
      </c>
      <c r="S24" s="88">
        <f>SUM(S25:S28)</f>
        <v>0</v>
      </c>
      <c r="T24" s="96">
        <f t="shared" si="4"/>
        <v>0</v>
      </c>
      <c r="U24" s="53">
        <f>SUM(U25:U28)</f>
        <v>0</v>
      </c>
      <c r="V24" s="88">
        <f>SUM(V25:V28)</f>
        <v>0</v>
      </c>
      <c r="W24" s="96">
        <f t="shared" si="5"/>
        <v>0</v>
      </c>
      <c r="X24" s="53">
        <f>SUM(X25:X28)</f>
        <v>0</v>
      </c>
      <c r="Y24" s="88">
        <f>SUM(Y25:Y28)</f>
        <v>0</v>
      </c>
      <c r="Z24" s="96">
        <f t="shared" si="6"/>
        <v>0</v>
      </c>
      <c r="AA24" s="53">
        <f>SUM(AA25:AA28)</f>
        <v>0</v>
      </c>
      <c r="AB24" s="88">
        <f>SUM(AB25:AB28)</f>
        <v>0</v>
      </c>
      <c r="AC24" s="96">
        <f t="shared" si="7"/>
        <v>0</v>
      </c>
      <c r="AD24" s="53">
        <f>SUM(AD25:AD28)</f>
        <v>0</v>
      </c>
      <c r="AE24" s="88">
        <f>SUM(AE25:AE28)</f>
        <v>0</v>
      </c>
      <c r="AF24" s="96">
        <f t="shared" si="8"/>
        <v>0</v>
      </c>
      <c r="AG24" s="53">
        <f>SUM(AG25:AG28)</f>
        <v>0</v>
      </c>
      <c r="AH24" s="88">
        <f>SUM(AH25:AH28)</f>
        <v>0</v>
      </c>
      <c r="AI24" s="96">
        <f t="shared" si="9"/>
        <v>0</v>
      </c>
      <c r="AJ24" s="53">
        <f>SUM(AJ25:AJ28)</f>
        <v>0</v>
      </c>
      <c r="AK24" s="88">
        <f>SUM(AK25:AK28)</f>
        <v>0</v>
      </c>
      <c r="AL24" s="96">
        <f t="shared" si="10"/>
        <v>0</v>
      </c>
      <c r="AM24" s="53">
        <f>SUM(AM25:AM28)</f>
        <v>0</v>
      </c>
      <c r="AN24" s="88">
        <f>SUM(AN25:AN28)</f>
        <v>0</v>
      </c>
      <c r="AO24" s="96">
        <f t="shared" si="11"/>
        <v>0</v>
      </c>
      <c r="AP24" s="53">
        <f>SUM(AP25:AP28)</f>
        <v>0</v>
      </c>
      <c r="AQ24" s="88">
        <f>SUM(AQ25:AQ28)</f>
        <v>0</v>
      </c>
      <c r="AR24" s="96">
        <f t="shared" si="12"/>
        <v>0</v>
      </c>
      <c r="AS24" s="53">
        <f>SUM(AS25:AS28)</f>
        <v>0</v>
      </c>
      <c r="AT24" s="88">
        <f>SUM(AT25:AT28)</f>
        <v>0</v>
      </c>
      <c r="AU24" s="96">
        <f t="shared" si="13"/>
        <v>0</v>
      </c>
      <c r="AV24" s="53">
        <f>SUM(AV25:AV28)</f>
        <v>0</v>
      </c>
      <c r="AW24" s="88">
        <f>SUM(AW25:AW28)</f>
        <v>0</v>
      </c>
      <c r="AX24" s="96">
        <f t="shared" si="14"/>
        <v>0</v>
      </c>
      <c r="AY24" s="53">
        <f>SUM(AY25:AY28)</f>
        <v>0</v>
      </c>
      <c r="AZ24" s="88">
        <f>SUM(AZ25:AZ28)</f>
        <v>0</v>
      </c>
      <c r="BA24" s="96">
        <f t="shared" si="15"/>
        <v>0</v>
      </c>
      <c r="BB24" s="53">
        <f>SUM(BB25:BB28)</f>
        <v>0</v>
      </c>
      <c r="BC24" s="88">
        <f>SUM(BC25:BC28)</f>
        <v>0</v>
      </c>
      <c r="BD24" s="96">
        <f t="shared" si="16"/>
        <v>0</v>
      </c>
      <c r="BE24" s="53">
        <f>SUM(BE25:BE28)</f>
        <v>0</v>
      </c>
      <c r="BF24" s="53">
        <f>SUM(BF25:BF28)</f>
        <v>0</v>
      </c>
      <c r="BG24" s="53">
        <f>SUM(BG25:BG28)</f>
        <v>0</v>
      </c>
    </row>
    <row r="25" spans="1:59" s="127" customFormat="1" ht="13.5" hidden="1" outlineLevel="1" x14ac:dyDescent="0.25">
      <c r="A25" s="27"/>
      <c r="B25" s="83" t="s">
        <v>28</v>
      </c>
      <c r="C25" s="117" t="s">
        <v>36</v>
      </c>
      <c r="D25" s="19">
        <v>0</v>
      </c>
      <c r="E25" s="19">
        <v>0</v>
      </c>
      <c r="F25" s="23">
        <v>0</v>
      </c>
      <c r="G25" s="22">
        <v>0</v>
      </c>
      <c r="H25" s="21">
        <f t="shared" si="0"/>
        <v>0</v>
      </c>
      <c r="I25" s="23">
        <v>0</v>
      </c>
      <c r="J25" s="22">
        <v>0</v>
      </c>
      <c r="K25" s="21">
        <f t="shared" si="1"/>
        <v>0</v>
      </c>
      <c r="L25" s="23">
        <v>0</v>
      </c>
      <c r="M25" s="22">
        <v>0</v>
      </c>
      <c r="N25" s="21">
        <f t="shared" si="2"/>
        <v>0</v>
      </c>
      <c r="O25" s="23">
        <f t="shared" ref="O25:P28" si="35">SUM(F25,I25,L25)</f>
        <v>0</v>
      </c>
      <c r="P25" s="22">
        <f t="shared" si="35"/>
        <v>0</v>
      </c>
      <c r="Q25" s="21">
        <f t="shared" si="3"/>
        <v>0</v>
      </c>
      <c r="R25" s="23">
        <v>0</v>
      </c>
      <c r="S25" s="22">
        <v>0</v>
      </c>
      <c r="T25" s="21">
        <f t="shared" si="4"/>
        <v>0</v>
      </c>
      <c r="U25" s="23">
        <v>0</v>
      </c>
      <c r="V25" s="22">
        <v>0</v>
      </c>
      <c r="W25" s="21">
        <f t="shared" si="5"/>
        <v>0</v>
      </c>
      <c r="X25" s="23">
        <v>0</v>
      </c>
      <c r="Y25" s="22">
        <v>0</v>
      </c>
      <c r="Z25" s="21">
        <f t="shared" si="6"/>
        <v>0</v>
      </c>
      <c r="AA25" s="23">
        <f t="shared" ref="AA25:AB28" si="36">SUM(R25,U25,X25)</f>
        <v>0</v>
      </c>
      <c r="AB25" s="22">
        <f t="shared" si="36"/>
        <v>0</v>
      </c>
      <c r="AC25" s="21">
        <f t="shared" si="7"/>
        <v>0</v>
      </c>
      <c r="AD25" s="23">
        <v>0</v>
      </c>
      <c r="AE25" s="22">
        <v>0</v>
      </c>
      <c r="AF25" s="21">
        <f t="shared" si="8"/>
        <v>0</v>
      </c>
      <c r="AG25" s="23">
        <v>0</v>
      </c>
      <c r="AH25" s="22">
        <v>0</v>
      </c>
      <c r="AI25" s="21">
        <f t="shared" si="9"/>
        <v>0</v>
      </c>
      <c r="AJ25" s="23">
        <v>0</v>
      </c>
      <c r="AK25" s="22">
        <v>0</v>
      </c>
      <c r="AL25" s="21">
        <f t="shared" si="10"/>
        <v>0</v>
      </c>
      <c r="AM25" s="23">
        <f t="shared" ref="AM25:AN28" si="37">SUM(AD25,AG25,AJ25)</f>
        <v>0</v>
      </c>
      <c r="AN25" s="22">
        <f t="shared" si="37"/>
        <v>0</v>
      </c>
      <c r="AO25" s="21">
        <f t="shared" si="11"/>
        <v>0</v>
      </c>
      <c r="AP25" s="23">
        <v>0</v>
      </c>
      <c r="AQ25" s="22">
        <v>0</v>
      </c>
      <c r="AR25" s="21">
        <f t="shared" si="12"/>
        <v>0</v>
      </c>
      <c r="AS25" s="23">
        <v>0</v>
      </c>
      <c r="AT25" s="22">
        <v>0</v>
      </c>
      <c r="AU25" s="21">
        <f t="shared" si="13"/>
        <v>0</v>
      </c>
      <c r="AV25" s="23">
        <v>0</v>
      </c>
      <c r="AW25" s="22">
        <v>0</v>
      </c>
      <c r="AX25" s="21">
        <f t="shared" si="14"/>
        <v>0</v>
      </c>
      <c r="AY25" s="23">
        <f t="shared" ref="AY25:AZ28" si="38">SUM(AP25,AS25,AV25)</f>
        <v>0</v>
      </c>
      <c r="AZ25" s="22">
        <f t="shared" si="38"/>
        <v>0</v>
      </c>
      <c r="BA25" s="21">
        <f t="shared" si="15"/>
        <v>0</v>
      </c>
      <c r="BB25" s="23">
        <f t="shared" ref="BB25:BC28" si="39">SUM(F25,I25,L25,R25,U25,X25,AD25,AG25,AJ25,AP25,AS25,AV25)</f>
        <v>0</v>
      </c>
      <c r="BC25" s="22">
        <f t="shared" si="39"/>
        <v>0</v>
      </c>
      <c r="BD25" s="21">
        <f t="shared" si="16"/>
        <v>0</v>
      </c>
      <c r="BE25" s="175">
        <v>0</v>
      </c>
      <c r="BF25" s="19">
        <v>0</v>
      </c>
      <c r="BG25" s="23">
        <f>BB25+BE25+BF25</f>
        <v>0</v>
      </c>
    </row>
    <row r="26" spans="1:59" s="124" customFormat="1" ht="13.5" hidden="1" customHeight="1" outlineLevel="1" x14ac:dyDescent="0.25">
      <c r="A26" s="82"/>
      <c r="B26" s="83" t="s">
        <v>29</v>
      </c>
      <c r="C26" s="117" t="s">
        <v>36</v>
      </c>
      <c r="D26" s="19">
        <v>0</v>
      </c>
      <c r="E26" s="19">
        <v>0</v>
      </c>
      <c r="F26" s="23">
        <v>0</v>
      </c>
      <c r="G26" s="22">
        <v>0</v>
      </c>
      <c r="H26" s="21">
        <f t="shared" si="0"/>
        <v>0</v>
      </c>
      <c r="I26" s="23">
        <v>0</v>
      </c>
      <c r="J26" s="22">
        <v>0</v>
      </c>
      <c r="K26" s="21">
        <f t="shared" si="1"/>
        <v>0</v>
      </c>
      <c r="L26" s="23">
        <v>0</v>
      </c>
      <c r="M26" s="22">
        <v>0</v>
      </c>
      <c r="N26" s="21">
        <f t="shared" si="2"/>
        <v>0</v>
      </c>
      <c r="O26" s="23">
        <f t="shared" si="35"/>
        <v>0</v>
      </c>
      <c r="P26" s="22">
        <f t="shared" si="35"/>
        <v>0</v>
      </c>
      <c r="Q26" s="21">
        <f t="shared" si="3"/>
        <v>0</v>
      </c>
      <c r="R26" s="23">
        <v>0</v>
      </c>
      <c r="S26" s="22">
        <v>0</v>
      </c>
      <c r="T26" s="21">
        <f t="shared" si="4"/>
        <v>0</v>
      </c>
      <c r="U26" s="23">
        <v>0</v>
      </c>
      <c r="V26" s="22">
        <v>0</v>
      </c>
      <c r="W26" s="21">
        <f t="shared" si="5"/>
        <v>0</v>
      </c>
      <c r="X26" s="23">
        <v>0</v>
      </c>
      <c r="Y26" s="22">
        <v>0</v>
      </c>
      <c r="Z26" s="21">
        <f t="shared" si="6"/>
        <v>0</v>
      </c>
      <c r="AA26" s="23">
        <f t="shared" si="36"/>
        <v>0</v>
      </c>
      <c r="AB26" s="22">
        <f t="shared" si="36"/>
        <v>0</v>
      </c>
      <c r="AC26" s="21">
        <f t="shared" si="7"/>
        <v>0</v>
      </c>
      <c r="AD26" s="23">
        <v>0</v>
      </c>
      <c r="AE26" s="22">
        <v>0</v>
      </c>
      <c r="AF26" s="21">
        <f t="shared" si="8"/>
        <v>0</v>
      </c>
      <c r="AG26" s="23">
        <v>0</v>
      </c>
      <c r="AH26" s="22">
        <v>0</v>
      </c>
      <c r="AI26" s="21">
        <f t="shared" si="9"/>
        <v>0</v>
      </c>
      <c r="AJ26" s="23">
        <v>0</v>
      </c>
      <c r="AK26" s="22">
        <v>0</v>
      </c>
      <c r="AL26" s="21">
        <f t="shared" si="10"/>
        <v>0</v>
      </c>
      <c r="AM26" s="23">
        <f t="shared" si="37"/>
        <v>0</v>
      </c>
      <c r="AN26" s="22">
        <f t="shared" si="37"/>
        <v>0</v>
      </c>
      <c r="AO26" s="21">
        <f t="shared" si="11"/>
        <v>0</v>
      </c>
      <c r="AP26" s="23">
        <v>0</v>
      </c>
      <c r="AQ26" s="22">
        <v>0</v>
      </c>
      <c r="AR26" s="21">
        <f t="shared" si="12"/>
        <v>0</v>
      </c>
      <c r="AS26" s="23">
        <v>0</v>
      </c>
      <c r="AT26" s="22">
        <v>0</v>
      </c>
      <c r="AU26" s="21">
        <f t="shared" si="13"/>
        <v>0</v>
      </c>
      <c r="AV26" s="23">
        <v>0</v>
      </c>
      <c r="AW26" s="22">
        <v>0</v>
      </c>
      <c r="AX26" s="21">
        <f t="shared" si="14"/>
        <v>0</v>
      </c>
      <c r="AY26" s="23">
        <f t="shared" si="38"/>
        <v>0</v>
      </c>
      <c r="AZ26" s="22">
        <f t="shared" si="38"/>
        <v>0</v>
      </c>
      <c r="BA26" s="21">
        <f t="shared" si="15"/>
        <v>0</v>
      </c>
      <c r="BB26" s="23">
        <f t="shared" si="39"/>
        <v>0</v>
      </c>
      <c r="BC26" s="22">
        <f t="shared" si="39"/>
        <v>0</v>
      </c>
      <c r="BD26" s="21">
        <f t="shared" si="16"/>
        <v>0</v>
      </c>
      <c r="BE26" s="175">
        <v>0</v>
      </c>
      <c r="BF26" s="19">
        <v>0</v>
      </c>
      <c r="BG26" s="23">
        <f t="shared" ref="BG26:BG28" si="40">BB26+BE26+BF26</f>
        <v>0</v>
      </c>
    </row>
    <row r="27" spans="1:59" s="124" customFormat="1" ht="13.5" hidden="1" customHeight="1" outlineLevel="1" x14ac:dyDescent="0.25">
      <c r="A27" s="82"/>
      <c r="B27" s="83" t="s">
        <v>30</v>
      </c>
      <c r="C27" s="117" t="s">
        <v>36</v>
      </c>
      <c r="D27" s="19">
        <v>0</v>
      </c>
      <c r="E27" s="19">
        <v>0</v>
      </c>
      <c r="F27" s="23">
        <v>0</v>
      </c>
      <c r="G27" s="22">
        <v>0</v>
      </c>
      <c r="H27" s="21">
        <f t="shared" si="0"/>
        <v>0</v>
      </c>
      <c r="I27" s="23">
        <v>0</v>
      </c>
      <c r="J27" s="22">
        <v>0</v>
      </c>
      <c r="K27" s="21">
        <f t="shared" si="1"/>
        <v>0</v>
      </c>
      <c r="L27" s="23">
        <v>0</v>
      </c>
      <c r="M27" s="22">
        <v>0</v>
      </c>
      <c r="N27" s="21">
        <f t="shared" si="2"/>
        <v>0</v>
      </c>
      <c r="O27" s="23">
        <f t="shared" si="35"/>
        <v>0</v>
      </c>
      <c r="P27" s="22">
        <f t="shared" si="35"/>
        <v>0</v>
      </c>
      <c r="Q27" s="21">
        <f t="shared" si="3"/>
        <v>0</v>
      </c>
      <c r="R27" s="23">
        <v>0</v>
      </c>
      <c r="S27" s="22">
        <v>0</v>
      </c>
      <c r="T27" s="21">
        <f t="shared" si="4"/>
        <v>0</v>
      </c>
      <c r="U27" s="23">
        <v>0</v>
      </c>
      <c r="V27" s="22">
        <v>0</v>
      </c>
      <c r="W27" s="21">
        <f t="shared" si="5"/>
        <v>0</v>
      </c>
      <c r="X27" s="23">
        <v>0</v>
      </c>
      <c r="Y27" s="22">
        <v>0</v>
      </c>
      <c r="Z27" s="21">
        <f t="shared" si="6"/>
        <v>0</v>
      </c>
      <c r="AA27" s="23">
        <f t="shared" si="36"/>
        <v>0</v>
      </c>
      <c r="AB27" s="22">
        <f t="shared" si="36"/>
        <v>0</v>
      </c>
      <c r="AC27" s="21">
        <f t="shared" si="7"/>
        <v>0</v>
      </c>
      <c r="AD27" s="23">
        <v>0</v>
      </c>
      <c r="AE27" s="22">
        <v>0</v>
      </c>
      <c r="AF27" s="21">
        <f t="shared" si="8"/>
        <v>0</v>
      </c>
      <c r="AG27" s="23">
        <v>0</v>
      </c>
      <c r="AH27" s="22">
        <v>0</v>
      </c>
      <c r="AI27" s="21">
        <f t="shared" si="9"/>
        <v>0</v>
      </c>
      <c r="AJ27" s="23">
        <v>0</v>
      </c>
      <c r="AK27" s="22">
        <v>0</v>
      </c>
      <c r="AL27" s="21">
        <f t="shared" si="10"/>
        <v>0</v>
      </c>
      <c r="AM27" s="23">
        <f t="shared" si="37"/>
        <v>0</v>
      </c>
      <c r="AN27" s="22">
        <f t="shared" si="37"/>
        <v>0</v>
      </c>
      <c r="AO27" s="21">
        <f t="shared" si="11"/>
        <v>0</v>
      </c>
      <c r="AP27" s="23">
        <v>0</v>
      </c>
      <c r="AQ27" s="22">
        <v>0</v>
      </c>
      <c r="AR27" s="21">
        <f t="shared" si="12"/>
        <v>0</v>
      </c>
      <c r="AS27" s="23">
        <v>0</v>
      </c>
      <c r="AT27" s="22">
        <v>0</v>
      </c>
      <c r="AU27" s="21">
        <f t="shared" si="13"/>
        <v>0</v>
      </c>
      <c r="AV27" s="23">
        <v>0</v>
      </c>
      <c r="AW27" s="22">
        <v>0</v>
      </c>
      <c r="AX27" s="21">
        <f t="shared" si="14"/>
        <v>0</v>
      </c>
      <c r="AY27" s="23">
        <f t="shared" si="38"/>
        <v>0</v>
      </c>
      <c r="AZ27" s="22">
        <f t="shared" si="38"/>
        <v>0</v>
      </c>
      <c r="BA27" s="21">
        <f t="shared" si="15"/>
        <v>0</v>
      </c>
      <c r="BB27" s="23">
        <f t="shared" si="39"/>
        <v>0</v>
      </c>
      <c r="BC27" s="22">
        <f t="shared" si="39"/>
        <v>0</v>
      </c>
      <c r="BD27" s="21">
        <f t="shared" si="16"/>
        <v>0</v>
      </c>
      <c r="BE27" s="175">
        <v>0</v>
      </c>
      <c r="BF27" s="19">
        <v>0</v>
      </c>
      <c r="BG27" s="23">
        <f t="shared" si="40"/>
        <v>0</v>
      </c>
    </row>
    <row r="28" spans="1:59" s="124" customFormat="1" ht="13.5" hidden="1" customHeight="1" outlineLevel="1" thickBot="1" x14ac:dyDescent="0.3">
      <c r="A28" s="82"/>
      <c r="B28" s="83" t="s">
        <v>31</v>
      </c>
      <c r="C28" s="117" t="s">
        <v>36</v>
      </c>
      <c r="D28" s="19">
        <v>0</v>
      </c>
      <c r="E28" s="19">
        <v>0</v>
      </c>
      <c r="F28" s="23">
        <v>0</v>
      </c>
      <c r="G28" s="22">
        <v>0</v>
      </c>
      <c r="H28" s="21">
        <f t="shared" si="0"/>
        <v>0</v>
      </c>
      <c r="I28" s="23">
        <v>0</v>
      </c>
      <c r="J28" s="22">
        <v>0</v>
      </c>
      <c r="K28" s="21">
        <f t="shared" si="1"/>
        <v>0</v>
      </c>
      <c r="L28" s="23">
        <v>0</v>
      </c>
      <c r="M28" s="22">
        <v>0</v>
      </c>
      <c r="N28" s="21">
        <f t="shared" si="2"/>
        <v>0</v>
      </c>
      <c r="O28" s="23">
        <f t="shared" si="35"/>
        <v>0</v>
      </c>
      <c r="P28" s="22">
        <f t="shared" si="35"/>
        <v>0</v>
      </c>
      <c r="Q28" s="21">
        <f t="shared" si="3"/>
        <v>0</v>
      </c>
      <c r="R28" s="23">
        <v>0</v>
      </c>
      <c r="S28" s="22">
        <v>0</v>
      </c>
      <c r="T28" s="21">
        <f t="shared" si="4"/>
        <v>0</v>
      </c>
      <c r="U28" s="23">
        <v>0</v>
      </c>
      <c r="V28" s="22">
        <v>0</v>
      </c>
      <c r="W28" s="21">
        <f t="shared" si="5"/>
        <v>0</v>
      </c>
      <c r="X28" s="23">
        <v>0</v>
      </c>
      <c r="Y28" s="22">
        <v>0</v>
      </c>
      <c r="Z28" s="21">
        <f t="shared" si="6"/>
        <v>0</v>
      </c>
      <c r="AA28" s="23">
        <f t="shared" si="36"/>
        <v>0</v>
      </c>
      <c r="AB28" s="22">
        <f t="shared" si="36"/>
        <v>0</v>
      </c>
      <c r="AC28" s="21">
        <f t="shared" si="7"/>
        <v>0</v>
      </c>
      <c r="AD28" s="23">
        <v>0</v>
      </c>
      <c r="AE28" s="22">
        <v>0</v>
      </c>
      <c r="AF28" s="21">
        <f t="shared" si="8"/>
        <v>0</v>
      </c>
      <c r="AG28" s="23">
        <v>0</v>
      </c>
      <c r="AH28" s="22">
        <v>0</v>
      </c>
      <c r="AI28" s="21">
        <f t="shared" si="9"/>
        <v>0</v>
      </c>
      <c r="AJ28" s="23">
        <v>0</v>
      </c>
      <c r="AK28" s="22">
        <v>0</v>
      </c>
      <c r="AL28" s="21">
        <f t="shared" si="10"/>
        <v>0</v>
      </c>
      <c r="AM28" s="23">
        <f t="shared" si="37"/>
        <v>0</v>
      </c>
      <c r="AN28" s="22">
        <f t="shared" si="37"/>
        <v>0</v>
      </c>
      <c r="AO28" s="21">
        <f t="shared" si="11"/>
        <v>0</v>
      </c>
      <c r="AP28" s="23">
        <v>0</v>
      </c>
      <c r="AQ28" s="22">
        <v>0</v>
      </c>
      <c r="AR28" s="21">
        <f t="shared" si="12"/>
        <v>0</v>
      </c>
      <c r="AS28" s="23">
        <v>0</v>
      </c>
      <c r="AT28" s="22">
        <v>0</v>
      </c>
      <c r="AU28" s="21">
        <f t="shared" si="13"/>
        <v>0</v>
      </c>
      <c r="AV28" s="23">
        <v>0</v>
      </c>
      <c r="AW28" s="22">
        <v>0</v>
      </c>
      <c r="AX28" s="21">
        <f t="shared" si="14"/>
        <v>0</v>
      </c>
      <c r="AY28" s="23">
        <f t="shared" si="38"/>
        <v>0</v>
      </c>
      <c r="AZ28" s="22">
        <f t="shared" si="38"/>
        <v>0</v>
      </c>
      <c r="BA28" s="21">
        <f t="shared" si="15"/>
        <v>0</v>
      </c>
      <c r="BB28" s="23">
        <f t="shared" si="39"/>
        <v>0</v>
      </c>
      <c r="BC28" s="22">
        <f t="shared" si="39"/>
        <v>0</v>
      </c>
      <c r="BD28" s="21">
        <f t="shared" si="16"/>
        <v>0</v>
      </c>
      <c r="BE28" s="175">
        <v>0</v>
      </c>
      <c r="BF28" s="1">
        <v>0</v>
      </c>
      <c r="BG28" s="23">
        <f t="shared" si="40"/>
        <v>0</v>
      </c>
    </row>
    <row r="29" spans="1:59" s="127" customFormat="1" ht="13.5" collapsed="1" thickBot="1" x14ac:dyDescent="0.3">
      <c r="A29" s="51" t="s">
        <v>39</v>
      </c>
      <c r="B29" s="52" t="s">
        <v>40</v>
      </c>
      <c r="C29" s="116" t="s">
        <v>36</v>
      </c>
      <c r="D29" s="28">
        <f>SUM(D30:D33)</f>
        <v>0</v>
      </c>
      <c r="E29" s="28">
        <f>SUM(E30:E33)</f>
        <v>0</v>
      </c>
      <c r="F29" s="53">
        <f>SUM(F30:F33)</f>
        <v>0</v>
      </c>
      <c r="G29" s="88">
        <f>SUM(G30:G33)</f>
        <v>0</v>
      </c>
      <c r="H29" s="96">
        <f t="shared" si="0"/>
        <v>0</v>
      </c>
      <c r="I29" s="53">
        <f>SUM(I30:I33)</f>
        <v>0</v>
      </c>
      <c r="J29" s="88">
        <f>SUM(J30:J33)</f>
        <v>0</v>
      </c>
      <c r="K29" s="96">
        <f t="shared" si="1"/>
        <v>0</v>
      </c>
      <c r="L29" s="53">
        <f>SUM(L30:L33)</f>
        <v>0</v>
      </c>
      <c r="M29" s="88">
        <f>SUM(M30:M33)</f>
        <v>0</v>
      </c>
      <c r="N29" s="96">
        <f t="shared" si="2"/>
        <v>0</v>
      </c>
      <c r="O29" s="53">
        <f>SUM(O30:O33)</f>
        <v>0</v>
      </c>
      <c r="P29" s="88">
        <f>SUM(P30:P33)</f>
        <v>0</v>
      </c>
      <c r="Q29" s="96">
        <f t="shared" si="3"/>
        <v>0</v>
      </c>
      <c r="R29" s="53">
        <f>SUM(R30:R33)</f>
        <v>0</v>
      </c>
      <c r="S29" s="88">
        <f>SUM(S30:S33)</f>
        <v>0</v>
      </c>
      <c r="T29" s="96">
        <f t="shared" si="4"/>
        <v>0</v>
      </c>
      <c r="U29" s="53">
        <f>SUM(U30:U33)</f>
        <v>0</v>
      </c>
      <c r="V29" s="88">
        <f>SUM(V30:V33)</f>
        <v>0</v>
      </c>
      <c r="W29" s="96">
        <f t="shared" si="5"/>
        <v>0</v>
      </c>
      <c r="X29" s="53">
        <f>SUM(X30:X33)</f>
        <v>0</v>
      </c>
      <c r="Y29" s="88">
        <f>SUM(Y30:Y33)</f>
        <v>0</v>
      </c>
      <c r="Z29" s="96">
        <f t="shared" si="6"/>
        <v>0</v>
      </c>
      <c r="AA29" s="53">
        <f>SUM(AA30:AA33)</f>
        <v>0</v>
      </c>
      <c r="AB29" s="88">
        <f>SUM(AB30:AB33)</f>
        <v>0</v>
      </c>
      <c r="AC29" s="96">
        <f t="shared" si="7"/>
        <v>0</v>
      </c>
      <c r="AD29" s="53">
        <f>SUM(AD30:AD33)</f>
        <v>0</v>
      </c>
      <c r="AE29" s="88">
        <f>SUM(AE30:AE33)</f>
        <v>0</v>
      </c>
      <c r="AF29" s="96">
        <f t="shared" si="8"/>
        <v>0</v>
      </c>
      <c r="AG29" s="53">
        <f>SUM(AG30:AG33)</f>
        <v>0</v>
      </c>
      <c r="AH29" s="88">
        <f>SUM(AH30:AH33)</f>
        <v>0</v>
      </c>
      <c r="AI29" s="96">
        <f t="shared" si="9"/>
        <v>0</v>
      </c>
      <c r="AJ29" s="53">
        <f>SUM(AJ30:AJ33)</f>
        <v>0</v>
      </c>
      <c r="AK29" s="88">
        <f>SUM(AK30:AK33)</f>
        <v>0</v>
      </c>
      <c r="AL29" s="96">
        <f t="shared" si="10"/>
        <v>0</v>
      </c>
      <c r="AM29" s="53">
        <f>SUM(AM30:AM33)</f>
        <v>0</v>
      </c>
      <c r="AN29" s="88">
        <f>SUM(AN30:AN33)</f>
        <v>0</v>
      </c>
      <c r="AO29" s="96">
        <f t="shared" si="11"/>
        <v>0</v>
      </c>
      <c r="AP29" s="53">
        <f>SUM(AP30:AP33)</f>
        <v>0</v>
      </c>
      <c r="AQ29" s="88">
        <f>SUM(AQ30:AQ33)</f>
        <v>0</v>
      </c>
      <c r="AR29" s="96">
        <f t="shared" si="12"/>
        <v>0</v>
      </c>
      <c r="AS29" s="53">
        <f>SUM(AS30:AS33)</f>
        <v>0</v>
      </c>
      <c r="AT29" s="88">
        <f>SUM(AT30:AT33)</f>
        <v>0</v>
      </c>
      <c r="AU29" s="96">
        <f t="shared" si="13"/>
        <v>0</v>
      </c>
      <c r="AV29" s="53">
        <f>SUM(AV30:AV33)</f>
        <v>0</v>
      </c>
      <c r="AW29" s="88">
        <f>SUM(AW30:AW33)</f>
        <v>0</v>
      </c>
      <c r="AX29" s="96">
        <f t="shared" si="14"/>
        <v>0</v>
      </c>
      <c r="AY29" s="53">
        <f>SUM(AY30:AY33)</f>
        <v>0</v>
      </c>
      <c r="AZ29" s="88">
        <f>SUM(AZ30:AZ33)</f>
        <v>0</v>
      </c>
      <c r="BA29" s="96">
        <f t="shared" si="15"/>
        <v>0</v>
      </c>
      <c r="BB29" s="53">
        <f>SUM(BB30:BB33)</f>
        <v>0</v>
      </c>
      <c r="BC29" s="88">
        <f>SUM(BC30:BC33)</f>
        <v>0</v>
      </c>
      <c r="BD29" s="96">
        <f t="shared" si="16"/>
        <v>0</v>
      </c>
      <c r="BE29" s="53">
        <f>SUM(BE30:BE33)</f>
        <v>0</v>
      </c>
      <c r="BF29" s="53">
        <f>SUM(BF30:BF33)</f>
        <v>0</v>
      </c>
      <c r="BG29" s="53">
        <f>SUM(BG30:BG33)</f>
        <v>0</v>
      </c>
    </row>
    <row r="30" spans="1:59" s="127" customFormat="1" ht="13.5" hidden="1" outlineLevel="1" x14ac:dyDescent="0.25">
      <c r="A30" s="27"/>
      <c r="B30" s="83" t="s">
        <v>28</v>
      </c>
      <c r="C30" s="117" t="s">
        <v>36</v>
      </c>
      <c r="D30" s="19">
        <v>0</v>
      </c>
      <c r="E30" s="19">
        <v>0</v>
      </c>
      <c r="F30" s="23">
        <v>0</v>
      </c>
      <c r="G30" s="22">
        <v>0</v>
      </c>
      <c r="H30" s="21">
        <f t="shared" si="0"/>
        <v>0</v>
      </c>
      <c r="I30" s="23">
        <v>0</v>
      </c>
      <c r="J30" s="22">
        <v>0</v>
      </c>
      <c r="K30" s="21">
        <f t="shared" si="1"/>
        <v>0</v>
      </c>
      <c r="L30" s="23">
        <v>0</v>
      </c>
      <c r="M30" s="22">
        <v>0</v>
      </c>
      <c r="N30" s="21">
        <f t="shared" si="2"/>
        <v>0</v>
      </c>
      <c r="O30" s="23">
        <f t="shared" ref="O30:P33" si="41">SUM(F30,I30,L30)</f>
        <v>0</v>
      </c>
      <c r="P30" s="22">
        <f t="shared" si="41"/>
        <v>0</v>
      </c>
      <c r="Q30" s="21">
        <f t="shared" si="3"/>
        <v>0</v>
      </c>
      <c r="R30" s="23">
        <v>0</v>
      </c>
      <c r="S30" s="22">
        <v>0</v>
      </c>
      <c r="T30" s="21">
        <f t="shared" si="4"/>
        <v>0</v>
      </c>
      <c r="U30" s="23">
        <v>0</v>
      </c>
      <c r="V30" s="22">
        <v>0</v>
      </c>
      <c r="W30" s="21">
        <f t="shared" si="5"/>
        <v>0</v>
      </c>
      <c r="X30" s="23">
        <v>0</v>
      </c>
      <c r="Y30" s="22">
        <v>0</v>
      </c>
      <c r="Z30" s="21">
        <f t="shared" si="6"/>
        <v>0</v>
      </c>
      <c r="AA30" s="23">
        <f t="shared" ref="AA30:AB33" si="42">SUM(R30,U30,X30)</f>
        <v>0</v>
      </c>
      <c r="AB30" s="22">
        <f t="shared" si="42"/>
        <v>0</v>
      </c>
      <c r="AC30" s="21">
        <f t="shared" si="7"/>
        <v>0</v>
      </c>
      <c r="AD30" s="23">
        <v>0</v>
      </c>
      <c r="AE30" s="22">
        <v>0</v>
      </c>
      <c r="AF30" s="21">
        <f t="shared" si="8"/>
        <v>0</v>
      </c>
      <c r="AG30" s="23">
        <v>0</v>
      </c>
      <c r="AH30" s="22">
        <v>0</v>
      </c>
      <c r="AI30" s="21">
        <f t="shared" si="9"/>
        <v>0</v>
      </c>
      <c r="AJ30" s="23">
        <v>0</v>
      </c>
      <c r="AK30" s="22">
        <v>0</v>
      </c>
      <c r="AL30" s="21">
        <f t="shared" si="10"/>
        <v>0</v>
      </c>
      <c r="AM30" s="23">
        <f t="shared" ref="AM30:AN33" si="43">SUM(AD30,AG30,AJ30)</f>
        <v>0</v>
      </c>
      <c r="AN30" s="22">
        <f t="shared" si="43"/>
        <v>0</v>
      </c>
      <c r="AO30" s="21">
        <f t="shared" si="11"/>
        <v>0</v>
      </c>
      <c r="AP30" s="23">
        <v>0</v>
      </c>
      <c r="AQ30" s="22">
        <v>0</v>
      </c>
      <c r="AR30" s="21">
        <f t="shared" si="12"/>
        <v>0</v>
      </c>
      <c r="AS30" s="23">
        <v>0</v>
      </c>
      <c r="AT30" s="22">
        <v>0</v>
      </c>
      <c r="AU30" s="21">
        <f t="shared" si="13"/>
        <v>0</v>
      </c>
      <c r="AV30" s="23">
        <v>0</v>
      </c>
      <c r="AW30" s="22">
        <v>0</v>
      </c>
      <c r="AX30" s="21">
        <f t="shared" si="14"/>
        <v>0</v>
      </c>
      <c r="AY30" s="23">
        <f t="shared" ref="AY30:AZ33" si="44">SUM(AP30,AS30,AV30)</f>
        <v>0</v>
      </c>
      <c r="AZ30" s="22">
        <f t="shared" si="44"/>
        <v>0</v>
      </c>
      <c r="BA30" s="21">
        <f t="shared" si="15"/>
        <v>0</v>
      </c>
      <c r="BB30" s="23">
        <f t="shared" ref="BB30:BC33" si="45">SUM(F30,I30,L30,R30,U30,X30,AD30,AG30,AJ30,AP30,AS30,AV30)</f>
        <v>0</v>
      </c>
      <c r="BC30" s="22">
        <f t="shared" si="45"/>
        <v>0</v>
      </c>
      <c r="BD30" s="21">
        <f t="shared" si="16"/>
        <v>0</v>
      </c>
      <c r="BE30" s="175">
        <v>0</v>
      </c>
      <c r="BF30" s="19">
        <v>0</v>
      </c>
      <c r="BG30" s="23">
        <f>BB30+BE30+BF30</f>
        <v>0</v>
      </c>
    </row>
    <row r="31" spans="1:59" s="124" customFormat="1" ht="13.5" hidden="1" customHeight="1" outlineLevel="1" x14ac:dyDescent="0.25">
      <c r="A31" s="82"/>
      <c r="B31" s="83" t="s">
        <v>29</v>
      </c>
      <c r="C31" s="117" t="s">
        <v>36</v>
      </c>
      <c r="D31" s="19">
        <v>0</v>
      </c>
      <c r="E31" s="19">
        <v>0</v>
      </c>
      <c r="F31" s="23">
        <v>0</v>
      </c>
      <c r="G31" s="22">
        <v>0</v>
      </c>
      <c r="H31" s="21">
        <f t="shared" si="0"/>
        <v>0</v>
      </c>
      <c r="I31" s="23">
        <v>0</v>
      </c>
      <c r="J31" s="22">
        <v>0</v>
      </c>
      <c r="K31" s="21">
        <f t="shared" si="1"/>
        <v>0</v>
      </c>
      <c r="L31" s="23">
        <v>0</v>
      </c>
      <c r="M31" s="22">
        <v>0</v>
      </c>
      <c r="N31" s="21">
        <f t="shared" si="2"/>
        <v>0</v>
      </c>
      <c r="O31" s="23">
        <f t="shared" si="41"/>
        <v>0</v>
      </c>
      <c r="P31" s="22">
        <f t="shared" si="41"/>
        <v>0</v>
      </c>
      <c r="Q31" s="21">
        <f t="shared" si="3"/>
        <v>0</v>
      </c>
      <c r="R31" s="23">
        <v>0</v>
      </c>
      <c r="S31" s="22">
        <v>0</v>
      </c>
      <c r="T31" s="21">
        <f t="shared" si="4"/>
        <v>0</v>
      </c>
      <c r="U31" s="23">
        <v>0</v>
      </c>
      <c r="V31" s="22">
        <v>0</v>
      </c>
      <c r="W31" s="21">
        <f t="shared" si="5"/>
        <v>0</v>
      </c>
      <c r="X31" s="23">
        <v>0</v>
      </c>
      <c r="Y31" s="22">
        <v>0</v>
      </c>
      <c r="Z31" s="21">
        <f t="shared" si="6"/>
        <v>0</v>
      </c>
      <c r="AA31" s="23">
        <f t="shared" si="42"/>
        <v>0</v>
      </c>
      <c r="AB31" s="22">
        <f t="shared" si="42"/>
        <v>0</v>
      </c>
      <c r="AC31" s="21">
        <f t="shared" si="7"/>
        <v>0</v>
      </c>
      <c r="AD31" s="23">
        <v>0</v>
      </c>
      <c r="AE31" s="22">
        <v>0</v>
      </c>
      <c r="AF31" s="21">
        <f t="shared" si="8"/>
        <v>0</v>
      </c>
      <c r="AG31" s="23">
        <v>0</v>
      </c>
      <c r="AH31" s="22">
        <v>0</v>
      </c>
      <c r="AI31" s="21">
        <f t="shared" si="9"/>
        <v>0</v>
      </c>
      <c r="AJ31" s="23">
        <v>0</v>
      </c>
      <c r="AK31" s="22">
        <v>0</v>
      </c>
      <c r="AL31" s="21">
        <f t="shared" si="10"/>
        <v>0</v>
      </c>
      <c r="AM31" s="23">
        <f t="shared" si="43"/>
        <v>0</v>
      </c>
      <c r="AN31" s="22">
        <f t="shared" si="43"/>
        <v>0</v>
      </c>
      <c r="AO31" s="21">
        <f t="shared" si="11"/>
        <v>0</v>
      </c>
      <c r="AP31" s="23">
        <v>0</v>
      </c>
      <c r="AQ31" s="22">
        <v>0</v>
      </c>
      <c r="AR31" s="21">
        <f t="shared" si="12"/>
        <v>0</v>
      </c>
      <c r="AS31" s="23">
        <v>0</v>
      </c>
      <c r="AT31" s="22">
        <v>0</v>
      </c>
      <c r="AU31" s="21">
        <f t="shared" si="13"/>
        <v>0</v>
      </c>
      <c r="AV31" s="23">
        <v>0</v>
      </c>
      <c r="AW31" s="22">
        <v>0</v>
      </c>
      <c r="AX31" s="21">
        <f t="shared" si="14"/>
        <v>0</v>
      </c>
      <c r="AY31" s="23">
        <f t="shared" si="44"/>
        <v>0</v>
      </c>
      <c r="AZ31" s="22">
        <f t="shared" si="44"/>
        <v>0</v>
      </c>
      <c r="BA31" s="21">
        <f t="shared" si="15"/>
        <v>0</v>
      </c>
      <c r="BB31" s="23">
        <f t="shared" si="45"/>
        <v>0</v>
      </c>
      <c r="BC31" s="22">
        <f t="shared" si="45"/>
        <v>0</v>
      </c>
      <c r="BD31" s="21">
        <f t="shared" si="16"/>
        <v>0</v>
      </c>
      <c r="BE31" s="175">
        <v>0</v>
      </c>
      <c r="BF31" s="19">
        <v>0</v>
      </c>
      <c r="BG31" s="23">
        <f t="shared" ref="BG31:BG33" si="46">BB31+BE31+BF31</f>
        <v>0</v>
      </c>
    </row>
    <row r="32" spans="1:59" s="124" customFormat="1" ht="13.5" hidden="1" customHeight="1" outlineLevel="1" x14ac:dyDescent="0.25">
      <c r="A32" s="82"/>
      <c r="B32" s="83" t="s">
        <v>30</v>
      </c>
      <c r="C32" s="117" t="s">
        <v>36</v>
      </c>
      <c r="D32" s="19">
        <v>0</v>
      </c>
      <c r="E32" s="19">
        <v>0</v>
      </c>
      <c r="F32" s="23">
        <v>0</v>
      </c>
      <c r="G32" s="22">
        <v>0</v>
      </c>
      <c r="H32" s="21">
        <f t="shared" si="0"/>
        <v>0</v>
      </c>
      <c r="I32" s="23">
        <v>0</v>
      </c>
      <c r="J32" s="22">
        <v>0</v>
      </c>
      <c r="K32" s="21">
        <f t="shared" si="1"/>
        <v>0</v>
      </c>
      <c r="L32" s="23">
        <v>0</v>
      </c>
      <c r="M32" s="22">
        <v>0</v>
      </c>
      <c r="N32" s="21">
        <f t="shared" si="2"/>
        <v>0</v>
      </c>
      <c r="O32" s="23">
        <f t="shared" si="41"/>
        <v>0</v>
      </c>
      <c r="P32" s="22">
        <f t="shared" si="41"/>
        <v>0</v>
      </c>
      <c r="Q32" s="21">
        <f t="shared" si="3"/>
        <v>0</v>
      </c>
      <c r="R32" s="23">
        <v>0</v>
      </c>
      <c r="S32" s="22">
        <v>0</v>
      </c>
      <c r="T32" s="21">
        <f t="shared" si="4"/>
        <v>0</v>
      </c>
      <c r="U32" s="23">
        <v>0</v>
      </c>
      <c r="V32" s="22">
        <v>0</v>
      </c>
      <c r="W32" s="21">
        <f t="shared" si="5"/>
        <v>0</v>
      </c>
      <c r="X32" s="23">
        <v>0</v>
      </c>
      <c r="Y32" s="22">
        <v>0</v>
      </c>
      <c r="Z32" s="21">
        <f t="shared" si="6"/>
        <v>0</v>
      </c>
      <c r="AA32" s="23">
        <f t="shared" si="42"/>
        <v>0</v>
      </c>
      <c r="AB32" s="22">
        <f t="shared" si="42"/>
        <v>0</v>
      </c>
      <c r="AC32" s="21">
        <f t="shared" si="7"/>
        <v>0</v>
      </c>
      <c r="AD32" s="23">
        <v>0</v>
      </c>
      <c r="AE32" s="22">
        <v>0</v>
      </c>
      <c r="AF32" s="21">
        <f t="shared" si="8"/>
        <v>0</v>
      </c>
      <c r="AG32" s="23">
        <v>0</v>
      </c>
      <c r="AH32" s="22">
        <v>0</v>
      </c>
      <c r="AI32" s="21">
        <f t="shared" si="9"/>
        <v>0</v>
      </c>
      <c r="AJ32" s="23">
        <v>0</v>
      </c>
      <c r="AK32" s="22">
        <v>0</v>
      </c>
      <c r="AL32" s="21">
        <f t="shared" si="10"/>
        <v>0</v>
      </c>
      <c r="AM32" s="23">
        <f t="shared" si="43"/>
        <v>0</v>
      </c>
      <c r="AN32" s="22">
        <f t="shared" si="43"/>
        <v>0</v>
      </c>
      <c r="AO32" s="21">
        <f t="shared" si="11"/>
        <v>0</v>
      </c>
      <c r="AP32" s="23">
        <v>0</v>
      </c>
      <c r="AQ32" s="22">
        <v>0</v>
      </c>
      <c r="AR32" s="21">
        <f t="shared" si="12"/>
        <v>0</v>
      </c>
      <c r="AS32" s="23">
        <v>0</v>
      </c>
      <c r="AT32" s="22">
        <v>0</v>
      </c>
      <c r="AU32" s="21">
        <f t="shared" si="13"/>
        <v>0</v>
      </c>
      <c r="AV32" s="23">
        <v>0</v>
      </c>
      <c r="AW32" s="22">
        <v>0</v>
      </c>
      <c r="AX32" s="21">
        <f t="shared" si="14"/>
        <v>0</v>
      </c>
      <c r="AY32" s="23">
        <f t="shared" si="44"/>
        <v>0</v>
      </c>
      <c r="AZ32" s="22">
        <f t="shared" si="44"/>
        <v>0</v>
      </c>
      <c r="BA32" s="21">
        <f t="shared" si="15"/>
        <v>0</v>
      </c>
      <c r="BB32" s="23">
        <f t="shared" si="45"/>
        <v>0</v>
      </c>
      <c r="BC32" s="22">
        <f t="shared" si="45"/>
        <v>0</v>
      </c>
      <c r="BD32" s="21">
        <f t="shared" si="16"/>
        <v>0</v>
      </c>
      <c r="BE32" s="175">
        <v>0</v>
      </c>
      <c r="BF32" s="19">
        <v>0</v>
      </c>
      <c r="BG32" s="23">
        <f t="shared" si="46"/>
        <v>0</v>
      </c>
    </row>
    <row r="33" spans="1:59" s="124" customFormat="1" ht="13.5" hidden="1" customHeight="1" outlineLevel="1" thickBot="1" x14ac:dyDescent="0.3">
      <c r="A33" s="82"/>
      <c r="B33" s="83" t="s">
        <v>31</v>
      </c>
      <c r="C33" s="117" t="s">
        <v>36</v>
      </c>
      <c r="D33" s="19">
        <v>0</v>
      </c>
      <c r="E33" s="19">
        <v>0</v>
      </c>
      <c r="F33" s="23">
        <v>0</v>
      </c>
      <c r="G33" s="22">
        <v>0</v>
      </c>
      <c r="H33" s="21">
        <f t="shared" si="0"/>
        <v>0</v>
      </c>
      <c r="I33" s="23">
        <v>0</v>
      </c>
      <c r="J33" s="22">
        <v>0</v>
      </c>
      <c r="K33" s="21">
        <f t="shared" si="1"/>
        <v>0</v>
      </c>
      <c r="L33" s="23">
        <v>0</v>
      </c>
      <c r="M33" s="22">
        <v>0</v>
      </c>
      <c r="N33" s="21">
        <f t="shared" si="2"/>
        <v>0</v>
      </c>
      <c r="O33" s="23">
        <f t="shared" si="41"/>
        <v>0</v>
      </c>
      <c r="P33" s="22">
        <f t="shared" si="41"/>
        <v>0</v>
      </c>
      <c r="Q33" s="21">
        <f t="shared" si="3"/>
        <v>0</v>
      </c>
      <c r="R33" s="23">
        <v>0</v>
      </c>
      <c r="S33" s="22">
        <v>0</v>
      </c>
      <c r="T33" s="21">
        <f t="shared" si="4"/>
        <v>0</v>
      </c>
      <c r="U33" s="23">
        <v>0</v>
      </c>
      <c r="V33" s="22">
        <v>0</v>
      </c>
      <c r="W33" s="21">
        <f t="shared" si="5"/>
        <v>0</v>
      </c>
      <c r="X33" s="23">
        <v>0</v>
      </c>
      <c r="Y33" s="22">
        <v>0</v>
      </c>
      <c r="Z33" s="21">
        <f t="shared" si="6"/>
        <v>0</v>
      </c>
      <c r="AA33" s="23">
        <f t="shared" si="42"/>
        <v>0</v>
      </c>
      <c r="AB33" s="22">
        <f t="shared" si="42"/>
        <v>0</v>
      </c>
      <c r="AC33" s="21">
        <f t="shared" si="7"/>
        <v>0</v>
      </c>
      <c r="AD33" s="23">
        <v>0</v>
      </c>
      <c r="AE33" s="22">
        <v>0</v>
      </c>
      <c r="AF33" s="21">
        <f t="shared" si="8"/>
        <v>0</v>
      </c>
      <c r="AG33" s="23">
        <v>0</v>
      </c>
      <c r="AH33" s="22">
        <v>0</v>
      </c>
      <c r="AI33" s="21">
        <f t="shared" si="9"/>
        <v>0</v>
      </c>
      <c r="AJ33" s="23">
        <v>0</v>
      </c>
      <c r="AK33" s="22">
        <v>0</v>
      </c>
      <c r="AL33" s="21">
        <f t="shared" si="10"/>
        <v>0</v>
      </c>
      <c r="AM33" s="23">
        <f t="shared" si="43"/>
        <v>0</v>
      </c>
      <c r="AN33" s="22">
        <f t="shared" si="43"/>
        <v>0</v>
      </c>
      <c r="AO33" s="21">
        <f t="shared" si="11"/>
        <v>0</v>
      </c>
      <c r="AP33" s="23">
        <v>0</v>
      </c>
      <c r="AQ33" s="22">
        <v>0</v>
      </c>
      <c r="AR33" s="21">
        <f t="shared" si="12"/>
        <v>0</v>
      </c>
      <c r="AS33" s="23">
        <v>0</v>
      </c>
      <c r="AT33" s="22">
        <v>0</v>
      </c>
      <c r="AU33" s="21">
        <f t="shared" si="13"/>
        <v>0</v>
      </c>
      <c r="AV33" s="23">
        <v>0</v>
      </c>
      <c r="AW33" s="22">
        <v>0</v>
      </c>
      <c r="AX33" s="21">
        <f t="shared" si="14"/>
        <v>0</v>
      </c>
      <c r="AY33" s="23">
        <f t="shared" si="44"/>
        <v>0</v>
      </c>
      <c r="AZ33" s="22">
        <f t="shared" si="44"/>
        <v>0</v>
      </c>
      <c r="BA33" s="21">
        <f t="shared" si="15"/>
        <v>0</v>
      </c>
      <c r="BB33" s="23">
        <f t="shared" si="45"/>
        <v>0</v>
      </c>
      <c r="BC33" s="22">
        <f t="shared" si="45"/>
        <v>0</v>
      </c>
      <c r="BD33" s="21">
        <f t="shared" si="16"/>
        <v>0</v>
      </c>
      <c r="BE33" s="175">
        <v>0</v>
      </c>
      <c r="BF33" s="1">
        <v>0</v>
      </c>
      <c r="BG33" s="23">
        <f t="shared" si="46"/>
        <v>0</v>
      </c>
    </row>
    <row r="34" spans="1:59" s="127" customFormat="1" ht="13.5" collapsed="1" thickBot="1" x14ac:dyDescent="0.3">
      <c r="A34" s="51" t="s">
        <v>41</v>
      </c>
      <c r="B34" s="52" t="s">
        <v>42</v>
      </c>
      <c r="C34" s="116" t="s">
        <v>27</v>
      </c>
      <c r="D34" s="28">
        <f t="shared" ref="D34:G38" si="47">IF(D19=0,0,D14/D19)</f>
        <v>0</v>
      </c>
      <c r="E34" s="28">
        <f t="shared" si="47"/>
        <v>0</v>
      </c>
      <c r="F34" s="53">
        <f t="shared" si="47"/>
        <v>0</v>
      </c>
      <c r="G34" s="88">
        <f t="shared" si="47"/>
        <v>0</v>
      </c>
      <c r="H34" s="96">
        <f t="shared" si="0"/>
        <v>0</v>
      </c>
      <c r="I34" s="53">
        <f t="shared" ref="I34:J38" si="48">IF(I19=0,0,I14/I19)</f>
        <v>0</v>
      </c>
      <c r="J34" s="88">
        <f t="shared" si="48"/>
        <v>0</v>
      </c>
      <c r="K34" s="96">
        <f t="shared" si="1"/>
        <v>0</v>
      </c>
      <c r="L34" s="53">
        <f t="shared" ref="L34:M38" si="49">IF(L19=0,0,L14/L19)</f>
        <v>0</v>
      </c>
      <c r="M34" s="88">
        <f t="shared" si="49"/>
        <v>0</v>
      </c>
      <c r="N34" s="96">
        <f t="shared" si="2"/>
        <v>0</v>
      </c>
      <c r="O34" s="53">
        <f t="shared" ref="O34:P38" si="50">IF(O19=0,0,O14/O19)</f>
        <v>0</v>
      </c>
      <c r="P34" s="88">
        <f t="shared" si="50"/>
        <v>0</v>
      </c>
      <c r="Q34" s="96">
        <f t="shared" si="3"/>
        <v>0</v>
      </c>
      <c r="R34" s="53">
        <f t="shared" ref="R34:S38" si="51">IF(R19=0,0,R14/R19)</f>
        <v>0</v>
      </c>
      <c r="S34" s="88">
        <f t="shared" si="51"/>
        <v>0</v>
      </c>
      <c r="T34" s="96">
        <f t="shared" si="4"/>
        <v>0</v>
      </c>
      <c r="U34" s="53">
        <f t="shared" ref="U34:V38" si="52">IF(U19=0,0,U14/U19)</f>
        <v>0</v>
      </c>
      <c r="V34" s="88">
        <f t="shared" si="52"/>
        <v>0</v>
      </c>
      <c r="W34" s="96">
        <f t="shared" si="5"/>
        <v>0</v>
      </c>
      <c r="X34" s="53">
        <f t="shared" ref="X34:Y38" si="53">IF(X19=0,0,X14/X19)</f>
        <v>0</v>
      </c>
      <c r="Y34" s="88">
        <f t="shared" si="53"/>
        <v>0</v>
      </c>
      <c r="Z34" s="96">
        <f t="shared" si="6"/>
        <v>0</v>
      </c>
      <c r="AA34" s="53">
        <f t="shared" ref="AA34:AB38" si="54">IF(AA19=0,0,AA14/AA19)</f>
        <v>0</v>
      </c>
      <c r="AB34" s="88">
        <f t="shared" si="54"/>
        <v>0</v>
      </c>
      <c r="AC34" s="96">
        <f t="shared" si="7"/>
        <v>0</v>
      </c>
      <c r="AD34" s="53">
        <f t="shared" ref="AD34:AE38" si="55">IF(AD19=0,0,AD14/AD19)</f>
        <v>0</v>
      </c>
      <c r="AE34" s="88">
        <f t="shared" si="55"/>
        <v>0</v>
      </c>
      <c r="AF34" s="96">
        <f t="shared" si="8"/>
        <v>0</v>
      </c>
      <c r="AG34" s="53">
        <f t="shared" ref="AG34:AH38" si="56">IF(AG19=0,0,AG14/AG19)</f>
        <v>0</v>
      </c>
      <c r="AH34" s="88">
        <f t="shared" si="56"/>
        <v>0</v>
      </c>
      <c r="AI34" s="96">
        <f t="shared" si="9"/>
        <v>0</v>
      </c>
      <c r="AJ34" s="53">
        <f t="shared" ref="AJ34:AK38" si="57">IF(AJ19=0,0,AJ14/AJ19)</f>
        <v>0</v>
      </c>
      <c r="AK34" s="88">
        <f t="shared" si="57"/>
        <v>0</v>
      </c>
      <c r="AL34" s="96">
        <f t="shared" si="10"/>
        <v>0</v>
      </c>
      <c r="AM34" s="53">
        <f t="shared" ref="AM34:AN38" si="58">IF(AM19=0,0,AM14/AM19)</f>
        <v>0</v>
      </c>
      <c r="AN34" s="88">
        <f t="shared" si="58"/>
        <v>0</v>
      </c>
      <c r="AO34" s="96">
        <f t="shared" si="11"/>
        <v>0</v>
      </c>
      <c r="AP34" s="53">
        <f t="shared" ref="AP34:AQ38" si="59">IF(AP19=0,0,AP14/AP19)</f>
        <v>0</v>
      </c>
      <c r="AQ34" s="88">
        <f t="shared" si="59"/>
        <v>0</v>
      </c>
      <c r="AR34" s="96">
        <f t="shared" si="12"/>
        <v>0</v>
      </c>
      <c r="AS34" s="53">
        <f t="shared" ref="AS34:AT38" si="60">IF(AS19=0,0,AS14/AS19)</f>
        <v>0</v>
      </c>
      <c r="AT34" s="88">
        <f t="shared" si="60"/>
        <v>0</v>
      </c>
      <c r="AU34" s="96">
        <f t="shared" si="13"/>
        <v>0</v>
      </c>
      <c r="AV34" s="53">
        <f t="shared" ref="AV34:AW38" si="61">IF(AV19=0,0,AV14/AV19)</f>
        <v>0</v>
      </c>
      <c r="AW34" s="88">
        <f t="shared" si="61"/>
        <v>0</v>
      </c>
      <c r="AX34" s="96">
        <f t="shared" si="14"/>
        <v>0</v>
      </c>
      <c r="AY34" s="53">
        <f t="shared" ref="AY34:AZ38" si="62">IF(AY19=0,0,AY14/AY19)</f>
        <v>0</v>
      </c>
      <c r="AZ34" s="88">
        <f t="shared" si="62"/>
        <v>0</v>
      </c>
      <c r="BA34" s="96">
        <f t="shared" si="15"/>
        <v>0</v>
      </c>
      <c r="BB34" s="53">
        <f t="shared" ref="BB34:BC38" si="63">IF(BB19=0,0,BB14/BB19)</f>
        <v>0</v>
      </c>
      <c r="BC34" s="88">
        <f t="shared" si="63"/>
        <v>0</v>
      </c>
      <c r="BD34" s="96">
        <f t="shared" si="16"/>
        <v>0</v>
      </c>
      <c r="BE34" s="53">
        <f>IF(BE19=0,0,BE14/BE19)</f>
        <v>0</v>
      </c>
      <c r="BF34" s="53">
        <f>IF(BF19=0,0,BF14/BF19)</f>
        <v>0</v>
      </c>
      <c r="BG34" s="53">
        <f>IF(BG19=0,0,BG14/BG19)</f>
        <v>0</v>
      </c>
    </row>
    <row r="35" spans="1:59" s="127" customFormat="1" ht="13.5" hidden="1" outlineLevel="1" x14ac:dyDescent="0.25">
      <c r="A35" s="27"/>
      <c r="B35" s="83" t="s">
        <v>28</v>
      </c>
      <c r="C35" s="117" t="s">
        <v>27</v>
      </c>
      <c r="D35" s="19">
        <f t="shared" si="47"/>
        <v>0</v>
      </c>
      <c r="E35" s="19">
        <f t="shared" si="47"/>
        <v>0</v>
      </c>
      <c r="F35" s="23">
        <f t="shared" si="47"/>
        <v>0</v>
      </c>
      <c r="G35" s="22">
        <f t="shared" si="47"/>
        <v>0</v>
      </c>
      <c r="H35" s="21">
        <f t="shared" si="0"/>
        <v>0</v>
      </c>
      <c r="I35" s="23">
        <f t="shared" si="48"/>
        <v>0</v>
      </c>
      <c r="J35" s="22">
        <f t="shared" si="48"/>
        <v>0</v>
      </c>
      <c r="K35" s="21">
        <f t="shared" si="1"/>
        <v>0</v>
      </c>
      <c r="L35" s="23">
        <f t="shared" si="49"/>
        <v>0</v>
      </c>
      <c r="M35" s="22">
        <f t="shared" si="49"/>
        <v>0</v>
      </c>
      <c r="N35" s="21">
        <f t="shared" si="2"/>
        <v>0</v>
      </c>
      <c r="O35" s="23">
        <f t="shared" si="50"/>
        <v>0</v>
      </c>
      <c r="P35" s="22">
        <f t="shared" si="50"/>
        <v>0</v>
      </c>
      <c r="Q35" s="21">
        <f t="shared" si="3"/>
        <v>0</v>
      </c>
      <c r="R35" s="23">
        <f t="shared" si="51"/>
        <v>0</v>
      </c>
      <c r="S35" s="22">
        <f t="shared" si="51"/>
        <v>0</v>
      </c>
      <c r="T35" s="21">
        <f t="shared" si="4"/>
        <v>0</v>
      </c>
      <c r="U35" s="23">
        <f t="shared" si="52"/>
        <v>0</v>
      </c>
      <c r="V35" s="22">
        <f t="shared" si="52"/>
        <v>0</v>
      </c>
      <c r="W35" s="21">
        <f t="shared" si="5"/>
        <v>0</v>
      </c>
      <c r="X35" s="23">
        <f t="shared" si="53"/>
        <v>0</v>
      </c>
      <c r="Y35" s="22">
        <f t="shared" si="53"/>
        <v>0</v>
      </c>
      <c r="Z35" s="21">
        <f t="shared" si="6"/>
        <v>0</v>
      </c>
      <c r="AA35" s="23">
        <f t="shared" si="54"/>
        <v>0</v>
      </c>
      <c r="AB35" s="22">
        <f t="shared" si="54"/>
        <v>0</v>
      </c>
      <c r="AC35" s="21">
        <f t="shared" si="7"/>
        <v>0</v>
      </c>
      <c r="AD35" s="23">
        <f t="shared" si="55"/>
        <v>0</v>
      </c>
      <c r="AE35" s="22">
        <f t="shared" si="55"/>
        <v>0</v>
      </c>
      <c r="AF35" s="21">
        <f t="shared" si="8"/>
        <v>0</v>
      </c>
      <c r="AG35" s="23">
        <f t="shared" si="56"/>
        <v>0</v>
      </c>
      <c r="AH35" s="22">
        <f t="shared" si="56"/>
        <v>0</v>
      </c>
      <c r="AI35" s="21">
        <f t="shared" si="9"/>
        <v>0</v>
      </c>
      <c r="AJ35" s="23">
        <f t="shared" si="57"/>
        <v>0</v>
      </c>
      <c r="AK35" s="22">
        <f t="shared" si="57"/>
        <v>0</v>
      </c>
      <c r="AL35" s="21">
        <f t="shared" si="10"/>
        <v>0</v>
      </c>
      <c r="AM35" s="23">
        <f t="shared" si="58"/>
        <v>0</v>
      </c>
      <c r="AN35" s="22">
        <f t="shared" si="58"/>
        <v>0</v>
      </c>
      <c r="AO35" s="21">
        <f t="shared" si="11"/>
        <v>0</v>
      </c>
      <c r="AP35" s="23">
        <f t="shared" si="59"/>
        <v>0</v>
      </c>
      <c r="AQ35" s="22">
        <f t="shared" si="59"/>
        <v>0</v>
      </c>
      <c r="AR35" s="21">
        <f t="shared" si="12"/>
        <v>0</v>
      </c>
      <c r="AS35" s="23">
        <f t="shared" si="60"/>
        <v>0</v>
      </c>
      <c r="AT35" s="22">
        <f t="shared" si="60"/>
        <v>0</v>
      </c>
      <c r="AU35" s="21">
        <f t="shared" si="13"/>
        <v>0</v>
      </c>
      <c r="AV35" s="23">
        <f t="shared" si="61"/>
        <v>0</v>
      </c>
      <c r="AW35" s="22">
        <f t="shared" si="61"/>
        <v>0</v>
      </c>
      <c r="AX35" s="21">
        <f t="shared" si="14"/>
        <v>0</v>
      </c>
      <c r="AY35" s="23">
        <f t="shared" si="62"/>
        <v>0</v>
      </c>
      <c r="AZ35" s="22">
        <f t="shared" si="62"/>
        <v>0</v>
      </c>
      <c r="BA35" s="21">
        <f t="shared" si="15"/>
        <v>0</v>
      </c>
      <c r="BB35" s="23">
        <f t="shared" si="63"/>
        <v>0</v>
      </c>
      <c r="BC35" s="22">
        <f t="shared" si="63"/>
        <v>0</v>
      </c>
      <c r="BD35" s="21">
        <f t="shared" si="16"/>
        <v>0</v>
      </c>
      <c r="BE35" s="23">
        <f t="shared" ref="BE35:BF38" si="64">IF(BE20=0,0,BE15/BE20)</f>
        <v>0</v>
      </c>
      <c r="BF35" s="23">
        <f t="shared" si="64"/>
        <v>0</v>
      </c>
      <c r="BG35" s="23">
        <f>BB35+BE35+BF35</f>
        <v>0</v>
      </c>
    </row>
    <row r="36" spans="1:59" ht="13.5" hidden="1" customHeight="1" outlineLevel="1" x14ac:dyDescent="0.25">
      <c r="A36" s="82"/>
      <c r="B36" s="83" t="s">
        <v>29</v>
      </c>
      <c r="C36" s="117" t="s">
        <v>27</v>
      </c>
      <c r="D36" s="19">
        <f t="shared" si="47"/>
        <v>0</v>
      </c>
      <c r="E36" s="19">
        <f t="shared" si="47"/>
        <v>0</v>
      </c>
      <c r="F36" s="23">
        <f t="shared" si="47"/>
        <v>0</v>
      </c>
      <c r="G36" s="22">
        <f t="shared" si="47"/>
        <v>0</v>
      </c>
      <c r="H36" s="21">
        <f t="shared" si="0"/>
        <v>0</v>
      </c>
      <c r="I36" s="23">
        <f t="shared" si="48"/>
        <v>0</v>
      </c>
      <c r="J36" s="22">
        <f t="shared" si="48"/>
        <v>0</v>
      </c>
      <c r="K36" s="21">
        <f t="shared" si="1"/>
        <v>0</v>
      </c>
      <c r="L36" s="23">
        <f t="shared" si="49"/>
        <v>0</v>
      </c>
      <c r="M36" s="22">
        <f t="shared" si="49"/>
        <v>0</v>
      </c>
      <c r="N36" s="21">
        <f t="shared" si="2"/>
        <v>0</v>
      </c>
      <c r="O36" s="23">
        <f t="shared" si="50"/>
        <v>0</v>
      </c>
      <c r="P36" s="22">
        <f t="shared" si="50"/>
        <v>0</v>
      </c>
      <c r="Q36" s="21">
        <f t="shared" si="3"/>
        <v>0</v>
      </c>
      <c r="R36" s="23">
        <f t="shared" si="51"/>
        <v>0</v>
      </c>
      <c r="S36" s="22">
        <f t="shared" si="51"/>
        <v>0</v>
      </c>
      <c r="T36" s="21">
        <f t="shared" si="4"/>
        <v>0</v>
      </c>
      <c r="U36" s="23">
        <f t="shared" si="52"/>
        <v>0</v>
      </c>
      <c r="V36" s="22">
        <f t="shared" si="52"/>
        <v>0</v>
      </c>
      <c r="W36" s="21">
        <f t="shared" si="5"/>
        <v>0</v>
      </c>
      <c r="X36" s="23">
        <f t="shared" si="53"/>
        <v>0</v>
      </c>
      <c r="Y36" s="22">
        <f t="shared" si="53"/>
        <v>0</v>
      </c>
      <c r="Z36" s="21">
        <f t="shared" si="6"/>
        <v>0</v>
      </c>
      <c r="AA36" s="23">
        <f t="shared" si="54"/>
        <v>0</v>
      </c>
      <c r="AB36" s="22">
        <f t="shared" si="54"/>
        <v>0</v>
      </c>
      <c r="AC36" s="21">
        <f t="shared" si="7"/>
        <v>0</v>
      </c>
      <c r="AD36" s="23">
        <f t="shared" si="55"/>
        <v>0</v>
      </c>
      <c r="AE36" s="22">
        <f t="shared" si="55"/>
        <v>0</v>
      </c>
      <c r="AF36" s="21">
        <f t="shared" si="8"/>
        <v>0</v>
      </c>
      <c r="AG36" s="23">
        <f t="shared" si="56"/>
        <v>0</v>
      </c>
      <c r="AH36" s="22">
        <f t="shared" si="56"/>
        <v>0</v>
      </c>
      <c r="AI36" s="21">
        <f t="shared" si="9"/>
        <v>0</v>
      </c>
      <c r="AJ36" s="23">
        <f t="shared" si="57"/>
        <v>0</v>
      </c>
      <c r="AK36" s="22">
        <f t="shared" si="57"/>
        <v>0</v>
      </c>
      <c r="AL36" s="21">
        <f t="shared" si="10"/>
        <v>0</v>
      </c>
      <c r="AM36" s="23">
        <f t="shared" si="58"/>
        <v>0</v>
      </c>
      <c r="AN36" s="22">
        <f t="shared" si="58"/>
        <v>0</v>
      </c>
      <c r="AO36" s="21">
        <f t="shared" si="11"/>
        <v>0</v>
      </c>
      <c r="AP36" s="23">
        <f t="shared" si="59"/>
        <v>0</v>
      </c>
      <c r="AQ36" s="22">
        <f t="shared" si="59"/>
        <v>0</v>
      </c>
      <c r="AR36" s="21">
        <f t="shared" si="12"/>
        <v>0</v>
      </c>
      <c r="AS36" s="23">
        <f t="shared" si="60"/>
        <v>0</v>
      </c>
      <c r="AT36" s="22">
        <f t="shared" si="60"/>
        <v>0</v>
      </c>
      <c r="AU36" s="21">
        <f t="shared" si="13"/>
        <v>0</v>
      </c>
      <c r="AV36" s="23">
        <f t="shared" si="61"/>
        <v>0</v>
      </c>
      <c r="AW36" s="22">
        <f t="shared" si="61"/>
        <v>0</v>
      </c>
      <c r="AX36" s="21">
        <f t="shared" si="14"/>
        <v>0</v>
      </c>
      <c r="AY36" s="23">
        <f t="shared" si="62"/>
        <v>0</v>
      </c>
      <c r="AZ36" s="22">
        <f t="shared" si="62"/>
        <v>0</v>
      </c>
      <c r="BA36" s="21">
        <f t="shared" si="15"/>
        <v>0</v>
      </c>
      <c r="BB36" s="23">
        <f t="shared" si="63"/>
        <v>0</v>
      </c>
      <c r="BC36" s="22">
        <f t="shared" si="63"/>
        <v>0</v>
      </c>
      <c r="BD36" s="21">
        <f t="shared" si="16"/>
        <v>0</v>
      </c>
      <c r="BE36" s="23">
        <f t="shared" si="64"/>
        <v>0</v>
      </c>
      <c r="BF36" s="23">
        <f t="shared" si="64"/>
        <v>0</v>
      </c>
      <c r="BG36" s="23">
        <f t="shared" ref="BG36:BG38" si="65">BB36+BE36+BF36</f>
        <v>0</v>
      </c>
    </row>
    <row r="37" spans="1:59" ht="13.5" hidden="1" customHeight="1" outlineLevel="1" x14ac:dyDescent="0.25">
      <c r="A37" s="82"/>
      <c r="B37" s="83" t="s">
        <v>30</v>
      </c>
      <c r="C37" s="117" t="s">
        <v>27</v>
      </c>
      <c r="D37" s="19">
        <f t="shared" si="47"/>
        <v>0</v>
      </c>
      <c r="E37" s="19">
        <f t="shared" si="47"/>
        <v>0</v>
      </c>
      <c r="F37" s="23">
        <f t="shared" si="47"/>
        <v>0</v>
      </c>
      <c r="G37" s="22">
        <f t="shared" si="47"/>
        <v>0</v>
      </c>
      <c r="H37" s="21">
        <f t="shared" si="0"/>
        <v>0</v>
      </c>
      <c r="I37" s="23">
        <f t="shared" si="48"/>
        <v>0</v>
      </c>
      <c r="J37" s="22">
        <f t="shared" si="48"/>
        <v>0</v>
      </c>
      <c r="K37" s="21">
        <f t="shared" si="1"/>
        <v>0</v>
      </c>
      <c r="L37" s="23">
        <f t="shared" si="49"/>
        <v>0</v>
      </c>
      <c r="M37" s="22">
        <f t="shared" si="49"/>
        <v>0</v>
      </c>
      <c r="N37" s="21">
        <f t="shared" si="2"/>
        <v>0</v>
      </c>
      <c r="O37" s="23">
        <f t="shared" si="50"/>
        <v>0</v>
      </c>
      <c r="P37" s="22">
        <f t="shared" si="50"/>
        <v>0</v>
      </c>
      <c r="Q37" s="21">
        <f t="shared" si="3"/>
        <v>0</v>
      </c>
      <c r="R37" s="23">
        <f t="shared" si="51"/>
        <v>0</v>
      </c>
      <c r="S37" s="22">
        <f t="shared" si="51"/>
        <v>0</v>
      </c>
      <c r="T37" s="21">
        <f t="shared" si="4"/>
        <v>0</v>
      </c>
      <c r="U37" s="23">
        <f t="shared" si="52"/>
        <v>0</v>
      </c>
      <c r="V37" s="22">
        <f t="shared" si="52"/>
        <v>0</v>
      </c>
      <c r="W37" s="21">
        <f t="shared" si="5"/>
        <v>0</v>
      </c>
      <c r="X37" s="23">
        <f t="shared" si="53"/>
        <v>0</v>
      </c>
      <c r="Y37" s="22">
        <f t="shared" si="53"/>
        <v>0</v>
      </c>
      <c r="Z37" s="21">
        <f t="shared" si="6"/>
        <v>0</v>
      </c>
      <c r="AA37" s="23">
        <f t="shared" si="54"/>
        <v>0</v>
      </c>
      <c r="AB37" s="22">
        <f t="shared" si="54"/>
        <v>0</v>
      </c>
      <c r="AC37" s="21">
        <f t="shared" si="7"/>
        <v>0</v>
      </c>
      <c r="AD37" s="23">
        <f t="shared" si="55"/>
        <v>0</v>
      </c>
      <c r="AE37" s="22">
        <f t="shared" si="55"/>
        <v>0</v>
      </c>
      <c r="AF37" s="21">
        <f t="shared" si="8"/>
        <v>0</v>
      </c>
      <c r="AG37" s="23">
        <f t="shared" si="56"/>
        <v>0</v>
      </c>
      <c r="AH37" s="22">
        <f t="shared" si="56"/>
        <v>0</v>
      </c>
      <c r="AI37" s="21">
        <f t="shared" si="9"/>
        <v>0</v>
      </c>
      <c r="AJ37" s="23">
        <f t="shared" si="57"/>
        <v>0</v>
      </c>
      <c r="AK37" s="22">
        <f t="shared" si="57"/>
        <v>0</v>
      </c>
      <c r="AL37" s="21">
        <f t="shared" si="10"/>
        <v>0</v>
      </c>
      <c r="AM37" s="23">
        <f t="shared" si="58"/>
        <v>0</v>
      </c>
      <c r="AN37" s="22">
        <f t="shared" si="58"/>
        <v>0</v>
      </c>
      <c r="AO37" s="21">
        <f t="shared" si="11"/>
        <v>0</v>
      </c>
      <c r="AP37" s="23">
        <f t="shared" si="59"/>
        <v>0</v>
      </c>
      <c r="AQ37" s="22">
        <f t="shared" si="59"/>
        <v>0</v>
      </c>
      <c r="AR37" s="21">
        <f t="shared" si="12"/>
        <v>0</v>
      </c>
      <c r="AS37" s="23">
        <f t="shared" si="60"/>
        <v>0</v>
      </c>
      <c r="AT37" s="22">
        <f t="shared" si="60"/>
        <v>0</v>
      </c>
      <c r="AU37" s="21">
        <f t="shared" si="13"/>
        <v>0</v>
      </c>
      <c r="AV37" s="23">
        <f t="shared" si="61"/>
        <v>0</v>
      </c>
      <c r="AW37" s="22">
        <f t="shared" si="61"/>
        <v>0</v>
      </c>
      <c r="AX37" s="21">
        <f t="shared" si="14"/>
        <v>0</v>
      </c>
      <c r="AY37" s="23">
        <f t="shared" si="62"/>
        <v>0</v>
      </c>
      <c r="AZ37" s="22">
        <f t="shared" si="62"/>
        <v>0</v>
      </c>
      <c r="BA37" s="21">
        <f t="shared" si="15"/>
        <v>0</v>
      </c>
      <c r="BB37" s="23">
        <f t="shared" si="63"/>
        <v>0</v>
      </c>
      <c r="BC37" s="22">
        <f t="shared" si="63"/>
        <v>0</v>
      </c>
      <c r="BD37" s="21">
        <f t="shared" si="16"/>
        <v>0</v>
      </c>
      <c r="BE37" s="23">
        <f t="shared" si="64"/>
        <v>0</v>
      </c>
      <c r="BF37" s="23">
        <f t="shared" si="64"/>
        <v>0</v>
      </c>
      <c r="BG37" s="23">
        <f t="shared" si="65"/>
        <v>0</v>
      </c>
    </row>
    <row r="38" spans="1:59" ht="13.5" hidden="1" customHeight="1" outlineLevel="1" thickBot="1" x14ac:dyDescent="0.3">
      <c r="A38" s="82"/>
      <c r="B38" s="83" t="s">
        <v>31</v>
      </c>
      <c r="C38" s="117" t="s">
        <v>27</v>
      </c>
      <c r="D38" s="19">
        <f t="shared" si="47"/>
        <v>0</v>
      </c>
      <c r="E38" s="19">
        <f t="shared" si="47"/>
        <v>0</v>
      </c>
      <c r="F38" s="23">
        <f t="shared" si="47"/>
        <v>0</v>
      </c>
      <c r="G38" s="22">
        <f t="shared" si="47"/>
        <v>0</v>
      </c>
      <c r="H38" s="21">
        <f t="shared" si="0"/>
        <v>0</v>
      </c>
      <c r="I38" s="23">
        <f t="shared" si="48"/>
        <v>0</v>
      </c>
      <c r="J38" s="22">
        <f t="shared" si="48"/>
        <v>0</v>
      </c>
      <c r="K38" s="21">
        <f t="shared" si="1"/>
        <v>0</v>
      </c>
      <c r="L38" s="23">
        <f t="shared" si="49"/>
        <v>0</v>
      </c>
      <c r="M38" s="22">
        <f t="shared" si="49"/>
        <v>0</v>
      </c>
      <c r="N38" s="21">
        <f t="shared" si="2"/>
        <v>0</v>
      </c>
      <c r="O38" s="23">
        <f t="shared" si="50"/>
        <v>0</v>
      </c>
      <c r="P38" s="22">
        <f t="shared" si="50"/>
        <v>0</v>
      </c>
      <c r="Q38" s="21">
        <f t="shared" si="3"/>
        <v>0</v>
      </c>
      <c r="R38" s="23">
        <f t="shared" si="51"/>
        <v>0</v>
      </c>
      <c r="S38" s="22">
        <f t="shared" si="51"/>
        <v>0</v>
      </c>
      <c r="T38" s="21">
        <f t="shared" si="4"/>
        <v>0</v>
      </c>
      <c r="U38" s="23">
        <f t="shared" si="52"/>
        <v>0</v>
      </c>
      <c r="V38" s="22">
        <f t="shared" si="52"/>
        <v>0</v>
      </c>
      <c r="W38" s="21">
        <f t="shared" si="5"/>
        <v>0</v>
      </c>
      <c r="X38" s="23">
        <f t="shared" si="53"/>
        <v>0</v>
      </c>
      <c r="Y38" s="22">
        <f t="shared" si="53"/>
        <v>0</v>
      </c>
      <c r="Z38" s="21">
        <f t="shared" si="6"/>
        <v>0</v>
      </c>
      <c r="AA38" s="23">
        <f t="shared" si="54"/>
        <v>0</v>
      </c>
      <c r="AB38" s="22">
        <f t="shared" si="54"/>
        <v>0</v>
      </c>
      <c r="AC38" s="21">
        <f t="shared" si="7"/>
        <v>0</v>
      </c>
      <c r="AD38" s="23">
        <f t="shared" si="55"/>
        <v>0</v>
      </c>
      <c r="AE38" s="22">
        <f t="shared" si="55"/>
        <v>0</v>
      </c>
      <c r="AF38" s="21">
        <f t="shared" si="8"/>
        <v>0</v>
      </c>
      <c r="AG38" s="23">
        <f t="shared" si="56"/>
        <v>0</v>
      </c>
      <c r="AH38" s="22">
        <f t="shared" si="56"/>
        <v>0</v>
      </c>
      <c r="AI38" s="21">
        <f t="shared" si="9"/>
        <v>0</v>
      </c>
      <c r="AJ38" s="23">
        <f t="shared" si="57"/>
        <v>0</v>
      </c>
      <c r="AK38" s="22">
        <f t="shared" si="57"/>
        <v>0</v>
      </c>
      <c r="AL38" s="21">
        <f t="shared" si="10"/>
        <v>0</v>
      </c>
      <c r="AM38" s="23">
        <f t="shared" si="58"/>
        <v>0</v>
      </c>
      <c r="AN38" s="22">
        <f t="shared" si="58"/>
        <v>0</v>
      </c>
      <c r="AO38" s="21">
        <f t="shared" si="11"/>
        <v>0</v>
      </c>
      <c r="AP38" s="23">
        <f t="shared" si="59"/>
        <v>0</v>
      </c>
      <c r="AQ38" s="22">
        <f t="shared" si="59"/>
        <v>0</v>
      </c>
      <c r="AR38" s="21">
        <f t="shared" si="12"/>
        <v>0</v>
      </c>
      <c r="AS38" s="23">
        <f t="shared" si="60"/>
        <v>0</v>
      </c>
      <c r="AT38" s="22">
        <f t="shared" si="60"/>
        <v>0</v>
      </c>
      <c r="AU38" s="21">
        <f t="shared" si="13"/>
        <v>0</v>
      </c>
      <c r="AV38" s="23">
        <f t="shared" si="61"/>
        <v>0</v>
      </c>
      <c r="AW38" s="22">
        <f t="shared" si="61"/>
        <v>0</v>
      </c>
      <c r="AX38" s="21">
        <f t="shared" si="14"/>
        <v>0</v>
      </c>
      <c r="AY38" s="23">
        <f t="shared" si="62"/>
        <v>0</v>
      </c>
      <c r="AZ38" s="22">
        <f t="shared" si="62"/>
        <v>0</v>
      </c>
      <c r="BA38" s="21">
        <f t="shared" si="15"/>
        <v>0</v>
      </c>
      <c r="BB38" s="23">
        <f t="shared" si="63"/>
        <v>0</v>
      </c>
      <c r="BC38" s="22">
        <f t="shared" si="63"/>
        <v>0</v>
      </c>
      <c r="BD38" s="21">
        <f t="shared" si="16"/>
        <v>0</v>
      </c>
      <c r="BE38" s="23">
        <f t="shared" si="64"/>
        <v>0</v>
      </c>
      <c r="BF38" s="23">
        <f t="shared" si="64"/>
        <v>0</v>
      </c>
      <c r="BG38" s="23">
        <f t="shared" si="65"/>
        <v>0</v>
      </c>
    </row>
    <row r="39" spans="1:59" s="127" customFormat="1" ht="15" customHeight="1" collapsed="1" thickBot="1" x14ac:dyDescent="0.3">
      <c r="A39" s="51" t="s">
        <v>43</v>
      </c>
      <c r="B39" s="52" t="s">
        <v>44</v>
      </c>
      <c r="C39" s="116" t="s">
        <v>45</v>
      </c>
      <c r="D39" s="28">
        <f>SUM(D40:D43)</f>
        <v>0</v>
      </c>
      <c r="E39" s="28">
        <f>SUM(E40:E43)</f>
        <v>0</v>
      </c>
      <c r="F39" s="53">
        <f>SUM(F40:F43)</f>
        <v>0</v>
      </c>
      <c r="G39" s="88">
        <f>SUM(G40:G43)</f>
        <v>0</v>
      </c>
      <c r="H39" s="96">
        <f t="shared" si="0"/>
        <v>0</v>
      </c>
      <c r="I39" s="53">
        <f>SUM(I40:I43)</f>
        <v>0</v>
      </c>
      <c r="J39" s="88">
        <f>SUM(J40:J43)</f>
        <v>0</v>
      </c>
      <c r="K39" s="96">
        <f t="shared" si="1"/>
        <v>0</v>
      </c>
      <c r="L39" s="53">
        <f>SUM(L40:L43)</f>
        <v>0</v>
      </c>
      <c r="M39" s="88">
        <f>SUM(M40:M43)</f>
        <v>0</v>
      </c>
      <c r="N39" s="96">
        <f t="shared" si="2"/>
        <v>0</v>
      </c>
      <c r="O39" s="53">
        <f>SUM(O40:O43)</f>
        <v>0</v>
      </c>
      <c r="P39" s="88">
        <f>SUM(P40:P43)</f>
        <v>0</v>
      </c>
      <c r="Q39" s="96">
        <f t="shared" si="3"/>
        <v>0</v>
      </c>
      <c r="R39" s="53">
        <f>SUM(R40:R43)</f>
        <v>0</v>
      </c>
      <c r="S39" s="88">
        <f>SUM(S40:S43)</f>
        <v>0</v>
      </c>
      <c r="T39" s="96">
        <f t="shared" si="4"/>
        <v>0</v>
      </c>
      <c r="U39" s="53">
        <f>SUM(U40:U43)</f>
        <v>0</v>
      </c>
      <c r="V39" s="88">
        <f>SUM(V40:V43)</f>
        <v>0</v>
      </c>
      <c r="W39" s="96">
        <f t="shared" si="5"/>
        <v>0</v>
      </c>
      <c r="X39" s="53">
        <f>SUM(X40:X43)</f>
        <v>0</v>
      </c>
      <c r="Y39" s="88">
        <f>SUM(Y40:Y43)</f>
        <v>0</v>
      </c>
      <c r="Z39" s="96">
        <f t="shared" si="6"/>
        <v>0</v>
      </c>
      <c r="AA39" s="53">
        <f>SUM(AA40:AA43)</f>
        <v>0</v>
      </c>
      <c r="AB39" s="88">
        <f>SUM(AB40:AB43)</f>
        <v>0</v>
      </c>
      <c r="AC39" s="96">
        <f t="shared" si="7"/>
        <v>0</v>
      </c>
      <c r="AD39" s="53">
        <f>SUM(AD40:AD43)</f>
        <v>0</v>
      </c>
      <c r="AE39" s="88">
        <f>SUM(AE40:AE43)</f>
        <v>0</v>
      </c>
      <c r="AF39" s="96">
        <f t="shared" si="8"/>
        <v>0</v>
      </c>
      <c r="AG39" s="53">
        <f>SUM(AG40:AG43)</f>
        <v>0</v>
      </c>
      <c r="AH39" s="88">
        <f>SUM(AH40:AH43)</f>
        <v>0</v>
      </c>
      <c r="AI39" s="96">
        <f t="shared" si="9"/>
        <v>0</v>
      </c>
      <c r="AJ39" s="53">
        <f>SUM(AJ40:AJ43)</f>
        <v>0</v>
      </c>
      <c r="AK39" s="88">
        <f>SUM(AK40:AK43)</f>
        <v>0</v>
      </c>
      <c r="AL39" s="96">
        <f t="shared" si="10"/>
        <v>0</v>
      </c>
      <c r="AM39" s="53">
        <f>SUM(AM40:AM43)</f>
        <v>0</v>
      </c>
      <c r="AN39" s="88">
        <f>SUM(AN40:AN43)</f>
        <v>0</v>
      </c>
      <c r="AO39" s="96">
        <f t="shared" si="11"/>
        <v>0</v>
      </c>
      <c r="AP39" s="53">
        <f>SUM(AP40:AP43)</f>
        <v>0</v>
      </c>
      <c r="AQ39" s="88">
        <f>SUM(AQ40:AQ43)</f>
        <v>0</v>
      </c>
      <c r="AR39" s="96">
        <f t="shared" si="12"/>
        <v>0</v>
      </c>
      <c r="AS39" s="53">
        <f>SUM(AS40:AS43)</f>
        <v>0</v>
      </c>
      <c r="AT39" s="88">
        <f>SUM(AT40:AT43)</f>
        <v>0</v>
      </c>
      <c r="AU39" s="96">
        <f t="shared" si="13"/>
        <v>0</v>
      </c>
      <c r="AV39" s="53">
        <f>SUM(AV40:AV43)</f>
        <v>0</v>
      </c>
      <c r="AW39" s="88">
        <f>SUM(AW40:AW43)</f>
        <v>0</v>
      </c>
      <c r="AX39" s="96">
        <f t="shared" si="14"/>
        <v>0</v>
      </c>
      <c r="AY39" s="53">
        <f>SUM(AY40:AY43)</f>
        <v>0</v>
      </c>
      <c r="AZ39" s="88">
        <f>SUM(AZ40:AZ43)</f>
        <v>0</v>
      </c>
      <c r="BA39" s="96">
        <f t="shared" si="15"/>
        <v>0</v>
      </c>
      <c r="BB39" s="53">
        <f>SUM(BB40:BB43)</f>
        <v>0</v>
      </c>
      <c r="BC39" s="88">
        <f>SUM(BC40:BC43)</f>
        <v>0</v>
      </c>
      <c r="BD39" s="96">
        <f t="shared" si="16"/>
        <v>0</v>
      </c>
      <c r="BE39" s="53">
        <f>SUM(BE40:BE43)</f>
        <v>0</v>
      </c>
      <c r="BF39" s="53">
        <f>SUM(BF40:BF43)</f>
        <v>0</v>
      </c>
      <c r="BG39" s="53">
        <f>SUM(BG40:BG43)</f>
        <v>0</v>
      </c>
    </row>
    <row r="40" spans="1:59" s="127" customFormat="1" ht="13.5" hidden="1" outlineLevel="1" x14ac:dyDescent="0.25">
      <c r="A40" s="27"/>
      <c r="B40" s="83" t="s">
        <v>28</v>
      </c>
      <c r="C40" s="117" t="s">
        <v>45</v>
      </c>
      <c r="D40" s="19">
        <v>0</v>
      </c>
      <c r="E40" s="19">
        <v>0</v>
      </c>
      <c r="F40" s="23">
        <v>0</v>
      </c>
      <c r="G40" s="22">
        <v>0</v>
      </c>
      <c r="H40" s="21">
        <f t="shared" si="0"/>
        <v>0</v>
      </c>
      <c r="I40" s="23">
        <f t="shared" ref="I40:J40" si="66">IF(I25=0,0,I20/I25)</f>
        <v>0</v>
      </c>
      <c r="J40" s="22">
        <f t="shared" si="66"/>
        <v>0</v>
      </c>
      <c r="K40" s="21">
        <f t="shared" si="1"/>
        <v>0</v>
      </c>
      <c r="L40" s="23">
        <f t="shared" ref="L40:M40" si="67">IF(L25=0,0,L20/L25)</f>
        <v>0</v>
      </c>
      <c r="M40" s="22">
        <f t="shared" si="67"/>
        <v>0</v>
      </c>
      <c r="N40" s="21">
        <f t="shared" si="2"/>
        <v>0</v>
      </c>
      <c r="O40" s="23">
        <f t="shared" ref="O40:P43" si="68">SUM(F40,I40,L40)</f>
        <v>0</v>
      </c>
      <c r="P40" s="22">
        <f t="shared" si="68"/>
        <v>0</v>
      </c>
      <c r="Q40" s="21">
        <f t="shared" si="3"/>
        <v>0</v>
      </c>
      <c r="R40" s="23">
        <f t="shared" ref="R40:S40" si="69">IF(R25=0,0,R20/R25)</f>
        <v>0</v>
      </c>
      <c r="S40" s="22">
        <f t="shared" si="69"/>
        <v>0</v>
      </c>
      <c r="T40" s="21">
        <f t="shared" si="4"/>
        <v>0</v>
      </c>
      <c r="U40" s="23">
        <f t="shared" ref="U40:V40" si="70">IF(U25=0,0,U20/U25)</f>
        <v>0</v>
      </c>
      <c r="V40" s="22">
        <f t="shared" si="70"/>
        <v>0</v>
      </c>
      <c r="W40" s="21">
        <f t="shared" si="5"/>
        <v>0</v>
      </c>
      <c r="X40" s="23">
        <f t="shared" ref="X40:Y40" si="71">IF(X25=0,0,X20/X25)</f>
        <v>0</v>
      </c>
      <c r="Y40" s="22">
        <f t="shared" si="71"/>
        <v>0</v>
      </c>
      <c r="Z40" s="21">
        <f t="shared" si="6"/>
        <v>0</v>
      </c>
      <c r="AA40" s="23">
        <f t="shared" ref="AA40:AB43" si="72">SUM(R40,U40,X40)</f>
        <v>0</v>
      </c>
      <c r="AB40" s="22">
        <f t="shared" si="72"/>
        <v>0</v>
      </c>
      <c r="AC40" s="21">
        <f t="shared" si="7"/>
        <v>0</v>
      </c>
      <c r="AD40" s="23">
        <f t="shared" ref="AD40:AE40" si="73">IF(AD25=0,0,AD20/AD25)</f>
        <v>0</v>
      </c>
      <c r="AE40" s="22">
        <f t="shared" si="73"/>
        <v>0</v>
      </c>
      <c r="AF40" s="21">
        <f t="shared" si="8"/>
        <v>0</v>
      </c>
      <c r="AG40" s="23">
        <f t="shared" ref="AG40:AH40" si="74">IF(AG25=0,0,AG20/AG25)</f>
        <v>0</v>
      </c>
      <c r="AH40" s="22">
        <f t="shared" si="74"/>
        <v>0</v>
      </c>
      <c r="AI40" s="21">
        <f t="shared" si="9"/>
        <v>0</v>
      </c>
      <c r="AJ40" s="23">
        <f t="shared" ref="AJ40:AK40" si="75">IF(AJ25=0,0,AJ20/AJ25)</f>
        <v>0</v>
      </c>
      <c r="AK40" s="22">
        <f t="shared" si="75"/>
        <v>0</v>
      </c>
      <c r="AL40" s="21">
        <f t="shared" si="10"/>
        <v>0</v>
      </c>
      <c r="AM40" s="23">
        <f t="shared" ref="AM40:AN43" si="76">SUM(AD40,AG40,AJ40)</f>
        <v>0</v>
      </c>
      <c r="AN40" s="22">
        <f t="shared" si="76"/>
        <v>0</v>
      </c>
      <c r="AO40" s="21">
        <f t="shared" si="11"/>
        <v>0</v>
      </c>
      <c r="AP40" s="23">
        <f t="shared" ref="AP40:AQ40" si="77">IF(AP25=0,0,AP20/AP25)</f>
        <v>0</v>
      </c>
      <c r="AQ40" s="22">
        <f t="shared" si="77"/>
        <v>0</v>
      </c>
      <c r="AR40" s="21">
        <f t="shared" si="12"/>
        <v>0</v>
      </c>
      <c r="AS40" s="23">
        <f t="shared" ref="AS40:AT40" si="78">IF(AS25=0,0,AS20/AS25)</f>
        <v>0</v>
      </c>
      <c r="AT40" s="22">
        <f t="shared" si="78"/>
        <v>0</v>
      </c>
      <c r="AU40" s="21">
        <f t="shared" si="13"/>
        <v>0</v>
      </c>
      <c r="AV40" s="23">
        <f t="shared" ref="AV40:AW40" si="79">IF(AV25=0,0,AV20/AV25)</f>
        <v>0</v>
      </c>
      <c r="AW40" s="22">
        <f t="shared" si="79"/>
        <v>0</v>
      </c>
      <c r="AX40" s="21">
        <f t="shared" si="14"/>
        <v>0</v>
      </c>
      <c r="AY40" s="23">
        <f t="shared" ref="AY40:AZ43" si="80">SUM(AP40,AS40,AV40)</f>
        <v>0</v>
      </c>
      <c r="AZ40" s="22">
        <f t="shared" si="80"/>
        <v>0</v>
      </c>
      <c r="BA40" s="21">
        <f t="shared" si="15"/>
        <v>0</v>
      </c>
      <c r="BB40" s="23">
        <f t="shared" ref="BB40:BC43" si="81">SUM(F40,I40,L40,R40,U40,X40,AD40,AG40,AJ40,AP40,AS40,AV40)</f>
        <v>0</v>
      </c>
      <c r="BC40" s="22">
        <f t="shared" si="81"/>
        <v>0</v>
      </c>
      <c r="BD40" s="21">
        <f t="shared" si="16"/>
        <v>0</v>
      </c>
      <c r="BE40" s="175">
        <v>0</v>
      </c>
      <c r="BF40" s="19">
        <v>0</v>
      </c>
      <c r="BG40" s="23">
        <f>BB40+BE40+BF40</f>
        <v>0</v>
      </c>
    </row>
    <row r="41" spans="1:59" s="124" customFormat="1" ht="13.5" hidden="1" customHeight="1" outlineLevel="1" x14ac:dyDescent="0.25">
      <c r="A41" s="82"/>
      <c r="B41" s="83" t="s">
        <v>29</v>
      </c>
      <c r="C41" s="117" t="s">
        <v>45</v>
      </c>
      <c r="D41" s="19">
        <v>0</v>
      </c>
      <c r="E41" s="19">
        <v>0</v>
      </c>
      <c r="F41" s="23">
        <v>0</v>
      </c>
      <c r="G41" s="22">
        <v>0</v>
      </c>
      <c r="H41" s="21">
        <f t="shared" ref="H41:H71" si="82">G41-F41</f>
        <v>0</v>
      </c>
      <c r="I41" s="23">
        <f t="shared" ref="I41:J41" si="83">IF(I26=0,0,I21/I26)</f>
        <v>0</v>
      </c>
      <c r="J41" s="22">
        <f t="shared" si="83"/>
        <v>0</v>
      </c>
      <c r="K41" s="21">
        <f t="shared" ref="K41:K71" si="84">J41-I41</f>
        <v>0</v>
      </c>
      <c r="L41" s="23">
        <f t="shared" ref="L41:M41" si="85">IF(L26=0,0,L21/L26)</f>
        <v>0</v>
      </c>
      <c r="M41" s="22">
        <f t="shared" si="85"/>
        <v>0</v>
      </c>
      <c r="N41" s="21">
        <f t="shared" ref="N41:N71" si="86">M41-L41</f>
        <v>0</v>
      </c>
      <c r="O41" s="23">
        <f t="shared" si="68"/>
        <v>0</v>
      </c>
      <c r="P41" s="22">
        <f t="shared" si="68"/>
        <v>0</v>
      </c>
      <c r="Q41" s="21">
        <f t="shared" ref="Q41:Q71" si="87">P41-O41</f>
        <v>0</v>
      </c>
      <c r="R41" s="23">
        <f t="shared" ref="R41:S41" si="88">IF(R26=0,0,R21/R26)</f>
        <v>0</v>
      </c>
      <c r="S41" s="22">
        <f t="shared" si="88"/>
        <v>0</v>
      </c>
      <c r="T41" s="21">
        <f t="shared" ref="T41:T71" si="89">S41-R41</f>
        <v>0</v>
      </c>
      <c r="U41" s="23">
        <f t="shared" ref="U41:V41" si="90">IF(U26=0,0,U21/U26)</f>
        <v>0</v>
      </c>
      <c r="V41" s="22">
        <f t="shared" si="90"/>
        <v>0</v>
      </c>
      <c r="W41" s="21">
        <f t="shared" ref="W41:W71" si="91">V41-U41</f>
        <v>0</v>
      </c>
      <c r="X41" s="23">
        <f t="shared" ref="X41:Y41" si="92">IF(X26=0,0,X21/X26)</f>
        <v>0</v>
      </c>
      <c r="Y41" s="22">
        <f t="shared" si="92"/>
        <v>0</v>
      </c>
      <c r="Z41" s="21">
        <f t="shared" ref="Z41:Z71" si="93">Y41-X41</f>
        <v>0</v>
      </c>
      <c r="AA41" s="23">
        <f t="shared" si="72"/>
        <v>0</v>
      </c>
      <c r="AB41" s="22">
        <f t="shared" si="72"/>
        <v>0</v>
      </c>
      <c r="AC41" s="21">
        <f t="shared" ref="AC41:AC71" si="94">AB41-AA41</f>
        <v>0</v>
      </c>
      <c r="AD41" s="23">
        <f t="shared" ref="AD41:AE41" si="95">IF(AD26=0,0,AD21/AD26)</f>
        <v>0</v>
      </c>
      <c r="AE41" s="22">
        <f t="shared" si="95"/>
        <v>0</v>
      </c>
      <c r="AF41" s="21">
        <f t="shared" ref="AF41:AF71" si="96">AE41-AD41</f>
        <v>0</v>
      </c>
      <c r="AG41" s="23">
        <f t="shared" ref="AG41:AH41" si="97">IF(AG26=0,0,AG21/AG26)</f>
        <v>0</v>
      </c>
      <c r="AH41" s="22">
        <f t="shared" si="97"/>
        <v>0</v>
      </c>
      <c r="AI41" s="21">
        <f t="shared" ref="AI41:AI71" si="98">AH41-AG41</f>
        <v>0</v>
      </c>
      <c r="AJ41" s="23">
        <f t="shared" ref="AJ41:AK41" si="99">IF(AJ26=0,0,AJ21/AJ26)</f>
        <v>0</v>
      </c>
      <c r="AK41" s="22">
        <f t="shared" si="99"/>
        <v>0</v>
      </c>
      <c r="AL41" s="21">
        <f t="shared" ref="AL41:AL71" si="100">AK41-AJ41</f>
        <v>0</v>
      </c>
      <c r="AM41" s="23">
        <f t="shared" si="76"/>
        <v>0</v>
      </c>
      <c r="AN41" s="22">
        <f t="shared" si="76"/>
        <v>0</v>
      </c>
      <c r="AO41" s="21">
        <f t="shared" ref="AO41:AO71" si="101">AN41-AM41</f>
        <v>0</v>
      </c>
      <c r="AP41" s="23">
        <f t="shared" ref="AP41:AQ41" si="102">IF(AP26=0,0,AP21/AP26)</f>
        <v>0</v>
      </c>
      <c r="AQ41" s="22">
        <f t="shared" si="102"/>
        <v>0</v>
      </c>
      <c r="AR41" s="21">
        <f t="shared" ref="AR41:AR71" si="103">AQ41-AP41</f>
        <v>0</v>
      </c>
      <c r="AS41" s="23">
        <f t="shared" ref="AS41:AT41" si="104">IF(AS26=0,0,AS21/AS26)</f>
        <v>0</v>
      </c>
      <c r="AT41" s="22">
        <f t="shared" si="104"/>
        <v>0</v>
      </c>
      <c r="AU41" s="21">
        <f t="shared" ref="AU41:AU71" si="105">AT41-AS41</f>
        <v>0</v>
      </c>
      <c r="AV41" s="23">
        <f t="shared" ref="AV41:AW41" si="106">IF(AV26=0,0,AV21/AV26)</f>
        <v>0</v>
      </c>
      <c r="AW41" s="22">
        <f t="shared" si="106"/>
        <v>0</v>
      </c>
      <c r="AX41" s="21">
        <f t="shared" ref="AX41:AX71" si="107">AW41-AV41</f>
        <v>0</v>
      </c>
      <c r="AY41" s="23">
        <f t="shared" si="80"/>
        <v>0</v>
      </c>
      <c r="AZ41" s="22">
        <f t="shared" si="80"/>
        <v>0</v>
      </c>
      <c r="BA41" s="21">
        <f t="shared" ref="BA41:BA71" si="108">AZ41-AY41</f>
        <v>0</v>
      </c>
      <c r="BB41" s="23">
        <f t="shared" si="81"/>
        <v>0</v>
      </c>
      <c r="BC41" s="22">
        <f t="shared" si="81"/>
        <v>0</v>
      </c>
      <c r="BD41" s="21">
        <f t="shared" ref="BD41:BD71" si="109">BC41-BB41</f>
        <v>0</v>
      </c>
      <c r="BE41" s="175">
        <v>0</v>
      </c>
      <c r="BF41" s="19">
        <v>0</v>
      </c>
      <c r="BG41" s="23">
        <f t="shared" ref="BG41:BG43" si="110">BB41+BE41+BF41</f>
        <v>0</v>
      </c>
    </row>
    <row r="42" spans="1:59" s="124" customFormat="1" ht="13.5" hidden="1" customHeight="1" outlineLevel="1" x14ac:dyDescent="0.25">
      <c r="A42" s="82"/>
      <c r="B42" s="83" t="s">
        <v>30</v>
      </c>
      <c r="C42" s="117" t="s">
        <v>45</v>
      </c>
      <c r="D42" s="19">
        <v>0</v>
      </c>
      <c r="E42" s="19">
        <v>0</v>
      </c>
      <c r="F42" s="23">
        <v>0</v>
      </c>
      <c r="G42" s="22">
        <v>0</v>
      </c>
      <c r="H42" s="21">
        <f t="shared" si="82"/>
        <v>0</v>
      </c>
      <c r="I42" s="23">
        <f t="shared" ref="I42:J42" si="111">IF(I27=0,0,I22/I27)</f>
        <v>0</v>
      </c>
      <c r="J42" s="22">
        <f t="shared" si="111"/>
        <v>0</v>
      </c>
      <c r="K42" s="21">
        <f t="shared" si="84"/>
        <v>0</v>
      </c>
      <c r="L42" s="23">
        <f t="shared" ref="L42:M42" si="112">IF(L27=0,0,L22/L27)</f>
        <v>0</v>
      </c>
      <c r="M42" s="22">
        <f t="shared" si="112"/>
        <v>0</v>
      </c>
      <c r="N42" s="21">
        <f t="shared" si="86"/>
        <v>0</v>
      </c>
      <c r="O42" s="23">
        <f t="shared" si="68"/>
        <v>0</v>
      </c>
      <c r="P42" s="22">
        <f t="shared" si="68"/>
        <v>0</v>
      </c>
      <c r="Q42" s="21">
        <f t="shared" si="87"/>
        <v>0</v>
      </c>
      <c r="R42" s="23">
        <f t="shared" ref="R42:S42" si="113">IF(R27=0,0,R22/R27)</f>
        <v>0</v>
      </c>
      <c r="S42" s="22">
        <f t="shared" si="113"/>
        <v>0</v>
      </c>
      <c r="T42" s="21">
        <f t="shared" si="89"/>
        <v>0</v>
      </c>
      <c r="U42" s="23">
        <f t="shared" ref="U42:V42" si="114">IF(U27=0,0,U22/U27)</f>
        <v>0</v>
      </c>
      <c r="V42" s="22">
        <f t="shared" si="114"/>
        <v>0</v>
      </c>
      <c r="W42" s="21">
        <f t="shared" si="91"/>
        <v>0</v>
      </c>
      <c r="X42" s="23">
        <f t="shared" ref="X42:Y42" si="115">IF(X27=0,0,X22/X27)</f>
        <v>0</v>
      </c>
      <c r="Y42" s="22">
        <f t="shared" si="115"/>
        <v>0</v>
      </c>
      <c r="Z42" s="21">
        <f t="shared" si="93"/>
        <v>0</v>
      </c>
      <c r="AA42" s="23">
        <f t="shared" si="72"/>
        <v>0</v>
      </c>
      <c r="AB42" s="22">
        <f t="shared" si="72"/>
        <v>0</v>
      </c>
      <c r="AC42" s="21">
        <f t="shared" si="94"/>
        <v>0</v>
      </c>
      <c r="AD42" s="23">
        <f t="shared" ref="AD42:AE42" si="116">IF(AD27=0,0,AD22/AD27)</f>
        <v>0</v>
      </c>
      <c r="AE42" s="22">
        <f t="shared" si="116"/>
        <v>0</v>
      </c>
      <c r="AF42" s="21">
        <f t="shared" si="96"/>
        <v>0</v>
      </c>
      <c r="AG42" s="23">
        <f t="shared" ref="AG42:AH42" si="117">IF(AG27=0,0,AG22/AG27)</f>
        <v>0</v>
      </c>
      <c r="AH42" s="22">
        <f t="shared" si="117"/>
        <v>0</v>
      </c>
      <c r="AI42" s="21">
        <f t="shared" si="98"/>
        <v>0</v>
      </c>
      <c r="AJ42" s="23">
        <f t="shared" ref="AJ42:AK42" si="118">IF(AJ27=0,0,AJ22/AJ27)</f>
        <v>0</v>
      </c>
      <c r="AK42" s="22">
        <f t="shared" si="118"/>
        <v>0</v>
      </c>
      <c r="AL42" s="21">
        <f t="shared" si="100"/>
        <v>0</v>
      </c>
      <c r="AM42" s="23">
        <f t="shared" si="76"/>
        <v>0</v>
      </c>
      <c r="AN42" s="22">
        <f t="shared" si="76"/>
        <v>0</v>
      </c>
      <c r="AO42" s="21">
        <f t="shared" si="101"/>
        <v>0</v>
      </c>
      <c r="AP42" s="23">
        <f t="shared" ref="AP42:AQ42" si="119">IF(AP27=0,0,AP22/AP27)</f>
        <v>0</v>
      </c>
      <c r="AQ42" s="22">
        <f t="shared" si="119"/>
        <v>0</v>
      </c>
      <c r="AR42" s="21">
        <f t="shared" si="103"/>
        <v>0</v>
      </c>
      <c r="AS42" s="23">
        <f t="shared" ref="AS42:AT42" si="120">IF(AS27=0,0,AS22/AS27)</f>
        <v>0</v>
      </c>
      <c r="AT42" s="22">
        <f t="shared" si="120"/>
        <v>0</v>
      </c>
      <c r="AU42" s="21">
        <f t="shared" si="105"/>
        <v>0</v>
      </c>
      <c r="AV42" s="23">
        <f t="shared" ref="AV42:AW42" si="121">IF(AV27=0,0,AV22/AV27)</f>
        <v>0</v>
      </c>
      <c r="AW42" s="22">
        <f t="shared" si="121"/>
        <v>0</v>
      </c>
      <c r="AX42" s="21">
        <f t="shared" si="107"/>
        <v>0</v>
      </c>
      <c r="AY42" s="23">
        <f t="shared" si="80"/>
        <v>0</v>
      </c>
      <c r="AZ42" s="22">
        <f t="shared" si="80"/>
        <v>0</v>
      </c>
      <c r="BA42" s="21">
        <f t="shared" si="108"/>
        <v>0</v>
      </c>
      <c r="BB42" s="23">
        <f t="shared" si="81"/>
        <v>0</v>
      </c>
      <c r="BC42" s="22">
        <f t="shared" si="81"/>
        <v>0</v>
      </c>
      <c r="BD42" s="21">
        <f t="shared" si="109"/>
        <v>0</v>
      </c>
      <c r="BE42" s="175">
        <v>0</v>
      </c>
      <c r="BF42" s="19">
        <v>0</v>
      </c>
      <c r="BG42" s="23">
        <f t="shared" si="110"/>
        <v>0</v>
      </c>
    </row>
    <row r="43" spans="1:59" s="124" customFormat="1" ht="13.5" hidden="1" customHeight="1" outlineLevel="1" thickBot="1" x14ac:dyDescent="0.3">
      <c r="A43" s="82"/>
      <c r="B43" s="83" t="s">
        <v>31</v>
      </c>
      <c r="C43" s="117" t="s">
        <v>45</v>
      </c>
      <c r="D43" s="19">
        <v>0</v>
      </c>
      <c r="E43" s="19">
        <v>0</v>
      </c>
      <c r="F43" s="23">
        <v>0</v>
      </c>
      <c r="G43" s="22">
        <v>0</v>
      </c>
      <c r="H43" s="21">
        <f t="shared" si="82"/>
        <v>0</v>
      </c>
      <c r="I43" s="23">
        <f t="shared" ref="I43:J43" si="122">IF(I28=0,0,I23/I28)</f>
        <v>0</v>
      </c>
      <c r="J43" s="22">
        <f t="shared" si="122"/>
        <v>0</v>
      </c>
      <c r="K43" s="21">
        <f t="shared" si="84"/>
        <v>0</v>
      </c>
      <c r="L43" s="23">
        <f t="shared" ref="L43:M43" si="123">IF(L28=0,0,L23/L28)</f>
        <v>0</v>
      </c>
      <c r="M43" s="22">
        <f t="shared" si="123"/>
        <v>0</v>
      </c>
      <c r="N43" s="21">
        <f t="shared" si="86"/>
        <v>0</v>
      </c>
      <c r="O43" s="23">
        <f t="shared" si="68"/>
        <v>0</v>
      </c>
      <c r="P43" s="22">
        <f t="shared" si="68"/>
        <v>0</v>
      </c>
      <c r="Q43" s="21">
        <f t="shared" si="87"/>
        <v>0</v>
      </c>
      <c r="R43" s="23">
        <f t="shared" ref="R43:S43" si="124">IF(R28=0,0,R23/R28)</f>
        <v>0</v>
      </c>
      <c r="S43" s="22">
        <f t="shared" si="124"/>
        <v>0</v>
      </c>
      <c r="T43" s="21">
        <f t="shared" si="89"/>
        <v>0</v>
      </c>
      <c r="U43" s="23">
        <f t="shared" ref="U43:V43" si="125">IF(U28=0,0,U23/U28)</f>
        <v>0</v>
      </c>
      <c r="V43" s="22">
        <f t="shared" si="125"/>
        <v>0</v>
      </c>
      <c r="W43" s="21">
        <f t="shared" si="91"/>
        <v>0</v>
      </c>
      <c r="X43" s="23">
        <f t="shared" ref="X43:Y43" si="126">IF(X28=0,0,X23/X28)</f>
        <v>0</v>
      </c>
      <c r="Y43" s="22">
        <f t="shared" si="126"/>
        <v>0</v>
      </c>
      <c r="Z43" s="21">
        <f t="shared" si="93"/>
        <v>0</v>
      </c>
      <c r="AA43" s="23">
        <f t="shared" si="72"/>
        <v>0</v>
      </c>
      <c r="AB43" s="22">
        <f t="shared" si="72"/>
        <v>0</v>
      </c>
      <c r="AC43" s="21">
        <f t="shared" si="94"/>
        <v>0</v>
      </c>
      <c r="AD43" s="23">
        <f t="shared" ref="AD43:AE43" si="127">IF(AD28=0,0,AD23/AD28)</f>
        <v>0</v>
      </c>
      <c r="AE43" s="22">
        <f t="shared" si="127"/>
        <v>0</v>
      </c>
      <c r="AF43" s="21">
        <f t="shared" si="96"/>
        <v>0</v>
      </c>
      <c r="AG43" s="23">
        <f t="shared" ref="AG43:AH43" si="128">IF(AG28=0,0,AG23/AG28)</f>
        <v>0</v>
      </c>
      <c r="AH43" s="22">
        <f t="shared" si="128"/>
        <v>0</v>
      </c>
      <c r="AI43" s="21">
        <f t="shared" si="98"/>
        <v>0</v>
      </c>
      <c r="AJ43" s="23">
        <f t="shared" ref="AJ43:AK43" si="129">IF(AJ28=0,0,AJ23/AJ28)</f>
        <v>0</v>
      </c>
      <c r="AK43" s="22">
        <f t="shared" si="129"/>
        <v>0</v>
      </c>
      <c r="AL43" s="21">
        <f t="shared" si="100"/>
        <v>0</v>
      </c>
      <c r="AM43" s="23">
        <f t="shared" si="76"/>
        <v>0</v>
      </c>
      <c r="AN43" s="22">
        <f t="shared" si="76"/>
        <v>0</v>
      </c>
      <c r="AO43" s="21">
        <f t="shared" si="101"/>
        <v>0</v>
      </c>
      <c r="AP43" s="23">
        <f t="shared" ref="AP43:AQ43" si="130">IF(AP28=0,0,AP23/AP28)</f>
        <v>0</v>
      </c>
      <c r="AQ43" s="22">
        <f t="shared" si="130"/>
        <v>0</v>
      </c>
      <c r="AR43" s="21">
        <f t="shared" si="103"/>
        <v>0</v>
      </c>
      <c r="AS43" s="23">
        <f t="shared" ref="AS43:AT43" si="131">IF(AS28=0,0,AS23/AS28)</f>
        <v>0</v>
      </c>
      <c r="AT43" s="22">
        <f t="shared" si="131"/>
        <v>0</v>
      </c>
      <c r="AU43" s="21">
        <f t="shared" si="105"/>
        <v>0</v>
      </c>
      <c r="AV43" s="23">
        <f t="shared" ref="AV43:AW43" si="132">IF(AV28=0,0,AV23/AV28)</f>
        <v>0</v>
      </c>
      <c r="AW43" s="22">
        <f t="shared" si="132"/>
        <v>0</v>
      </c>
      <c r="AX43" s="21">
        <f t="shared" si="107"/>
        <v>0</v>
      </c>
      <c r="AY43" s="23">
        <f t="shared" si="80"/>
        <v>0</v>
      </c>
      <c r="AZ43" s="22">
        <f t="shared" si="80"/>
        <v>0</v>
      </c>
      <c r="BA43" s="21">
        <f t="shared" si="108"/>
        <v>0</v>
      </c>
      <c r="BB43" s="23">
        <f t="shared" si="81"/>
        <v>0</v>
      </c>
      <c r="BC43" s="22">
        <f t="shared" si="81"/>
        <v>0</v>
      </c>
      <c r="BD43" s="21">
        <f t="shared" si="109"/>
        <v>0</v>
      </c>
      <c r="BE43" s="175">
        <v>0</v>
      </c>
      <c r="BF43" s="1">
        <v>0</v>
      </c>
      <c r="BG43" s="23">
        <f t="shared" si="110"/>
        <v>0</v>
      </c>
    </row>
    <row r="44" spans="1:59" s="127" customFormat="1" ht="13.5" collapsed="1" thickBot="1" x14ac:dyDescent="0.3">
      <c r="A44" s="51" t="s">
        <v>46</v>
      </c>
      <c r="B44" s="52" t="s">
        <v>47</v>
      </c>
      <c r="C44" s="116" t="s">
        <v>45</v>
      </c>
      <c r="D44" s="28">
        <f t="shared" ref="D44:G48" si="133">IF(OR(D9=0,D39=0),0,1000/(D9/D39))</f>
        <v>0</v>
      </c>
      <c r="E44" s="28">
        <f t="shared" si="133"/>
        <v>0</v>
      </c>
      <c r="F44" s="53">
        <f t="shared" si="133"/>
        <v>0</v>
      </c>
      <c r="G44" s="88">
        <f t="shared" si="133"/>
        <v>0</v>
      </c>
      <c r="H44" s="96">
        <f t="shared" si="82"/>
        <v>0</v>
      </c>
      <c r="I44" s="53">
        <f t="shared" ref="I44:J48" si="134">IF(OR(I9=0,I39=0),0,1000/(I9/I39))</f>
        <v>0</v>
      </c>
      <c r="J44" s="88">
        <f t="shared" si="134"/>
        <v>0</v>
      </c>
      <c r="K44" s="96">
        <f t="shared" si="84"/>
        <v>0</v>
      </c>
      <c r="L44" s="53">
        <f t="shared" ref="L44:M48" si="135">IF(OR(L9=0,L39=0),0,1000/(L9/L39))</f>
        <v>0</v>
      </c>
      <c r="M44" s="88">
        <f t="shared" si="135"/>
        <v>0</v>
      </c>
      <c r="N44" s="96">
        <f t="shared" si="86"/>
        <v>0</v>
      </c>
      <c r="O44" s="53">
        <f t="shared" ref="O44:P48" si="136">IF(OR(O9=0,O39=0),0,1000/(O9/O39))</f>
        <v>0</v>
      </c>
      <c r="P44" s="88">
        <f t="shared" si="136"/>
        <v>0</v>
      </c>
      <c r="Q44" s="96">
        <f t="shared" si="87"/>
        <v>0</v>
      </c>
      <c r="R44" s="53">
        <f t="shared" ref="R44:S48" si="137">IF(OR(R9=0,R39=0),0,1000/(R9/R39))</f>
        <v>0</v>
      </c>
      <c r="S44" s="88">
        <f t="shared" si="137"/>
        <v>0</v>
      </c>
      <c r="T44" s="96">
        <f t="shared" si="89"/>
        <v>0</v>
      </c>
      <c r="U44" s="53">
        <f t="shared" ref="U44:V48" si="138">IF(OR(U9=0,U39=0),0,1000/(U9/U39))</f>
        <v>0</v>
      </c>
      <c r="V44" s="88">
        <f t="shared" si="138"/>
        <v>0</v>
      </c>
      <c r="W44" s="96">
        <f t="shared" si="91"/>
        <v>0</v>
      </c>
      <c r="X44" s="53">
        <f t="shared" ref="X44:Y48" si="139">IF(OR(X9=0,X39=0),0,1000/(X9/X39))</f>
        <v>0</v>
      </c>
      <c r="Y44" s="88">
        <f t="shared" si="139"/>
        <v>0</v>
      </c>
      <c r="Z44" s="96">
        <f t="shared" si="93"/>
        <v>0</v>
      </c>
      <c r="AA44" s="53">
        <f t="shared" ref="AA44:AB48" si="140">IF(OR(AA9=0,AA39=0),0,1000/(AA9/AA39))</f>
        <v>0</v>
      </c>
      <c r="AB44" s="88">
        <f t="shared" si="140"/>
        <v>0</v>
      </c>
      <c r="AC44" s="96">
        <f t="shared" si="94"/>
        <v>0</v>
      </c>
      <c r="AD44" s="53">
        <f t="shared" ref="AD44:AE48" si="141">IF(OR(AD9=0,AD39=0),0,1000/(AD9/AD39))</f>
        <v>0</v>
      </c>
      <c r="AE44" s="88">
        <f t="shared" si="141"/>
        <v>0</v>
      </c>
      <c r="AF44" s="96">
        <f t="shared" si="96"/>
        <v>0</v>
      </c>
      <c r="AG44" s="53">
        <f t="shared" ref="AG44:AH48" si="142">IF(OR(AG9=0,AG39=0),0,1000/(AG9/AG39))</f>
        <v>0</v>
      </c>
      <c r="AH44" s="88">
        <f t="shared" si="142"/>
        <v>0</v>
      </c>
      <c r="AI44" s="96">
        <f t="shared" si="98"/>
        <v>0</v>
      </c>
      <c r="AJ44" s="53">
        <f t="shared" ref="AJ44:AK48" si="143">IF(OR(AJ9=0,AJ39=0),0,1000/(AJ9/AJ39))</f>
        <v>0</v>
      </c>
      <c r="AK44" s="88">
        <f t="shared" si="143"/>
        <v>0</v>
      </c>
      <c r="AL44" s="96">
        <f t="shared" si="100"/>
        <v>0</v>
      </c>
      <c r="AM44" s="53">
        <f t="shared" ref="AM44:AN48" si="144">IF(OR(AM9=0,AM39=0),0,1000/(AM9/AM39))</f>
        <v>0</v>
      </c>
      <c r="AN44" s="88">
        <f t="shared" si="144"/>
        <v>0</v>
      </c>
      <c r="AO44" s="96">
        <f t="shared" si="101"/>
        <v>0</v>
      </c>
      <c r="AP44" s="53">
        <f t="shared" ref="AP44:AQ48" si="145">IF(OR(AP9=0,AP39=0),0,1000/(AP9/AP39))</f>
        <v>0</v>
      </c>
      <c r="AQ44" s="88">
        <f t="shared" si="145"/>
        <v>0</v>
      </c>
      <c r="AR44" s="96">
        <f t="shared" si="103"/>
        <v>0</v>
      </c>
      <c r="AS44" s="53">
        <f t="shared" ref="AS44:AT48" si="146">IF(OR(AS9=0,AS39=0),0,1000/(AS9/AS39))</f>
        <v>0</v>
      </c>
      <c r="AT44" s="88">
        <f t="shared" si="146"/>
        <v>0</v>
      </c>
      <c r="AU44" s="96">
        <f t="shared" si="105"/>
        <v>0</v>
      </c>
      <c r="AV44" s="53">
        <f t="shared" ref="AV44:AW48" si="147">IF(OR(AV9=0,AV39=0),0,1000/(AV9/AV39))</f>
        <v>0</v>
      </c>
      <c r="AW44" s="88">
        <f t="shared" si="147"/>
        <v>0</v>
      </c>
      <c r="AX44" s="96">
        <f t="shared" si="107"/>
        <v>0</v>
      </c>
      <c r="AY44" s="53">
        <f t="shared" ref="AY44:AZ48" si="148">IF(OR(AY9=0,AY39=0),0,1000/(AY9/AY39))</f>
        <v>0</v>
      </c>
      <c r="AZ44" s="88">
        <f t="shared" si="148"/>
        <v>0</v>
      </c>
      <c r="BA44" s="96">
        <f t="shared" si="108"/>
        <v>0</v>
      </c>
      <c r="BB44" s="53">
        <f t="shared" ref="BB44:BC48" si="149">IF(OR(BB9=0,BB39=0),0,1000/(BB9/BB39))</f>
        <v>0</v>
      </c>
      <c r="BC44" s="88">
        <f t="shared" si="149"/>
        <v>0</v>
      </c>
      <c r="BD44" s="96">
        <f t="shared" si="109"/>
        <v>0</v>
      </c>
      <c r="BE44" s="53">
        <f>IF(OR(BE9=0,BE39=0),0,1000/(BE9/BE39))</f>
        <v>0</v>
      </c>
      <c r="BF44" s="53">
        <f>IF(OR(BF9=0,BF39=0),0,1000/(BF9/BF39))</f>
        <v>0</v>
      </c>
      <c r="BG44" s="53">
        <f>IF(OR(BG9=0,BG39=0),0,1000/(BG9/BG39))</f>
        <v>0</v>
      </c>
    </row>
    <row r="45" spans="1:59" s="127" customFormat="1" ht="13.5" hidden="1" outlineLevel="1" x14ac:dyDescent="0.25">
      <c r="A45" s="27"/>
      <c r="B45" s="83" t="s">
        <v>28</v>
      </c>
      <c r="C45" s="117" t="s">
        <v>45</v>
      </c>
      <c r="D45" s="19">
        <f t="shared" si="133"/>
        <v>0</v>
      </c>
      <c r="E45" s="19">
        <f t="shared" si="133"/>
        <v>0</v>
      </c>
      <c r="F45" s="23">
        <f t="shared" si="133"/>
        <v>0</v>
      </c>
      <c r="G45" s="22">
        <f t="shared" si="133"/>
        <v>0</v>
      </c>
      <c r="H45" s="21">
        <f t="shared" si="82"/>
        <v>0</v>
      </c>
      <c r="I45" s="23">
        <f t="shared" si="134"/>
        <v>0</v>
      </c>
      <c r="J45" s="22">
        <f t="shared" si="134"/>
        <v>0</v>
      </c>
      <c r="K45" s="21">
        <f t="shared" si="84"/>
        <v>0</v>
      </c>
      <c r="L45" s="23">
        <f t="shared" si="135"/>
        <v>0</v>
      </c>
      <c r="M45" s="22">
        <f t="shared" si="135"/>
        <v>0</v>
      </c>
      <c r="N45" s="21">
        <f t="shared" si="86"/>
        <v>0</v>
      </c>
      <c r="O45" s="23">
        <f t="shared" si="136"/>
        <v>0</v>
      </c>
      <c r="P45" s="22">
        <f t="shared" si="136"/>
        <v>0</v>
      </c>
      <c r="Q45" s="21">
        <f t="shared" si="87"/>
        <v>0</v>
      </c>
      <c r="R45" s="23">
        <f t="shared" si="137"/>
        <v>0</v>
      </c>
      <c r="S45" s="22">
        <f t="shared" si="137"/>
        <v>0</v>
      </c>
      <c r="T45" s="21">
        <f t="shared" si="89"/>
        <v>0</v>
      </c>
      <c r="U45" s="23">
        <f t="shared" si="138"/>
        <v>0</v>
      </c>
      <c r="V45" s="22">
        <f t="shared" si="138"/>
        <v>0</v>
      </c>
      <c r="W45" s="21">
        <f t="shared" si="91"/>
        <v>0</v>
      </c>
      <c r="X45" s="23">
        <f t="shared" si="139"/>
        <v>0</v>
      </c>
      <c r="Y45" s="22">
        <f t="shared" si="139"/>
        <v>0</v>
      </c>
      <c r="Z45" s="21">
        <f t="shared" si="93"/>
        <v>0</v>
      </c>
      <c r="AA45" s="23">
        <f t="shared" si="140"/>
        <v>0</v>
      </c>
      <c r="AB45" s="22">
        <f t="shared" si="140"/>
        <v>0</v>
      </c>
      <c r="AC45" s="21">
        <f t="shared" si="94"/>
        <v>0</v>
      </c>
      <c r="AD45" s="23">
        <f t="shared" si="141"/>
        <v>0</v>
      </c>
      <c r="AE45" s="22">
        <f t="shared" si="141"/>
        <v>0</v>
      </c>
      <c r="AF45" s="21">
        <f t="shared" si="96"/>
        <v>0</v>
      </c>
      <c r="AG45" s="23">
        <f t="shared" si="142"/>
        <v>0</v>
      </c>
      <c r="AH45" s="22">
        <f t="shared" si="142"/>
        <v>0</v>
      </c>
      <c r="AI45" s="21">
        <f t="shared" si="98"/>
        <v>0</v>
      </c>
      <c r="AJ45" s="23">
        <f t="shared" si="143"/>
        <v>0</v>
      </c>
      <c r="AK45" s="22">
        <f t="shared" si="143"/>
        <v>0</v>
      </c>
      <c r="AL45" s="21">
        <f t="shared" si="100"/>
        <v>0</v>
      </c>
      <c r="AM45" s="23">
        <f t="shared" si="144"/>
        <v>0</v>
      </c>
      <c r="AN45" s="22">
        <f t="shared" si="144"/>
        <v>0</v>
      </c>
      <c r="AO45" s="21">
        <f t="shared" si="101"/>
        <v>0</v>
      </c>
      <c r="AP45" s="23">
        <f t="shared" si="145"/>
        <v>0</v>
      </c>
      <c r="AQ45" s="22">
        <f t="shared" si="145"/>
        <v>0</v>
      </c>
      <c r="AR45" s="21">
        <f t="shared" si="103"/>
        <v>0</v>
      </c>
      <c r="AS45" s="23">
        <f t="shared" si="146"/>
        <v>0</v>
      </c>
      <c r="AT45" s="22">
        <f t="shared" si="146"/>
        <v>0</v>
      </c>
      <c r="AU45" s="21">
        <f t="shared" si="105"/>
        <v>0</v>
      </c>
      <c r="AV45" s="23">
        <f t="shared" si="147"/>
        <v>0</v>
      </c>
      <c r="AW45" s="22">
        <f t="shared" si="147"/>
        <v>0</v>
      </c>
      <c r="AX45" s="21">
        <f t="shared" si="107"/>
        <v>0</v>
      </c>
      <c r="AY45" s="23">
        <f t="shared" si="148"/>
        <v>0</v>
      </c>
      <c r="AZ45" s="22">
        <f t="shared" si="148"/>
        <v>0</v>
      </c>
      <c r="BA45" s="21">
        <f t="shared" si="108"/>
        <v>0</v>
      </c>
      <c r="BB45" s="23">
        <f t="shared" si="149"/>
        <v>0</v>
      </c>
      <c r="BC45" s="22">
        <f t="shared" si="149"/>
        <v>0</v>
      </c>
      <c r="BD45" s="21">
        <f t="shared" si="109"/>
        <v>0</v>
      </c>
      <c r="BE45" s="23">
        <f t="shared" ref="BE45:BF48" si="150">IF(OR(BE10=0,BE40=0),0,1000/(BE10/BE40))</f>
        <v>0</v>
      </c>
      <c r="BF45" s="23">
        <f t="shared" si="150"/>
        <v>0</v>
      </c>
      <c r="BG45" s="23">
        <f>BB45+BE45+BF45</f>
        <v>0</v>
      </c>
    </row>
    <row r="46" spans="1:59" ht="13.5" hidden="1" customHeight="1" outlineLevel="1" x14ac:dyDescent="0.25">
      <c r="A46" s="82"/>
      <c r="B46" s="83" t="s">
        <v>29</v>
      </c>
      <c r="C46" s="117" t="s">
        <v>45</v>
      </c>
      <c r="D46" s="19">
        <f t="shared" si="133"/>
        <v>0</v>
      </c>
      <c r="E46" s="19">
        <f t="shared" si="133"/>
        <v>0</v>
      </c>
      <c r="F46" s="23">
        <f t="shared" si="133"/>
        <v>0</v>
      </c>
      <c r="G46" s="22">
        <f t="shared" si="133"/>
        <v>0</v>
      </c>
      <c r="H46" s="21">
        <f t="shared" si="82"/>
        <v>0</v>
      </c>
      <c r="I46" s="23">
        <f t="shared" si="134"/>
        <v>0</v>
      </c>
      <c r="J46" s="22">
        <f t="shared" si="134"/>
        <v>0</v>
      </c>
      <c r="K46" s="21">
        <f t="shared" si="84"/>
        <v>0</v>
      </c>
      <c r="L46" s="23">
        <f t="shared" si="135"/>
        <v>0</v>
      </c>
      <c r="M46" s="22">
        <f t="shared" si="135"/>
        <v>0</v>
      </c>
      <c r="N46" s="21">
        <f t="shared" si="86"/>
        <v>0</v>
      </c>
      <c r="O46" s="23">
        <f t="shared" si="136"/>
        <v>0</v>
      </c>
      <c r="P46" s="22">
        <f t="shared" si="136"/>
        <v>0</v>
      </c>
      <c r="Q46" s="21">
        <f t="shared" si="87"/>
        <v>0</v>
      </c>
      <c r="R46" s="23">
        <f t="shared" si="137"/>
        <v>0</v>
      </c>
      <c r="S46" s="22">
        <f t="shared" si="137"/>
        <v>0</v>
      </c>
      <c r="T46" s="21">
        <f t="shared" si="89"/>
        <v>0</v>
      </c>
      <c r="U46" s="23">
        <f t="shared" si="138"/>
        <v>0</v>
      </c>
      <c r="V46" s="22">
        <f t="shared" si="138"/>
        <v>0</v>
      </c>
      <c r="W46" s="21">
        <f t="shared" si="91"/>
        <v>0</v>
      </c>
      <c r="X46" s="23">
        <f t="shared" si="139"/>
        <v>0</v>
      </c>
      <c r="Y46" s="22">
        <f t="shared" si="139"/>
        <v>0</v>
      </c>
      <c r="Z46" s="21">
        <f t="shared" si="93"/>
        <v>0</v>
      </c>
      <c r="AA46" s="23">
        <f t="shared" si="140"/>
        <v>0</v>
      </c>
      <c r="AB46" s="22">
        <f t="shared" si="140"/>
        <v>0</v>
      </c>
      <c r="AC46" s="21">
        <f t="shared" si="94"/>
        <v>0</v>
      </c>
      <c r="AD46" s="23">
        <f t="shared" si="141"/>
        <v>0</v>
      </c>
      <c r="AE46" s="22">
        <f t="shared" si="141"/>
        <v>0</v>
      </c>
      <c r="AF46" s="21">
        <f t="shared" si="96"/>
        <v>0</v>
      </c>
      <c r="AG46" s="23">
        <f t="shared" si="142"/>
        <v>0</v>
      </c>
      <c r="AH46" s="22">
        <f t="shared" si="142"/>
        <v>0</v>
      </c>
      <c r="AI46" s="21">
        <f t="shared" si="98"/>
        <v>0</v>
      </c>
      <c r="AJ46" s="23">
        <f t="shared" si="143"/>
        <v>0</v>
      </c>
      <c r="AK46" s="22">
        <f t="shared" si="143"/>
        <v>0</v>
      </c>
      <c r="AL46" s="21">
        <f t="shared" si="100"/>
        <v>0</v>
      </c>
      <c r="AM46" s="23">
        <f t="shared" si="144"/>
        <v>0</v>
      </c>
      <c r="AN46" s="22">
        <f t="shared" si="144"/>
        <v>0</v>
      </c>
      <c r="AO46" s="21">
        <f t="shared" si="101"/>
        <v>0</v>
      </c>
      <c r="AP46" s="23">
        <f t="shared" si="145"/>
        <v>0</v>
      </c>
      <c r="AQ46" s="22">
        <f t="shared" si="145"/>
        <v>0</v>
      </c>
      <c r="AR46" s="21">
        <f t="shared" si="103"/>
        <v>0</v>
      </c>
      <c r="AS46" s="23">
        <f t="shared" si="146"/>
        <v>0</v>
      </c>
      <c r="AT46" s="22">
        <f t="shared" si="146"/>
        <v>0</v>
      </c>
      <c r="AU46" s="21">
        <f t="shared" si="105"/>
        <v>0</v>
      </c>
      <c r="AV46" s="23">
        <f t="shared" si="147"/>
        <v>0</v>
      </c>
      <c r="AW46" s="22">
        <f t="shared" si="147"/>
        <v>0</v>
      </c>
      <c r="AX46" s="21">
        <f t="shared" si="107"/>
        <v>0</v>
      </c>
      <c r="AY46" s="23">
        <f t="shared" si="148"/>
        <v>0</v>
      </c>
      <c r="AZ46" s="22">
        <f t="shared" si="148"/>
        <v>0</v>
      </c>
      <c r="BA46" s="21">
        <f t="shared" si="108"/>
        <v>0</v>
      </c>
      <c r="BB46" s="23">
        <f t="shared" si="149"/>
        <v>0</v>
      </c>
      <c r="BC46" s="22">
        <f t="shared" si="149"/>
        <v>0</v>
      </c>
      <c r="BD46" s="21">
        <f t="shared" si="109"/>
        <v>0</v>
      </c>
      <c r="BE46" s="23">
        <f t="shared" si="150"/>
        <v>0</v>
      </c>
      <c r="BF46" s="23">
        <f t="shared" si="150"/>
        <v>0</v>
      </c>
      <c r="BG46" s="23">
        <f t="shared" ref="BG46:BG48" si="151">BB46+BE46+BF46</f>
        <v>0</v>
      </c>
    </row>
    <row r="47" spans="1:59" ht="13.5" hidden="1" customHeight="1" outlineLevel="1" x14ac:dyDescent="0.25">
      <c r="A47" s="82"/>
      <c r="B47" s="83" t="s">
        <v>30</v>
      </c>
      <c r="C47" s="117" t="s">
        <v>45</v>
      </c>
      <c r="D47" s="19">
        <f t="shared" si="133"/>
        <v>0</v>
      </c>
      <c r="E47" s="19">
        <f t="shared" si="133"/>
        <v>0</v>
      </c>
      <c r="F47" s="23">
        <f t="shared" si="133"/>
        <v>0</v>
      </c>
      <c r="G47" s="22">
        <f t="shared" si="133"/>
        <v>0</v>
      </c>
      <c r="H47" s="21">
        <f t="shared" si="82"/>
        <v>0</v>
      </c>
      <c r="I47" s="23">
        <f t="shared" si="134"/>
        <v>0</v>
      </c>
      <c r="J47" s="22">
        <f t="shared" si="134"/>
        <v>0</v>
      </c>
      <c r="K47" s="21">
        <f t="shared" si="84"/>
        <v>0</v>
      </c>
      <c r="L47" s="23">
        <f t="shared" si="135"/>
        <v>0</v>
      </c>
      <c r="M47" s="22">
        <f t="shared" si="135"/>
        <v>0</v>
      </c>
      <c r="N47" s="21">
        <f t="shared" si="86"/>
        <v>0</v>
      </c>
      <c r="O47" s="23">
        <f t="shared" si="136"/>
        <v>0</v>
      </c>
      <c r="P47" s="22">
        <f t="shared" si="136"/>
        <v>0</v>
      </c>
      <c r="Q47" s="21">
        <f t="shared" si="87"/>
        <v>0</v>
      </c>
      <c r="R47" s="23">
        <f t="shared" si="137"/>
        <v>0</v>
      </c>
      <c r="S47" s="22">
        <f t="shared" si="137"/>
        <v>0</v>
      </c>
      <c r="T47" s="21">
        <f t="shared" si="89"/>
        <v>0</v>
      </c>
      <c r="U47" s="23">
        <f t="shared" si="138"/>
        <v>0</v>
      </c>
      <c r="V47" s="22">
        <f t="shared" si="138"/>
        <v>0</v>
      </c>
      <c r="W47" s="21">
        <f t="shared" si="91"/>
        <v>0</v>
      </c>
      <c r="X47" s="23">
        <f t="shared" si="139"/>
        <v>0</v>
      </c>
      <c r="Y47" s="22">
        <f t="shared" si="139"/>
        <v>0</v>
      </c>
      <c r="Z47" s="21">
        <f t="shared" si="93"/>
        <v>0</v>
      </c>
      <c r="AA47" s="23">
        <f t="shared" si="140"/>
        <v>0</v>
      </c>
      <c r="AB47" s="22">
        <f t="shared" si="140"/>
        <v>0</v>
      </c>
      <c r="AC47" s="21">
        <f t="shared" si="94"/>
        <v>0</v>
      </c>
      <c r="AD47" s="23">
        <f t="shared" si="141"/>
        <v>0</v>
      </c>
      <c r="AE47" s="22">
        <f t="shared" si="141"/>
        <v>0</v>
      </c>
      <c r="AF47" s="21">
        <f t="shared" si="96"/>
        <v>0</v>
      </c>
      <c r="AG47" s="23">
        <f t="shared" si="142"/>
        <v>0</v>
      </c>
      <c r="AH47" s="22">
        <f t="shared" si="142"/>
        <v>0</v>
      </c>
      <c r="AI47" s="21">
        <f t="shared" si="98"/>
        <v>0</v>
      </c>
      <c r="AJ47" s="23">
        <f t="shared" si="143"/>
        <v>0</v>
      </c>
      <c r="AK47" s="22">
        <f t="shared" si="143"/>
        <v>0</v>
      </c>
      <c r="AL47" s="21">
        <f t="shared" si="100"/>
        <v>0</v>
      </c>
      <c r="AM47" s="23">
        <f t="shared" si="144"/>
        <v>0</v>
      </c>
      <c r="AN47" s="22">
        <f t="shared" si="144"/>
        <v>0</v>
      </c>
      <c r="AO47" s="21">
        <f t="shared" si="101"/>
        <v>0</v>
      </c>
      <c r="AP47" s="23">
        <f t="shared" si="145"/>
        <v>0</v>
      </c>
      <c r="AQ47" s="22">
        <f t="shared" si="145"/>
        <v>0</v>
      </c>
      <c r="AR47" s="21">
        <f t="shared" si="103"/>
        <v>0</v>
      </c>
      <c r="AS47" s="23">
        <f t="shared" si="146"/>
        <v>0</v>
      </c>
      <c r="AT47" s="22">
        <f t="shared" si="146"/>
        <v>0</v>
      </c>
      <c r="AU47" s="21">
        <f t="shared" si="105"/>
        <v>0</v>
      </c>
      <c r="AV47" s="23">
        <f t="shared" si="147"/>
        <v>0</v>
      </c>
      <c r="AW47" s="22">
        <f t="shared" si="147"/>
        <v>0</v>
      </c>
      <c r="AX47" s="21">
        <f t="shared" si="107"/>
        <v>0</v>
      </c>
      <c r="AY47" s="23">
        <f t="shared" si="148"/>
        <v>0</v>
      </c>
      <c r="AZ47" s="22">
        <f t="shared" si="148"/>
        <v>0</v>
      </c>
      <c r="BA47" s="21">
        <f t="shared" si="108"/>
        <v>0</v>
      </c>
      <c r="BB47" s="23">
        <f t="shared" si="149"/>
        <v>0</v>
      </c>
      <c r="BC47" s="22">
        <f t="shared" si="149"/>
        <v>0</v>
      </c>
      <c r="BD47" s="21">
        <f t="shared" si="109"/>
        <v>0</v>
      </c>
      <c r="BE47" s="23">
        <f t="shared" si="150"/>
        <v>0</v>
      </c>
      <c r="BF47" s="23">
        <f t="shared" si="150"/>
        <v>0</v>
      </c>
      <c r="BG47" s="23">
        <f t="shared" si="151"/>
        <v>0</v>
      </c>
    </row>
    <row r="48" spans="1:59" ht="13.5" hidden="1" customHeight="1" outlineLevel="1" thickBot="1" x14ac:dyDescent="0.3">
      <c r="A48" s="82"/>
      <c r="B48" s="83" t="s">
        <v>31</v>
      </c>
      <c r="C48" s="117" t="s">
        <v>45</v>
      </c>
      <c r="D48" s="19">
        <f t="shared" si="133"/>
        <v>0</v>
      </c>
      <c r="E48" s="19">
        <f t="shared" si="133"/>
        <v>0</v>
      </c>
      <c r="F48" s="23">
        <f t="shared" si="133"/>
        <v>0</v>
      </c>
      <c r="G48" s="22">
        <f t="shared" si="133"/>
        <v>0</v>
      </c>
      <c r="H48" s="21">
        <f t="shared" si="82"/>
        <v>0</v>
      </c>
      <c r="I48" s="23">
        <f t="shared" si="134"/>
        <v>0</v>
      </c>
      <c r="J48" s="22">
        <f t="shared" si="134"/>
        <v>0</v>
      </c>
      <c r="K48" s="21">
        <f t="shared" si="84"/>
        <v>0</v>
      </c>
      <c r="L48" s="23">
        <f t="shared" si="135"/>
        <v>0</v>
      </c>
      <c r="M48" s="22">
        <f t="shared" si="135"/>
        <v>0</v>
      </c>
      <c r="N48" s="21">
        <f t="shared" si="86"/>
        <v>0</v>
      </c>
      <c r="O48" s="23">
        <f t="shared" si="136"/>
        <v>0</v>
      </c>
      <c r="P48" s="22">
        <f t="shared" si="136"/>
        <v>0</v>
      </c>
      <c r="Q48" s="21">
        <f t="shared" si="87"/>
        <v>0</v>
      </c>
      <c r="R48" s="23">
        <f t="shared" si="137"/>
        <v>0</v>
      </c>
      <c r="S48" s="22">
        <f t="shared" si="137"/>
        <v>0</v>
      </c>
      <c r="T48" s="21">
        <f t="shared" si="89"/>
        <v>0</v>
      </c>
      <c r="U48" s="23">
        <f t="shared" si="138"/>
        <v>0</v>
      </c>
      <c r="V48" s="22">
        <f t="shared" si="138"/>
        <v>0</v>
      </c>
      <c r="W48" s="21">
        <f t="shared" si="91"/>
        <v>0</v>
      </c>
      <c r="X48" s="23">
        <f t="shared" si="139"/>
        <v>0</v>
      </c>
      <c r="Y48" s="22">
        <f t="shared" si="139"/>
        <v>0</v>
      </c>
      <c r="Z48" s="21">
        <f t="shared" si="93"/>
        <v>0</v>
      </c>
      <c r="AA48" s="23">
        <f t="shared" si="140"/>
        <v>0</v>
      </c>
      <c r="AB48" s="22">
        <f t="shared" si="140"/>
        <v>0</v>
      </c>
      <c r="AC48" s="21">
        <f t="shared" si="94"/>
        <v>0</v>
      </c>
      <c r="AD48" s="23">
        <f t="shared" si="141"/>
        <v>0</v>
      </c>
      <c r="AE48" s="22">
        <f t="shared" si="141"/>
        <v>0</v>
      </c>
      <c r="AF48" s="21">
        <f t="shared" si="96"/>
        <v>0</v>
      </c>
      <c r="AG48" s="23">
        <f t="shared" si="142"/>
        <v>0</v>
      </c>
      <c r="AH48" s="22">
        <f t="shared" si="142"/>
        <v>0</v>
      </c>
      <c r="AI48" s="21">
        <f t="shared" si="98"/>
        <v>0</v>
      </c>
      <c r="AJ48" s="23">
        <f t="shared" si="143"/>
        <v>0</v>
      </c>
      <c r="AK48" s="22">
        <f t="shared" si="143"/>
        <v>0</v>
      </c>
      <c r="AL48" s="21">
        <f t="shared" si="100"/>
        <v>0</v>
      </c>
      <c r="AM48" s="23">
        <f t="shared" si="144"/>
        <v>0</v>
      </c>
      <c r="AN48" s="22">
        <f t="shared" si="144"/>
        <v>0</v>
      </c>
      <c r="AO48" s="21">
        <f t="shared" si="101"/>
        <v>0</v>
      </c>
      <c r="AP48" s="23">
        <f t="shared" si="145"/>
        <v>0</v>
      </c>
      <c r="AQ48" s="22">
        <f t="shared" si="145"/>
        <v>0</v>
      </c>
      <c r="AR48" s="21">
        <f t="shared" si="103"/>
        <v>0</v>
      </c>
      <c r="AS48" s="23">
        <f t="shared" si="146"/>
        <v>0</v>
      </c>
      <c r="AT48" s="22">
        <f t="shared" si="146"/>
        <v>0</v>
      </c>
      <c r="AU48" s="21">
        <f t="shared" si="105"/>
        <v>0</v>
      </c>
      <c r="AV48" s="23">
        <f t="shared" si="147"/>
        <v>0</v>
      </c>
      <c r="AW48" s="22">
        <f t="shared" si="147"/>
        <v>0</v>
      </c>
      <c r="AX48" s="21">
        <f t="shared" si="107"/>
        <v>0</v>
      </c>
      <c r="AY48" s="23">
        <f t="shared" si="148"/>
        <v>0</v>
      </c>
      <c r="AZ48" s="22">
        <f t="shared" si="148"/>
        <v>0</v>
      </c>
      <c r="BA48" s="21">
        <f t="shared" si="108"/>
        <v>0</v>
      </c>
      <c r="BB48" s="23">
        <f t="shared" si="149"/>
        <v>0</v>
      </c>
      <c r="BC48" s="22">
        <f t="shared" si="149"/>
        <v>0</v>
      </c>
      <c r="BD48" s="21">
        <f t="shared" si="109"/>
        <v>0</v>
      </c>
      <c r="BE48" s="23">
        <f t="shared" si="150"/>
        <v>0</v>
      </c>
      <c r="BF48" s="23">
        <f t="shared" si="150"/>
        <v>0</v>
      </c>
      <c r="BG48" s="23">
        <f t="shared" si="151"/>
        <v>0</v>
      </c>
    </row>
    <row r="49" spans="1:59" s="127" customFormat="1" ht="13.5" collapsed="1" thickBot="1" x14ac:dyDescent="0.3">
      <c r="A49" s="51" t="s">
        <v>48</v>
      </c>
      <c r="B49" s="52" t="s">
        <v>49</v>
      </c>
      <c r="C49" s="116" t="s">
        <v>50</v>
      </c>
      <c r="D49" s="28">
        <f t="shared" ref="D49:G53" si="152">IF(D39=0,0,D9/D39*30)</f>
        <v>0</v>
      </c>
      <c r="E49" s="28">
        <f t="shared" si="152"/>
        <v>0</v>
      </c>
      <c r="F49" s="53">
        <f t="shared" si="152"/>
        <v>0</v>
      </c>
      <c r="G49" s="88">
        <f t="shared" si="152"/>
        <v>0</v>
      </c>
      <c r="H49" s="96">
        <f t="shared" si="82"/>
        <v>0</v>
      </c>
      <c r="I49" s="53">
        <f t="shared" ref="I49:J53" si="153">IF(I39=0,0,I9/I39*30)</f>
        <v>0</v>
      </c>
      <c r="J49" s="88">
        <f t="shared" si="153"/>
        <v>0</v>
      </c>
      <c r="K49" s="96">
        <f t="shared" si="84"/>
        <v>0</v>
      </c>
      <c r="L49" s="53">
        <f t="shared" ref="L49:M53" si="154">IF(L39=0,0,L9/L39*30)</f>
        <v>0</v>
      </c>
      <c r="M49" s="88">
        <f t="shared" si="154"/>
        <v>0</v>
      </c>
      <c r="N49" s="96">
        <f t="shared" si="86"/>
        <v>0</v>
      </c>
      <c r="O49" s="53">
        <f t="shared" ref="O49:P53" si="155">IF(O39=0,0,O9/O39*30)</f>
        <v>0</v>
      </c>
      <c r="P49" s="88">
        <f t="shared" si="155"/>
        <v>0</v>
      </c>
      <c r="Q49" s="96">
        <f t="shared" si="87"/>
        <v>0</v>
      </c>
      <c r="R49" s="53">
        <f t="shared" ref="R49:S53" si="156">IF(R39=0,0,R9/R39*30)</f>
        <v>0</v>
      </c>
      <c r="S49" s="88">
        <f t="shared" si="156"/>
        <v>0</v>
      </c>
      <c r="T49" s="96">
        <f t="shared" si="89"/>
        <v>0</v>
      </c>
      <c r="U49" s="53">
        <f t="shared" ref="U49:V53" si="157">IF(U39=0,0,U9/U39*30)</f>
        <v>0</v>
      </c>
      <c r="V49" s="88">
        <f t="shared" si="157"/>
        <v>0</v>
      </c>
      <c r="W49" s="96">
        <f t="shared" si="91"/>
        <v>0</v>
      </c>
      <c r="X49" s="53">
        <f t="shared" ref="X49:Y53" si="158">IF(X39=0,0,X9/X39*30)</f>
        <v>0</v>
      </c>
      <c r="Y49" s="88">
        <f t="shared" si="158"/>
        <v>0</v>
      </c>
      <c r="Z49" s="96">
        <f t="shared" si="93"/>
        <v>0</v>
      </c>
      <c r="AA49" s="53">
        <f t="shared" ref="AA49:AB53" si="159">IF(AA39=0,0,AA9/AA39*30)</f>
        <v>0</v>
      </c>
      <c r="AB49" s="88">
        <f t="shared" si="159"/>
        <v>0</v>
      </c>
      <c r="AC49" s="96">
        <f t="shared" si="94"/>
        <v>0</v>
      </c>
      <c r="AD49" s="53">
        <f t="shared" ref="AD49:AE53" si="160">IF(AD39=0,0,AD9/AD39*30)</f>
        <v>0</v>
      </c>
      <c r="AE49" s="88">
        <f t="shared" si="160"/>
        <v>0</v>
      </c>
      <c r="AF49" s="96">
        <f t="shared" si="96"/>
        <v>0</v>
      </c>
      <c r="AG49" s="53">
        <f t="shared" ref="AG49:AH53" si="161">IF(AG39=0,0,AG9/AG39*30)</f>
        <v>0</v>
      </c>
      <c r="AH49" s="88">
        <f t="shared" si="161"/>
        <v>0</v>
      </c>
      <c r="AI49" s="96">
        <f t="shared" si="98"/>
        <v>0</v>
      </c>
      <c r="AJ49" s="53">
        <f t="shared" ref="AJ49:AK53" si="162">IF(AJ39=0,0,AJ9/AJ39*30)</f>
        <v>0</v>
      </c>
      <c r="AK49" s="88">
        <f t="shared" si="162"/>
        <v>0</v>
      </c>
      <c r="AL49" s="96">
        <f t="shared" si="100"/>
        <v>0</v>
      </c>
      <c r="AM49" s="53">
        <f t="shared" ref="AM49:AN53" si="163">IF(AM39=0,0,AM9/AM39*30)</f>
        <v>0</v>
      </c>
      <c r="AN49" s="88">
        <f t="shared" si="163"/>
        <v>0</v>
      </c>
      <c r="AO49" s="96">
        <f t="shared" si="101"/>
        <v>0</v>
      </c>
      <c r="AP49" s="53">
        <f t="shared" ref="AP49:AQ53" si="164">IF(AP39=0,0,AP9/AP39*30)</f>
        <v>0</v>
      </c>
      <c r="AQ49" s="88">
        <f t="shared" si="164"/>
        <v>0</v>
      </c>
      <c r="AR49" s="96">
        <f t="shared" si="103"/>
        <v>0</v>
      </c>
      <c r="AS49" s="53">
        <f t="shared" ref="AS49:AT53" si="165">IF(AS39=0,0,AS9/AS39*30)</f>
        <v>0</v>
      </c>
      <c r="AT49" s="88">
        <f t="shared" si="165"/>
        <v>0</v>
      </c>
      <c r="AU49" s="96">
        <f t="shared" si="105"/>
        <v>0</v>
      </c>
      <c r="AV49" s="53">
        <f t="shared" ref="AV49:AW53" si="166">IF(AV39=0,0,AV9/AV39*30)</f>
        <v>0</v>
      </c>
      <c r="AW49" s="88">
        <f t="shared" si="166"/>
        <v>0</v>
      </c>
      <c r="AX49" s="96">
        <f t="shared" si="107"/>
        <v>0</v>
      </c>
      <c r="AY49" s="53">
        <f t="shared" ref="AY49:AZ53" si="167">IF(AY39=0,0,AY9/AY39*30)</f>
        <v>0</v>
      </c>
      <c r="AZ49" s="88">
        <f t="shared" si="167"/>
        <v>0</v>
      </c>
      <c r="BA49" s="96">
        <f t="shared" si="108"/>
        <v>0</v>
      </c>
      <c r="BB49" s="53">
        <f t="shared" ref="BB49:BC53" si="168">IF(BB39=0,0,BB9/BB39*30)</f>
        <v>0</v>
      </c>
      <c r="BC49" s="88">
        <f t="shared" si="168"/>
        <v>0</v>
      </c>
      <c r="BD49" s="96">
        <f t="shared" si="109"/>
        <v>0</v>
      </c>
      <c r="BE49" s="53">
        <f>IF(BE39=0,0,BE9/BE39*30)</f>
        <v>0</v>
      </c>
      <c r="BF49" s="53">
        <f>IF(BF39=0,0,BF9/BF39*30)</f>
        <v>0</v>
      </c>
      <c r="BG49" s="53">
        <f>IF(BG39=0,0,BG9/BG39*30)</f>
        <v>0</v>
      </c>
    </row>
    <row r="50" spans="1:59" s="127" customFormat="1" ht="13.5" hidden="1" outlineLevel="1" x14ac:dyDescent="0.25">
      <c r="A50" s="27"/>
      <c r="B50" s="83" t="s">
        <v>28</v>
      </c>
      <c r="C50" s="117" t="s">
        <v>50</v>
      </c>
      <c r="D50" s="19">
        <f t="shared" si="152"/>
        <v>0</v>
      </c>
      <c r="E50" s="19">
        <f t="shared" si="152"/>
        <v>0</v>
      </c>
      <c r="F50" s="23">
        <f t="shared" si="152"/>
        <v>0</v>
      </c>
      <c r="G50" s="22">
        <f t="shared" si="152"/>
        <v>0</v>
      </c>
      <c r="H50" s="21">
        <f t="shared" si="82"/>
        <v>0</v>
      </c>
      <c r="I50" s="23">
        <f t="shared" si="153"/>
        <v>0</v>
      </c>
      <c r="J50" s="22">
        <f t="shared" si="153"/>
        <v>0</v>
      </c>
      <c r="K50" s="21">
        <f t="shared" si="84"/>
        <v>0</v>
      </c>
      <c r="L50" s="23">
        <f t="shared" si="154"/>
        <v>0</v>
      </c>
      <c r="M50" s="22">
        <f t="shared" si="154"/>
        <v>0</v>
      </c>
      <c r="N50" s="21">
        <f t="shared" si="86"/>
        <v>0</v>
      </c>
      <c r="O50" s="23">
        <f t="shared" si="155"/>
        <v>0</v>
      </c>
      <c r="P50" s="22">
        <f t="shared" si="155"/>
        <v>0</v>
      </c>
      <c r="Q50" s="21">
        <f t="shared" si="87"/>
        <v>0</v>
      </c>
      <c r="R50" s="23">
        <f t="shared" si="156"/>
        <v>0</v>
      </c>
      <c r="S50" s="22">
        <f t="shared" si="156"/>
        <v>0</v>
      </c>
      <c r="T50" s="21">
        <f t="shared" si="89"/>
        <v>0</v>
      </c>
      <c r="U50" s="23">
        <f t="shared" si="157"/>
        <v>0</v>
      </c>
      <c r="V50" s="22">
        <f t="shared" si="157"/>
        <v>0</v>
      </c>
      <c r="W50" s="21">
        <f t="shared" si="91"/>
        <v>0</v>
      </c>
      <c r="X50" s="23">
        <f t="shared" si="158"/>
        <v>0</v>
      </c>
      <c r="Y50" s="22">
        <f t="shared" si="158"/>
        <v>0</v>
      </c>
      <c r="Z50" s="21">
        <f t="shared" si="93"/>
        <v>0</v>
      </c>
      <c r="AA50" s="23">
        <f t="shared" si="159"/>
        <v>0</v>
      </c>
      <c r="AB50" s="22">
        <f t="shared" si="159"/>
        <v>0</v>
      </c>
      <c r="AC50" s="21">
        <f t="shared" si="94"/>
        <v>0</v>
      </c>
      <c r="AD50" s="23">
        <f t="shared" si="160"/>
        <v>0</v>
      </c>
      <c r="AE50" s="22">
        <f t="shared" si="160"/>
        <v>0</v>
      </c>
      <c r="AF50" s="21">
        <f t="shared" si="96"/>
        <v>0</v>
      </c>
      <c r="AG50" s="23">
        <f t="shared" si="161"/>
        <v>0</v>
      </c>
      <c r="AH50" s="22">
        <f t="shared" si="161"/>
        <v>0</v>
      </c>
      <c r="AI50" s="21">
        <f t="shared" si="98"/>
        <v>0</v>
      </c>
      <c r="AJ50" s="23">
        <f t="shared" si="162"/>
        <v>0</v>
      </c>
      <c r="AK50" s="22">
        <f t="shared" si="162"/>
        <v>0</v>
      </c>
      <c r="AL50" s="21">
        <f t="shared" si="100"/>
        <v>0</v>
      </c>
      <c r="AM50" s="23">
        <f t="shared" si="163"/>
        <v>0</v>
      </c>
      <c r="AN50" s="22">
        <f t="shared" si="163"/>
        <v>0</v>
      </c>
      <c r="AO50" s="21">
        <f t="shared" si="101"/>
        <v>0</v>
      </c>
      <c r="AP50" s="23">
        <f t="shared" si="164"/>
        <v>0</v>
      </c>
      <c r="AQ50" s="22">
        <f t="shared" si="164"/>
        <v>0</v>
      </c>
      <c r="AR50" s="21">
        <f t="shared" si="103"/>
        <v>0</v>
      </c>
      <c r="AS50" s="23">
        <f t="shared" si="165"/>
        <v>0</v>
      </c>
      <c r="AT50" s="22">
        <f t="shared" si="165"/>
        <v>0</v>
      </c>
      <c r="AU50" s="21">
        <f t="shared" si="105"/>
        <v>0</v>
      </c>
      <c r="AV50" s="23">
        <f t="shared" si="166"/>
        <v>0</v>
      </c>
      <c r="AW50" s="22">
        <f t="shared" si="166"/>
        <v>0</v>
      </c>
      <c r="AX50" s="21">
        <f t="shared" si="107"/>
        <v>0</v>
      </c>
      <c r="AY50" s="23">
        <f t="shared" si="167"/>
        <v>0</v>
      </c>
      <c r="AZ50" s="22">
        <f t="shared" si="167"/>
        <v>0</v>
      </c>
      <c r="BA50" s="21">
        <f t="shared" si="108"/>
        <v>0</v>
      </c>
      <c r="BB50" s="23">
        <f t="shared" si="168"/>
        <v>0</v>
      </c>
      <c r="BC50" s="22">
        <f t="shared" si="168"/>
        <v>0</v>
      </c>
      <c r="BD50" s="21">
        <f t="shared" si="109"/>
        <v>0</v>
      </c>
      <c r="BE50" s="23">
        <f t="shared" ref="BE50:BF53" si="169">IF(BE40=0,0,BE10/BE40*30)</f>
        <v>0</v>
      </c>
      <c r="BF50" s="23">
        <f t="shared" si="169"/>
        <v>0</v>
      </c>
      <c r="BG50" s="23">
        <f>BB50+BE50+BF50</f>
        <v>0</v>
      </c>
    </row>
    <row r="51" spans="1:59" ht="13.5" hidden="1" customHeight="1" outlineLevel="1" x14ac:dyDescent="0.25">
      <c r="A51" s="82"/>
      <c r="B51" s="83" t="s">
        <v>29</v>
      </c>
      <c r="C51" s="117" t="s">
        <v>50</v>
      </c>
      <c r="D51" s="19">
        <f t="shared" si="152"/>
        <v>0</v>
      </c>
      <c r="E51" s="19">
        <f t="shared" si="152"/>
        <v>0</v>
      </c>
      <c r="F51" s="23">
        <f t="shared" si="152"/>
        <v>0</v>
      </c>
      <c r="G51" s="22">
        <f t="shared" si="152"/>
        <v>0</v>
      </c>
      <c r="H51" s="21">
        <f t="shared" si="82"/>
        <v>0</v>
      </c>
      <c r="I51" s="23">
        <f t="shared" si="153"/>
        <v>0</v>
      </c>
      <c r="J51" s="22">
        <f t="shared" si="153"/>
        <v>0</v>
      </c>
      <c r="K51" s="21">
        <f t="shared" si="84"/>
        <v>0</v>
      </c>
      <c r="L51" s="23">
        <f t="shared" si="154"/>
        <v>0</v>
      </c>
      <c r="M51" s="22">
        <f t="shared" si="154"/>
        <v>0</v>
      </c>
      <c r="N51" s="21">
        <f t="shared" si="86"/>
        <v>0</v>
      </c>
      <c r="O51" s="23">
        <f t="shared" si="155"/>
        <v>0</v>
      </c>
      <c r="P51" s="22">
        <f t="shared" si="155"/>
        <v>0</v>
      </c>
      <c r="Q51" s="21">
        <f t="shared" si="87"/>
        <v>0</v>
      </c>
      <c r="R51" s="23">
        <f t="shared" si="156"/>
        <v>0</v>
      </c>
      <c r="S51" s="22">
        <f t="shared" si="156"/>
        <v>0</v>
      </c>
      <c r="T51" s="21">
        <f t="shared" si="89"/>
        <v>0</v>
      </c>
      <c r="U51" s="23">
        <f t="shared" si="157"/>
        <v>0</v>
      </c>
      <c r="V51" s="22">
        <f t="shared" si="157"/>
        <v>0</v>
      </c>
      <c r="W51" s="21">
        <f t="shared" si="91"/>
        <v>0</v>
      </c>
      <c r="X51" s="23">
        <f t="shared" si="158"/>
        <v>0</v>
      </c>
      <c r="Y51" s="22">
        <f t="shared" si="158"/>
        <v>0</v>
      </c>
      <c r="Z51" s="21">
        <f t="shared" si="93"/>
        <v>0</v>
      </c>
      <c r="AA51" s="23">
        <f t="shared" si="159"/>
        <v>0</v>
      </c>
      <c r="AB51" s="22">
        <f t="shared" si="159"/>
        <v>0</v>
      </c>
      <c r="AC51" s="21">
        <f t="shared" si="94"/>
        <v>0</v>
      </c>
      <c r="AD51" s="23">
        <f t="shared" si="160"/>
        <v>0</v>
      </c>
      <c r="AE51" s="22">
        <f t="shared" si="160"/>
        <v>0</v>
      </c>
      <c r="AF51" s="21">
        <f t="shared" si="96"/>
        <v>0</v>
      </c>
      <c r="AG51" s="23">
        <f t="shared" si="161"/>
        <v>0</v>
      </c>
      <c r="AH51" s="22">
        <f t="shared" si="161"/>
        <v>0</v>
      </c>
      <c r="AI51" s="21">
        <f t="shared" si="98"/>
        <v>0</v>
      </c>
      <c r="AJ51" s="23">
        <f t="shared" si="162"/>
        <v>0</v>
      </c>
      <c r="AK51" s="22">
        <f t="shared" si="162"/>
        <v>0</v>
      </c>
      <c r="AL51" s="21">
        <f t="shared" si="100"/>
        <v>0</v>
      </c>
      <c r="AM51" s="23">
        <f t="shared" si="163"/>
        <v>0</v>
      </c>
      <c r="AN51" s="22">
        <f t="shared" si="163"/>
        <v>0</v>
      </c>
      <c r="AO51" s="21">
        <f t="shared" si="101"/>
        <v>0</v>
      </c>
      <c r="AP51" s="23">
        <f t="shared" si="164"/>
        <v>0</v>
      </c>
      <c r="AQ51" s="22">
        <f t="shared" si="164"/>
        <v>0</v>
      </c>
      <c r="AR51" s="21">
        <f t="shared" si="103"/>
        <v>0</v>
      </c>
      <c r="AS51" s="23">
        <f t="shared" si="165"/>
        <v>0</v>
      </c>
      <c r="AT51" s="22">
        <f t="shared" si="165"/>
        <v>0</v>
      </c>
      <c r="AU51" s="21">
        <f t="shared" si="105"/>
        <v>0</v>
      </c>
      <c r="AV51" s="23">
        <f t="shared" si="166"/>
        <v>0</v>
      </c>
      <c r="AW51" s="22">
        <f t="shared" si="166"/>
        <v>0</v>
      </c>
      <c r="AX51" s="21">
        <f t="shared" si="107"/>
        <v>0</v>
      </c>
      <c r="AY51" s="23">
        <f t="shared" si="167"/>
        <v>0</v>
      </c>
      <c r="AZ51" s="22">
        <f t="shared" si="167"/>
        <v>0</v>
      </c>
      <c r="BA51" s="21">
        <f t="shared" si="108"/>
        <v>0</v>
      </c>
      <c r="BB51" s="23">
        <f t="shared" si="168"/>
        <v>0</v>
      </c>
      <c r="BC51" s="22">
        <f t="shared" si="168"/>
        <v>0</v>
      </c>
      <c r="BD51" s="21">
        <f t="shared" si="109"/>
        <v>0</v>
      </c>
      <c r="BE51" s="23">
        <f t="shared" si="169"/>
        <v>0</v>
      </c>
      <c r="BF51" s="23">
        <f t="shared" si="169"/>
        <v>0</v>
      </c>
      <c r="BG51" s="23">
        <f t="shared" ref="BG51:BG53" si="170">BB51+BE51+BF51</f>
        <v>0</v>
      </c>
    </row>
    <row r="52" spans="1:59" ht="13.5" hidden="1" customHeight="1" outlineLevel="1" x14ac:dyDescent="0.25">
      <c r="A52" s="82"/>
      <c r="B52" s="83" t="s">
        <v>30</v>
      </c>
      <c r="C52" s="117" t="s">
        <v>50</v>
      </c>
      <c r="D52" s="19">
        <f t="shared" si="152"/>
        <v>0</v>
      </c>
      <c r="E52" s="19">
        <f t="shared" si="152"/>
        <v>0</v>
      </c>
      <c r="F52" s="23">
        <f t="shared" si="152"/>
        <v>0</v>
      </c>
      <c r="G52" s="22">
        <f t="shared" si="152"/>
        <v>0</v>
      </c>
      <c r="H52" s="21">
        <f t="shared" si="82"/>
        <v>0</v>
      </c>
      <c r="I52" s="23">
        <f t="shared" si="153"/>
        <v>0</v>
      </c>
      <c r="J52" s="22">
        <f t="shared" si="153"/>
        <v>0</v>
      </c>
      <c r="K52" s="21">
        <f t="shared" si="84"/>
        <v>0</v>
      </c>
      <c r="L52" s="23">
        <f t="shared" si="154"/>
        <v>0</v>
      </c>
      <c r="M52" s="22">
        <f t="shared" si="154"/>
        <v>0</v>
      </c>
      <c r="N52" s="21">
        <f t="shared" si="86"/>
        <v>0</v>
      </c>
      <c r="O52" s="23">
        <f t="shared" si="155"/>
        <v>0</v>
      </c>
      <c r="P52" s="22">
        <f t="shared" si="155"/>
        <v>0</v>
      </c>
      <c r="Q52" s="21">
        <f t="shared" si="87"/>
        <v>0</v>
      </c>
      <c r="R52" s="23">
        <f t="shared" si="156"/>
        <v>0</v>
      </c>
      <c r="S52" s="22">
        <f t="shared" si="156"/>
        <v>0</v>
      </c>
      <c r="T52" s="21">
        <f t="shared" si="89"/>
        <v>0</v>
      </c>
      <c r="U52" s="23">
        <f t="shared" si="157"/>
        <v>0</v>
      </c>
      <c r="V52" s="22">
        <f t="shared" si="157"/>
        <v>0</v>
      </c>
      <c r="W52" s="21">
        <f t="shared" si="91"/>
        <v>0</v>
      </c>
      <c r="X52" s="23">
        <f t="shared" si="158"/>
        <v>0</v>
      </c>
      <c r="Y52" s="22">
        <f t="shared" si="158"/>
        <v>0</v>
      </c>
      <c r="Z52" s="21">
        <f t="shared" si="93"/>
        <v>0</v>
      </c>
      <c r="AA52" s="23">
        <f t="shared" si="159"/>
        <v>0</v>
      </c>
      <c r="AB52" s="22">
        <f t="shared" si="159"/>
        <v>0</v>
      </c>
      <c r="AC52" s="21">
        <f t="shared" si="94"/>
        <v>0</v>
      </c>
      <c r="AD52" s="23">
        <f t="shared" si="160"/>
        <v>0</v>
      </c>
      <c r="AE52" s="22">
        <f t="shared" si="160"/>
        <v>0</v>
      </c>
      <c r="AF52" s="21">
        <f t="shared" si="96"/>
        <v>0</v>
      </c>
      <c r="AG52" s="23">
        <f t="shared" si="161"/>
        <v>0</v>
      </c>
      <c r="AH52" s="22">
        <f t="shared" si="161"/>
        <v>0</v>
      </c>
      <c r="AI52" s="21">
        <f t="shared" si="98"/>
        <v>0</v>
      </c>
      <c r="AJ52" s="23">
        <f t="shared" si="162"/>
        <v>0</v>
      </c>
      <c r="AK52" s="22">
        <f t="shared" si="162"/>
        <v>0</v>
      </c>
      <c r="AL52" s="21">
        <f t="shared" si="100"/>
        <v>0</v>
      </c>
      <c r="AM52" s="23">
        <f t="shared" si="163"/>
        <v>0</v>
      </c>
      <c r="AN52" s="22">
        <f t="shared" si="163"/>
        <v>0</v>
      </c>
      <c r="AO52" s="21">
        <f t="shared" si="101"/>
        <v>0</v>
      </c>
      <c r="AP52" s="23">
        <f t="shared" si="164"/>
        <v>0</v>
      </c>
      <c r="AQ52" s="22">
        <f t="shared" si="164"/>
        <v>0</v>
      </c>
      <c r="AR52" s="21">
        <f t="shared" si="103"/>
        <v>0</v>
      </c>
      <c r="AS52" s="23">
        <f t="shared" si="165"/>
        <v>0</v>
      </c>
      <c r="AT52" s="22">
        <f t="shared" si="165"/>
        <v>0</v>
      </c>
      <c r="AU52" s="21">
        <f t="shared" si="105"/>
        <v>0</v>
      </c>
      <c r="AV52" s="23">
        <f t="shared" si="166"/>
        <v>0</v>
      </c>
      <c r="AW52" s="22">
        <f t="shared" si="166"/>
        <v>0</v>
      </c>
      <c r="AX52" s="21">
        <f t="shared" si="107"/>
        <v>0</v>
      </c>
      <c r="AY52" s="23">
        <f t="shared" si="167"/>
        <v>0</v>
      </c>
      <c r="AZ52" s="22">
        <f t="shared" si="167"/>
        <v>0</v>
      </c>
      <c r="BA52" s="21">
        <f t="shared" si="108"/>
        <v>0</v>
      </c>
      <c r="BB52" s="23">
        <f t="shared" si="168"/>
        <v>0</v>
      </c>
      <c r="BC52" s="22">
        <f t="shared" si="168"/>
        <v>0</v>
      </c>
      <c r="BD52" s="21">
        <f t="shared" si="109"/>
        <v>0</v>
      </c>
      <c r="BE52" s="23">
        <f t="shared" si="169"/>
        <v>0</v>
      </c>
      <c r="BF52" s="23">
        <f t="shared" si="169"/>
        <v>0</v>
      </c>
      <c r="BG52" s="23">
        <f t="shared" si="170"/>
        <v>0</v>
      </c>
    </row>
    <row r="53" spans="1:59" ht="13.5" hidden="1" customHeight="1" outlineLevel="1" thickBot="1" x14ac:dyDescent="0.3">
      <c r="A53" s="82"/>
      <c r="B53" s="83" t="s">
        <v>31</v>
      </c>
      <c r="C53" s="117" t="s">
        <v>50</v>
      </c>
      <c r="D53" s="19">
        <f t="shared" si="152"/>
        <v>0</v>
      </c>
      <c r="E53" s="19">
        <f t="shared" si="152"/>
        <v>0</v>
      </c>
      <c r="F53" s="23">
        <f t="shared" si="152"/>
        <v>0</v>
      </c>
      <c r="G53" s="22">
        <f t="shared" si="152"/>
        <v>0</v>
      </c>
      <c r="H53" s="21">
        <f t="shared" si="82"/>
        <v>0</v>
      </c>
      <c r="I53" s="23">
        <f t="shared" si="153"/>
        <v>0</v>
      </c>
      <c r="J53" s="22">
        <f t="shared" si="153"/>
        <v>0</v>
      </c>
      <c r="K53" s="21">
        <f t="shared" si="84"/>
        <v>0</v>
      </c>
      <c r="L53" s="23">
        <f t="shared" si="154"/>
        <v>0</v>
      </c>
      <c r="M53" s="22">
        <f t="shared" si="154"/>
        <v>0</v>
      </c>
      <c r="N53" s="21">
        <f t="shared" si="86"/>
        <v>0</v>
      </c>
      <c r="O53" s="23">
        <f t="shared" si="155"/>
        <v>0</v>
      </c>
      <c r="P53" s="22">
        <f t="shared" si="155"/>
        <v>0</v>
      </c>
      <c r="Q53" s="21">
        <f t="shared" si="87"/>
        <v>0</v>
      </c>
      <c r="R53" s="23">
        <f t="shared" si="156"/>
        <v>0</v>
      </c>
      <c r="S53" s="22">
        <f t="shared" si="156"/>
        <v>0</v>
      </c>
      <c r="T53" s="21">
        <f t="shared" si="89"/>
        <v>0</v>
      </c>
      <c r="U53" s="23">
        <f t="shared" si="157"/>
        <v>0</v>
      </c>
      <c r="V53" s="22">
        <f t="shared" si="157"/>
        <v>0</v>
      </c>
      <c r="W53" s="21">
        <f t="shared" si="91"/>
        <v>0</v>
      </c>
      <c r="X53" s="23">
        <f t="shared" si="158"/>
        <v>0</v>
      </c>
      <c r="Y53" s="22">
        <f t="shared" si="158"/>
        <v>0</v>
      </c>
      <c r="Z53" s="21">
        <f t="shared" si="93"/>
        <v>0</v>
      </c>
      <c r="AA53" s="23">
        <f t="shared" si="159"/>
        <v>0</v>
      </c>
      <c r="AB53" s="22">
        <f t="shared" si="159"/>
        <v>0</v>
      </c>
      <c r="AC53" s="21">
        <f t="shared" si="94"/>
        <v>0</v>
      </c>
      <c r="AD53" s="23">
        <f t="shared" si="160"/>
        <v>0</v>
      </c>
      <c r="AE53" s="22">
        <f t="shared" si="160"/>
        <v>0</v>
      </c>
      <c r="AF53" s="21">
        <f t="shared" si="96"/>
        <v>0</v>
      </c>
      <c r="AG53" s="23">
        <f t="shared" si="161"/>
        <v>0</v>
      </c>
      <c r="AH53" s="22">
        <f t="shared" si="161"/>
        <v>0</v>
      </c>
      <c r="AI53" s="21">
        <f t="shared" si="98"/>
        <v>0</v>
      </c>
      <c r="AJ53" s="23">
        <f t="shared" si="162"/>
        <v>0</v>
      </c>
      <c r="AK53" s="22">
        <f t="shared" si="162"/>
        <v>0</v>
      </c>
      <c r="AL53" s="21">
        <f t="shared" si="100"/>
        <v>0</v>
      </c>
      <c r="AM53" s="23">
        <f t="shared" si="163"/>
        <v>0</v>
      </c>
      <c r="AN53" s="22">
        <f t="shared" si="163"/>
        <v>0</v>
      </c>
      <c r="AO53" s="21">
        <f t="shared" si="101"/>
        <v>0</v>
      </c>
      <c r="AP53" s="23">
        <f t="shared" si="164"/>
        <v>0</v>
      </c>
      <c r="AQ53" s="22">
        <f t="shared" si="164"/>
        <v>0</v>
      </c>
      <c r="AR53" s="21">
        <f t="shared" si="103"/>
        <v>0</v>
      </c>
      <c r="AS53" s="23">
        <f t="shared" si="165"/>
        <v>0</v>
      </c>
      <c r="AT53" s="22">
        <f t="shared" si="165"/>
        <v>0</v>
      </c>
      <c r="AU53" s="21">
        <f t="shared" si="105"/>
        <v>0</v>
      </c>
      <c r="AV53" s="23">
        <f t="shared" si="166"/>
        <v>0</v>
      </c>
      <c r="AW53" s="22">
        <f t="shared" si="166"/>
        <v>0</v>
      </c>
      <c r="AX53" s="21">
        <f t="shared" si="107"/>
        <v>0</v>
      </c>
      <c r="AY53" s="23">
        <f t="shared" si="167"/>
        <v>0</v>
      </c>
      <c r="AZ53" s="22">
        <f t="shared" si="167"/>
        <v>0</v>
      </c>
      <c r="BA53" s="21">
        <f t="shared" si="108"/>
        <v>0</v>
      </c>
      <c r="BB53" s="23">
        <f t="shared" si="168"/>
        <v>0</v>
      </c>
      <c r="BC53" s="22">
        <f t="shared" si="168"/>
        <v>0</v>
      </c>
      <c r="BD53" s="21">
        <f t="shared" si="109"/>
        <v>0</v>
      </c>
      <c r="BE53" s="23">
        <f t="shared" si="169"/>
        <v>0</v>
      </c>
      <c r="BF53" s="23">
        <f t="shared" si="169"/>
        <v>0</v>
      </c>
      <c r="BG53" s="23">
        <f t="shared" si="170"/>
        <v>0</v>
      </c>
    </row>
    <row r="54" spans="1:59" s="127" customFormat="1" ht="15" customHeight="1" collapsed="1" thickBot="1" x14ac:dyDescent="0.3">
      <c r="A54" s="51" t="s">
        <v>51</v>
      </c>
      <c r="B54" s="52" t="s">
        <v>52</v>
      </c>
      <c r="C54" s="116" t="s">
        <v>45</v>
      </c>
      <c r="D54" s="28">
        <f>SUM(D55:D58)</f>
        <v>0</v>
      </c>
      <c r="E54" s="28">
        <f>SUM(E55:E58)</f>
        <v>0</v>
      </c>
      <c r="F54" s="53">
        <f>SUM(F55:F58)</f>
        <v>0</v>
      </c>
      <c r="G54" s="88">
        <f>SUM(G55:G58)</f>
        <v>0</v>
      </c>
      <c r="H54" s="96">
        <f t="shared" si="82"/>
        <v>0</v>
      </c>
      <c r="I54" s="53">
        <f>SUM(I55:I58)</f>
        <v>0</v>
      </c>
      <c r="J54" s="88">
        <f>SUM(J55:J58)</f>
        <v>0</v>
      </c>
      <c r="K54" s="96">
        <f t="shared" si="84"/>
        <v>0</v>
      </c>
      <c r="L54" s="53">
        <f>SUM(L55:L58)</f>
        <v>0</v>
      </c>
      <c r="M54" s="88">
        <f>SUM(M55:M58)</f>
        <v>0</v>
      </c>
      <c r="N54" s="96">
        <f t="shared" si="86"/>
        <v>0</v>
      </c>
      <c r="O54" s="53">
        <f>SUM(O55:O58)</f>
        <v>0</v>
      </c>
      <c r="P54" s="88">
        <f>SUM(P55:P58)</f>
        <v>0</v>
      </c>
      <c r="Q54" s="96">
        <f t="shared" si="87"/>
        <v>0</v>
      </c>
      <c r="R54" s="53">
        <f>SUM(R55:R58)</f>
        <v>0</v>
      </c>
      <c r="S54" s="88">
        <f>SUM(S55:S58)</f>
        <v>0</v>
      </c>
      <c r="T54" s="96">
        <f t="shared" si="89"/>
        <v>0</v>
      </c>
      <c r="U54" s="53">
        <f>SUM(U55:U58)</f>
        <v>0</v>
      </c>
      <c r="V54" s="88">
        <f>SUM(V55:V58)</f>
        <v>0</v>
      </c>
      <c r="W54" s="96">
        <f t="shared" si="91"/>
        <v>0</v>
      </c>
      <c r="X54" s="53">
        <f>SUM(X55:X58)</f>
        <v>0</v>
      </c>
      <c r="Y54" s="88">
        <f>SUM(Y55:Y58)</f>
        <v>0</v>
      </c>
      <c r="Z54" s="96">
        <f t="shared" si="93"/>
        <v>0</v>
      </c>
      <c r="AA54" s="53">
        <f>SUM(AA55:AA58)</f>
        <v>0</v>
      </c>
      <c r="AB54" s="88">
        <f>SUM(AB55:AB58)</f>
        <v>0</v>
      </c>
      <c r="AC54" s="96">
        <f t="shared" si="94"/>
        <v>0</v>
      </c>
      <c r="AD54" s="53">
        <f>SUM(AD55:AD58)</f>
        <v>0</v>
      </c>
      <c r="AE54" s="88">
        <f>SUM(AE55:AE58)</f>
        <v>0</v>
      </c>
      <c r="AF54" s="96">
        <f t="shared" si="96"/>
        <v>0</v>
      </c>
      <c r="AG54" s="53">
        <f>SUM(AG55:AG58)</f>
        <v>0</v>
      </c>
      <c r="AH54" s="88">
        <f>SUM(AH55:AH58)</f>
        <v>0</v>
      </c>
      <c r="AI54" s="96">
        <f t="shared" si="98"/>
        <v>0</v>
      </c>
      <c r="AJ54" s="53">
        <f>SUM(AJ55:AJ58)</f>
        <v>0</v>
      </c>
      <c r="AK54" s="88">
        <f>SUM(AK55:AK58)</f>
        <v>0</v>
      </c>
      <c r="AL54" s="96">
        <f t="shared" si="100"/>
        <v>0</v>
      </c>
      <c r="AM54" s="53">
        <f>SUM(AM55:AM58)</f>
        <v>0</v>
      </c>
      <c r="AN54" s="88">
        <f>SUM(AN55:AN58)</f>
        <v>0</v>
      </c>
      <c r="AO54" s="96">
        <f t="shared" si="101"/>
        <v>0</v>
      </c>
      <c r="AP54" s="53">
        <f>SUM(AP55:AP58)</f>
        <v>0</v>
      </c>
      <c r="AQ54" s="88">
        <f>SUM(AQ55:AQ58)</f>
        <v>0</v>
      </c>
      <c r="AR54" s="96">
        <f t="shared" si="103"/>
        <v>0</v>
      </c>
      <c r="AS54" s="53">
        <f>SUM(AS55:AS58)</f>
        <v>0</v>
      </c>
      <c r="AT54" s="88">
        <f>SUM(AT55:AT58)</f>
        <v>0</v>
      </c>
      <c r="AU54" s="96">
        <f t="shared" si="105"/>
        <v>0</v>
      </c>
      <c r="AV54" s="53">
        <f>SUM(AV55:AV58)</f>
        <v>0</v>
      </c>
      <c r="AW54" s="88">
        <f>SUM(AW55:AW58)</f>
        <v>0</v>
      </c>
      <c r="AX54" s="96">
        <f t="shared" si="107"/>
        <v>0</v>
      </c>
      <c r="AY54" s="53">
        <f>SUM(AY55:AY58)</f>
        <v>0</v>
      </c>
      <c r="AZ54" s="88">
        <f>SUM(AZ55:AZ58)</f>
        <v>0</v>
      </c>
      <c r="BA54" s="96">
        <f t="shared" si="108"/>
        <v>0</v>
      </c>
      <c r="BB54" s="53">
        <f>SUM(BB55:BB58)</f>
        <v>0</v>
      </c>
      <c r="BC54" s="88">
        <f>SUM(BC55:BC58)</f>
        <v>0</v>
      </c>
      <c r="BD54" s="96">
        <f t="shared" si="109"/>
        <v>0</v>
      </c>
      <c r="BE54" s="53">
        <f>SUM(BE55:BE58)</f>
        <v>0</v>
      </c>
      <c r="BF54" s="53">
        <f>SUM(BF55:BF58)</f>
        <v>0</v>
      </c>
      <c r="BG54" s="53">
        <f>SUM(BG55:BG58)</f>
        <v>0</v>
      </c>
    </row>
    <row r="55" spans="1:59" s="127" customFormat="1" ht="13.5" hidden="1" outlineLevel="1" x14ac:dyDescent="0.25">
      <c r="A55" s="27"/>
      <c r="B55" s="83" t="s">
        <v>28</v>
      </c>
      <c r="C55" s="117" t="s">
        <v>45</v>
      </c>
      <c r="D55" s="19">
        <v>0</v>
      </c>
      <c r="E55" s="19">
        <v>0</v>
      </c>
      <c r="F55" s="23">
        <v>0</v>
      </c>
      <c r="G55" s="22">
        <v>0</v>
      </c>
      <c r="H55" s="21">
        <f t="shared" si="82"/>
        <v>0</v>
      </c>
      <c r="I55" s="23">
        <f t="shared" ref="I55:J55" si="171">IF(I40=0,0,I35/I40)</f>
        <v>0</v>
      </c>
      <c r="J55" s="22">
        <f t="shared" si="171"/>
        <v>0</v>
      </c>
      <c r="K55" s="21">
        <f t="shared" si="84"/>
        <v>0</v>
      </c>
      <c r="L55" s="23">
        <f t="shared" ref="L55:M55" si="172">IF(L40=0,0,L35/L40)</f>
        <v>0</v>
      </c>
      <c r="M55" s="22">
        <f t="shared" si="172"/>
        <v>0</v>
      </c>
      <c r="N55" s="21">
        <f t="shared" si="86"/>
        <v>0</v>
      </c>
      <c r="O55" s="23">
        <f t="shared" ref="O55:P58" si="173">SUM(F55,I55,L55)</f>
        <v>0</v>
      </c>
      <c r="P55" s="22">
        <f t="shared" si="173"/>
        <v>0</v>
      </c>
      <c r="Q55" s="21">
        <f t="shared" si="87"/>
        <v>0</v>
      </c>
      <c r="R55" s="23">
        <f t="shared" ref="R55:S55" si="174">IF(R40=0,0,R35/R40)</f>
        <v>0</v>
      </c>
      <c r="S55" s="22">
        <f t="shared" si="174"/>
        <v>0</v>
      </c>
      <c r="T55" s="21">
        <f t="shared" si="89"/>
        <v>0</v>
      </c>
      <c r="U55" s="23">
        <f t="shared" ref="U55:V55" si="175">IF(U40=0,0,U35/U40)</f>
        <v>0</v>
      </c>
      <c r="V55" s="22">
        <f t="shared" si="175"/>
        <v>0</v>
      </c>
      <c r="W55" s="21">
        <f t="shared" si="91"/>
        <v>0</v>
      </c>
      <c r="X55" s="23">
        <f t="shared" ref="X55:Y55" si="176">IF(X40=0,0,X35/X40)</f>
        <v>0</v>
      </c>
      <c r="Y55" s="22">
        <f t="shared" si="176"/>
        <v>0</v>
      </c>
      <c r="Z55" s="21">
        <f t="shared" si="93"/>
        <v>0</v>
      </c>
      <c r="AA55" s="23">
        <f t="shared" ref="AA55:AB58" si="177">SUM(R55,U55,X55)</f>
        <v>0</v>
      </c>
      <c r="AB55" s="22">
        <f t="shared" si="177"/>
        <v>0</v>
      </c>
      <c r="AC55" s="21">
        <f t="shared" si="94"/>
        <v>0</v>
      </c>
      <c r="AD55" s="23">
        <f t="shared" ref="AD55:AE55" si="178">IF(AD40=0,0,AD35/AD40)</f>
        <v>0</v>
      </c>
      <c r="AE55" s="22">
        <f t="shared" si="178"/>
        <v>0</v>
      </c>
      <c r="AF55" s="21">
        <f t="shared" si="96"/>
        <v>0</v>
      </c>
      <c r="AG55" s="23">
        <f t="shared" ref="AG55:AH55" si="179">IF(AG40=0,0,AG35/AG40)</f>
        <v>0</v>
      </c>
      <c r="AH55" s="22">
        <f t="shared" si="179"/>
        <v>0</v>
      </c>
      <c r="AI55" s="21">
        <f t="shared" si="98"/>
        <v>0</v>
      </c>
      <c r="AJ55" s="23">
        <f t="shared" ref="AJ55:AK55" si="180">IF(AJ40=0,0,AJ35/AJ40)</f>
        <v>0</v>
      </c>
      <c r="AK55" s="22">
        <f t="shared" si="180"/>
        <v>0</v>
      </c>
      <c r="AL55" s="21">
        <f t="shared" si="100"/>
        <v>0</v>
      </c>
      <c r="AM55" s="23">
        <f t="shared" ref="AM55:AN58" si="181">SUM(AD55,AG55,AJ55)</f>
        <v>0</v>
      </c>
      <c r="AN55" s="22">
        <f t="shared" si="181"/>
        <v>0</v>
      </c>
      <c r="AO55" s="21">
        <f t="shared" si="101"/>
        <v>0</v>
      </c>
      <c r="AP55" s="23">
        <f t="shared" ref="AP55:AQ55" si="182">IF(AP40=0,0,AP35/AP40)</f>
        <v>0</v>
      </c>
      <c r="AQ55" s="22">
        <f t="shared" si="182"/>
        <v>0</v>
      </c>
      <c r="AR55" s="21">
        <f t="shared" si="103"/>
        <v>0</v>
      </c>
      <c r="AS55" s="23">
        <f t="shared" ref="AS55:AT55" si="183">IF(AS40=0,0,AS35/AS40)</f>
        <v>0</v>
      </c>
      <c r="AT55" s="22">
        <f t="shared" si="183"/>
        <v>0</v>
      </c>
      <c r="AU55" s="21">
        <f t="shared" si="105"/>
        <v>0</v>
      </c>
      <c r="AV55" s="23">
        <f t="shared" ref="AV55:AW55" si="184">IF(AV40=0,0,AV35/AV40)</f>
        <v>0</v>
      </c>
      <c r="AW55" s="22">
        <f t="shared" si="184"/>
        <v>0</v>
      </c>
      <c r="AX55" s="21">
        <f t="shared" si="107"/>
        <v>0</v>
      </c>
      <c r="AY55" s="23">
        <f t="shared" ref="AY55:AZ58" si="185">SUM(AP55,AS55,AV55)</f>
        <v>0</v>
      </c>
      <c r="AZ55" s="22">
        <f t="shared" si="185"/>
        <v>0</v>
      </c>
      <c r="BA55" s="21">
        <f t="shared" si="108"/>
        <v>0</v>
      </c>
      <c r="BB55" s="23">
        <f t="shared" ref="BB55:BC58" si="186">SUM(F55,I55,L55,R55,U55,X55,AD55,AG55,AJ55,AP55,AS55,AV55)</f>
        <v>0</v>
      </c>
      <c r="BC55" s="22">
        <f t="shared" si="186"/>
        <v>0</v>
      </c>
      <c r="BD55" s="21">
        <f t="shared" si="109"/>
        <v>0</v>
      </c>
      <c r="BE55" s="175">
        <v>0</v>
      </c>
      <c r="BF55" s="19">
        <v>0</v>
      </c>
      <c r="BG55" s="23">
        <f>BB55+BE55+BF55</f>
        <v>0</v>
      </c>
    </row>
    <row r="56" spans="1:59" s="124" customFormat="1" ht="13.5" hidden="1" customHeight="1" outlineLevel="1" x14ac:dyDescent="0.25">
      <c r="A56" s="82"/>
      <c r="B56" s="83" t="s">
        <v>29</v>
      </c>
      <c r="C56" s="117" t="s">
        <v>45</v>
      </c>
      <c r="D56" s="19">
        <v>0</v>
      </c>
      <c r="E56" s="19">
        <v>0</v>
      </c>
      <c r="F56" s="23">
        <v>0</v>
      </c>
      <c r="G56" s="22">
        <v>0</v>
      </c>
      <c r="H56" s="21">
        <f t="shared" si="82"/>
        <v>0</v>
      </c>
      <c r="I56" s="23">
        <f t="shared" ref="I56:J56" si="187">IF(I41=0,0,I36/I41)</f>
        <v>0</v>
      </c>
      <c r="J56" s="22">
        <f t="shared" si="187"/>
        <v>0</v>
      </c>
      <c r="K56" s="21">
        <f t="shared" si="84"/>
        <v>0</v>
      </c>
      <c r="L56" s="23">
        <f t="shared" ref="L56:M56" si="188">IF(L41=0,0,L36/L41)</f>
        <v>0</v>
      </c>
      <c r="M56" s="22">
        <f t="shared" si="188"/>
        <v>0</v>
      </c>
      <c r="N56" s="21">
        <f t="shared" si="86"/>
        <v>0</v>
      </c>
      <c r="O56" s="23">
        <f t="shared" si="173"/>
        <v>0</v>
      </c>
      <c r="P56" s="22">
        <f t="shared" si="173"/>
        <v>0</v>
      </c>
      <c r="Q56" s="21">
        <f t="shared" si="87"/>
        <v>0</v>
      </c>
      <c r="R56" s="23">
        <f t="shared" ref="R56:S56" si="189">IF(R41=0,0,R36/R41)</f>
        <v>0</v>
      </c>
      <c r="S56" s="22">
        <f t="shared" si="189"/>
        <v>0</v>
      </c>
      <c r="T56" s="21">
        <f t="shared" si="89"/>
        <v>0</v>
      </c>
      <c r="U56" s="23">
        <f t="shared" ref="U56:V56" si="190">IF(U41=0,0,U36/U41)</f>
        <v>0</v>
      </c>
      <c r="V56" s="22">
        <f t="shared" si="190"/>
        <v>0</v>
      </c>
      <c r="W56" s="21">
        <f t="shared" si="91"/>
        <v>0</v>
      </c>
      <c r="X56" s="23">
        <f t="shared" ref="X56:Y56" si="191">IF(X41=0,0,X36/X41)</f>
        <v>0</v>
      </c>
      <c r="Y56" s="22">
        <f t="shared" si="191"/>
        <v>0</v>
      </c>
      <c r="Z56" s="21">
        <f t="shared" si="93"/>
        <v>0</v>
      </c>
      <c r="AA56" s="23">
        <f t="shared" si="177"/>
        <v>0</v>
      </c>
      <c r="AB56" s="22">
        <f t="shared" si="177"/>
        <v>0</v>
      </c>
      <c r="AC56" s="21">
        <f t="shared" si="94"/>
        <v>0</v>
      </c>
      <c r="AD56" s="23">
        <f t="shared" ref="AD56:AE56" si="192">IF(AD41=0,0,AD36/AD41)</f>
        <v>0</v>
      </c>
      <c r="AE56" s="22">
        <f t="shared" si="192"/>
        <v>0</v>
      </c>
      <c r="AF56" s="21">
        <f t="shared" si="96"/>
        <v>0</v>
      </c>
      <c r="AG56" s="23">
        <f t="shared" ref="AG56:AH56" si="193">IF(AG41=0,0,AG36/AG41)</f>
        <v>0</v>
      </c>
      <c r="AH56" s="22">
        <f t="shared" si="193"/>
        <v>0</v>
      </c>
      <c r="AI56" s="21">
        <f t="shared" si="98"/>
        <v>0</v>
      </c>
      <c r="AJ56" s="23">
        <f t="shared" ref="AJ56:AK56" si="194">IF(AJ41=0,0,AJ36/AJ41)</f>
        <v>0</v>
      </c>
      <c r="AK56" s="22">
        <f t="shared" si="194"/>
        <v>0</v>
      </c>
      <c r="AL56" s="21">
        <f t="shared" si="100"/>
        <v>0</v>
      </c>
      <c r="AM56" s="23">
        <f t="shared" si="181"/>
        <v>0</v>
      </c>
      <c r="AN56" s="22">
        <f t="shared" si="181"/>
        <v>0</v>
      </c>
      <c r="AO56" s="21">
        <f t="shared" si="101"/>
        <v>0</v>
      </c>
      <c r="AP56" s="23">
        <f t="shared" ref="AP56:AQ56" si="195">IF(AP41=0,0,AP36/AP41)</f>
        <v>0</v>
      </c>
      <c r="AQ56" s="22">
        <f t="shared" si="195"/>
        <v>0</v>
      </c>
      <c r="AR56" s="21">
        <f t="shared" si="103"/>
        <v>0</v>
      </c>
      <c r="AS56" s="23">
        <f t="shared" ref="AS56:AT56" si="196">IF(AS41=0,0,AS36/AS41)</f>
        <v>0</v>
      </c>
      <c r="AT56" s="22">
        <f t="shared" si="196"/>
        <v>0</v>
      </c>
      <c r="AU56" s="21">
        <f t="shared" si="105"/>
        <v>0</v>
      </c>
      <c r="AV56" s="23">
        <f t="shared" ref="AV56:AW56" si="197">IF(AV41=0,0,AV36/AV41)</f>
        <v>0</v>
      </c>
      <c r="AW56" s="22">
        <f t="shared" si="197"/>
        <v>0</v>
      </c>
      <c r="AX56" s="21">
        <f t="shared" si="107"/>
        <v>0</v>
      </c>
      <c r="AY56" s="23">
        <f t="shared" si="185"/>
        <v>0</v>
      </c>
      <c r="AZ56" s="22">
        <f t="shared" si="185"/>
        <v>0</v>
      </c>
      <c r="BA56" s="21">
        <f t="shared" si="108"/>
        <v>0</v>
      </c>
      <c r="BB56" s="23">
        <f t="shared" si="186"/>
        <v>0</v>
      </c>
      <c r="BC56" s="22">
        <f t="shared" si="186"/>
        <v>0</v>
      </c>
      <c r="BD56" s="21">
        <f t="shared" si="109"/>
        <v>0</v>
      </c>
      <c r="BE56" s="175">
        <v>0</v>
      </c>
      <c r="BF56" s="19">
        <v>0</v>
      </c>
      <c r="BG56" s="23">
        <f t="shared" ref="BG56:BG58" si="198">BB56+BE56+BF56</f>
        <v>0</v>
      </c>
    </row>
    <row r="57" spans="1:59" s="124" customFormat="1" ht="13.5" hidden="1" customHeight="1" outlineLevel="1" x14ac:dyDescent="0.25">
      <c r="A57" s="82"/>
      <c r="B57" s="83" t="s">
        <v>30</v>
      </c>
      <c r="C57" s="117" t="s">
        <v>45</v>
      </c>
      <c r="D57" s="19">
        <v>0</v>
      </c>
      <c r="E57" s="19">
        <v>0</v>
      </c>
      <c r="F57" s="23">
        <v>0</v>
      </c>
      <c r="G57" s="22">
        <v>0</v>
      </c>
      <c r="H57" s="21">
        <f t="shared" si="82"/>
        <v>0</v>
      </c>
      <c r="I57" s="23">
        <f t="shared" ref="I57:J57" si="199">IF(I42=0,0,I37/I42)</f>
        <v>0</v>
      </c>
      <c r="J57" s="22">
        <f t="shared" si="199"/>
        <v>0</v>
      </c>
      <c r="K57" s="21">
        <f t="shared" si="84"/>
        <v>0</v>
      </c>
      <c r="L57" s="23">
        <f t="shared" ref="L57:M57" si="200">IF(L42=0,0,L37/L42)</f>
        <v>0</v>
      </c>
      <c r="M57" s="22">
        <f t="shared" si="200"/>
        <v>0</v>
      </c>
      <c r="N57" s="21">
        <f t="shared" si="86"/>
        <v>0</v>
      </c>
      <c r="O57" s="23">
        <f t="shared" si="173"/>
        <v>0</v>
      </c>
      <c r="P57" s="22">
        <f t="shared" si="173"/>
        <v>0</v>
      </c>
      <c r="Q57" s="21">
        <f t="shared" si="87"/>
        <v>0</v>
      </c>
      <c r="R57" s="23">
        <f t="shared" ref="R57:S57" si="201">IF(R42=0,0,R37/R42)</f>
        <v>0</v>
      </c>
      <c r="S57" s="22">
        <f t="shared" si="201"/>
        <v>0</v>
      </c>
      <c r="T57" s="21">
        <f t="shared" si="89"/>
        <v>0</v>
      </c>
      <c r="U57" s="23">
        <f t="shared" ref="U57:V57" si="202">IF(U42=0,0,U37/U42)</f>
        <v>0</v>
      </c>
      <c r="V57" s="22">
        <f t="shared" si="202"/>
        <v>0</v>
      </c>
      <c r="W57" s="21">
        <f t="shared" si="91"/>
        <v>0</v>
      </c>
      <c r="X57" s="23">
        <f t="shared" ref="X57:Y57" si="203">IF(X42=0,0,X37/X42)</f>
        <v>0</v>
      </c>
      <c r="Y57" s="22">
        <f t="shared" si="203"/>
        <v>0</v>
      </c>
      <c r="Z57" s="21">
        <f t="shared" si="93"/>
        <v>0</v>
      </c>
      <c r="AA57" s="23">
        <f t="shared" si="177"/>
        <v>0</v>
      </c>
      <c r="AB57" s="22">
        <f t="shared" si="177"/>
        <v>0</v>
      </c>
      <c r="AC57" s="21">
        <f t="shared" si="94"/>
        <v>0</v>
      </c>
      <c r="AD57" s="23">
        <f t="shared" ref="AD57:AE57" si="204">IF(AD42=0,0,AD37/AD42)</f>
        <v>0</v>
      </c>
      <c r="AE57" s="22">
        <f t="shared" si="204"/>
        <v>0</v>
      </c>
      <c r="AF57" s="21">
        <f t="shared" si="96"/>
        <v>0</v>
      </c>
      <c r="AG57" s="23">
        <f t="shared" ref="AG57:AH57" si="205">IF(AG42=0,0,AG37/AG42)</f>
        <v>0</v>
      </c>
      <c r="AH57" s="22">
        <f t="shared" si="205"/>
        <v>0</v>
      </c>
      <c r="AI57" s="21">
        <f t="shared" si="98"/>
        <v>0</v>
      </c>
      <c r="AJ57" s="23">
        <f t="shared" ref="AJ57:AK57" si="206">IF(AJ42=0,0,AJ37/AJ42)</f>
        <v>0</v>
      </c>
      <c r="AK57" s="22">
        <f t="shared" si="206"/>
        <v>0</v>
      </c>
      <c r="AL57" s="21">
        <f t="shared" si="100"/>
        <v>0</v>
      </c>
      <c r="AM57" s="23">
        <f t="shared" si="181"/>
        <v>0</v>
      </c>
      <c r="AN57" s="22">
        <f t="shared" si="181"/>
        <v>0</v>
      </c>
      <c r="AO57" s="21">
        <f t="shared" si="101"/>
        <v>0</v>
      </c>
      <c r="AP57" s="23">
        <f t="shared" ref="AP57:AQ57" si="207">IF(AP42=0,0,AP37/AP42)</f>
        <v>0</v>
      </c>
      <c r="AQ57" s="22">
        <f t="shared" si="207"/>
        <v>0</v>
      </c>
      <c r="AR57" s="21">
        <f t="shared" si="103"/>
        <v>0</v>
      </c>
      <c r="AS57" s="23">
        <f t="shared" ref="AS57:AT57" si="208">IF(AS42=0,0,AS37/AS42)</f>
        <v>0</v>
      </c>
      <c r="AT57" s="22">
        <f t="shared" si="208"/>
        <v>0</v>
      </c>
      <c r="AU57" s="21">
        <f t="shared" si="105"/>
        <v>0</v>
      </c>
      <c r="AV57" s="23">
        <f t="shared" ref="AV57:AW57" si="209">IF(AV42=0,0,AV37/AV42)</f>
        <v>0</v>
      </c>
      <c r="AW57" s="22">
        <f t="shared" si="209"/>
        <v>0</v>
      </c>
      <c r="AX57" s="21">
        <f t="shared" si="107"/>
        <v>0</v>
      </c>
      <c r="AY57" s="23">
        <f t="shared" si="185"/>
        <v>0</v>
      </c>
      <c r="AZ57" s="22">
        <f t="shared" si="185"/>
        <v>0</v>
      </c>
      <c r="BA57" s="21">
        <f t="shared" si="108"/>
        <v>0</v>
      </c>
      <c r="BB57" s="23">
        <f t="shared" si="186"/>
        <v>0</v>
      </c>
      <c r="BC57" s="22">
        <f t="shared" si="186"/>
        <v>0</v>
      </c>
      <c r="BD57" s="21">
        <f t="shared" si="109"/>
        <v>0</v>
      </c>
      <c r="BE57" s="175">
        <v>0</v>
      </c>
      <c r="BF57" s="19">
        <v>0</v>
      </c>
      <c r="BG57" s="23">
        <f t="shared" si="198"/>
        <v>0</v>
      </c>
    </row>
    <row r="58" spans="1:59" s="124" customFormat="1" ht="13.5" hidden="1" customHeight="1" outlineLevel="1" thickBot="1" x14ac:dyDescent="0.3">
      <c r="A58" s="82"/>
      <c r="B58" s="83" t="s">
        <v>31</v>
      </c>
      <c r="C58" s="117" t="s">
        <v>45</v>
      </c>
      <c r="D58" s="19">
        <v>0</v>
      </c>
      <c r="E58" s="19">
        <v>0</v>
      </c>
      <c r="F58" s="23">
        <v>0</v>
      </c>
      <c r="G58" s="22">
        <v>0</v>
      </c>
      <c r="H58" s="21">
        <f t="shared" si="82"/>
        <v>0</v>
      </c>
      <c r="I58" s="23">
        <f t="shared" ref="I58:J58" si="210">IF(I43=0,0,I38/I43)</f>
        <v>0</v>
      </c>
      <c r="J58" s="22">
        <f t="shared" si="210"/>
        <v>0</v>
      </c>
      <c r="K58" s="21">
        <f t="shared" si="84"/>
        <v>0</v>
      </c>
      <c r="L58" s="23">
        <f t="shared" ref="L58:M58" si="211">IF(L43=0,0,L38/L43)</f>
        <v>0</v>
      </c>
      <c r="M58" s="22">
        <f t="shared" si="211"/>
        <v>0</v>
      </c>
      <c r="N58" s="21">
        <f t="shared" si="86"/>
        <v>0</v>
      </c>
      <c r="O58" s="23">
        <f t="shared" si="173"/>
        <v>0</v>
      </c>
      <c r="P58" s="22">
        <f t="shared" si="173"/>
        <v>0</v>
      </c>
      <c r="Q58" s="21">
        <f t="shared" si="87"/>
        <v>0</v>
      </c>
      <c r="R58" s="23">
        <f t="shared" ref="R58:S58" si="212">IF(R43=0,0,R38/R43)</f>
        <v>0</v>
      </c>
      <c r="S58" s="22">
        <f t="shared" si="212"/>
        <v>0</v>
      </c>
      <c r="T58" s="21">
        <f t="shared" si="89"/>
        <v>0</v>
      </c>
      <c r="U58" s="23">
        <f t="shared" ref="U58:V58" si="213">IF(U43=0,0,U38/U43)</f>
        <v>0</v>
      </c>
      <c r="V58" s="22">
        <f t="shared" si="213"/>
        <v>0</v>
      </c>
      <c r="W58" s="21">
        <f t="shared" si="91"/>
        <v>0</v>
      </c>
      <c r="X58" s="23">
        <f t="shared" ref="X58:Y58" si="214">IF(X43=0,0,X38/X43)</f>
        <v>0</v>
      </c>
      <c r="Y58" s="22">
        <f t="shared" si="214"/>
        <v>0</v>
      </c>
      <c r="Z58" s="21">
        <f t="shared" si="93"/>
        <v>0</v>
      </c>
      <c r="AA58" s="23">
        <f t="shared" si="177"/>
        <v>0</v>
      </c>
      <c r="AB58" s="22">
        <f t="shared" si="177"/>
        <v>0</v>
      </c>
      <c r="AC58" s="21">
        <f t="shared" si="94"/>
        <v>0</v>
      </c>
      <c r="AD58" s="23">
        <f t="shared" ref="AD58:AE58" si="215">IF(AD43=0,0,AD38/AD43)</f>
        <v>0</v>
      </c>
      <c r="AE58" s="22">
        <f t="shared" si="215"/>
        <v>0</v>
      </c>
      <c r="AF58" s="21">
        <f t="shared" si="96"/>
        <v>0</v>
      </c>
      <c r="AG58" s="23">
        <f t="shared" ref="AG58:AH58" si="216">IF(AG43=0,0,AG38/AG43)</f>
        <v>0</v>
      </c>
      <c r="AH58" s="22">
        <f t="shared" si="216"/>
        <v>0</v>
      </c>
      <c r="AI58" s="21">
        <f t="shared" si="98"/>
        <v>0</v>
      </c>
      <c r="AJ58" s="23">
        <f t="shared" ref="AJ58:AK58" si="217">IF(AJ43=0,0,AJ38/AJ43)</f>
        <v>0</v>
      </c>
      <c r="AK58" s="22">
        <f t="shared" si="217"/>
        <v>0</v>
      </c>
      <c r="AL58" s="21">
        <f t="shared" si="100"/>
        <v>0</v>
      </c>
      <c r="AM58" s="23">
        <f t="shared" si="181"/>
        <v>0</v>
      </c>
      <c r="AN58" s="22">
        <f t="shared" si="181"/>
        <v>0</v>
      </c>
      <c r="AO58" s="21">
        <f t="shared" si="101"/>
        <v>0</v>
      </c>
      <c r="AP58" s="23">
        <f t="shared" ref="AP58:AQ58" si="218">IF(AP43=0,0,AP38/AP43)</f>
        <v>0</v>
      </c>
      <c r="AQ58" s="22">
        <f t="shared" si="218"/>
        <v>0</v>
      </c>
      <c r="AR58" s="21">
        <f t="shared" si="103"/>
        <v>0</v>
      </c>
      <c r="AS58" s="23">
        <f t="shared" ref="AS58:AT58" si="219">IF(AS43=0,0,AS38/AS43)</f>
        <v>0</v>
      </c>
      <c r="AT58" s="22">
        <f t="shared" si="219"/>
        <v>0</v>
      </c>
      <c r="AU58" s="21">
        <f t="shared" si="105"/>
        <v>0</v>
      </c>
      <c r="AV58" s="23">
        <f t="shared" ref="AV58:AW58" si="220">IF(AV43=0,0,AV38/AV43)</f>
        <v>0</v>
      </c>
      <c r="AW58" s="22">
        <f t="shared" si="220"/>
        <v>0</v>
      </c>
      <c r="AX58" s="21">
        <f t="shared" si="107"/>
        <v>0</v>
      </c>
      <c r="AY58" s="23">
        <f t="shared" si="185"/>
        <v>0</v>
      </c>
      <c r="AZ58" s="22">
        <f t="shared" si="185"/>
        <v>0</v>
      </c>
      <c r="BA58" s="21">
        <f t="shared" si="108"/>
        <v>0</v>
      </c>
      <c r="BB58" s="23">
        <f t="shared" si="186"/>
        <v>0</v>
      </c>
      <c r="BC58" s="22">
        <f t="shared" si="186"/>
        <v>0</v>
      </c>
      <c r="BD58" s="21">
        <f t="shared" si="109"/>
        <v>0</v>
      </c>
      <c r="BE58" s="175">
        <v>0</v>
      </c>
      <c r="BF58" s="1">
        <v>0</v>
      </c>
      <c r="BG58" s="23">
        <f t="shared" si="198"/>
        <v>0</v>
      </c>
    </row>
    <row r="59" spans="1:59" s="127" customFormat="1" ht="15" customHeight="1" collapsed="1" thickBot="1" x14ac:dyDescent="0.3">
      <c r="A59" s="51" t="s">
        <v>53</v>
      </c>
      <c r="B59" s="52" t="s">
        <v>54</v>
      </c>
      <c r="C59" s="116" t="s">
        <v>45</v>
      </c>
      <c r="D59" s="28">
        <f t="shared" ref="D59:G63" si="221">IF(D19=0,0,D54/D19)</f>
        <v>0</v>
      </c>
      <c r="E59" s="28">
        <f t="shared" si="221"/>
        <v>0</v>
      </c>
      <c r="F59" s="53">
        <f t="shared" si="221"/>
        <v>0</v>
      </c>
      <c r="G59" s="88">
        <f t="shared" si="221"/>
        <v>0</v>
      </c>
      <c r="H59" s="96">
        <f t="shared" si="82"/>
        <v>0</v>
      </c>
      <c r="I59" s="53">
        <f t="shared" ref="I59:J63" si="222">IF(I19=0,0,I54/I19)</f>
        <v>0</v>
      </c>
      <c r="J59" s="88">
        <f t="shared" si="222"/>
        <v>0</v>
      </c>
      <c r="K59" s="96">
        <f t="shared" si="84"/>
        <v>0</v>
      </c>
      <c r="L59" s="53">
        <f t="shared" ref="L59:M63" si="223">IF(L19=0,0,L54/L19)</f>
        <v>0</v>
      </c>
      <c r="M59" s="88">
        <f t="shared" si="223"/>
        <v>0</v>
      </c>
      <c r="N59" s="96">
        <f t="shared" si="86"/>
        <v>0</v>
      </c>
      <c r="O59" s="53">
        <f t="shared" ref="O59:P63" si="224">IF(O19=0,0,O54/O19)</f>
        <v>0</v>
      </c>
      <c r="P59" s="88">
        <f t="shared" si="224"/>
        <v>0</v>
      </c>
      <c r="Q59" s="96">
        <f t="shared" si="87"/>
        <v>0</v>
      </c>
      <c r="R59" s="53">
        <f t="shared" ref="R59:S63" si="225">IF(R19=0,0,R54/R19)</f>
        <v>0</v>
      </c>
      <c r="S59" s="88">
        <f t="shared" si="225"/>
        <v>0</v>
      </c>
      <c r="T59" s="96">
        <f t="shared" si="89"/>
        <v>0</v>
      </c>
      <c r="U59" s="53">
        <f t="shared" ref="U59:V63" si="226">IF(U19=0,0,U54/U19)</f>
        <v>0</v>
      </c>
      <c r="V59" s="88">
        <f t="shared" si="226"/>
        <v>0</v>
      </c>
      <c r="W59" s="96">
        <f t="shared" si="91"/>
        <v>0</v>
      </c>
      <c r="X59" s="53">
        <f t="shared" ref="X59:Y63" si="227">IF(X19=0,0,X54/X19)</f>
        <v>0</v>
      </c>
      <c r="Y59" s="88">
        <f t="shared" si="227"/>
        <v>0</v>
      </c>
      <c r="Z59" s="96">
        <f t="shared" si="93"/>
        <v>0</v>
      </c>
      <c r="AA59" s="53">
        <f t="shared" ref="AA59:AB63" si="228">IF(AA19=0,0,AA54/AA19)</f>
        <v>0</v>
      </c>
      <c r="AB59" s="88">
        <f t="shared" si="228"/>
        <v>0</v>
      </c>
      <c r="AC59" s="96">
        <f t="shared" si="94"/>
        <v>0</v>
      </c>
      <c r="AD59" s="53">
        <f t="shared" ref="AD59:AE63" si="229">IF(AD19=0,0,AD54/AD19)</f>
        <v>0</v>
      </c>
      <c r="AE59" s="88">
        <f t="shared" si="229"/>
        <v>0</v>
      </c>
      <c r="AF59" s="96">
        <f t="shared" si="96"/>
        <v>0</v>
      </c>
      <c r="AG59" s="53">
        <f t="shared" ref="AG59:AH63" si="230">IF(AG19=0,0,AG54/AG19)</f>
        <v>0</v>
      </c>
      <c r="AH59" s="88">
        <f t="shared" si="230"/>
        <v>0</v>
      </c>
      <c r="AI59" s="96">
        <f t="shared" si="98"/>
        <v>0</v>
      </c>
      <c r="AJ59" s="53">
        <f t="shared" ref="AJ59:AK63" si="231">IF(AJ19=0,0,AJ54/AJ19)</f>
        <v>0</v>
      </c>
      <c r="AK59" s="88">
        <f t="shared" si="231"/>
        <v>0</v>
      </c>
      <c r="AL59" s="96">
        <f t="shared" si="100"/>
        <v>0</v>
      </c>
      <c r="AM59" s="53">
        <f t="shared" ref="AM59:AN63" si="232">IF(AM19=0,0,AM54/AM19)</f>
        <v>0</v>
      </c>
      <c r="AN59" s="88">
        <f t="shared" si="232"/>
        <v>0</v>
      </c>
      <c r="AO59" s="96">
        <f t="shared" si="101"/>
        <v>0</v>
      </c>
      <c r="AP59" s="53">
        <f t="shared" ref="AP59:AQ63" si="233">IF(AP19=0,0,AP54/AP19)</f>
        <v>0</v>
      </c>
      <c r="AQ59" s="88">
        <f t="shared" si="233"/>
        <v>0</v>
      </c>
      <c r="AR59" s="96">
        <f t="shared" si="103"/>
        <v>0</v>
      </c>
      <c r="AS59" s="53">
        <f t="shared" ref="AS59:AT63" si="234">IF(AS19=0,0,AS54/AS19)</f>
        <v>0</v>
      </c>
      <c r="AT59" s="88">
        <f t="shared" si="234"/>
        <v>0</v>
      </c>
      <c r="AU59" s="96">
        <f t="shared" si="105"/>
        <v>0</v>
      </c>
      <c r="AV59" s="53">
        <f t="shared" ref="AV59:AW63" si="235">IF(AV19=0,0,AV54/AV19)</f>
        <v>0</v>
      </c>
      <c r="AW59" s="88">
        <f t="shared" si="235"/>
        <v>0</v>
      </c>
      <c r="AX59" s="96">
        <f t="shared" si="107"/>
        <v>0</v>
      </c>
      <c r="AY59" s="53">
        <f t="shared" ref="AY59:AZ63" si="236">IF(AY19=0,0,AY54/AY19)</f>
        <v>0</v>
      </c>
      <c r="AZ59" s="88">
        <f t="shared" si="236"/>
        <v>0</v>
      </c>
      <c r="BA59" s="96">
        <f t="shared" si="108"/>
        <v>0</v>
      </c>
      <c r="BB59" s="53">
        <f t="shared" ref="BB59:BC63" si="237">IF(BB19=0,0,BB54/BB19)</f>
        <v>0</v>
      </c>
      <c r="BC59" s="88">
        <f t="shared" si="237"/>
        <v>0</v>
      </c>
      <c r="BD59" s="96">
        <f t="shared" si="109"/>
        <v>0</v>
      </c>
      <c r="BE59" s="53">
        <f>IF(BE19=0,0,BE54/BE19)</f>
        <v>0</v>
      </c>
      <c r="BF59" s="53">
        <f>IF(BF19=0,0,BF54/BF19)</f>
        <v>0</v>
      </c>
      <c r="BG59" s="53">
        <f>IF(BG19=0,0,BG54/BG19)</f>
        <v>0</v>
      </c>
    </row>
    <row r="60" spans="1:59" s="127" customFormat="1" ht="13.5" hidden="1" outlineLevel="1" x14ac:dyDescent="0.25">
      <c r="A60" s="27"/>
      <c r="B60" s="83" t="s">
        <v>28</v>
      </c>
      <c r="C60" s="117" t="s">
        <v>45</v>
      </c>
      <c r="D60" s="19">
        <f t="shared" si="221"/>
        <v>0</v>
      </c>
      <c r="E60" s="19">
        <f t="shared" si="221"/>
        <v>0</v>
      </c>
      <c r="F60" s="23">
        <f t="shared" si="221"/>
        <v>0</v>
      </c>
      <c r="G60" s="22">
        <f t="shared" si="221"/>
        <v>0</v>
      </c>
      <c r="H60" s="21">
        <f t="shared" si="82"/>
        <v>0</v>
      </c>
      <c r="I60" s="23">
        <f t="shared" si="222"/>
        <v>0</v>
      </c>
      <c r="J60" s="22">
        <f t="shared" si="222"/>
        <v>0</v>
      </c>
      <c r="K60" s="21">
        <f t="shared" si="84"/>
        <v>0</v>
      </c>
      <c r="L60" s="23">
        <f t="shared" si="223"/>
        <v>0</v>
      </c>
      <c r="M60" s="22">
        <f t="shared" si="223"/>
        <v>0</v>
      </c>
      <c r="N60" s="21">
        <f t="shared" si="86"/>
        <v>0</v>
      </c>
      <c r="O60" s="23">
        <f t="shared" si="224"/>
        <v>0</v>
      </c>
      <c r="P60" s="22">
        <f t="shared" si="224"/>
        <v>0</v>
      </c>
      <c r="Q60" s="21">
        <f t="shared" si="87"/>
        <v>0</v>
      </c>
      <c r="R60" s="23">
        <f t="shared" si="225"/>
        <v>0</v>
      </c>
      <c r="S60" s="22">
        <f t="shared" si="225"/>
        <v>0</v>
      </c>
      <c r="T60" s="21">
        <f t="shared" si="89"/>
        <v>0</v>
      </c>
      <c r="U60" s="23">
        <f t="shared" si="226"/>
        <v>0</v>
      </c>
      <c r="V60" s="22">
        <f t="shared" si="226"/>
        <v>0</v>
      </c>
      <c r="W60" s="21">
        <f t="shared" si="91"/>
        <v>0</v>
      </c>
      <c r="X60" s="23">
        <f t="shared" si="227"/>
        <v>0</v>
      </c>
      <c r="Y60" s="22">
        <f t="shared" si="227"/>
        <v>0</v>
      </c>
      <c r="Z60" s="21">
        <f t="shared" si="93"/>
        <v>0</v>
      </c>
      <c r="AA60" s="23">
        <f t="shared" si="228"/>
        <v>0</v>
      </c>
      <c r="AB60" s="22">
        <f t="shared" si="228"/>
        <v>0</v>
      </c>
      <c r="AC60" s="21">
        <f t="shared" si="94"/>
        <v>0</v>
      </c>
      <c r="AD60" s="23">
        <f t="shared" si="229"/>
        <v>0</v>
      </c>
      <c r="AE60" s="22">
        <f t="shared" si="229"/>
        <v>0</v>
      </c>
      <c r="AF60" s="21">
        <f t="shared" si="96"/>
        <v>0</v>
      </c>
      <c r="AG60" s="23">
        <f t="shared" si="230"/>
        <v>0</v>
      </c>
      <c r="AH60" s="22">
        <f t="shared" si="230"/>
        <v>0</v>
      </c>
      <c r="AI60" s="21">
        <f t="shared" si="98"/>
        <v>0</v>
      </c>
      <c r="AJ60" s="23">
        <f t="shared" si="231"/>
        <v>0</v>
      </c>
      <c r="AK60" s="22">
        <f t="shared" si="231"/>
        <v>0</v>
      </c>
      <c r="AL60" s="21">
        <f t="shared" si="100"/>
        <v>0</v>
      </c>
      <c r="AM60" s="23">
        <f t="shared" si="232"/>
        <v>0</v>
      </c>
      <c r="AN60" s="22">
        <f t="shared" si="232"/>
        <v>0</v>
      </c>
      <c r="AO60" s="21">
        <f t="shared" si="101"/>
        <v>0</v>
      </c>
      <c r="AP60" s="23">
        <f t="shared" si="233"/>
        <v>0</v>
      </c>
      <c r="AQ60" s="22">
        <f t="shared" si="233"/>
        <v>0</v>
      </c>
      <c r="AR60" s="21">
        <f t="shared" si="103"/>
        <v>0</v>
      </c>
      <c r="AS60" s="23">
        <f t="shared" si="234"/>
        <v>0</v>
      </c>
      <c r="AT60" s="22">
        <f t="shared" si="234"/>
        <v>0</v>
      </c>
      <c r="AU60" s="21">
        <f t="shared" si="105"/>
        <v>0</v>
      </c>
      <c r="AV60" s="23">
        <f t="shared" si="235"/>
        <v>0</v>
      </c>
      <c r="AW60" s="22">
        <f t="shared" si="235"/>
        <v>0</v>
      </c>
      <c r="AX60" s="21">
        <f t="shared" si="107"/>
        <v>0</v>
      </c>
      <c r="AY60" s="23">
        <f t="shared" si="236"/>
        <v>0</v>
      </c>
      <c r="AZ60" s="22">
        <f t="shared" si="236"/>
        <v>0</v>
      </c>
      <c r="BA60" s="21">
        <f t="shared" si="108"/>
        <v>0</v>
      </c>
      <c r="BB60" s="23">
        <f t="shared" si="237"/>
        <v>0</v>
      </c>
      <c r="BC60" s="22">
        <f t="shared" si="237"/>
        <v>0</v>
      </c>
      <c r="BD60" s="21">
        <f t="shared" si="109"/>
        <v>0</v>
      </c>
      <c r="BE60" s="23">
        <f t="shared" ref="BE60:BF63" si="238">IF(BE20=0,0,BE55/BE20)</f>
        <v>0</v>
      </c>
      <c r="BF60" s="23">
        <f t="shared" si="238"/>
        <v>0</v>
      </c>
      <c r="BG60" s="23">
        <f>BB60+BE60+BF60</f>
        <v>0</v>
      </c>
    </row>
    <row r="61" spans="1:59" ht="13.5" hidden="1" customHeight="1" outlineLevel="1" x14ac:dyDescent="0.25">
      <c r="A61" s="82"/>
      <c r="B61" s="83" t="s">
        <v>29</v>
      </c>
      <c r="C61" s="117" t="s">
        <v>45</v>
      </c>
      <c r="D61" s="19">
        <f t="shared" si="221"/>
        <v>0</v>
      </c>
      <c r="E61" s="19">
        <f t="shared" si="221"/>
        <v>0</v>
      </c>
      <c r="F61" s="23">
        <f t="shared" si="221"/>
        <v>0</v>
      </c>
      <c r="G61" s="22">
        <f t="shared" si="221"/>
        <v>0</v>
      </c>
      <c r="H61" s="21">
        <f t="shared" si="82"/>
        <v>0</v>
      </c>
      <c r="I61" s="23">
        <f t="shared" si="222"/>
        <v>0</v>
      </c>
      <c r="J61" s="22">
        <f t="shared" si="222"/>
        <v>0</v>
      </c>
      <c r="K61" s="21">
        <f t="shared" si="84"/>
        <v>0</v>
      </c>
      <c r="L61" s="23">
        <f t="shared" si="223"/>
        <v>0</v>
      </c>
      <c r="M61" s="22">
        <f t="shared" si="223"/>
        <v>0</v>
      </c>
      <c r="N61" s="21">
        <f t="shared" si="86"/>
        <v>0</v>
      </c>
      <c r="O61" s="23">
        <f t="shared" si="224"/>
        <v>0</v>
      </c>
      <c r="P61" s="22">
        <f t="shared" si="224"/>
        <v>0</v>
      </c>
      <c r="Q61" s="21">
        <f t="shared" si="87"/>
        <v>0</v>
      </c>
      <c r="R61" s="23">
        <f t="shared" si="225"/>
        <v>0</v>
      </c>
      <c r="S61" s="22">
        <f t="shared" si="225"/>
        <v>0</v>
      </c>
      <c r="T61" s="21">
        <f t="shared" si="89"/>
        <v>0</v>
      </c>
      <c r="U61" s="23">
        <f t="shared" si="226"/>
        <v>0</v>
      </c>
      <c r="V61" s="22">
        <f t="shared" si="226"/>
        <v>0</v>
      </c>
      <c r="W61" s="21">
        <f t="shared" si="91"/>
        <v>0</v>
      </c>
      <c r="X61" s="23">
        <f t="shared" si="227"/>
        <v>0</v>
      </c>
      <c r="Y61" s="22">
        <f t="shared" si="227"/>
        <v>0</v>
      </c>
      <c r="Z61" s="21">
        <f t="shared" si="93"/>
        <v>0</v>
      </c>
      <c r="AA61" s="23">
        <f t="shared" si="228"/>
        <v>0</v>
      </c>
      <c r="AB61" s="22">
        <f t="shared" si="228"/>
        <v>0</v>
      </c>
      <c r="AC61" s="21">
        <f t="shared" si="94"/>
        <v>0</v>
      </c>
      <c r="AD61" s="23">
        <f t="shared" si="229"/>
        <v>0</v>
      </c>
      <c r="AE61" s="22">
        <f t="shared" si="229"/>
        <v>0</v>
      </c>
      <c r="AF61" s="21">
        <f t="shared" si="96"/>
        <v>0</v>
      </c>
      <c r="AG61" s="23">
        <f t="shared" si="230"/>
        <v>0</v>
      </c>
      <c r="AH61" s="22">
        <f t="shared" si="230"/>
        <v>0</v>
      </c>
      <c r="AI61" s="21">
        <f t="shared" si="98"/>
        <v>0</v>
      </c>
      <c r="AJ61" s="23">
        <f t="shared" si="231"/>
        <v>0</v>
      </c>
      <c r="AK61" s="22">
        <f t="shared" si="231"/>
        <v>0</v>
      </c>
      <c r="AL61" s="21">
        <f t="shared" si="100"/>
        <v>0</v>
      </c>
      <c r="AM61" s="23">
        <f t="shared" si="232"/>
        <v>0</v>
      </c>
      <c r="AN61" s="22">
        <f t="shared" si="232"/>
        <v>0</v>
      </c>
      <c r="AO61" s="21">
        <f t="shared" si="101"/>
        <v>0</v>
      </c>
      <c r="AP61" s="23">
        <f t="shared" si="233"/>
        <v>0</v>
      </c>
      <c r="AQ61" s="22">
        <f t="shared" si="233"/>
        <v>0</v>
      </c>
      <c r="AR61" s="21">
        <f t="shared" si="103"/>
        <v>0</v>
      </c>
      <c r="AS61" s="23">
        <f t="shared" si="234"/>
        <v>0</v>
      </c>
      <c r="AT61" s="22">
        <f t="shared" si="234"/>
        <v>0</v>
      </c>
      <c r="AU61" s="21">
        <f t="shared" si="105"/>
        <v>0</v>
      </c>
      <c r="AV61" s="23">
        <f t="shared" si="235"/>
        <v>0</v>
      </c>
      <c r="AW61" s="22">
        <f t="shared" si="235"/>
        <v>0</v>
      </c>
      <c r="AX61" s="21">
        <f t="shared" si="107"/>
        <v>0</v>
      </c>
      <c r="AY61" s="23">
        <f t="shared" si="236"/>
        <v>0</v>
      </c>
      <c r="AZ61" s="22">
        <f t="shared" si="236"/>
        <v>0</v>
      </c>
      <c r="BA61" s="21">
        <f t="shared" si="108"/>
        <v>0</v>
      </c>
      <c r="BB61" s="23">
        <f t="shared" si="237"/>
        <v>0</v>
      </c>
      <c r="BC61" s="22">
        <f t="shared" si="237"/>
        <v>0</v>
      </c>
      <c r="BD61" s="21">
        <f t="shared" si="109"/>
        <v>0</v>
      </c>
      <c r="BE61" s="23">
        <f t="shared" si="238"/>
        <v>0</v>
      </c>
      <c r="BF61" s="23">
        <f t="shared" si="238"/>
        <v>0</v>
      </c>
      <c r="BG61" s="23">
        <f t="shared" ref="BG61:BG63" si="239">BB61+BE61+BF61</f>
        <v>0</v>
      </c>
    </row>
    <row r="62" spans="1:59" ht="13.5" hidden="1" customHeight="1" outlineLevel="1" x14ac:dyDescent="0.25">
      <c r="A62" s="82"/>
      <c r="B62" s="83" t="s">
        <v>30</v>
      </c>
      <c r="C62" s="117" t="s">
        <v>45</v>
      </c>
      <c r="D62" s="19">
        <f t="shared" si="221"/>
        <v>0</v>
      </c>
      <c r="E62" s="19">
        <f t="shared" si="221"/>
        <v>0</v>
      </c>
      <c r="F62" s="23">
        <f t="shared" si="221"/>
        <v>0</v>
      </c>
      <c r="G62" s="22">
        <f t="shared" si="221"/>
        <v>0</v>
      </c>
      <c r="H62" s="21">
        <f t="shared" si="82"/>
        <v>0</v>
      </c>
      <c r="I62" s="23">
        <f t="shared" si="222"/>
        <v>0</v>
      </c>
      <c r="J62" s="22">
        <f t="shared" si="222"/>
        <v>0</v>
      </c>
      <c r="K62" s="21">
        <f t="shared" si="84"/>
        <v>0</v>
      </c>
      <c r="L62" s="23">
        <f t="shared" si="223"/>
        <v>0</v>
      </c>
      <c r="M62" s="22">
        <f t="shared" si="223"/>
        <v>0</v>
      </c>
      <c r="N62" s="21">
        <f t="shared" si="86"/>
        <v>0</v>
      </c>
      <c r="O62" s="23">
        <f t="shared" si="224"/>
        <v>0</v>
      </c>
      <c r="P62" s="22">
        <f t="shared" si="224"/>
        <v>0</v>
      </c>
      <c r="Q62" s="21">
        <f t="shared" si="87"/>
        <v>0</v>
      </c>
      <c r="R62" s="23">
        <f t="shared" si="225"/>
        <v>0</v>
      </c>
      <c r="S62" s="22">
        <f t="shared" si="225"/>
        <v>0</v>
      </c>
      <c r="T62" s="21">
        <f t="shared" si="89"/>
        <v>0</v>
      </c>
      <c r="U62" s="23">
        <f t="shared" si="226"/>
        <v>0</v>
      </c>
      <c r="V62" s="22">
        <f t="shared" si="226"/>
        <v>0</v>
      </c>
      <c r="W62" s="21">
        <f t="shared" si="91"/>
        <v>0</v>
      </c>
      <c r="X62" s="23">
        <f t="shared" si="227"/>
        <v>0</v>
      </c>
      <c r="Y62" s="22">
        <f t="shared" si="227"/>
        <v>0</v>
      </c>
      <c r="Z62" s="21">
        <f t="shared" si="93"/>
        <v>0</v>
      </c>
      <c r="AA62" s="23">
        <f t="shared" si="228"/>
        <v>0</v>
      </c>
      <c r="AB62" s="22">
        <f t="shared" si="228"/>
        <v>0</v>
      </c>
      <c r="AC62" s="21">
        <f t="shared" si="94"/>
        <v>0</v>
      </c>
      <c r="AD62" s="23">
        <f t="shared" si="229"/>
        <v>0</v>
      </c>
      <c r="AE62" s="22">
        <f t="shared" si="229"/>
        <v>0</v>
      </c>
      <c r="AF62" s="21">
        <f t="shared" si="96"/>
        <v>0</v>
      </c>
      <c r="AG62" s="23">
        <f t="shared" si="230"/>
        <v>0</v>
      </c>
      <c r="AH62" s="22">
        <f t="shared" si="230"/>
        <v>0</v>
      </c>
      <c r="AI62" s="21">
        <f t="shared" si="98"/>
        <v>0</v>
      </c>
      <c r="AJ62" s="23">
        <f t="shared" si="231"/>
        <v>0</v>
      </c>
      <c r="AK62" s="22">
        <f t="shared" si="231"/>
        <v>0</v>
      </c>
      <c r="AL62" s="21">
        <f t="shared" si="100"/>
        <v>0</v>
      </c>
      <c r="AM62" s="23">
        <f t="shared" si="232"/>
        <v>0</v>
      </c>
      <c r="AN62" s="22">
        <f t="shared" si="232"/>
        <v>0</v>
      </c>
      <c r="AO62" s="21">
        <f t="shared" si="101"/>
        <v>0</v>
      </c>
      <c r="AP62" s="23">
        <f t="shared" si="233"/>
        <v>0</v>
      </c>
      <c r="AQ62" s="22">
        <f t="shared" si="233"/>
        <v>0</v>
      </c>
      <c r="AR62" s="21">
        <f t="shared" si="103"/>
        <v>0</v>
      </c>
      <c r="AS62" s="23">
        <f t="shared" si="234"/>
        <v>0</v>
      </c>
      <c r="AT62" s="22">
        <f t="shared" si="234"/>
        <v>0</v>
      </c>
      <c r="AU62" s="21">
        <f t="shared" si="105"/>
        <v>0</v>
      </c>
      <c r="AV62" s="23">
        <f t="shared" si="235"/>
        <v>0</v>
      </c>
      <c r="AW62" s="22">
        <f t="shared" si="235"/>
        <v>0</v>
      </c>
      <c r="AX62" s="21">
        <f t="shared" si="107"/>
        <v>0</v>
      </c>
      <c r="AY62" s="23">
        <f t="shared" si="236"/>
        <v>0</v>
      </c>
      <c r="AZ62" s="22">
        <f t="shared" si="236"/>
        <v>0</v>
      </c>
      <c r="BA62" s="21">
        <f t="shared" si="108"/>
        <v>0</v>
      </c>
      <c r="BB62" s="23">
        <f t="shared" si="237"/>
        <v>0</v>
      </c>
      <c r="BC62" s="22">
        <f t="shared" si="237"/>
        <v>0</v>
      </c>
      <c r="BD62" s="21">
        <f t="shared" si="109"/>
        <v>0</v>
      </c>
      <c r="BE62" s="23">
        <f t="shared" si="238"/>
        <v>0</v>
      </c>
      <c r="BF62" s="23">
        <f t="shared" si="238"/>
        <v>0</v>
      </c>
      <c r="BG62" s="23">
        <f t="shared" si="239"/>
        <v>0</v>
      </c>
    </row>
    <row r="63" spans="1:59" ht="13.5" hidden="1" customHeight="1" outlineLevel="1" thickBot="1" x14ac:dyDescent="0.3">
      <c r="A63" s="82"/>
      <c r="B63" s="83" t="s">
        <v>31</v>
      </c>
      <c r="C63" s="117" t="s">
        <v>45</v>
      </c>
      <c r="D63" s="19">
        <f t="shared" si="221"/>
        <v>0</v>
      </c>
      <c r="E63" s="19">
        <f t="shared" si="221"/>
        <v>0</v>
      </c>
      <c r="F63" s="23">
        <f t="shared" si="221"/>
        <v>0</v>
      </c>
      <c r="G63" s="22">
        <f t="shared" si="221"/>
        <v>0</v>
      </c>
      <c r="H63" s="21">
        <f t="shared" si="82"/>
        <v>0</v>
      </c>
      <c r="I63" s="23">
        <f t="shared" si="222"/>
        <v>0</v>
      </c>
      <c r="J63" s="22">
        <f t="shared" si="222"/>
        <v>0</v>
      </c>
      <c r="K63" s="21">
        <f t="shared" si="84"/>
        <v>0</v>
      </c>
      <c r="L63" s="23">
        <f t="shared" si="223"/>
        <v>0</v>
      </c>
      <c r="M63" s="22">
        <f t="shared" si="223"/>
        <v>0</v>
      </c>
      <c r="N63" s="21">
        <f t="shared" si="86"/>
        <v>0</v>
      </c>
      <c r="O63" s="23">
        <f t="shared" si="224"/>
        <v>0</v>
      </c>
      <c r="P63" s="22">
        <f t="shared" si="224"/>
        <v>0</v>
      </c>
      <c r="Q63" s="21">
        <f t="shared" si="87"/>
        <v>0</v>
      </c>
      <c r="R63" s="23">
        <f t="shared" si="225"/>
        <v>0</v>
      </c>
      <c r="S63" s="22">
        <f t="shared" si="225"/>
        <v>0</v>
      </c>
      <c r="T63" s="21">
        <f t="shared" si="89"/>
        <v>0</v>
      </c>
      <c r="U63" s="23">
        <f t="shared" si="226"/>
        <v>0</v>
      </c>
      <c r="V63" s="22">
        <f t="shared" si="226"/>
        <v>0</v>
      </c>
      <c r="W63" s="21">
        <f t="shared" si="91"/>
        <v>0</v>
      </c>
      <c r="X63" s="23">
        <f t="shared" si="227"/>
        <v>0</v>
      </c>
      <c r="Y63" s="22">
        <f t="shared" si="227"/>
        <v>0</v>
      </c>
      <c r="Z63" s="21">
        <f t="shared" si="93"/>
        <v>0</v>
      </c>
      <c r="AA63" s="23">
        <f t="shared" si="228"/>
        <v>0</v>
      </c>
      <c r="AB63" s="22">
        <f t="shared" si="228"/>
        <v>0</v>
      </c>
      <c r="AC63" s="21">
        <f t="shared" si="94"/>
        <v>0</v>
      </c>
      <c r="AD63" s="23">
        <f t="shared" si="229"/>
        <v>0</v>
      </c>
      <c r="AE63" s="22">
        <f t="shared" si="229"/>
        <v>0</v>
      </c>
      <c r="AF63" s="21">
        <f t="shared" si="96"/>
        <v>0</v>
      </c>
      <c r="AG63" s="23">
        <f t="shared" si="230"/>
        <v>0</v>
      </c>
      <c r="AH63" s="22">
        <f t="shared" si="230"/>
        <v>0</v>
      </c>
      <c r="AI63" s="21">
        <f t="shared" si="98"/>
        <v>0</v>
      </c>
      <c r="AJ63" s="23">
        <f t="shared" si="231"/>
        <v>0</v>
      </c>
      <c r="AK63" s="22">
        <f t="shared" si="231"/>
        <v>0</v>
      </c>
      <c r="AL63" s="21">
        <f t="shared" si="100"/>
        <v>0</v>
      </c>
      <c r="AM63" s="23">
        <f t="shared" si="232"/>
        <v>0</v>
      </c>
      <c r="AN63" s="22">
        <f t="shared" si="232"/>
        <v>0</v>
      </c>
      <c r="AO63" s="21">
        <f t="shared" si="101"/>
        <v>0</v>
      </c>
      <c r="AP63" s="23">
        <f t="shared" si="233"/>
        <v>0</v>
      </c>
      <c r="AQ63" s="22">
        <f t="shared" si="233"/>
        <v>0</v>
      </c>
      <c r="AR63" s="21">
        <f t="shared" si="103"/>
        <v>0</v>
      </c>
      <c r="AS63" s="23">
        <f t="shared" si="234"/>
        <v>0</v>
      </c>
      <c r="AT63" s="22">
        <f t="shared" si="234"/>
        <v>0</v>
      </c>
      <c r="AU63" s="21">
        <f t="shared" si="105"/>
        <v>0</v>
      </c>
      <c r="AV63" s="23">
        <f t="shared" si="235"/>
        <v>0</v>
      </c>
      <c r="AW63" s="22">
        <f t="shared" si="235"/>
        <v>0</v>
      </c>
      <c r="AX63" s="21">
        <f t="shared" si="107"/>
        <v>0</v>
      </c>
      <c r="AY63" s="23">
        <f t="shared" si="236"/>
        <v>0</v>
      </c>
      <c r="AZ63" s="22">
        <f t="shared" si="236"/>
        <v>0</v>
      </c>
      <c r="BA63" s="21">
        <f t="shared" si="108"/>
        <v>0</v>
      </c>
      <c r="BB63" s="23">
        <f t="shared" si="237"/>
        <v>0</v>
      </c>
      <c r="BC63" s="22">
        <f t="shared" si="237"/>
        <v>0</v>
      </c>
      <c r="BD63" s="21">
        <f t="shared" si="109"/>
        <v>0</v>
      </c>
      <c r="BE63" s="23">
        <f t="shared" si="238"/>
        <v>0</v>
      </c>
      <c r="BF63" s="23">
        <f t="shared" si="238"/>
        <v>0</v>
      </c>
      <c r="BG63" s="23">
        <f t="shared" si="239"/>
        <v>0</v>
      </c>
    </row>
    <row r="64" spans="1:59" s="127" customFormat="1" ht="12" customHeight="1" collapsed="1" thickBot="1" x14ac:dyDescent="0.3">
      <c r="A64" s="51" t="s">
        <v>55</v>
      </c>
      <c r="B64" s="52" t="s">
        <v>56</v>
      </c>
      <c r="C64" s="116" t="s">
        <v>57</v>
      </c>
      <c r="D64" s="28">
        <f>SUM(D65:D69)</f>
        <v>0</v>
      </c>
      <c r="E64" s="28">
        <f>SUM(E65:E69)</f>
        <v>0</v>
      </c>
      <c r="F64" s="53">
        <f>SUM(F65:F69)</f>
        <v>0</v>
      </c>
      <c r="G64" s="88">
        <f>SUM(G65:G69)</f>
        <v>0</v>
      </c>
      <c r="H64" s="96">
        <f t="shared" si="82"/>
        <v>0</v>
      </c>
      <c r="I64" s="53">
        <f>SUM(I65:I69)</f>
        <v>0</v>
      </c>
      <c r="J64" s="88">
        <f>SUM(J65:J69)</f>
        <v>0</v>
      </c>
      <c r="K64" s="96">
        <f t="shared" si="84"/>
        <v>0</v>
      </c>
      <c r="L64" s="53">
        <f>SUM(L65:L69)</f>
        <v>0</v>
      </c>
      <c r="M64" s="88">
        <f>SUM(M65:M69)</f>
        <v>0</v>
      </c>
      <c r="N64" s="96">
        <f t="shared" si="86"/>
        <v>0</v>
      </c>
      <c r="O64" s="53">
        <f>SUM(O65:O69)</f>
        <v>0</v>
      </c>
      <c r="P64" s="88">
        <f>SUM(P65:P69)</f>
        <v>0</v>
      </c>
      <c r="Q64" s="96">
        <f t="shared" si="87"/>
        <v>0</v>
      </c>
      <c r="R64" s="53">
        <f>SUM(R65:R69)</f>
        <v>0</v>
      </c>
      <c r="S64" s="88">
        <f>SUM(S65:S69)</f>
        <v>0</v>
      </c>
      <c r="T64" s="96">
        <f t="shared" si="89"/>
        <v>0</v>
      </c>
      <c r="U64" s="53">
        <f>SUM(U65:U69)</f>
        <v>0</v>
      </c>
      <c r="V64" s="88">
        <f>SUM(V65:V69)</f>
        <v>0</v>
      </c>
      <c r="W64" s="96">
        <f t="shared" si="91"/>
        <v>0</v>
      </c>
      <c r="X64" s="53">
        <f>SUM(X65:X69)</f>
        <v>0</v>
      </c>
      <c r="Y64" s="88">
        <f>SUM(Y65:Y69)</f>
        <v>0</v>
      </c>
      <c r="Z64" s="96">
        <f t="shared" si="93"/>
        <v>0</v>
      </c>
      <c r="AA64" s="53">
        <f>SUM(AA65:AA69)</f>
        <v>0</v>
      </c>
      <c r="AB64" s="88">
        <f>SUM(AB65:AB69)</f>
        <v>0</v>
      </c>
      <c r="AC64" s="96">
        <f t="shared" si="94"/>
        <v>0</v>
      </c>
      <c r="AD64" s="53">
        <f>SUM(AD65:AD69)</f>
        <v>0</v>
      </c>
      <c r="AE64" s="88">
        <f>SUM(AE65:AE69)</f>
        <v>0</v>
      </c>
      <c r="AF64" s="96">
        <f t="shared" si="96"/>
        <v>0</v>
      </c>
      <c r="AG64" s="53">
        <f>SUM(AG65:AG69)</f>
        <v>0</v>
      </c>
      <c r="AH64" s="88">
        <f>SUM(AH65:AH69)</f>
        <v>0</v>
      </c>
      <c r="AI64" s="96">
        <f t="shared" si="98"/>
        <v>0</v>
      </c>
      <c r="AJ64" s="53">
        <f>SUM(AJ65:AJ69)</f>
        <v>0</v>
      </c>
      <c r="AK64" s="88">
        <f>SUM(AK65:AK69)</f>
        <v>0</v>
      </c>
      <c r="AL64" s="96">
        <f t="shared" si="100"/>
        <v>0</v>
      </c>
      <c r="AM64" s="53">
        <f>SUM(AM65:AM69)</f>
        <v>0</v>
      </c>
      <c r="AN64" s="88">
        <f>SUM(AN65:AN69)</f>
        <v>0</v>
      </c>
      <c r="AO64" s="96">
        <f t="shared" si="101"/>
        <v>0</v>
      </c>
      <c r="AP64" s="53">
        <f>SUM(AP65:AP69)</f>
        <v>0</v>
      </c>
      <c r="AQ64" s="88">
        <f>SUM(AQ65:AQ69)</f>
        <v>0</v>
      </c>
      <c r="AR64" s="96">
        <f t="shared" si="103"/>
        <v>0</v>
      </c>
      <c r="AS64" s="53">
        <f>SUM(AS65:AS69)</f>
        <v>0</v>
      </c>
      <c r="AT64" s="88">
        <f>SUM(AT65:AT69)</f>
        <v>0</v>
      </c>
      <c r="AU64" s="96">
        <f t="shared" si="105"/>
        <v>0</v>
      </c>
      <c r="AV64" s="53">
        <f>SUM(AV65:AV69)</f>
        <v>0</v>
      </c>
      <c r="AW64" s="88">
        <f>SUM(AW65:AW69)</f>
        <v>0</v>
      </c>
      <c r="AX64" s="96">
        <f t="shared" si="107"/>
        <v>0</v>
      </c>
      <c r="AY64" s="53">
        <f>SUM(AY65:AY69)</f>
        <v>0</v>
      </c>
      <c r="AZ64" s="88">
        <f>SUM(AZ65:AZ69)</f>
        <v>0</v>
      </c>
      <c r="BA64" s="96">
        <f t="shared" si="108"/>
        <v>0</v>
      </c>
      <c r="BB64" s="53">
        <f>SUM(BB65:BB69)</f>
        <v>0</v>
      </c>
      <c r="BC64" s="88">
        <f>SUM(BC65:BC69)</f>
        <v>0</v>
      </c>
      <c r="BD64" s="96">
        <f t="shared" si="109"/>
        <v>0</v>
      </c>
      <c r="BE64" s="53">
        <f>SUM(BE65:BE69)</f>
        <v>0</v>
      </c>
      <c r="BF64" s="53">
        <f>SUM(BF65:BF69)</f>
        <v>0</v>
      </c>
      <c r="BG64" s="53">
        <f>SUM(BG65:BG69)</f>
        <v>0</v>
      </c>
    </row>
    <row r="65" spans="1:59" s="127" customFormat="1" ht="15" hidden="1" customHeight="1" outlineLevel="1" x14ac:dyDescent="0.25">
      <c r="A65" s="27"/>
      <c r="B65" s="26" t="s">
        <v>58</v>
      </c>
      <c r="C65" s="25" t="s">
        <v>57</v>
      </c>
      <c r="D65" s="19">
        <v>0</v>
      </c>
      <c r="E65" s="19">
        <v>0</v>
      </c>
      <c r="F65" s="23">
        <v>0</v>
      </c>
      <c r="G65" s="22">
        <v>0</v>
      </c>
      <c r="H65" s="98">
        <f t="shared" si="82"/>
        <v>0</v>
      </c>
      <c r="I65" s="23">
        <f t="shared" ref="I65:J65" si="240">IF(I50=0,0,I45/I50)</f>
        <v>0</v>
      </c>
      <c r="J65" s="22">
        <f t="shared" si="240"/>
        <v>0</v>
      </c>
      <c r="K65" s="98">
        <f t="shared" si="84"/>
        <v>0</v>
      </c>
      <c r="L65" s="23">
        <f t="shared" ref="L65:M65" si="241">IF(L50=0,0,L45/L50)</f>
        <v>0</v>
      </c>
      <c r="M65" s="22">
        <f t="shared" si="241"/>
        <v>0</v>
      </c>
      <c r="N65" s="98">
        <f t="shared" si="86"/>
        <v>0</v>
      </c>
      <c r="O65" s="75">
        <f t="shared" ref="O65:P69" si="242">SUM(F65,I65,L65)</f>
        <v>0</v>
      </c>
      <c r="P65" s="90">
        <f t="shared" si="242"/>
        <v>0</v>
      </c>
      <c r="Q65" s="98">
        <f t="shared" si="87"/>
        <v>0</v>
      </c>
      <c r="R65" s="23">
        <f t="shared" ref="R65:S65" si="243">IF(R50=0,0,R45/R50)</f>
        <v>0</v>
      </c>
      <c r="S65" s="22">
        <f t="shared" si="243"/>
        <v>0</v>
      </c>
      <c r="T65" s="98">
        <f t="shared" si="89"/>
        <v>0</v>
      </c>
      <c r="U65" s="23">
        <f t="shared" ref="U65:V65" si="244">IF(U50=0,0,U45/U50)</f>
        <v>0</v>
      </c>
      <c r="V65" s="22">
        <f t="shared" si="244"/>
        <v>0</v>
      </c>
      <c r="W65" s="98">
        <f t="shared" si="91"/>
        <v>0</v>
      </c>
      <c r="X65" s="23">
        <f t="shared" ref="X65:Y65" si="245">IF(X50=0,0,X45/X50)</f>
        <v>0</v>
      </c>
      <c r="Y65" s="22">
        <f t="shared" si="245"/>
        <v>0</v>
      </c>
      <c r="Z65" s="98">
        <f t="shared" si="93"/>
        <v>0</v>
      </c>
      <c r="AA65" s="75">
        <f t="shared" ref="AA65:AB69" si="246">SUM(R65,U65,X65)</f>
        <v>0</v>
      </c>
      <c r="AB65" s="90">
        <f t="shared" si="246"/>
        <v>0</v>
      </c>
      <c r="AC65" s="98">
        <f t="shared" si="94"/>
        <v>0</v>
      </c>
      <c r="AD65" s="23">
        <f t="shared" ref="AD65:AE65" si="247">IF(AD50=0,0,AD45/AD50)</f>
        <v>0</v>
      </c>
      <c r="AE65" s="22">
        <f t="shared" si="247"/>
        <v>0</v>
      </c>
      <c r="AF65" s="98">
        <f t="shared" si="96"/>
        <v>0</v>
      </c>
      <c r="AG65" s="23">
        <f t="shared" ref="AG65:AH65" si="248">IF(AG50=0,0,AG45/AG50)</f>
        <v>0</v>
      </c>
      <c r="AH65" s="22">
        <f t="shared" si="248"/>
        <v>0</v>
      </c>
      <c r="AI65" s="98">
        <f t="shared" si="98"/>
        <v>0</v>
      </c>
      <c r="AJ65" s="23">
        <f t="shared" ref="AJ65:AK65" si="249">IF(AJ50=0,0,AJ45/AJ50)</f>
        <v>0</v>
      </c>
      <c r="AK65" s="22">
        <f t="shared" si="249"/>
        <v>0</v>
      </c>
      <c r="AL65" s="98">
        <f t="shared" si="100"/>
        <v>0</v>
      </c>
      <c r="AM65" s="75">
        <f t="shared" ref="AM65:AN69" si="250">SUM(AD65,AG65,AJ65)</f>
        <v>0</v>
      </c>
      <c r="AN65" s="90">
        <f t="shared" si="250"/>
        <v>0</v>
      </c>
      <c r="AO65" s="98">
        <f t="shared" si="101"/>
        <v>0</v>
      </c>
      <c r="AP65" s="23">
        <f t="shared" ref="AP65:AQ65" si="251">IF(AP50=0,0,AP45/AP50)</f>
        <v>0</v>
      </c>
      <c r="AQ65" s="22">
        <f t="shared" si="251"/>
        <v>0</v>
      </c>
      <c r="AR65" s="98">
        <f t="shared" si="103"/>
        <v>0</v>
      </c>
      <c r="AS65" s="23">
        <f t="shared" ref="AS65:AT65" si="252">IF(AS50=0,0,AS45/AS50)</f>
        <v>0</v>
      </c>
      <c r="AT65" s="22">
        <f t="shared" si="252"/>
        <v>0</v>
      </c>
      <c r="AU65" s="98">
        <f t="shared" si="105"/>
        <v>0</v>
      </c>
      <c r="AV65" s="23">
        <f t="shared" ref="AV65:AW65" si="253">IF(AV50=0,0,AV45/AV50)</f>
        <v>0</v>
      </c>
      <c r="AW65" s="22">
        <f t="shared" si="253"/>
        <v>0</v>
      </c>
      <c r="AX65" s="98">
        <f t="shared" si="107"/>
        <v>0</v>
      </c>
      <c r="AY65" s="75">
        <f t="shared" ref="AY65:AZ69" si="254">SUM(AP65,AS65,AV65)</f>
        <v>0</v>
      </c>
      <c r="AZ65" s="90">
        <f t="shared" si="254"/>
        <v>0</v>
      </c>
      <c r="BA65" s="98">
        <f t="shared" si="108"/>
        <v>0</v>
      </c>
      <c r="BB65" s="75">
        <f t="shared" ref="BB65:BC69" si="255">SUM(F65,I65,L65,R65,U65,X65,AD65,AG65,AJ65,AP65,AS65,AV65)</f>
        <v>0</v>
      </c>
      <c r="BC65" s="90">
        <f t="shared" si="255"/>
        <v>0</v>
      </c>
      <c r="BD65" s="98">
        <f t="shared" si="109"/>
        <v>0</v>
      </c>
      <c r="BE65" s="175">
        <v>0</v>
      </c>
      <c r="BF65" s="19">
        <v>0</v>
      </c>
      <c r="BG65" s="23">
        <f>BB65+BE65+BF65</f>
        <v>0</v>
      </c>
    </row>
    <row r="66" spans="1:59" s="127" customFormat="1" ht="15" hidden="1" customHeight="1" outlineLevel="1" x14ac:dyDescent="0.25">
      <c r="A66" s="27"/>
      <c r="B66" s="26" t="s">
        <v>59</v>
      </c>
      <c r="C66" s="25" t="s">
        <v>57</v>
      </c>
      <c r="D66" s="19">
        <v>0</v>
      </c>
      <c r="E66" s="19">
        <v>0</v>
      </c>
      <c r="F66" s="23">
        <v>0</v>
      </c>
      <c r="G66" s="22">
        <v>0</v>
      </c>
      <c r="H66" s="98">
        <f t="shared" si="82"/>
        <v>0</v>
      </c>
      <c r="I66" s="23">
        <f t="shared" ref="I66:J66" si="256">IF(I51=0,0,I46/I51)</f>
        <v>0</v>
      </c>
      <c r="J66" s="22">
        <f t="shared" si="256"/>
        <v>0</v>
      </c>
      <c r="K66" s="98">
        <f t="shared" si="84"/>
        <v>0</v>
      </c>
      <c r="L66" s="23">
        <f t="shared" ref="L66:M66" si="257">IF(L51=0,0,L46/L51)</f>
        <v>0</v>
      </c>
      <c r="M66" s="22">
        <f t="shared" si="257"/>
        <v>0</v>
      </c>
      <c r="N66" s="98">
        <f t="shared" si="86"/>
        <v>0</v>
      </c>
      <c r="O66" s="75">
        <f t="shared" si="242"/>
        <v>0</v>
      </c>
      <c r="P66" s="90">
        <f t="shared" si="242"/>
        <v>0</v>
      </c>
      <c r="Q66" s="98">
        <f t="shared" si="87"/>
        <v>0</v>
      </c>
      <c r="R66" s="23">
        <f t="shared" ref="R66:S66" si="258">IF(R51=0,0,R46/R51)</f>
        <v>0</v>
      </c>
      <c r="S66" s="22">
        <f t="shared" si="258"/>
        <v>0</v>
      </c>
      <c r="T66" s="98">
        <f t="shared" si="89"/>
        <v>0</v>
      </c>
      <c r="U66" s="23">
        <f t="shared" ref="U66:V66" si="259">IF(U51=0,0,U46/U51)</f>
        <v>0</v>
      </c>
      <c r="V66" s="22">
        <f t="shared" si="259"/>
        <v>0</v>
      </c>
      <c r="W66" s="98">
        <f t="shared" si="91"/>
        <v>0</v>
      </c>
      <c r="X66" s="23">
        <f t="shared" ref="X66:Y66" si="260">IF(X51=0,0,X46/X51)</f>
        <v>0</v>
      </c>
      <c r="Y66" s="22">
        <f t="shared" si="260"/>
        <v>0</v>
      </c>
      <c r="Z66" s="98">
        <f t="shared" si="93"/>
        <v>0</v>
      </c>
      <c r="AA66" s="75">
        <f t="shared" si="246"/>
        <v>0</v>
      </c>
      <c r="AB66" s="90">
        <f t="shared" si="246"/>
        <v>0</v>
      </c>
      <c r="AC66" s="98">
        <f t="shared" si="94"/>
        <v>0</v>
      </c>
      <c r="AD66" s="23">
        <f t="shared" ref="AD66:AE66" si="261">IF(AD51=0,0,AD46/AD51)</f>
        <v>0</v>
      </c>
      <c r="AE66" s="22">
        <f t="shared" si="261"/>
        <v>0</v>
      </c>
      <c r="AF66" s="98">
        <f t="shared" si="96"/>
        <v>0</v>
      </c>
      <c r="AG66" s="23">
        <f t="shared" ref="AG66:AH66" si="262">IF(AG51=0,0,AG46/AG51)</f>
        <v>0</v>
      </c>
      <c r="AH66" s="22">
        <f t="shared" si="262"/>
        <v>0</v>
      </c>
      <c r="AI66" s="98">
        <f t="shared" si="98"/>
        <v>0</v>
      </c>
      <c r="AJ66" s="23">
        <f t="shared" ref="AJ66:AK66" si="263">IF(AJ51=0,0,AJ46/AJ51)</f>
        <v>0</v>
      </c>
      <c r="AK66" s="22">
        <f t="shared" si="263"/>
        <v>0</v>
      </c>
      <c r="AL66" s="98">
        <f t="shared" si="100"/>
        <v>0</v>
      </c>
      <c r="AM66" s="75">
        <f t="shared" si="250"/>
        <v>0</v>
      </c>
      <c r="AN66" s="90">
        <f t="shared" si="250"/>
        <v>0</v>
      </c>
      <c r="AO66" s="98">
        <f t="shared" si="101"/>
        <v>0</v>
      </c>
      <c r="AP66" s="23">
        <f t="shared" ref="AP66:AQ66" si="264">IF(AP51=0,0,AP46/AP51)</f>
        <v>0</v>
      </c>
      <c r="AQ66" s="22">
        <f t="shared" si="264"/>
        <v>0</v>
      </c>
      <c r="AR66" s="98">
        <f t="shared" si="103"/>
        <v>0</v>
      </c>
      <c r="AS66" s="23">
        <f t="shared" ref="AS66:AT66" si="265">IF(AS51=0,0,AS46/AS51)</f>
        <v>0</v>
      </c>
      <c r="AT66" s="22">
        <f t="shared" si="265"/>
        <v>0</v>
      </c>
      <c r="AU66" s="98">
        <f t="shared" si="105"/>
        <v>0</v>
      </c>
      <c r="AV66" s="23">
        <f t="shared" ref="AV66:AW66" si="266">IF(AV51=0,0,AV46/AV51)</f>
        <v>0</v>
      </c>
      <c r="AW66" s="22">
        <f t="shared" si="266"/>
        <v>0</v>
      </c>
      <c r="AX66" s="98">
        <f t="shared" si="107"/>
        <v>0</v>
      </c>
      <c r="AY66" s="75">
        <f t="shared" si="254"/>
        <v>0</v>
      </c>
      <c r="AZ66" s="90">
        <f t="shared" si="254"/>
        <v>0</v>
      </c>
      <c r="BA66" s="98">
        <f t="shared" si="108"/>
        <v>0</v>
      </c>
      <c r="BB66" s="75">
        <f t="shared" si="255"/>
        <v>0</v>
      </c>
      <c r="BC66" s="90">
        <f t="shared" si="255"/>
        <v>0</v>
      </c>
      <c r="BD66" s="98">
        <f t="shared" si="109"/>
        <v>0</v>
      </c>
      <c r="BE66" s="175">
        <v>0</v>
      </c>
      <c r="BF66" s="19">
        <v>0</v>
      </c>
      <c r="BG66" s="23">
        <f t="shared" ref="BG66:BG69" si="267">BB66+BE66+BF66</f>
        <v>0</v>
      </c>
    </row>
    <row r="67" spans="1:59" s="127" customFormat="1" ht="15" hidden="1" customHeight="1" outlineLevel="1" x14ac:dyDescent="0.25">
      <c r="A67" s="27"/>
      <c r="B67" s="26" t="s">
        <v>60</v>
      </c>
      <c r="C67" s="25" t="s">
        <v>57</v>
      </c>
      <c r="D67" s="19">
        <v>0</v>
      </c>
      <c r="E67" s="19">
        <v>0</v>
      </c>
      <c r="F67" s="23">
        <v>0</v>
      </c>
      <c r="G67" s="22">
        <v>0</v>
      </c>
      <c r="H67" s="98">
        <f t="shared" si="82"/>
        <v>0</v>
      </c>
      <c r="I67" s="23">
        <f t="shared" ref="I67:J67" si="268">IF(I52=0,0,I47/I52)</f>
        <v>0</v>
      </c>
      <c r="J67" s="22">
        <f t="shared" si="268"/>
        <v>0</v>
      </c>
      <c r="K67" s="98">
        <f t="shared" si="84"/>
        <v>0</v>
      </c>
      <c r="L67" s="23">
        <f t="shared" ref="L67:M67" si="269">IF(L52=0,0,L47/L52)</f>
        <v>0</v>
      </c>
      <c r="M67" s="22">
        <f t="shared" si="269"/>
        <v>0</v>
      </c>
      <c r="N67" s="98">
        <f t="shared" si="86"/>
        <v>0</v>
      </c>
      <c r="O67" s="75">
        <f t="shared" si="242"/>
        <v>0</v>
      </c>
      <c r="P67" s="90">
        <f t="shared" si="242"/>
        <v>0</v>
      </c>
      <c r="Q67" s="98">
        <f t="shared" si="87"/>
        <v>0</v>
      </c>
      <c r="R67" s="23">
        <f t="shared" ref="R67:S67" si="270">IF(R52=0,0,R47/R52)</f>
        <v>0</v>
      </c>
      <c r="S67" s="22">
        <f t="shared" si="270"/>
        <v>0</v>
      </c>
      <c r="T67" s="98">
        <f t="shared" si="89"/>
        <v>0</v>
      </c>
      <c r="U67" s="23">
        <f t="shared" ref="U67:V67" si="271">IF(U52=0,0,U47/U52)</f>
        <v>0</v>
      </c>
      <c r="V67" s="22">
        <f t="shared" si="271"/>
        <v>0</v>
      </c>
      <c r="W67" s="98">
        <f t="shared" si="91"/>
        <v>0</v>
      </c>
      <c r="X67" s="23">
        <f t="shared" ref="X67:Y67" si="272">IF(X52=0,0,X47/X52)</f>
        <v>0</v>
      </c>
      <c r="Y67" s="22">
        <f t="shared" si="272"/>
        <v>0</v>
      </c>
      <c r="Z67" s="98">
        <f t="shared" si="93"/>
        <v>0</v>
      </c>
      <c r="AA67" s="75">
        <f t="shared" si="246"/>
        <v>0</v>
      </c>
      <c r="AB67" s="90">
        <f t="shared" si="246"/>
        <v>0</v>
      </c>
      <c r="AC67" s="98">
        <f t="shared" si="94"/>
        <v>0</v>
      </c>
      <c r="AD67" s="23">
        <f t="shared" ref="AD67:AE67" si="273">IF(AD52=0,0,AD47/AD52)</f>
        <v>0</v>
      </c>
      <c r="AE67" s="22">
        <f t="shared" si="273"/>
        <v>0</v>
      </c>
      <c r="AF67" s="98">
        <f t="shared" si="96"/>
        <v>0</v>
      </c>
      <c r="AG67" s="23">
        <f t="shared" ref="AG67:AH67" si="274">IF(AG52=0,0,AG47/AG52)</f>
        <v>0</v>
      </c>
      <c r="AH67" s="22">
        <f t="shared" si="274"/>
        <v>0</v>
      </c>
      <c r="AI67" s="98">
        <f t="shared" si="98"/>
        <v>0</v>
      </c>
      <c r="AJ67" s="23">
        <f t="shared" ref="AJ67:AK67" si="275">IF(AJ52=0,0,AJ47/AJ52)</f>
        <v>0</v>
      </c>
      <c r="AK67" s="22">
        <f t="shared" si="275"/>
        <v>0</v>
      </c>
      <c r="AL67" s="98">
        <f t="shared" si="100"/>
        <v>0</v>
      </c>
      <c r="AM67" s="75">
        <f t="shared" si="250"/>
        <v>0</v>
      </c>
      <c r="AN67" s="90">
        <f t="shared" si="250"/>
        <v>0</v>
      </c>
      <c r="AO67" s="98">
        <f t="shared" si="101"/>
        <v>0</v>
      </c>
      <c r="AP67" s="23">
        <f t="shared" ref="AP67:AQ67" si="276">IF(AP52=0,0,AP47/AP52)</f>
        <v>0</v>
      </c>
      <c r="AQ67" s="22">
        <f t="shared" si="276"/>
        <v>0</v>
      </c>
      <c r="AR67" s="98">
        <f t="shared" si="103"/>
        <v>0</v>
      </c>
      <c r="AS67" s="23">
        <f t="shared" ref="AS67:AT67" si="277">IF(AS52=0,0,AS47/AS52)</f>
        <v>0</v>
      </c>
      <c r="AT67" s="22">
        <f t="shared" si="277"/>
        <v>0</v>
      </c>
      <c r="AU67" s="98">
        <f t="shared" si="105"/>
        <v>0</v>
      </c>
      <c r="AV67" s="23">
        <f t="shared" ref="AV67:AW67" si="278">IF(AV52=0,0,AV47/AV52)</f>
        <v>0</v>
      </c>
      <c r="AW67" s="22">
        <f t="shared" si="278"/>
        <v>0</v>
      </c>
      <c r="AX67" s="98">
        <f t="shared" si="107"/>
        <v>0</v>
      </c>
      <c r="AY67" s="75">
        <f t="shared" si="254"/>
        <v>0</v>
      </c>
      <c r="AZ67" s="90">
        <f t="shared" si="254"/>
        <v>0</v>
      </c>
      <c r="BA67" s="98">
        <f t="shared" si="108"/>
        <v>0</v>
      </c>
      <c r="BB67" s="75">
        <f t="shared" si="255"/>
        <v>0</v>
      </c>
      <c r="BC67" s="90">
        <f t="shared" si="255"/>
        <v>0</v>
      </c>
      <c r="BD67" s="98">
        <f t="shared" si="109"/>
        <v>0</v>
      </c>
      <c r="BE67" s="175">
        <v>0</v>
      </c>
      <c r="BF67" s="19">
        <v>0</v>
      </c>
      <c r="BG67" s="23">
        <f t="shared" si="267"/>
        <v>0</v>
      </c>
    </row>
    <row r="68" spans="1:59" s="127" customFormat="1" ht="15" hidden="1" customHeight="1" outlineLevel="1" thickBot="1" x14ac:dyDescent="0.3">
      <c r="A68" s="27"/>
      <c r="B68" s="26" t="s">
        <v>61</v>
      </c>
      <c r="C68" s="25" t="s">
        <v>57</v>
      </c>
      <c r="D68" s="19">
        <v>0</v>
      </c>
      <c r="E68" s="19">
        <v>0</v>
      </c>
      <c r="F68" s="23">
        <v>0</v>
      </c>
      <c r="G68" s="22">
        <v>0</v>
      </c>
      <c r="H68" s="98">
        <f t="shared" si="82"/>
        <v>0</v>
      </c>
      <c r="I68" s="23">
        <f t="shared" ref="I68:J68" si="279">IF(I53=0,0,I48/I53)</f>
        <v>0</v>
      </c>
      <c r="J68" s="22">
        <f t="shared" si="279"/>
        <v>0</v>
      </c>
      <c r="K68" s="98">
        <f t="shared" si="84"/>
        <v>0</v>
      </c>
      <c r="L68" s="23">
        <f t="shared" ref="L68:M68" si="280">IF(L53=0,0,L48/L53)</f>
        <v>0</v>
      </c>
      <c r="M68" s="22">
        <f t="shared" si="280"/>
        <v>0</v>
      </c>
      <c r="N68" s="98">
        <f t="shared" si="86"/>
        <v>0</v>
      </c>
      <c r="O68" s="75">
        <f t="shared" si="242"/>
        <v>0</v>
      </c>
      <c r="P68" s="90">
        <f t="shared" si="242"/>
        <v>0</v>
      </c>
      <c r="Q68" s="98">
        <f t="shared" si="87"/>
        <v>0</v>
      </c>
      <c r="R68" s="23">
        <f t="shared" ref="R68:S68" si="281">IF(R53=0,0,R48/R53)</f>
        <v>0</v>
      </c>
      <c r="S68" s="22">
        <f t="shared" si="281"/>
        <v>0</v>
      </c>
      <c r="T68" s="98">
        <f t="shared" si="89"/>
        <v>0</v>
      </c>
      <c r="U68" s="23">
        <f t="shared" ref="U68:V68" si="282">IF(U53=0,0,U48/U53)</f>
        <v>0</v>
      </c>
      <c r="V68" s="22">
        <f t="shared" si="282"/>
        <v>0</v>
      </c>
      <c r="W68" s="98">
        <f t="shared" si="91"/>
        <v>0</v>
      </c>
      <c r="X68" s="23">
        <f t="shared" ref="X68:Y68" si="283">IF(X53=0,0,X48/X53)</f>
        <v>0</v>
      </c>
      <c r="Y68" s="22">
        <f t="shared" si="283"/>
        <v>0</v>
      </c>
      <c r="Z68" s="98">
        <f t="shared" si="93"/>
        <v>0</v>
      </c>
      <c r="AA68" s="75">
        <f t="shared" si="246"/>
        <v>0</v>
      </c>
      <c r="AB68" s="90">
        <f t="shared" si="246"/>
        <v>0</v>
      </c>
      <c r="AC68" s="98">
        <f t="shared" si="94"/>
        <v>0</v>
      </c>
      <c r="AD68" s="23">
        <f t="shared" ref="AD68:AE68" si="284">IF(AD53=0,0,AD48/AD53)</f>
        <v>0</v>
      </c>
      <c r="AE68" s="22">
        <f t="shared" si="284"/>
        <v>0</v>
      </c>
      <c r="AF68" s="98">
        <f t="shared" si="96"/>
        <v>0</v>
      </c>
      <c r="AG68" s="23">
        <f t="shared" ref="AG68:AH68" si="285">IF(AG53=0,0,AG48/AG53)</f>
        <v>0</v>
      </c>
      <c r="AH68" s="22">
        <f t="shared" si="285"/>
        <v>0</v>
      </c>
      <c r="AI68" s="98">
        <f t="shared" si="98"/>
        <v>0</v>
      </c>
      <c r="AJ68" s="23">
        <f t="shared" ref="AJ68:AK68" si="286">IF(AJ53=0,0,AJ48/AJ53)</f>
        <v>0</v>
      </c>
      <c r="AK68" s="22">
        <f t="shared" si="286"/>
        <v>0</v>
      </c>
      <c r="AL68" s="98">
        <f t="shared" si="100"/>
        <v>0</v>
      </c>
      <c r="AM68" s="75">
        <f t="shared" si="250"/>
        <v>0</v>
      </c>
      <c r="AN68" s="90">
        <f t="shared" si="250"/>
        <v>0</v>
      </c>
      <c r="AO68" s="98">
        <f t="shared" si="101"/>
        <v>0</v>
      </c>
      <c r="AP68" s="23">
        <f t="shared" ref="AP68:AQ68" si="287">IF(AP53=0,0,AP48/AP53)</f>
        <v>0</v>
      </c>
      <c r="AQ68" s="22">
        <f t="shared" si="287"/>
        <v>0</v>
      </c>
      <c r="AR68" s="98">
        <f t="shared" si="103"/>
        <v>0</v>
      </c>
      <c r="AS68" s="23">
        <f t="shared" ref="AS68:AT68" si="288">IF(AS53=0,0,AS48/AS53)</f>
        <v>0</v>
      </c>
      <c r="AT68" s="22">
        <f t="shared" si="288"/>
        <v>0</v>
      </c>
      <c r="AU68" s="98">
        <f t="shared" si="105"/>
        <v>0</v>
      </c>
      <c r="AV68" s="23">
        <f t="shared" ref="AV68:AW68" si="289">IF(AV53=0,0,AV48/AV53)</f>
        <v>0</v>
      </c>
      <c r="AW68" s="22">
        <f t="shared" si="289"/>
        <v>0</v>
      </c>
      <c r="AX68" s="98">
        <f t="shared" si="107"/>
        <v>0</v>
      </c>
      <c r="AY68" s="75">
        <f t="shared" si="254"/>
        <v>0</v>
      </c>
      <c r="AZ68" s="90">
        <f t="shared" si="254"/>
        <v>0</v>
      </c>
      <c r="BA68" s="98">
        <f t="shared" si="108"/>
        <v>0</v>
      </c>
      <c r="BB68" s="75">
        <f t="shared" si="255"/>
        <v>0</v>
      </c>
      <c r="BC68" s="90">
        <f t="shared" si="255"/>
        <v>0</v>
      </c>
      <c r="BD68" s="98">
        <f t="shared" si="109"/>
        <v>0</v>
      </c>
      <c r="BE68" s="175">
        <v>0</v>
      </c>
      <c r="BF68" s="1">
        <v>0</v>
      </c>
      <c r="BG68" s="23">
        <f t="shared" si="267"/>
        <v>0</v>
      </c>
    </row>
    <row r="69" spans="1:59" s="127" customFormat="1" ht="15" hidden="1" customHeight="1" outlineLevel="1" thickBot="1" x14ac:dyDescent="0.3">
      <c r="A69" s="27"/>
      <c r="B69" s="26" t="s">
        <v>62</v>
      </c>
      <c r="C69" s="25" t="s">
        <v>57</v>
      </c>
      <c r="D69" s="19">
        <v>0</v>
      </c>
      <c r="E69" s="19">
        <v>0</v>
      </c>
      <c r="F69" s="23">
        <v>0</v>
      </c>
      <c r="G69" s="22">
        <v>0</v>
      </c>
      <c r="H69" s="98">
        <f t="shared" si="82"/>
        <v>0</v>
      </c>
      <c r="I69" s="23">
        <v>0</v>
      </c>
      <c r="J69" s="22">
        <v>0</v>
      </c>
      <c r="K69" s="98">
        <f t="shared" si="84"/>
        <v>0</v>
      </c>
      <c r="L69" s="23">
        <v>0</v>
      </c>
      <c r="M69" s="22">
        <v>0</v>
      </c>
      <c r="N69" s="98">
        <f t="shared" si="86"/>
        <v>0</v>
      </c>
      <c r="O69" s="75">
        <f t="shared" si="242"/>
        <v>0</v>
      </c>
      <c r="P69" s="90">
        <f t="shared" si="242"/>
        <v>0</v>
      </c>
      <c r="Q69" s="98">
        <f t="shared" si="87"/>
        <v>0</v>
      </c>
      <c r="R69" s="23">
        <v>0</v>
      </c>
      <c r="S69" s="22">
        <v>0</v>
      </c>
      <c r="T69" s="98">
        <f t="shared" si="89"/>
        <v>0</v>
      </c>
      <c r="U69" s="23">
        <v>0</v>
      </c>
      <c r="V69" s="22">
        <v>0</v>
      </c>
      <c r="W69" s="98">
        <f t="shared" si="91"/>
        <v>0</v>
      </c>
      <c r="X69" s="23">
        <v>0</v>
      </c>
      <c r="Y69" s="22">
        <v>0</v>
      </c>
      <c r="Z69" s="98">
        <f t="shared" si="93"/>
        <v>0</v>
      </c>
      <c r="AA69" s="75">
        <f t="shared" si="246"/>
        <v>0</v>
      </c>
      <c r="AB69" s="90">
        <f t="shared" si="246"/>
        <v>0</v>
      </c>
      <c r="AC69" s="98">
        <f t="shared" si="94"/>
        <v>0</v>
      </c>
      <c r="AD69" s="23">
        <v>0</v>
      </c>
      <c r="AE69" s="22">
        <v>0</v>
      </c>
      <c r="AF69" s="98">
        <f t="shared" si="96"/>
        <v>0</v>
      </c>
      <c r="AG69" s="23">
        <v>0</v>
      </c>
      <c r="AH69" s="22">
        <v>0</v>
      </c>
      <c r="AI69" s="98">
        <f t="shared" si="98"/>
        <v>0</v>
      </c>
      <c r="AJ69" s="23">
        <v>0</v>
      </c>
      <c r="AK69" s="22">
        <v>0</v>
      </c>
      <c r="AL69" s="98">
        <f t="shared" si="100"/>
        <v>0</v>
      </c>
      <c r="AM69" s="75">
        <f t="shared" si="250"/>
        <v>0</v>
      </c>
      <c r="AN69" s="90">
        <f t="shared" si="250"/>
        <v>0</v>
      </c>
      <c r="AO69" s="98">
        <f t="shared" si="101"/>
        <v>0</v>
      </c>
      <c r="AP69" s="23">
        <v>0</v>
      </c>
      <c r="AQ69" s="22">
        <v>0</v>
      </c>
      <c r="AR69" s="98">
        <f t="shared" si="103"/>
        <v>0</v>
      </c>
      <c r="AS69" s="23">
        <v>0</v>
      </c>
      <c r="AT69" s="22">
        <v>0</v>
      </c>
      <c r="AU69" s="98">
        <f t="shared" si="105"/>
        <v>0</v>
      </c>
      <c r="AV69" s="23">
        <v>0</v>
      </c>
      <c r="AW69" s="22">
        <v>0</v>
      </c>
      <c r="AX69" s="98">
        <f t="shared" si="107"/>
        <v>0</v>
      </c>
      <c r="AY69" s="75">
        <f t="shared" si="254"/>
        <v>0</v>
      </c>
      <c r="AZ69" s="90">
        <f t="shared" si="254"/>
        <v>0</v>
      </c>
      <c r="BA69" s="98">
        <f t="shared" si="108"/>
        <v>0</v>
      </c>
      <c r="BB69" s="75">
        <f t="shared" si="255"/>
        <v>0</v>
      </c>
      <c r="BC69" s="90">
        <f t="shared" si="255"/>
        <v>0</v>
      </c>
      <c r="BD69" s="98">
        <f t="shared" si="109"/>
        <v>0</v>
      </c>
      <c r="BE69" s="75">
        <v>0</v>
      </c>
      <c r="BF69" s="75">
        <v>0</v>
      </c>
      <c r="BG69" s="23">
        <f t="shared" si="267"/>
        <v>0</v>
      </c>
    </row>
    <row r="70" spans="1:59" s="127" customFormat="1" ht="12" customHeight="1" collapsed="1" x14ac:dyDescent="0.25">
      <c r="A70" s="51" t="s">
        <v>63</v>
      </c>
      <c r="B70" s="52" t="s">
        <v>64</v>
      </c>
      <c r="C70" s="116" t="s">
        <v>65</v>
      </c>
      <c r="D70" s="28">
        <f>SUM(D71)</f>
        <v>0</v>
      </c>
      <c r="E70" s="28">
        <f>SUM(E71)</f>
        <v>0</v>
      </c>
      <c r="F70" s="53">
        <f>SUM(F71)</f>
        <v>0</v>
      </c>
      <c r="G70" s="88">
        <f>SUM(G71)</f>
        <v>0</v>
      </c>
      <c r="H70" s="96">
        <f t="shared" si="82"/>
        <v>0</v>
      </c>
      <c r="I70" s="53">
        <f>SUM(I71)</f>
        <v>0</v>
      </c>
      <c r="J70" s="88">
        <f>SUM(J71)</f>
        <v>0</v>
      </c>
      <c r="K70" s="96">
        <f t="shared" si="84"/>
        <v>0</v>
      </c>
      <c r="L70" s="53">
        <f>SUM(L71)</f>
        <v>0</v>
      </c>
      <c r="M70" s="88">
        <f>SUM(M71)</f>
        <v>0</v>
      </c>
      <c r="N70" s="96">
        <f t="shared" si="86"/>
        <v>0</v>
      </c>
      <c r="O70" s="53">
        <f>SUM(O71)</f>
        <v>0</v>
      </c>
      <c r="P70" s="88">
        <f>SUM(P71)</f>
        <v>0</v>
      </c>
      <c r="Q70" s="96">
        <f t="shared" si="87"/>
        <v>0</v>
      </c>
      <c r="R70" s="53">
        <f>SUM(R71)</f>
        <v>0</v>
      </c>
      <c r="S70" s="88">
        <f>SUM(S71)</f>
        <v>0</v>
      </c>
      <c r="T70" s="96">
        <f t="shared" si="89"/>
        <v>0</v>
      </c>
      <c r="U70" s="53">
        <f>SUM(U71)</f>
        <v>0</v>
      </c>
      <c r="V70" s="88">
        <f>SUM(V71)</f>
        <v>0</v>
      </c>
      <c r="W70" s="96">
        <f t="shared" si="91"/>
        <v>0</v>
      </c>
      <c r="X70" s="53">
        <f>SUM(X71)</f>
        <v>0</v>
      </c>
      <c r="Y70" s="88">
        <f>SUM(Y71)</f>
        <v>0</v>
      </c>
      <c r="Z70" s="96">
        <f t="shared" si="93"/>
        <v>0</v>
      </c>
      <c r="AA70" s="53">
        <f>SUM(AA71)</f>
        <v>0</v>
      </c>
      <c r="AB70" s="88">
        <f>SUM(AB71)</f>
        <v>0</v>
      </c>
      <c r="AC70" s="96">
        <f t="shared" si="94"/>
        <v>0</v>
      </c>
      <c r="AD70" s="53">
        <f>SUM(AD71)</f>
        <v>0</v>
      </c>
      <c r="AE70" s="88">
        <f>SUM(AE71)</f>
        <v>0</v>
      </c>
      <c r="AF70" s="96">
        <f t="shared" si="96"/>
        <v>0</v>
      </c>
      <c r="AG70" s="53">
        <f>SUM(AG71)</f>
        <v>0</v>
      </c>
      <c r="AH70" s="88">
        <f>SUM(AH71)</f>
        <v>0</v>
      </c>
      <c r="AI70" s="96">
        <f t="shared" si="98"/>
        <v>0</v>
      </c>
      <c r="AJ70" s="53">
        <f>SUM(AJ71)</f>
        <v>0</v>
      </c>
      <c r="AK70" s="88">
        <f>SUM(AK71)</f>
        <v>0</v>
      </c>
      <c r="AL70" s="96">
        <f t="shared" si="100"/>
        <v>0</v>
      </c>
      <c r="AM70" s="53">
        <f>SUM(AM71)</f>
        <v>0</v>
      </c>
      <c r="AN70" s="88">
        <f>SUM(AN71)</f>
        <v>0</v>
      </c>
      <c r="AO70" s="96">
        <f t="shared" si="101"/>
        <v>0</v>
      </c>
      <c r="AP70" s="53">
        <f>SUM(AP71)</f>
        <v>0</v>
      </c>
      <c r="AQ70" s="88">
        <f>SUM(AQ71)</f>
        <v>0</v>
      </c>
      <c r="AR70" s="96">
        <f t="shared" si="103"/>
        <v>0</v>
      </c>
      <c r="AS70" s="53">
        <f>SUM(AS71)</f>
        <v>0</v>
      </c>
      <c r="AT70" s="88">
        <f>SUM(AT71)</f>
        <v>0</v>
      </c>
      <c r="AU70" s="96">
        <f t="shared" si="105"/>
        <v>0</v>
      </c>
      <c r="AV70" s="53">
        <f>SUM(AV71)</f>
        <v>0</v>
      </c>
      <c r="AW70" s="88">
        <f>SUM(AW71)</f>
        <v>0</v>
      </c>
      <c r="AX70" s="96">
        <f t="shared" si="107"/>
        <v>0</v>
      </c>
      <c r="AY70" s="53">
        <f>SUM(AY71)</f>
        <v>0</v>
      </c>
      <c r="AZ70" s="88">
        <f>SUM(AZ71)</f>
        <v>0</v>
      </c>
      <c r="BA70" s="96">
        <f t="shared" si="108"/>
        <v>0</v>
      </c>
      <c r="BB70" s="53">
        <f>SUM(BB71)</f>
        <v>0</v>
      </c>
      <c r="BC70" s="88">
        <f>SUM(BC71)</f>
        <v>0</v>
      </c>
      <c r="BD70" s="96">
        <f t="shared" si="109"/>
        <v>0</v>
      </c>
      <c r="BE70" s="53">
        <f>SUM(BE71)</f>
        <v>0</v>
      </c>
      <c r="BF70" s="53">
        <f>SUM(BF71)</f>
        <v>0</v>
      </c>
      <c r="BG70" s="53">
        <f>SUM(BG71)</f>
        <v>0</v>
      </c>
    </row>
    <row r="71" spans="1:59" s="127" customFormat="1" ht="15" hidden="1" customHeight="1" outlineLevel="1" thickBot="1" x14ac:dyDescent="0.3">
      <c r="A71" s="9"/>
      <c r="B71" s="8" t="s">
        <v>66</v>
      </c>
      <c r="C71" s="7" t="s">
        <v>65</v>
      </c>
      <c r="D71" s="58"/>
      <c r="E71" s="58"/>
      <c r="F71" s="76"/>
      <c r="G71" s="164"/>
      <c r="H71" s="99">
        <f t="shared" si="82"/>
        <v>0</v>
      </c>
      <c r="I71" s="76"/>
      <c r="J71" s="164"/>
      <c r="K71" s="99">
        <f t="shared" si="84"/>
        <v>0</v>
      </c>
      <c r="L71" s="76"/>
      <c r="M71" s="164"/>
      <c r="N71" s="99">
        <f t="shared" si="86"/>
        <v>0</v>
      </c>
      <c r="O71" s="76">
        <f>SUM(F71,I71,L71)/3</f>
        <v>0</v>
      </c>
      <c r="P71" s="91">
        <f>SUM(G71,J71,M71)/3</f>
        <v>0</v>
      </c>
      <c r="Q71" s="99">
        <f t="shared" si="87"/>
        <v>0</v>
      </c>
      <c r="R71" s="76"/>
      <c r="S71" s="164"/>
      <c r="T71" s="99">
        <f t="shared" si="89"/>
        <v>0</v>
      </c>
      <c r="U71" s="76"/>
      <c r="V71" s="164"/>
      <c r="W71" s="99">
        <f t="shared" si="91"/>
        <v>0</v>
      </c>
      <c r="X71" s="76"/>
      <c r="Y71" s="164"/>
      <c r="Z71" s="99">
        <f t="shared" si="93"/>
        <v>0</v>
      </c>
      <c r="AA71" s="76">
        <f>SUM(R71,U71,X71)/3</f>
        <v>0</v>
      </c>
      <c r="AB71" s="91">
        <f>SUM(S71,V71,Y71)/3</f>
        <v>0</v>
      </c>
      <c r="AC71" s="99">
        <f t="shared" si="94"/>
        <v>0</v>
      </c>
      <c r="AD71" s="76"/>
      <c r="AE71" s="164"/>
      <c r="AF71" s="99">
        <f t="shared" si="96"/>
        <v>0</v>
      </c>
      <c r="AG71" s="76"/>
      <c r="AH71" s="164"/>
      <c r="AI71" s="99">
        <f t="shared" si="98"/>
        <v>0</v>
      </c>
      <c r="AJ71" s="76"/>
      <c r="AK71" s="164"/>
      <c r="AL71" s="99">
        <f t="shared" si="100"/>
        <v>0</v>
      </c>
      <c r="AM71" s="76">
        <f>SUM(AD71,AG71,AJ71)/3</f>
        <v>0</v>
      </c>
      <c r="AN71" s="91">
        <f>SUM(AE71,AH71,AK71)/3</f>
        <v>0</v>
      </c>
      <c r="AO71" s="99">
        <f t="shared" si="101"/>
        <v>0</v>
      </c>
      <c r="AP71" s="76"/>
      <c r="AQ71" s="164"/>
      <c r="AR71" s="99">
        <f t="shared" si="103"/>
        <v>0</v>
      </c>
      <c r="AS71" s="76"/>
      <c r="AT71" s="164"/>
      <c r="AU71" s="99">
        <f t="shared" si="105"/>
        <v>0</v>
      </c>
      <c r="AV71" s="76"/>
      <c r="AW71" s="164"/>
      <c r="AX71" s="99">
        <f t="shared" si="107"/>
        <v>0</v>
      </c>
      <c r="AY71" s="76">
        <f>SUM(AP71,AS71,AV71)/3</f>
        <v>0</v>
      </c>
      <c r="AZ71" s="91">
        <f>SUM(AQ71,AT71,AW71)/3</f>
        <v>0</v>
      </c>
      <c r="BA71" s="99">
        <f t="shared" si="108"/>
        <v>0</v>
      </c>
      <c r="BB71" s="76">
        <f>SUM(F71,I71,L71,R71,U71,X71,AD71,AG71,AJ71,AP71,AS71,AV71)/12</f>
        <v>0</v>
      </c>
      <c r="BC71" s="91">
        <f>SUM(G71,J71,M71,S71,V71,Y71,AE71,AH71,AK71,AQ71,AT71,AW71)/12</f>
        <v>0</v>
      </c>
      <c r="BD71" s="99">
        <f t="shared" si="109"/>
        <v>0</v>
      </c>
      <c r="BE71" s="76"/>
      <c r="BF71" s="76"/>
      <c r="BG71" s="76">
        <f>(BB71+BE71+BF71)/3</f>
        <v>0</v>
      </c>
    </row>
    <row r="72" spans="1:59" s="124" customFormat="1" ht="15" collapsed="1" x14ac:dyDescent="0.25">
      <c r="A72" s="85"/>
      <c r="B72" s="59"/>
      <c r="C72" s="118"/>
      <c r="D72" s="87"/>
      <c r="E72" s="87"/>
      <c r="F72" s="129"/>
      <c r="G72" s="130"/>
      <c r="H72" s="131"/>
      <c r="I72" s="129"/>
      <c r="J72" s="130"/>
      <c r="K72" s="131"/>
      <c r="L72" s="129"/>
      <c r="M72" s="130"/>
      <c r="N72" s="131"/>
      <c r="O72" s="129"/>
      <c r="P72" s="130"/>
      <c r="Q72" s="131"/>
      <c r="R72" s="129"/>
      <c r="S72" s="130"/>
      <c r="T72" s="131"/>
      <c r="U72" s="129"/>
      <c r="V72" s="130"/>
      <c r="W72" s="131"/>
      <c r="X72" s="129"/>
      <c r="Y72" s="130"/>
      <c r="Z72" s="131"/>
      <c r="AA72" s="129"/>
      <c r="AB72" s="130"/>
      <c r="AC72" s="131"/>
      <c r="AD72" s="129"/>
      <c r="AE72" s="130"/>
      <c r="AF72" s="131"/>
      <c r="AG72" s="129"/>
      <c r="AH72" s="130"/>
      <c r="AI72" s="131"/>
      <c r="AJ72" s="129"/>
      <c r="AK72" s="130"/>
      <c r="AL72" s="131"/>
      <c r="AM72" s="129"/>
      <c r="AN72" s="130"/>
      <c r="AO72" s="131"/>
      <c r="AP72" s="129"/>
      <c r="AQ72" s="130"/>
      <c r="AR72" s="131"/>
      <c r="AS72" s="129"/>
      <c r="AT72" s="130"/>
      <c r="AU72" s="131"/>
      <c r="AV72" s="129"/>
      <c r="AW72" s="130"/>
      <c r="AX72" s="131"/>
      <c r="AY72" s="129"/>
      <c r="AZ72" s="130"/>
      <c r="BA72" s="131"/>
      <c r="BB72" s="129"/>
      <c r="BC72" s="130"/>
      <c r="BD72" s="131"/>
      <c r="BE72" s="129"/>
      <c r="BF72" s="129"/>
      <c r="BG72" s="129"/>
    </row>
    <row r="73" spans="1:59" s="124" customFormat="1" ht="29.25" customHeight="1" x14ac:dyDescent="0.25">
      <c r="A73" s="202" t="s">
        <v>67</v>
      </c>
      <c r="B73" s="203"/>
      <c r="C73" s="203"/>
      <c r="D73" s="50"/>
      <c r="E73" s="50"/>
      <c r="F73" s="48"/>
      <c r="G73" s="47"/>
      <c r="H73" s="49"/>
      <c r="I73" s="48"/>
      <c r="J73" s="47"/>
      <c r="K73" s="49"/>
      <c r="L73" s="48"/>
      <c r="M73" s="47"/>
      <c r="N73" s="49"/>
      <c r="O73" s="48"/>
      <c r="P73" s="47"/>
      <c r="Q73" s="49"/>
      <c r="R73" s="48"/>
      <c r="S73" s="47"/>
      <c r="T73" s="49"/>
      <c r="U73" s="48"/>
      <c r="V73" s="47"/>
      <c r="W73" s="49"/>
      <c r="X73" s="48"/>
      <c r="Y73" s="47"/>
      <c r="Z73" s="49"/>
      <c r="AA73" s="48"/>
      <c r="AB73" s="47"/>
      <c r="AC73" s="49"/>
      <c r="AD73" s="48"/>
      <c r="AE73" s="47"/>
      <c r="AF73" s="49"/>
      <c r="AG73" s="48"/>
      <c r="AH73" s="47"/>
      <c r="AI73" s="49"/>
      <c r="AJ73" s="48"/>
      <c r="AK73" s="47"/>
      <c r="AL73" s="49"/>
      <c r="AM73" s="48"/>
      <c r="AN73" s="47"/>
      <c r="AO73" s="49"/>
      <c r="AP73" s="48"/>
      <c r="AQ73" s="47"/>
      <c r="AR73" s="49"/>
      <c r="AS73" s="48"/>
      <c r="AT73" s="47"/>
      <c r="AU73" s="49"/>
      <c r="AV73" s="48"/>
      <c r="AW73" s="47"/>
      <c r="AX73" s="49"/>
      <c r="AY73" s="48"/>
      <c r="AZ73" s="47"/>
      <c r="BA73" s="49"/>
      <c r="BB73" s="48"/>
      <c r="BC73" s="47"/>
      <c r="BD73" s="49"/>
      <c r="BE73" s="95"/>
      <c r="BF73" s="95"/>
      <c r="BG73" s="95"/>
    </row>
    <row r="74" spans="1:59" s="124" customFormat="1" ht="15.75" thickBot="1" x14ac:dyDescent="0.3">
      <c r="A74" s="60"/>
      <c r="B74" s="61"/>
      <c r="C74" s="119"/>
      <c r="D74" s="57"/>
      <c r="E74" s="57"/>
      <c r="F74" s="56"/>
      <c r="G74" s="89"/>
      <c r="H74" s="97"/>
      <c r="I74" s="56"/>
      <c r="J74" s="89"/>
      <c r="K74" s="97"/>
      <c r="L74" s="56"/>
      <c r="M74" s="89"/>
      <c r="N74" s="97"/>
      <c r="O74" s="56"/>
      <c r="P74" s="89"/>
      <c r="Q74" s="97"/>
      <c r="R74" s="56"/>
      <c r="S74" s="89"/>
      <c r="T74" s="97"/>
      <c r="U74" s="56"/>
      <c r="V74" s="89"/>
      <c r="W74" s="97"/>
      <c r="X74" s="56"/>
      <c r="Y74" s="89"/>
      <c r="Z74" s="97"/>
      <c r="AA74" s="56"/>
      <c r="AB74" s="89"/>
      <c r="AC74" s="97"/>
      <c r="AD74" s="56"/>
      <c r="AE74" s="89"/>
      <c r="AF74" s="97"/>
      <c r="AG74" s="56"/>
      <c r="AH74" s="89"/>
      <c r="AI74" s="97"/>
      <c r="AJ74" s="56"/>
      <c r="AK74" s="89"/>
      <c r="AL74" s="97"/>
      <c r="AM74" s="56"/>
      <c r="AN74" s="89"/>
      <c r="AO74" s="97"/>
      <c r="AP74" s="56"/>
      <c r="AQ74" s="89"/>
      <c r="AR74" s="97"/>
      <c r="AS74" s="56"/>
      <c r="AT74" s="89"/>
      <c r="AU74" s="97"/>
      <c r="AV74" s="56"/>
      <c r="AW74" s="89"/>
      <c r="AX74" s="97"/>
      <c r="AY74" s="56"/>
      <c r="AZ74" s="89"/>
      <c r="BA74" s="97"/>
      <c r="BB74" s="56"/>
      <c r="BC74" s="89"/>
      <c r="BD74" s="97"/>
      <c r="BE74" s="56"/>
      <c r="BF74" s="56"/>
      <c r="BG74" s="56"/>
    </row>
    <row r="75" spans="1:59" s="124" customFormat="1" ht="15.75" thickBot="1" x14ac:dyDescent="0.3">
      <c r="A75" s="51" t="s">
        <v>68</v>
      </c>
      <c r="B75" s="52" t="s">
        <v>69</v>
      </c>
      <c r="C75" s="116" t="s">
        <v>70</v>
      </c>
      <c r="D75" s="28">
        <f>SUM(D76:D79)</f>
        <v>0</v>
      </c>
      <c r="E75" s="28">
        <f>SUM(E76:E79)</f>
        <v>0</v>
      </c>
      <c r="F75" s="53">
        <f>SUM(F76:F79)</f>
        <v>0</v>
      </c>
      <c r="G75" s="88">
        <f>SUM(G76:G79)</f>
        <v>0</v>
      </c>
      <c r="H75" s="96">
        <f t="shared" ref="H75:H101" si="290">G75-F75</f>
        <v>0</v>
      </c>
      <c r="I75" s="53">
        <f>SUM(I76:I79)</f>
        <v>0</v>
      </c>
      <c r="J75" s="88">
        <f>SUM(J76:J79)</f>
        <v>0</v>
      </c>
      <c r="K75" s="96">
        <f t="shared" ref="K75:K101" si="291">J75-I75</f>
        <v>0</v>
      </c>
      <c r="L75" s="53">
        <f>SUM(L76:L79)</f>
        <v>0</v>
      </c>
      <c r="M75" s="88">
        <f>SUM(M76:M79)</f>
        <v>0</v>
      </c>
      <c r="N75" s="96">
        <f t="shared" ref="N75:N101" si="292">M75-L75</f>
        <v>0</v>
      </c>
      <c r="O75" s="53">
        <f>SUM(O76:O79)</f>
        <v>0</v>
      </c>
      <c r="P75" s="88">
        <f>SUM(P76:P79)</f>
        <v>0</v>
      </c>
      <c r="Q75" s="96">
        <f t="shared" ref="Q75:Q101" si="293">P75-O75</f>
        <v>0</v>
      </c>
      <c r="R75" s="53">
        <f>SUM(R76:R79)</f>
        <v>0</v>
      </c>
      <c r="S75" s="88">
        <f>SUM(S76:S79)</f>
        <v>0</v>
      </c>
      <c r="T75" s="96">
        <f t="shared" ref="T75:T101" si="294">S75-R75</f>
        <v>0</v>
      </c>
      <c r="U75" s="53">
        <f>SUM(U76:U79)</f>
        <v>0</v>
      </c>
      <c r="V75" s="88">
        <f>SUM(V76:V79)</f>
        <v>0</v>
      </c>
      <c r="W75" s="96">
        <f t="shared" ref="W75:W101" si="295">V75-U75</f>
        <v>0</v>
      </c>
      <c r="X75" s="53">
        <f>SUM(X76:X79)</f>
        <v>0</v>
      </c>
      <c r="Y75" s="88">
        <f>SUM(Y76:Y79)</f>
        <v>0</v>
      </c>
      <c r="Z75" s="96">
        <f t="shared" ref="Z75:Z101" si="296">Y75-X75</f>
        <v>0</v>
      </c>
      <c r="AA75" s="53">
        <f>SUM(AA76:AA79)</f>
        <v>0</v>
      </c>
      <c r="AB75" s="88">
        <f>SUM(AB76:AB79)</f>
        <v>0</v>
      </c>
      <c r="AC75" s="96">
        <f t="shared" ref="AC75:AC101" si="297">AB75-AA75</f>
        <v>0</v>
      </c>
      <c r="AD75" s="53">
        <f>SUM(AD76:AD79)</f>
        <v>0</v>
      </c>
      <c r="AE75" s="88">
        <f>SUM(AE76:AE79)</f>
        <v>0</v>
      </c>
      <c r="AF75" s="96">
        <f t="shared" ref="AF75:AF101" si="298">AE75-AD75</f>
        <v>0</v>
      </c>
      <c r="AG75" s="53">
        <f>SUM(AG76:AG79)</f>
        <v>0</v>
      </c>
      <c r="AH75" s="88">
        <f>SUM(AH76:AH79)</f>
        <v>0</v>
      </c>
      <c r="AI75" s="96">
        <f t="shared" ref="AI75:AI101" si="299">AH75-AG75</f>
        <v>0</v>
      </c>
      <c r="AJ75" s="53">
        <f>SUM(AJ76:AJ79)</f>
        <v>0</v>
      </c>
      <c r="AK75" s="88">
        <f>SUM(AK76:AK79)</f>
        <v>0</v>
      </c>
      <c r="AL75" s="96">
        <f t="shared" ref="AL75:AL101" si="300">AK75-AJ75</f>
        <v>0</v>
      </c>
      <c r="AM75" s="53">
        <f>SUM(AM76:AM79)</f>
        <v>0</v>
      </c>
      <c r="AN75" s="88">
        <f>SUM(AN76:AN79)</f>
        <v>0</v>
      </c>
      <c r="AO75" s="96">
        <f t="shared" ref="AO75:AO101" si="301">AN75-AM75</f>
        <v>0</v>
      </c>
      <c r="AP75" s="53">
        <f>SUM(AP76:AP79)</f>
        <v>0</v>
      </c>
      <c r="AQ75" s="88">
        <f>SUM(AQ76:AQ79)</f>
        <v>0</v>
      </c>
      <c r="AR75" s="96">
        <f t="shared" ref="AR75:AR101" si="302">AQ75-AP75</f>
        <v>0</v>
      </c>
      <c r="AS75" s="53">
        <f>SUM(AS76:AS79)</f>
        <v>0</v>
      </c>
      <c r="AT75" s="88">
        <f>SUM(AT76:AT79)</f>
        <v>0</v>
      </c>
      <c r="AU75" s="96">
        <f t="shared" ref="AU75:AU101" si="303">AT75-AS75</f>
        <v>0</v>
      </c>
      <c r="AV75" s="53">
        <f>SUM(AV76:AV79)</f>
        <v>0</v>
      </c>
      <c r="AW75" s="88">
        <f>SUM(AW76:AW79)</f>
        <v>0</v>
      </c>
      <c r="AX75" s="96">
        <f t="shared" ref="AX75:AX101" si="304">AW75-AV75</f>
        <v>0</v>
      </c>
      <c r="AY75" s="53">
        <f>SUM(AY76:AY79)</f>
        <v>0</v>
      </c>
      <c r="AZ75" s="88">
        <f>SUM(AZ76:AZ79)</f>
        <v>0</v>
      </c>
      <c r="BA75" s="96">
        <f t="shared" ref="BA75:BA101" si="305">AZ75-AY75</f>
        <v>0</v>
      </c>
      <c r="BB75" s="53">
        <f>SUM(BB76:BB79)</f>
        <v>0</v>
      </c>
      <c r="BC75" s="88">
        <f>SUM(BC76:BC79)</f>
        <v>0</v>
      </c>
      <c r="BD75" s="96">
        <f t="shared" ref="BD75:BD101" si="306">BC75-BB75</f>
        <v>0</v>
      </c>
      <c r="BE75" s="53">
        <f>SUM(BE76:BE79)</f>
        <v>0</v>
      </c>
      <c r="BF75" s="53">
        <f>SUM(BF76:BF79)</f>
        <v>0</v>
      </c>
      <c r="BG75" s="53">
        <f>SUM(BG76:BG79)</f>
        <v>0</v>
      </c>
    </row>
    <row r="76" spans="1:59" s="127" customFormat="1" ht="13.5" hidden="1" outlineLevel="1" x14ac:dyDescent="0.25">
      <c r="A76" s="27"/>
      <c r="B76" s="83" t="s">
        <v>28</v>
      </c>
      <c r="C76" s="117" t="s">
        <v>70</v>
      </c>
      <c r="D76" s="19">
        <f t="shared" ref="D76:G79" si="307">D81+D93+D98</f>
        <v>0</v>
      </c>
      <c r="E76" s="19">
        <f t="shared" si="307"/>
        <v>0</v>
      </c>
      <c r="F76" s="23">
        <f t="shared" si="307"/>
        <v>0</v>
      </c>
      <c r="G76" s="22">
        <f t="shared" si="307"/>
        <v>0</v>
      </c>
      <c r="H76" s="21">
        <f t="shared" si="290"/>
        <v>0</v>
      </c>
      <c r="I76" s="23">
        <f t="shared" ref="I76:J79" si="308">I81+I93+I98</f>
        <v>0</v>
      </c>
      <c r="J76" s="22">
        <f t="shared" si="308"/>
        <v>0</v>
      </c>
      <c r="K76" s="21">
        <f t="shared" si="291"/>
        <v>0</v>
      </c>
      <c r="L76" s="23">
        <f t="shared" ref="L76:M79" si="309">L81+L93+L98</f>
        <v>0</v>
      </c>
      <c r="M76" s="22">
        <f t="shared" si="309"/>
        <v>0</v>
      </c>
      <c r="N76" s="21">
        <f t="shared" si="292"/>
        <v>0</v>
      </c>
      <c r="O76" s="23">
        <f t="shared" ref="O76:P79" si="310">O81+O93+O98</f>
        <v>0</v>
      </c>
      <c r="P76" s="22">
        <f t="shared" si="310"/>
        <v>0</v>
      </c>
      <c r="Q76" s="21">
        <f t="shared" si="293"/>
        <v>0</v>
      </c>
      <c r="R76" s="23">
        <f t="shared" ref="R76:S79" si="311">R81+R93+R98</f>
        <v>0</v>
      </c>
      <c r="S76" s="22">
        <f t="shared" si="311"/>
        <v>0</v>
      </c>
      <c r="T76" s="21">
        <f t="shared" si="294"/>
        <v>0</v>
      </c>
      <c r="U76" s="23">
        <f t="shared" ref="U76:V79" si="312">U81+U93+U98</f>
        <v>0</v>
      </c>
      <c r="V76" s="22">
        <f t="shared" si="312"/>
        <v>0</v>
      </c>
      <c r="W76" s="21">
        <f t="shared" si="295"/>
        <v>0</v>
      </c>
      <c r="X76" s="23">
        <f t="shared" ref="X76:Y79" si="313">X81+X93+X98</f>
        <v>0</v>
      </c>
      <c r="Y76" s="22">
        <f t="shared" si="313"/>
        <v>0</v>
      </c>
      <c r="Z76" s="21">
        <f t="shared" si="296"/>
        <v>0</v>
      </c>
      <c r="AA76" s="23">
        <f t="shared" ref="AA76:AB79" si="314">AA81+AA93+AA98</f>
        <v>0</v>
      </c>
      <c r="AB76" s="22">
        <f t="shared" si="314"/>
        <v>0</v>
      </c>
      <c r="AC76" s="21">
        <f t="shared" si="297"/>
        <v>0</v>
      </c>
      <c r="AD76" s="23">
        <f t="shared" ref="AD76:AE79" si="315">AD81+AD93+AD98</f>
        <v>0</v>
      </c>
      <c r="AE76" s="22">
        <f t="shared" si="315"/>
        <v>0</v>
      </c>
      <c r="AF76" s="21">
        <f t="shared" si="298"/>
        <v>0</v>
      </c>
      <c r="AG76" s="23">
        <f t="shared" ref="AG76:AH79" si="316">AG81+AG93+AG98</f>
        <v>0</v>
      </c>
      <c r="AH76" s="22">
        <f t="shared" si="316"/>
        <v>0</v>
      </c>
      <c r="AI76" s="21">
        <f t="shared" si="299"/>
        <v>0</v>
      </c>
      <c r="AJ76" s="23">
        <f t="shared" ref="AJ76:AK79" si="317">AJ81+AJ93+AJ98</f>
        <v>0</v>
      </c>
      <c r="AK76" s="22">
        <f t="shared" si="317"/>
        <v>0</v>
      </c>
      <c r="AL76" s="21">
        <f t="shared" si="300"/>
        <v>0</v>
      </c>
      <c r="AM76" s="23">
        <f t="shared" ref="AM76:AN79" si="318">AM81+AM93+AM98</f>
        <v>0</v>
      </c>
      <c r="AN76" s="22">
        <f t="shared" si="318"/>
        <v>0</v>
      </c>
      <c r="AO76" s="21">
        <f t="shared" si="301"/>
        <v>0</v>
      </c>
      <c r="AP76" s="23">
        <f t="shared" ref="AP76:AQ79" si="319">AP81+AP93+AP98</f>
        <v>0</v>
      </c>
      <c r="AQ76" s="22">
        <f t="shared" si="319"/>
        <v>0</v>
      </c>
      <c r="AR76" s="21">
        <f t="shared" si="302"/>
        <v>0</v>
      </c>
      <c r="AS76" s="23">
        <f t="shared" ref="AS76:AT79" si="320">AS81+AS93+AS98</f>
        <v>0</v>
      </c>
      <c r="AT76" s="22">
        <f t="shared" si="320"/>
        <v>0</v>
      </c>
      <c r="AU76" s="21">
        <f t="shared" si="303"/>
        <v>0</v>
      </c>
      <c r="AV76" s="23">
        <f t="shared" ref="AV76:AW79" si="321">AV81+AV93+AV98</f>
        <v>0</v>
      </c>
      <c r="AW76" s="22">
        <f t="shared" si="321"/>
        <v>0</v>
      </c>
      <c r="AX76" s="21">
        <f t="shared" si="304"/>
        <v>0</v>
      </c>
      <c r="AY76" s="23">
        <f t="shared" ref="AY76:AZ79" si="322">AY81+AY93+AY98</f>
        <v>0</v>
      </c>
      <c r="AZ76" s="22">
        <f t="shared" si="322"/>
        <v>0</v>
      </c>
      <c r="BA76" s="21">
        <f t="shared" si="305"/>
        <v>0</v>
      </c>
      <c r="BB76" s="23">
        <f t="shared" ref="BB76:BC79" si="323">SUM(F76,I76,L76,R76,U76,X76,AD76,AG76,AJ76,AP76,AS76,AV76)</f>
        <v>0</v>
      </c>
      <c r="BC76" s="22">
        <f t="shared" si="323"/>
        <v>0</v>
      </c>
      <c r="BD76" s="21">
        <f t="shared" si="306"/>
        <v>0</v>
      </c>
      <c r="BE76" s="23">
        <f t="shared" ref="BE76:BG79" si="324">BE81+BE93+BE98</f>
        <v>0</v>
      </c>
      <c r="BF76" s="23">
        <f t="shared" si="324"/>
        <v>0</v>
      </c>
      <c r="BG76" s="23">
        <f t="shared" si="324"/>
        <v>0</v>
      </c>
    </row>
    <row r="77" spans="1:59" ht="13.5" hidden="1" customHeight="1" outlineLevel="1" x14ac:dyDescent="0.25">
      <c r="A77" s="82"/>
      <c r="B77" s="83" t="s">
        <v>29</v>
      </c>
      <c r="C77" s="117" t="s">
        <v>70</v>
      </c>
      <c r="D77" s="19">
        <f t="shared" si="307"/>
        <v>0</v>
      </c>
      <c r="E77" s="19">
        <f t="shared" si="307"/>
        <v>0</v>
      </c>
      <c r="F77" s="23">
        <f t="shared" si="307"/>
        <v>0</v>
      </c>
      <c r="G77" s="22">
        <f t="shared" si="307"/>
        <v>0</v>
      </c>
      <c r="H77" s="21">
        <f t="shared" si="290"/>
        <v>0</v>
      </c>
      <c r="I77" s="23">
        <f t="shared" si="308"/>
        <v>0</v>
      </c>
      <c r="J77" s="22">
        <f t="shared" si="308"/>
        <v>0</v>
      </c>
      <c r="K77" s="21">
        <f t="shared" si="291"/>
        <v>0</v>
      </c>
      <c r="L77" s="23">
        <f t="shared" si="309"/>
        <v>0</v>
      </c>
      <c r="M77" s="22">
        <f t="shared" si="309"/>
        <v>0</v>
      </c>
      <c r="N77" s="21">
        <f t="shared" si="292"/>
        <v>0</v>
      </c>
      <c r="O77" s="23">
        <f t="shared" si="310"/>
        <v>0</v>
      </c>
      <c r="P77" s="22">
        <f t="shared" si="310"/>
        <v>0</v>
      </c>
      <c r="Q77" s="21">
        <f t="shared" si="293"/>
        <v>0</v>
      </c>
      <c r="R77" s="23">
        <f t="shared" si="311"/>
        <v>0</v>
      </c>
      <c r="S77" s="22">
        <f t="shared" si="311"/>
        <v>0</v>
      </c>
      <c r="T77" s="21">
        <f t="shared" si="294"/>
        <v>0</v>
      </c>
      <c r="U77" s="23">
        <f t="shared" si="312"/>
        <v>0</v>
      </c>
      <c r="V77" s="22">
        <f t="shared" si="312"/>
        <v>0</v>
      </c>
      <c r="W77" s="21">
        <f t="shared" si="295"/>
        <v>0</v>
      </c>
      <c r="X77" s="23">
        <f t="shared" si="313"/>
        <v>0</v>
      </c>
      <c r="Y77" s="22">
        <f t="shared" si="313"/>
        <v>0</v>
      </c>
      <c r="Z77" s="21">
        <f t="shared" si="296"/>
        <v>0</v>
      </c>
      <c r="AA77" s="23">
        <f t="shared" si="314"/>
        <v>0</v>
      </c>
      <c r="AB77" s="22">
        <f t="shared" si="314"/>
        <v>0</v>
      </c>
      <c r="AC77" s="21">
        <f t="shared" si="297"/>
        <v>0</v>
      </c>
      <c r="AD77" s="23">
        <f t="shared" si="315"/>
        <v>0</v>
      </c>
      <c r="AE77" s="22">
        <f t="shared" si="315"/>
        <v>0</v>
      </c>
      <c r="AF77" s="21">
        <f t="shared" si="298"/>
        <v>0</v>
      </c>
      <c r="AG77" s="23">
        <f t="shared" si="316"/>
        <v>0</v>
      </c>
      <c r="AH77" s="22">
        <f t="shared" si="316"/>
        <v>0</v>
      </c>
      <c r="AI77" s="21">
        <f t="shared" si="299"/>
        <v>0</v>
      </c>
      <c r="AJ77" s="23">
        <f t="shared" si="317"/>
        <v>0</v>
      </c>
      <c r="AK77" s="22">
        <f t="shared" si="317"/>
        <v>0</v>
      </c>
      <c r="AL77" s="21">
        <f t="shared" si="300"/>
        <v>0</v>
      </c>
      <c r="AM77" s="23">
        <f t="shared" si="318"/>
        <v>0</v>
      </c>
      <c r="AN77" s="22">
        <f t="shared" si="318"/>
        <v>0</v>
      </c>
      <c r="AO77" s="21">
        <f t="shared" si="301"/>
        <v>0</v>
      </c>
      <c r="AP77" s="23">
        <f t="shared" si="319"/>
        <v>0</v>
      </c>
      <c r="AQ77" s="22">
        <f t="shared" si="319"/>
        <v>0</v>
      </c>
      <c r="AR77" s="21">
        <f t="shared" si="302"/>
        <v>0</v>
      </c>
      <c r="AS77" s="23">
        <f t="shared" si="320"/>
        <v>0</v>
      </c>
      <c r="AT77" s="22">
        <f t="shared" si="320"/>
        <v>0</v>
      </c>
      <c r="AU77" s="21">
        <f t="shared" si="303"/>
        <v>0</v>
      </c>
      <c r="AV77" s="23">
        <f t="shared" si="321"/>
        <v>0</v>
      </c>
      <c r="AW77" s="22">
        <f t="shared" si="321"/>
        <v>0</v>
      </c>
      <c r="AX77" s="21">
        <f t="shared" si="304"/>
        <v>0</v>
      </c>
      <c r="AY77" s="23">
        <f t="shared" si="322"/>
        <v>0</v>
      </c>
      <c r="AZ77" s="22">
        <f t="shared" si="322"/>
        <v>0</v>
      </c>
      <c r="BA77" s="21">
        <f t="shared" si="305"/>
        <v>0</v>
      </c>
      <c r="BB77" s="23">
        <f t="shared" si="323"/>
        <v>0</v>
      </c>
      <c r="BC77" s="22">
        <f t="shared" si="323"/>
        <v>0</v>
      </c>
      <c r="BD77" s="21">
        <f t="shared" si="306"/>
        <v>0</v>
      </c>
      <c r="BE77" s="23">
        <f t="shared" si="324"/>
        <v>0</v>
      </c>
      <c r="BF77" s="23">
        <f t="shared" si="324"/>
        <v>0</v>
      </c>
      <c r="BG77" s="23">
        <f t="shared" si="324"/>
        <v>0</v>
      </c>
    </row>
    <row r="78" spans="1:59" ht="13.5" hidden="1" customHeight="1" outlineLevel="1" x14ac:dyDescent="0.25">
      <c r="A78" s="82"/>
      <c r="B78" s="83" t="s">
        <v>30</v>
      </c>
      <c r="C78" s="117" t="s">
        <v>70</v>
      </c>
      <c r="D78" s="19">
        <f t="shared" si="307"/>
        <v>0</v>
      </c>
      <c r="E78" s="19">
        <f t="shared" si="307"/>
        <v>0</v>
      </c>
      <c r="F78" s="23">
        <f t="shared" si="307"/>
        <v>0</v>
      </c>
      <c r="G78" s="22">
        <f t="shared" si="307"/>
        <v>0</v>
      </c>
      <c r="H78" s="21">
        <f t="shared" si="290"/>
        <v>0</v>
      </c>
      <c r="I78" s="23">
        <f t="shared" si="308"/>
        <v>0</v>
      </c>
      <c r="J78" s="22">
        <f t="shared" si="308"/>
        <v>0</v>
      </c>
      <c r="K78" s="21">
        <f t="shared" si="291"/>
        <v>0</v>
      </c>
      <c r="L78" s="23">
        <f t="shared" si="309"/>
        <v>0</v>
      </c>
      <c r="M78" s="22">
        <f t="shared" si="309"/>
        <v>0</v>
      </c>
      <c r="N78" s="21">
        <f t="shared" si="292"/>
        <v>0</v>
      </c>
      <c r="O78" s="23">
        <f t="shared" si="310"/>
        <v>0</v>
      </c>
      <c r="P78" s="22">
        <f t="shared" si="310"/>
        <v>0</v>
      </c>
      <c r="Q78" s="21">
        <f t="shared" si="293"/>
        <v>0</v>
      </c>
      <c r="R78" s="23">
        <f t="shared" si="311"/>
        <v>0</v>
      </c>
      <c r="S78" s="22">
        <f t="shared" si="311"/>
        <v>0</v>
      </c>
      <c r="T78" s="21">
        <f t="shared" si="294"/>
        <v>0</v>
      </c>
      <c r="U78" s="23">
        <f t="shared" si="312"/>
        <v>0</v>
      </c>
      <c r="V78" s="22">
        <f t="shared" si="312"/>
        <v>0</v>
      </c>
      <c r="W78" s="21">
        <f t="shared" si="295"/>
        <v>0</v>
      </c>
      <c r="X78" s="23">
        <f t="shared" si="313"/>
        <v>0</v>
      </c>
      <c r="Y78" s="22">
        <f t="shared" si="313"/>
        <v>0</v>
      </c>
      <c r="Z78" s="21">
        <f t="shared" si="296"/>
        <v>0</v>
      </c>
      <c r="AA78" s="23">
        <f t="shared" si="314"/>
        <v>0</v>
      </c>
      <c r="AB78" s="22">
        <f t="shared" si="314"/>
        <v>0</v>
      </c>
      <c r="AC78" s="21">
        <f t="shared" si="297"/>
        <v>0</v>
      </c>
      <c r="AD78" s="23">
        <f t="shared" si="315"/>
        <v>0</v>
      </c>
      <c r="AE78" s="22">
        <f t="shared" si="315"/>
        <v>0</v>
      </c>
      <c r="AF78" s="21">
        <f t="shared" si="298"/>
        <v>0</v>
      </c>
      <c r="AG78" s="23">
        <f t="shared" si="316"/>
        <v>0</v>
      </c>
      <c r="AH78" s="22">
        <f t="shared" si="316"/>
        <v>0</v>
      </c>
      <c r="AI78" s="21">
        <f t="shared" si="299"/>
        <v>0</v>
      </c>
      <c r="AJ78" s="23">
        <f t="shared" si="317"/>
        <v>0</v>
      </c>
      <c r="AK78" s="22">
        <f t="shared" si="317"/>
        <v>0</v>
      </c>
      <c r="AL78" s="21">
        <f t="shared" si="300"/>
        <v>0</v>
      </c>
      <c r="AM78" s="23">
        <f t="shared" si="318"/>
        <v>0</v>
      </c>
      <c r="AN78" s="22">
        <f t="shared" si="318"/>
        <v>0</v>
      </c>
      <c r="AO78" s="21">
        <f t="shared" si="301"/>
        <v>0</v>
      </c>
      <c r="AP78" s="23">
        <f t="shared" si="319"/>
        <v>0</v>
      </c>
      <c r="AQ78" s="22">
        <f t="shared" si="319"/>
        <v>0</v>
      </c>
      <c r="AR78" s="21">
        <f t="shared" si="302"/>
        <v>0</v>
      </c>
      <c r="AS78" s="23">
        <f t="shared" si="320"/>
        <v>0</v>
      </c>
      <c r="AT78" s="22">
        <f t="shared" si="320"/>
        <v>0</v>
      </c>
      <c r="AU78" s="21">
        <f t="shared" si="303"/>
        <v>0</v>
      </c>
      <c r="AV78" s="23">
        <f t="shared" si="321"/>
        <v>0</v>
      </c>
      <c r="AW78" s="22">
        <f t="shared" si="321"/>
        <v>0</v>
      </c>
      <c r="AX78" s="21">
        <f t="shared" si="304"/>
        <v>0</v>
      </c>
      <c r="AY78" s="23">
        <f t="shared" si="322"/>
        <v>0</v>
      </c>
      <c r="AZ78" s="22">
        <f t="shared" si="322"/>
        <v>0</v>
      </c>
      <c r="BA78" s="21">
        <f t="shared" si="305"/>
        <v>0</v>
      </c>
      <c r="BB78" s="23">
        <f t="shared" si="323"/>
        <v>0</v>
      </c>
      <c r="BC78" s="22">
        <f t="shared" si="323"/>
        <v>0</v>
      </c>
      <c r="BD78" s="21">
        <f t="shared" si="306"/>
        <v>0</v>
      </c>
      <c r="BE78" s="23">
        <f t="shared" si="324"/>
        <v>0</v>
      </c>
      <c r="BF78" s="23">
        <f t="shared" si="324"/>
        <v>0</v>
      </c>
      <c r="BG78" s="23">
        <f t="shared" si="324"/>
        <v>0</v>
      </c>
    </row>
    <row r="79" spans="1:59" ht="13.5" hidden="1" customHeight="1" outlineLevel="1" thickBot="1" x14ac:dyDescent="0.3">
      <c r="A79" s="82"/>
      <c r="B79" s="83" t="s">
        <v>31</v>
      </c>
      <c r="C79" s="117" t="s">
        <v>70</v>
      </c>
      <c r="D79" s="19">
        <f t="shared" si="307"/>
        <v>0</v>
      </c>
      <c r="E79" s="19">
        <f t="shared" si="307"/>
        <v>0</v>
      </c>
      <c r="F79" s="23">
        <f t="shared" si="307"/>
        <v>0</v>
      </c>
      <c r="G79" s="22">
        <f t="shared" si="307"/>
        <v>0</v>
      </c>
      <c r="H79" s="21">
        <f t="shared" si="290"/>
        <v>0</v>
      </c>
      <c r="I79" s="23">
        <f t="shared" si="308"/>
        <v>0</v>
      </c>
      <c r="J79" s="22">
        <f t="shared" si="308"/>
        <v>0</v>
      </c>
      <c r="K79" s="21">
        <f t="shared" si="291"/>
        <v>0</v>
      </c>
      <c r="L79" s="23">
        <f t="shared" si="309"/>
        <v>0</v>
      </c>
      <c r="M79" s="22">
        <f t="shared" si="309"/>
        <v>0</v>
      </c>
      <c r="N79" s="21">
        <f t="shared" si="292"/>
        <v>0</v>
      </c>
      <c r="O79" s="23">
        <f t="shared" si="310"/>
        <v>0</v>
      </c>
      <c r="P79" s="22">
        <f t="shared" si="310"/>
        <v>0</v>
      </c>
      <c r="Q79" s="21">
        <f t="shared" si="293"/>
        <v>0</v>
      </c>
      <c r="R79" s="23">
        <f t="shared" si="311"/>
        <v>0</v>
      </c>
      <c r="S79" s="22">
        <f t="shared" si="311"/>
        <v>0</v>
      </c>
      <c r="T79" s="21">
        <f t="shared" si="294"/>
        <v>0</v>
      </c>
      <c r="U79" s="23">
        <f t="shared" si="312"/>
        <v>0</v>
      </c>
      <c r="V79" s="22">
        <f t="shared" si="312"/>
        <v>0</v>
      </c>
      <c r="W79" s="21">
        <f t="shared" si="295"/>
        <v>0</v>
      </c>
      <c r="X79" s="23">
        <f t="shared" si="313"/>
        <v>0</v>
      </c>
      <c r="Y79" s="22">
        <f t="shared" si="313"/>
        <v>0</v>
      </c>
      <c r="Z79" s="21">
        <f t="shared" si="296"/>
        <v>0</v>
      </c>
      <c r="AA79" s="23">
        <f t="shared" si="314"/>
        <v>0</v>
      </c>
      <c r="AB79" s="22">
        <f t="shared" si="314"/>
        <v>0</v>
      </c>
      <c r="AC79" s="21">
        <f t="shared" si="297"/>
        <v>0</v>
      </c>
      <c r="AD79" s="23">
        <f t="shared" si="315"/>
        <v>0</v>
      </c>
      <c r="AE79" s="22">
        <f t="shared" si="315"/>
        <v>0</v>
      </c>
      <c r="AF79" s="21">
        <f t="shared" si="298"/>
        <v>0</v>
      </c>
      <c r="AG79" s="23">
        <f t="shared" si="316"/>
        <v>0</v>
      </c>
      <c r="AH79" s="22">
        <f t="shared" si="316"/>
        <v>0</v>
      </c>
      <c r="AI79" s="21">
        <f t="shared" si="299"/>
        <v>0</v>
      </c>
      <c r="AJ79" s="23">
        <f t="shared" si="317"/>
        <v>0</v>
      </c>
      <c r="AK79" s="22">
        <f t="shared" si="317"/>
        <v>0</v>
      </c>
      <c r="AL79" s="21">
        <f t="shared" si="300"/>
        <v>0</v>
      </c>
      <c r="AM79" s="23">
        <f t="shared" si="318"/>
        <v>0</v>
      </c>
      <c r="AN79" s="22">
        <f t="shared" si="318"/>
        <v>0</v>
      </c>
      <c r="AO79" s="21">
        <f t="shared" si="301"/>
        <v>0</v>
      </c>
      <c r="AP79" s="23">
        <f t="shared" si="319"/>
        <v>0</v>
      </c>
      <c r="AQ79" s="22">
        <f t="shared" si="319"/>
        <v>0</v>
      </c>
      <c r="AR79" s="21">
        <f t="shared" si="302"/>
        <v>0</v>
      </c>
      <c r="AS79" s="23">
        <f t="shared" si="320"/>
        <v>0</v>
      </c>
      <c r="AT79" s="22">
        <f t="shared" si="320"/>
        <v>0</v>
      </c>
      <c r="AU79" s="21">
        <f t="shared" si="303"/>
        <v>0</v>
      </c>
      <c r="AV79" s="23">
        <f t="shared" si="321"/>
        <v>0</v>
      </c>
      <c r="AW79" s="22">
        <f t="shared" si="321"/>
        <v>0</v>
      </c>
      <c r="AX79" s="21">
        <f t="shared" si="304"/>
        <v>0</v>
      </c>
      <c r="AY79" s="23">
        <f t="shared" si="322"/>
        <v>0</v>
      </c>
      <c r="AZ79" s="22">
        <f t="shared" si="322"/>
        <v>0</v>
      </c>
      <c r="BA79" s="21">
        <f t="shared" si="305"/>
        <v>0</v>
      </c>
      <c r="BB79" s="23">
        <f t="shared" si="323"/>
        <v>0</v>
      </c>
      <c r="BC79" s="22">
        <f t="shared" si="323"/>
        <v>0</v>
      </c>
      <c r="BD79" s="21">
        <f t="shared" si="306"/>
        <v>0</v>
      </c>
      <c r="BE79" s="23">
        <f t="shared" si="324"/>
        <v>0</v>
      </c>
      <c r="BF79" s="23">
        <f t="shared" si="324"/>
        <v>0</v>
      </c>
      <c r="BG79" s="23">
        <f t="shared" si="324"/>
        <v>0</v>
      </c>
    </row>
    <row r="80" spans="1:59" s="124" customFormat="1" ht="15.75" collapsed="1" thickBot="1" x14ac:dyDescent="0.3">
      <c r="A80" s="51" t="s">
        <v>71</v>
      </c>
      <c r="B80" s="52" t="s">
        <v>72</v>
      </c>
      <c r="C80" s="116" t="s">
        <v>70</v>
      </c>
      <c r="D80" s="28">
        <f>SUM(D81:D84)</f>
        <v>0</v>
      </c>
      <c r="E80" s="28">
        <f>SUM(E81:E84)</f>
        <v>0</v>
      </c>
      <c r="F80" s="53">
        <f>SUM(F81:F84)</f>
        <v>0</v>
      </c>
      <c r="G80" s="88">
        <f>SUM(G81:G84)</f>
        <v>0</v>
      </c>
      <c r="H80" s="96">
        <f t="shared" si="290"/>
        <v>0</v>
      </c>
      <c r="I80" s="53">
        <f>SUM(I81:I84)</f>
        <v>0</v>
      </c>
      <c r="J80" s="88">
        <f>SUM(J81:J84)</f>
        <v>0</v>
      </c>
      <c r="K80" s="96">
        <f t="shared" si="291"/>
        <v>0</v>
      </c>
      <c r="L80" s="53">
        <f>SUM(L81:L84)</f>
        <v>0</v>
      </c>
      <c r="M80" s="88">
        <f>SUM(M81:M84)</f>
        <v>0</v>
      </c>
      <c r="N80" s="96">
        <f t="shared" si="292"/>
        <v>0</v>
      </c>
      <c r="O80" s="53">
        <f>SUM(O81:O84)</f>
        <v>0</v>
      </c>
      <c r="P80" s="88">
        <f>SUM(P81:P84)</f>
        <v>0</v>
      </c>
      <c r="Q80" s="96">
        <f t="shared" si="293"/>
        <v>0</v>
      </c>
      <c r="R80" s="53">
        <f>SUM(R81:R84)</f>
        <v>0</v>
      </c>
      <c r="S80" s="88">
        <f>SUM(S81:S84)</f>
        <v>0</v>
      </c>
      <c r="T80" s="96">
        <f t="shared" si="294"/>
        <v>0</v>
      </c>
      <c r="U80" s="53">
        <f>SUM(U81:U84)</f>
        <v>0</v>
      </c>
      <c r="V80" s="88">
        <f>SUM(V81:V84)</f>
        <v>0</v>
      </c>
      <c r="W80" s="96">
        <f t="shared" si="295"/>
        <v>0</v>
      </c>
      <c r="X80" s="53">
        <f>SUM(X81:X84)</f>
        <v>0</v>
      </c>
      <c r="Y80" s="88">
        <f>SUM(Y81:Y84)</f>
        <v>0</v>
      </c>
      <c r="Z80" s="96">
        <f t="shared" si="296"/>
        <v>0</v>
      </c>
      <c r="AA80" s="53">
        <f>SUM(AA81:AA84)</f>
        <v>0</v>
      </c>
      <c r="AB80" s="88">
        <f>SUM(AB81:AB84)</f>
        <v>0</v>
      </c>
      <c r="AC80" s="96">
        <f t="shared" si="297"/>
        <v>0</v>
      </c>
      <c r="AD80" s="53">
        <f>SUM(AD81:AD84)</f>
        <v>0</v>
      </c>
      <c r="AE80" s="88">
        <f>SUM(AE81:AE84)</f>
        <v>0</v>
      </c>
      <c r="AF80" s="96">
        <f t="shared" si="298"/>
        <v>0</v>
      </c>
      <c r="AG80" s="53">
        <f>SUM(AG81:AG84)</f>
        <v>0</v>
      </c>
      <c r="AH80" s="88">
        <f>SUM(AH81:AH84)</f>
        <v>0</v>
      </c>
      <c r="AI80" s="96">
        <f t="shared" si="299"/>
        <v>0</v>
      </c>
      <c r="AJ80" s="53">
        <f>SUM(AJ81:AJ84)</f>
        <v>0</v>
      </c>
      <c r="AK80" s="88">
        <f>SUM(AK81:AK84)</f>
        <v>0</v>
      </c>
      <c r="AL80" s="96">
        <f t="shared" si="300"/>
        <v>0</v>
      </c>
      <c r="AM80" s="53">
        <f>SUM(AM81:AM84)</f>
        <v>0</v>
      </c>
      <c r="AN80" s="88">
        <f>SUM(AN81:AN84)</f>
        <v>0</v>
      </c>
      <c r="AO80" s="96">
        <f t="shared" si="301"/>
        <v>0</v>
      </c>
      <c r="AP80" s="53">
        <f>SUM(AP81:AP84)</f>
        <v>0</v>
      </c>
      <c r="AQ80" s="88">
        <f>SUM(AQ81:AQ84)</f>
        <v>0</v>
      </c>
      <c r="AR80" s="96">
        <f t="shared" si="302"/>
        <v>0</v>
      </c>
      <c r="AS80" s="53">
        <f>SUM(AS81:AS84)</f>
        <v>0</v>
      </c>
      <c r="AT80" s="88">
        <f>SUM(AT81:AT84)</f>
        <v>0</v>
      </c>
      <c r="AU80" s="96">
        <f t="shared" si="303"/>
        <v>0</v>
      </c>
      <c r="AV80" s="53">
        <f>SUM(AV81:AV84)</f>
        <v>0</v>
      </c>
      <c r="AW80" s="88">
        <f>SUM(AW81:AW84)</f>
        <v>0</v>
      </c>
      <c r="AX80" s="96">
        <f t="shared" si="304"/>
        <v>0</v>
      </c>
      <c r="AY80" s="53">
        <f>SUM(AY81:AY84)</f>
        <v>0</v>
      </c>
      <c r="AZ80" s="88">
        <f>SUM(AZ81:AZ84)</f>
        <v>0</v>
      </c>
      <c r="BA80" s="96">
        <f t="shared" si="305"/>
        <v>0</v>
      </c>
      <c r="BB80" s="53">
        <f>SUM(BB81:BB84)</f>
        <v>0</v>
      </c>
      <c r="BC80" s="88">
        <f>SUM(BC81:BC84)</f>
        <v>0</v>
      </c>
      <c r="BD80" s="96">
        <f t="shared" si="306"/>
        <v>0</v>
      </c>
      <c r="BE80" s="53">
        <f>SUM(BE81:BE84)</f>
        <v>0</v>
      </c>
      <c r="BF80" s="53">
        <f>SUM(BF81:BF84)</f>
        <v>0</v>
      </c>
      <c r="BG80" s="53">
        <f>SUM(BG81:BG84)</f>
        <v>0</v>
      </c>
    </row>
    <row r="81" spans="1:59" s="127" customFormat="1" ht="13.5" hidden="1" outlineLevel="1" x14ac:dyDescent="0.25">
      <c r="A81" s="27"/>
      <c r="B81" s="83" t="s">
        <v>28</v>
      </c>
      <c r="C81" s="117" t="s">
        <v>70</v>
      </c>
      <c r="D81" s="19"/>
      <c r="E81" s="19"/>
      <c r="F81" s="23"/>
      <c r="G81" s="22"/>
      <c r="H81" s="21">
        <f t="shared" si="290"/>
        <v>0</v>
      </c>
      <c r="I81" s="23"/>
      <c r="J81" s="22"/>
      <c r="K81" s="21">
        <f t="shared" si="291"/>
        <v>0</v>
      </c>
      <c r="L81" s="23"/>
      <c r="M81" s="22"/>
      <c r="N81" s="21">
        <f t="shared" si="292"/>
        <v>0</v>
      </c>
      <c r="O81" s="23">
        <f t="shared" ref="O81:P84" si="325">SUM(F81,I81,L81)</f>
        <v>0</v>
      </c>
      <c r="P81" s="22">
        <f t="shared" si="325"/>
        <v>0</v>
      </c>
      <c r="Q81" s="21">
        <f t="shared" si="293"/>
        <v>0</v>
      </c>
      <c r="R81" s="23"/>
      <c r="S81" s="22"/>
      <c r="T81" s="21">
        <f t="shared" si="294"/>
        <v>0</v>
      </c>
      <c r="U81" s="23"/>
      <c r="V81" s="22"/>
      <c r="W81" s="21">
        <f t="shared" si="295"/>
        <v>0</v>
      </c>
      <c r="X81" s="23"/>
      <c r="Y81" s="22"/>
      <c r="Z81" s="21">
        <f t="shared" si="296"/>
        <v>0</v>
      </c>
      <c r="AA81" s="23">
        <f t="shared" ref="AA81:AB84" si="326">SUM(R81,U81,X81)</f>
        <v>0</v>
      </c>
      <c r="AB81" s="22">
        <f t="shared" si="326"/>
        <v>0</v>
      </c>
      <c r="AC81" s="21">
        <f t="shared" si="297"/>
        <v>0</v>
      </c>
      <c r="AD81" s="23"/>
      <c r="AE81" s="22"/>
      <c r="AF81" s="21">
        <f t="shared" si="298"/>
        <v>0</v>
      </c>
      <c r="AG81" s="23"/>
      <c r="AH81" s="22"/>
      <c r="AI81" s="21">
        <f t="shared" si="299"/>
        <v>0</v>
      </c>
      <c r="AJ81" s="23"/>
      <c r="AK81" s="22"/>
      <c r="AL81" s="21">
        <f t="shared" si="300"/>
        <v>0</v>
      </c>
      <c r="AM81" s="23">
        <f t="shared" ref="AM81:AN84" si="327">SUM(AD81,AG81,AJ81)</f>
        <v>0</v>
      </c>
      <c r="AN81" s="22">
        <f t="shared" si="327"/>
        <v>0</v>
      </c>
      <c r="AO81" s="21">
        <f t="shared" si="301"/>
        <v>0</v>
      </c>
      <c r="AP81" s="23"/>
      <c r="AQ81" s="22"/>
      <c r="AR81" s="21">
        <f t="shared" si="302"/>
        <v>0</v>
      </c>
      <c r="AS81" s="23"/>
      <c r="AT81" s="22"/>
      <c r="AU81" s="21">
        <f t="shared" si="303"/>
        <v>0</v>
      </c>
      <c r="AV81" s="23"/>
      <c r="AW81" s="22"/>
      <c r="AX81" s="21">
        <f t="shared" si="304"/>
        <v>0</v>
      </c>
      <c r="AY81" s="23">
        <f t="shared" ref="AY81:AZ84" si="328">SUM(AP81,AS81,AV81)</f>
        <v>0</v>
      </c>
      <c r="AZ81" s="22">
        <f t="shared" si="328"/>
        <v>0</v>
      </c>
      <c r="BA81" s="21">
        <f t="shared" si="305"/>
        <v>0</v>
      </c>
      <c r="BB81" s="23">
        <f t="shared" ref="BB81:BC84" si="329">SUM(F81,I81,L81,R81,U81,X81,AD81,AG81,AJ81,AP81,AS81,AV81)</f>
        <v>0</v>
      </c>
      <c r="BC81" s="22">
        <f t="shared" si="329"/>
        <v>0</v>
      </c>
      <c r="BD81" s="21">
        <f t="shared" si="306"/>
        <v>0</v>
      </c>
      <c r="BE81" s="23"/>
      <c r="BF81" s="23"/>
      <c r="BG81" s="23">
        <f>BB81+BE81+BF81</f>
        <v>0</v>
      </c>
    </row>
    <row r="82" spans="1:59" s="124" customFormat="1" ht="13.5" hidden="1" customHeight="1" outlineLevel="1" x14ac:dyDescent="0.25">
      <c r="A82" s="82"/>
      <c r="B82" s="83" t="s">
        <v>29</v>
      </c>
      <c r="C82" s="117" t="s">
        <v>70</v>
      </c>
      <c r="D82" s="19"/>
      <c r="E82" s="19"/>
      <c r="F82" s="23"/>
      <c r="G82" s="22"/>
      <c r="H82" s="21">
        <f t="shared" si="290"/>
        <v>0</v>
      </c>
      <c r="I82" s="23"/>
      <c r="J82" s="22"/>
      <c r="K82" s="21">
        <f t="shared" si="291"/>
        <v>0</v>
      </c>
      <c r="L82" s="23"/>
      <c r="M82" s="22"/>
      <c r="N82" s="21">
        <f t="shared" si="292"/>
        <v>0</v>
      </c>
      <c r="O82" s="23">
        <f t="shared" si="325"/>
        <v>0</v>
      </c>
      <c r="P82" s="22">
        <f t="shared" si="325"/>
        <v>0</v>
      </c>
      <c r="Q82" s="21">
        <f t="shared" si="293"/>
        <v>0</v>
      </c>
      <c r="R82" s="23"/>
      <c r="S82" s="22"/>
      <c r="T82" s="21">
        <f t="shared" si="294"/>
        <v>0</v>
      </c>
      <c r="U82" s="23"/>
      <c r="V82" s="22"/>
      <c r="W82" s="21">
        <f t="shared" si="295"/>
        <v>0</v>
      </c>
      <c r="X82" s="23"/>
      <c r="Y82" s="22"/>
      <c r="Z82" s="21">
        <f t="shared" si="296"/>
        <v>0</v>
      </c>
      <c r="AA82" s="23">
        <f t="shared" si="326"/>
        <v>0</v>
      </c>
      <c r="AB82" s="22">
        <f t="shared" si="326"/>
        <v>0</v>
      </c>
      <c r="AC82" s="21">
        <f t="shared" si="297"/>
        <v>0</v>
      </c>
      <c r="AD82" s="23"/>
      <c r="AE82" s="22"/>
      <c r="AF82" s="21">
        <f t="shared" si="298"/>
        <v>0</v>
      </c>
      <c r="AG82" s="23"/>
      <c r="AH82" s="22"/>
      <c r="AI82" s="21">
        <f t="shared" si="299"/>
        <v>0</v>
      </c>
      <c r="AJ82" s="23"/>
      <c r="AK82" s="22"/>
      <c r="AL82" s="21">
        <f t="shared" si="300"/>
        <v>0</v>
      </c>
      <c r="AM82" s="23">
        <f t="shared" si="327"/>
        <v>0</v>
      </c>
      <c r="AN82" s="22">
        <f t="shared" si="327"/>
        <v>0</v>
      </c>
      <c r="AO82" s="21">
        <f t="shared" si="301"/>
        <v>0</v>
      </c>
      <c r="AP82" s="23"/>
      <c r="AQ82" s="22"/>
      <c r="AR82" s="21">
        <f t="shared" si="302"/>
        <v>0</v>
      </c>
      <c r="AS82" s="23"/>
      <c r="AT82" s="22"/>
      <c r="AU82" s="21">
        <f t="shared" si="303"/>
        <v>0</v>
      </c>
      <c r="AV82" s="23"/>
      <c r="AW82" s="22"/>
      <c r="AX82" s="21">
        <f t="shared" si="304"/>
        <v>0</v>
      </c>
      <c r="AY82" s="23">
        <f t="shared" si="328"/>
        <v>0</v>
      </c>
      <c r="AZ82" s="22">
        <f t="shared" si="328"/>
        <v>0</v>
      </c>
      <c r="BA82" s="21">
        <f t="shared" si="305"/>
        <v>0</v>
      </c>
      <c r="BB82" s="23">
        <f t="shared" si="329"/>
        <v>0</v>
      </c>
      <c r="BC82" s="22">
        <f t="shared" si="329"/>
        <v>0</v>
      </c>
      <c r="BD82" s="21">
        <f t="shared" si="306"/>
        <v>0</v>
      </c>
      <c r="BE82" s="23"/>
      <c r="BF82" s="23"/>
      <c r="BG82" s="23">
        <f t="shared" ref="BG82:BG84" si="330">BB82+BE82+BF82</f>
        <v>0</v>
      </c>
    </row>
    <row r="83" spans="1:59" s="124" customFormat="1" ht="13.5" hidden="1" customHeight="1" outlineLevel="1" x14ac:dyDescent="0.25">
      <c r="A83" s="82"/>
      <c r="B83" s="83" t="s">
        <v>30</v>
      </c>
      <c r="C83" s="117" t="s">
        <v>70</v>
      </c>
      <c r="D83" s="19"/>
      <c r="E83" s="19"/>
      <c r="F83" s="23"/>
      <c r="G83" s="22"/>
      <c r="H83" s="21">
        <f t="shared" si="290"/>
        <v>0</v>
      </c>
      <c r="I83" s="23"/>
      <c r="J83" s="22"/>
      <c r="K83" s="21">
        <f t="shared" si="291"/>
        <v>0</v>
      </c>
      <c r="L83" s="23"/>
      <c r="M83" s="22"/>
      <c r="N83" s="21">
        <f t="shared" si="292"/>
        <v>0</v>
      </c>
      <c r="O83" s="23">
        <f t="shared" si="325"/>
        <v>0</v>
      </c>
      <c r="P83" s="22">
        <f t="shared" si="325"/>
        <v>0</v>
      </c>
      <c r="Q83" s="21">
        <f t="shared" si="293"/>
        <v>0</v>
      </c>
      <c r="R83" s="23"/>
      <c r="S83" s="22"/>
      <c r="T83" s="21">
        <f t="shared" si="294"/>
        <v>0</v>
      </c>
      <c r="U83" s="23"/>
      <c r="V83" s="22"/>
      <c r="W83" s="21">
        <f t="shared" si="295"/>
        <v>0</v>
      </c>
      <c r="X83" s="23"/>
      <c r="Y83" s="22"/>
      <c r="Z83" s="21">
        <f t="shared" si="296"/>
        <v>0</v>
      </c>
      <c r="AA83" s="23">
        <f t="shared" si="326"/>
        <v>0</v>
      </c>
      <c r="AB83" s="22">
        <f t="shared" si="326"/>
        <v>0</v>
      </c>
      <c r="AC83" s="21">
        <f t="shared" si="297"/>
        <v>0</v>
      </c>
      <c r="AD83" s="23"/>
      <c r="AE83" s="22"/>
      <c r="AF83" s="21">
        <f t="shared" si="298"/>
        <v>0</v>
      </c>
      <c r="AG83" s="23"/>
      <c r="AH83" s="22"/>
      <c r="AI83" s="21">
        <f t="shared" si="299"/>
        <v>0</v>
      </c>
      <c r="AJ83" s="23"/>
      <c r="AK83" s="22"/>
      <c r="AL83" s="21">
        <f t="shared" si="300"/>
        <v>0</v>
      </c>
      <c r="AM83" s="23">
        <f t="shared" si="327"/>
        <v>0</v>
      </c>
      <c r="AN83" s="22">
        <f t="shared" si="327"/>
        <v>0</v>
      </c>
      <c r="AO83" s="21">
        <f t="shared" si="301"/>
        <v>0</v>
      </c>
      <c r="AP83" s="23"/>
      <c r="AQ83" s="22"/>
      <c r="AR83" s="21">
        <f t="shared" si="302"/>
        <v>0</v>
      </c>
      <c r="AS83" s="23"/>
      <c r="AT83" s="22"/>
      <c r="AU83" s="21">
        <f t="shared" si="303"/>
        <v>0</v>
      </c>
      <c r="AV83" s="23"/>
      <c r="AW83" s="22"/>
      <c r="AX83" s="21">
        <f t="shared" si="304"/>
        <v>0</v>
      </c>
      <c r="AY83" s="23">
        <f t="shared" si="328"/>
        <v>0</v>
      </c>
      <c r="AZ83" s="22">
        <f t="shared" si="328"/>
        <v>0</v>
      </c>
      <c r="BA83" s="21">
        <f t="shared" si="305"/>
        <v>0</v>
      </c>
      <c r="BB83" s="23">
        <f t="shared" si="329"/>
        <v>0</v>
      </c>
      <c r="BC83" s="22">
        <f t="shared" si="329"/>
        <v>0</v>
      </c>
      <c r="BD83" s="21">
        <f t="shared" si="306"/>
        <v>0</v>
      </c>
      <c r="BE83" s="23"/>
      <c r="BF83" s="23"/>
      <c r="BG83" s="23">
        <f t="shared" si="330"/>
        <v>0</v>
      </c>
    </row>
    <row r="84" spans="1:59" s="124" customFormat="1" ht="13.5" hidden="1" customHeight="1" outlineLevel="1" thickBot="1" x14ac:dyDescent="0.3">
      <c r="A84" s="82"/>
      <c r="B84" s="83" t="s">
        <v>31</v>
      </c>
      <c r="C84" s="117" t="s">
        <v>70</v>
      </c>
      <c r="D84" s="19"/>
      <c r="E84" s="19"/>
      <c r="F84" s="23"/>
      <c r="G84" s="22"/>
      <c r="H84" s="21">
        <f t="shared" si="290"/>
        <v>0</v>
      </c>
      <c r="I84" s="23"/>
      <c r="J84" s="22"/>
      <c r="K84" s="21">
        <f t="shared" si="291"/>
        <v>0</v>
      </c>
      <c r="L84" s="23"/>
      <c r="M84" s="22"/>
      <c r="N84" s="21">
        <f t="shared" si="292"/>
        <v>0</v>
      </c>
      <c r="O84" s="23">
        <f t="shared" si="325"/>
        <v>0</v>
      </c>
      <c r="P84" s="22">
        <f t="shared" si="325"/>
        <v>0</v>
      </c>
      <c r="Q84" s="21">
        <f t="shared" si="293"/>
        <v>0</v>
      </c>
      <c r="R84" s="23"/>
      <c r="S84" s="22"/>
      <c r="T84" s="21">
        <f t="shared" si="294"/>
        <v>0</v>
      </c>
      <c r="U84" s="23"/>
      <c r="V84" s="22"/>
      <c r="W84" s="21">
        <f t="shared" si="295"/>
        <v>0</v>
      </c>
      <c r="X84" s="23"/>
      <c r="Y84" s="22"/>
      <c r="Z84" s="21">
        <f t="shared" si="296"/>
        <v>0</v>
      </c>
      <c r="AA84" s="23">
        <f t="shared" si="326"/>
        <v>0</v>
      </c>
      <c r="AB84" s="22">
        <f t="shared" si="326"/>
        <v>0</v>
      </c>
      <c r="AC84" s="21">
        <f t="shared" si="297"/>
        <v>0</v>
      </c>
      <c r="AD84" s="23"/>
      <c r="AE84" s="22"/>
      <c r="AF84" s="21">
        <f t="shared" si="298"/>
        <v>0</v>
      </c>
      <c r="AG84" s="23"/>
      <c r="AH84" s="22"/>
      <c r="AI84" s="21">
        <f t="shared" si="299"/>
        <v>0</v>
      </c>
      <c r="AJ84" s="23"/>
      <c r="AK84" s="22"/>
      <c r="AL84" s="21">
        <f t="shared" si="300"/>
        <v>0</v>
      </c>
      <c r="AM84" s="23">
        <f t="shared" si="327"/>
        <v>0</v>
      </c>
      <c r="AN84" s="22">
        <f t="shared" si="327"/>
        <v>0</v>
      </c>
      <c r="AO84" s="21">
        <f t="shared" si="301"/>
        <v>0</v>
      </c>
      <c r="AP84" s="23"/>
      <c r="AQ84" s="22"/>
      <c r="AR84" s="21">
        <f t="shared" si="302"/>
        <v>0</v>
      </c>
      <c r="AS84" s="23"/>
      <c r="AT84" s="22"/>
      <c r="AU84" s="21">
        <f t="shared" si="303"/>
        <v>0</v>
      </c>
      <c r="AV84" s="23"/>
      <c r="AW84" s="22"/>
      <c r="AX84" s="21">
        <f t="shared" si="304"/>
        <v>0</v>
      </c>
      <c r="AY84" s="23">
        <f t="shared" si="328"/>
        <v>0</v>
      </c>
      <c r="AZ84" s="22">
        <f t="shared" si="328"/>
        <v>0</v>
      </c>
      <c r="BA84" s="21">
        <f t="shared" si="305"/>
        <v>0</v>
      </c>
      <c r="BB84" s="23">
        <f t="shared" si="329"/>
        <v>0</v>
      </c>
      <c r="BC84" s="22">
        <f t="shared" si="329"/>
        <v>0</v>
      </c>
      <c r="BD84" s="21">
        <f t="shared" si="306"/>
        <v>0</v>
      </c>
      <c r="BE84" s="23"/>
      <c r="BF84" s="23"/>
      <c r="BG84" s="23">
        <f t="shared" si="330"/>
        <v>0</v>
      </c>
    </row>
    <row r="85" spans="1:59" s="127" customFormat="1" ht="13.5" collapsed="1" thickBot="1" x14ac:dyDescent="0.3">
      <c r="A85" s="103"/>
      <c r="B85" s="104" t="s">
        <v>73</v>
      </c>
      <c r="C85" s="174" t="s">
        <v>70</v>
      </c>
      <c r="D85" s="108">
        <f>SUM(D86:D91)</f>
        <v>0</v>
      </c>
      <c r="E85" s="108">
        <f>SUM(E86:E91)</f>
        <v>0</v>
      </c>
      <c r="F85" s="105">
        <f>SUM(F86:F91)</f>
        <v>0</v>
      </c>
      <c r="G85" s="106">
        <f>SUM(G86:G91)</f>
        <v>0</v>
      </c>
      <c r="H85" s="107">
        <f t="shared" si="290"/>
        <v>0</v>
      </c>
      <c r="I85" s="105">
        <f>SUM(I86:I91)</f>
        <v>0</v>
      </c>
      <c r="J85" s="106">
        <f>SUM(J86:J91)</f>
        <v>0</v>
      </c>
      <c r="K85" s="107">
        <f t="shared" si="291"/>
        <v>0</v>
      </c>
      <c r="L85" s="105">
        <f>SUM(L86:L91)</f>
        <v>0</v>
      </c>
      <c r="M85" s="106">
        <f>SUM(M86:M91)</f>
        <v>0</v>
      </c>
      <c r="N85" s="107">
        <f t="shared" si="292"/>
        <v>0</v>
      </c>
      <c r="O85" s="105">
        <f>SUM(O86:O91)</f>
        <v>0</v>
      </c>
      <c r="P85" s="106">
        <f>SUM(P86:P91)</f>
        <v>0</v>
      </c>
      <c r="Q85" s="107">
        <f t="shared" si="293"/>
        <v>0</v>
      </c>
      <c r="R85" s="105">
        <f>SUM(R86:R91)</f>
        <v>0</v>
      </c>
      <c r="S85" s="106">
        <f>SUM(S86:S91)</f>
        <v>0</v>
      </c>
      <c r="T85" s="107">
        <f t="shared" si="294"/>
        <v>0</v>
      </c>
      <c r="U85" s="105">
        <f>SUM(U86:U91)</f>
        <v>0</v>
      </c>
      <c r="V85" s="106">
        <f>SUM(V86:V91)</f>
        <v>0</v>
      </c>
      <c r="W85" s="107">
        <f t="shared" si="295"/>
        <v>0</v>
      </c>
      <c r="X85" s="105">
        <f>SUM(X86:X91)</f>
        <v>0</v>
      </c>
      <c r="Y85" s="106">
        <f>SUM(Y86:Y91)</f>
        <v>0</v>
      </c>
      <c r="Z85" s="107">
        <f t="shared" si="296"/>
        <v>0</v>
      </c>
      <c r="AA85" s="105">
        <f>SUM(AA86:AA91)</f>
        <v>0</v>
      </c>
      <c r="AB85" s="106">
        <f>SUM(AB86:AB91)</f>
        <v>0</v>
      </c>
      <c r="AC85" s="107">
        <f t="shared" si="297"/>
        <v>0</v>
      </c>
      <c r="AD85" s="105">
        <f>SUM(AD86:AD91)</f>
        <v>0</v>
      </c>
      <c r="AE85" s="106">
        <f>SUM(AE86:AE91)</f>
        <v>0</v>
      </c>
      <c r="AF85" s="107">
        <f t="shared" si="298"/>
        <v>0</v>
      </c>
      <c r="AG85" s="105">
        <f>SUM(AG86:AG91)</f>
        <v>0</v>
      </c>
      <c r="AH85" s="106">
        <f>SUM(AH86:AH91)</f>
        <v>0</v>
      </c>
      <c r="AI85" s="107">
        <f t="shared" si="299"/>
        <v>0</v>
      </c>
      <c r="AJ85" s="105">
        <f>SUM(AJ86:AJ91)</f>
        <v>0</v>
      </c>
      <c r="AK85" s="106">
        <f>SUM(AK86:AK91)</f>
        <v>0</v>
      </c>
      <c r="AL85" s="107">
        <f t="shared" si="300"/>
        <v>0</v>
      </c>
      <c r="AM85" s="105">
        <f>SUM(AM86:AM91)</f>
        <v>0</v>
      </c>
      <c r="AN85" s="106">
        <f>SUM(AN86:AN91)</f>
        <v>0</v>
      </c>
      <c r="AO85" s="107">
        <f t="shared" si="301"/>
        <v>0</v>
      </c>
      <c r="AP85" s="105">
        <f>SUM(AP86:AP91)</f>
        <v>0</v>
      </c>
      <c r="AQ85" s="106">
        <f>SUM(AQ86:AQ91)</f>
        <v>0</v>
      </c>
      <c r="AR85" s="107">
        <f t="shared" si="302"/>
        <v>0</v>
      </c>
      <c r="AS85" s="105">
        <f>SUM(AS86:AS91)</f>
        <v>0</v>
      </c>
      <c r="AT85" s="106">
        <f>SUM(AT86:AT91)</f>
        <v>0</v>
      </c>
      <c r="AU85" s="107">
        <f t="shared" si="303"/>
        <v>0</v>
      </c>
      <c r="AV85" s="105">
        <f>SUM(AV86:AV91)</f>
        <v>0</v>
      </c>
      <c r="AW85" s="106">
        <f>SUM(AW86:AW91)</f>
        <v>0</v>
      </c>
      <c r="AX85" s="107">
        <f t="shared" si="304"/>
        <v>0</v>
      </c>
      <c r="AY85" s="105">
        <f>SUM(AY86:AY91)</f>
        <v>0</v>
      </c>
      <c r="AZ85" s="106">
        <f>SUM(AZ86:AZ91)</f>
        <v>0</v>
      </c>
      <c r="BA85" s="107">
        <f t="shared" si="305"/>
        <v>0</v>
      </c>
      <c r="BB85" s="105">
        <f>SUM(BB86:BB91)</f>
        <v>0</v>
      </c>
      <c r="BC85" s="106">
        <f>SUM(BC86:BC91)</f>
        <v>0</v>
      </c>
      <c r="BD85" s="107">
        <f t="shared" si="306"/>
        <v>0</v>
      </c>
      <c r="BE85" s="105">
        <f>SUM(BE86:BE91)</f>
        <v>0</v>
      </c>
      <c r="BF85" s="105">
        <f>SUM(BF86:BF91)</f>
        <v>0</v>
      </c>
      <c r="BG85" s="105">
        <f>SUM(BG86:BG91)</f>
        <v>0</v>
      </c>
    </row>
    <row r="86" spans="1:59" s="124" customFormat="1" ht="15" hidden="1" customHeight="1" outlineLevel="1" x14ac:dyDescent="0.25">
      <c r="A86" s="85"/>
      <c r="B86" s="86" t="s">
        <v>58</v>
      </c>
      <c r="C86" s="25" t="s">
        <v>70</v>
      </c>
      <c r="D86" s="87">
        <v>0</v>
      </c>
      <c r="E86" s="87">
        <v>0</v>
      </c>
      <c r="F86" s="129">
        <v>0</v>
      </c>
      <c r="G86" s="130">
        <v>0</v>
      </c>
      <c r="H86" s="131">
        <f t="shared" si="290"/>
        <v>0</v>
      </c>
      <c r="I86" s="129">
        <v>0</v>
      </c>
      <c r="J86" s="130">
        <v>0</v>
      </c>
      <c r="K86" s="131">
        <f t="shared" si="291"/>
        <v>0</v>
      </c>
      <c r="L86" s="129">
        <v>0</v>
      </c>
      <c r="M86" s="130">
        <v>0</v>
      </c>
      <c r="N86" s="131">
        <f t="shared" si="292"/>
        <v>0</v>
      </c>
      <c r="O86" s="129">
        <f t="shared" ref="O86:P91" si="331">SUM(F86,I86,L86)</f>
        <v>0</v>
      </c>
      <c r="P86" s="130">
        <f t="shared" si="331"/>
        <v>0</v>
      </c>
      <c r="Q86" s="131">
        <f t="shared" si="293"/>
        <v>0</v>
      </c>
      <c r="R86" s="129">
        <v>0</v>
      </c>
      <c r="S86" s="130">
        <v>0</v>
      </c>
      <c r="T86" s="131">
        <f t="shared" si="294"/>
        <v>0</v>
      </c>
      <c r="U86" s="129">
        <v>0</v>
      </c>
      <c r="V86" s="130">
        <v>0</v>
      </c>
      <c r="W86" s="131">
        <f t="shared" si="295"/>
        <v>0</v>
      </c>
      <c r="X86" s="129">
        <v>0</v>
      </c>
      <c r="Y86" s="130">
        <v>0</v>
      </c>
      <c r="Z86" s="131">
        <f t="shared" si="296"/>
        <v>0</v>
      </c>
      <c r="AA86" s="129">
        <f t="shared" ref="AA86:AB91" si="332">SUM(R86,U86,X86)</f>
        <v>0</v>
      </c>
      <c r="AB86" s="130">
        <f t="shared" si="332"/>
        <v>0</v>
      </c>
      <c r="AC86" s="131">
        <f t="shared" si="297"/>
        <v>0</v>
      </c>
      <c r="AD86" s="129">
        <v>0</v>
      </c>
      <c r="AE86" s="130">
        <v>0</v>
      </c>
      <c r="AF86" s="131">
        <f t="shared" si="298"/>
        <v>0</v>
      </c>
      <c r="AG86" s="129">
        <v>0</v>
      </c>
      <c r="AH86" s="130">
        <v>0</v>
      </c>
      <c r="AI86" s="131">
        <f t="shared" si="299"/>
        <v>0</v>
      </c>
      <c r="AJ86" s="129">
        <v>0</v>
      </c>
      <c r="AK86" s="130">
        <v>0</v>
      </c>
      <c r="AL86" s="131">
        <f t="shared" si="300"/>
        <v>0</v>
      </c>
      <c r="AM86" s="129">
        <f t="shared" ref="AM86:AN91" si="333">SUM(AD86,AG86,AJ86)</f>
        <v>0</v>
      </c>
      <c r="AN86" s="130">
        <f t="shared" si="333"/>
        <v>0</v>
      </c>
      <c r="AO86" s="131">
        <f t="shared" si="301"/>
        <v>0</v>
      </c>
      <c r="AP86" s="129">
        <v>0</v>
      </c>
      <c r="AQ86" s="130">
        <v>0</v>
      </c>
      <c r="AR86" s="131">
        <f t="shared" si="302"/>
        <v>0</v>
      </c>
      <c r="AS86" s="129">
        <v>0</v>
      </c>
      <c r="AT86" s="130">
        <v>0</v>
      </c>
      <c r="AU86" s="131">
        <f t="shared" si="303"/>
        <v>0</v>
      </c>
      <c r="AV86" s="129">
        <v>0</v>
      </c>
      <c r="AW86" s="130">
        <v>0</v>
      </c>
      <c r="AX86" s="131">
        <f t="shared" si="304"/>
        <v>0</v>
      </c>
      <c r="AY86" s="129">
        <f t="shared" ref="AY86:AZ91" si="334">SUM(AP86,AS86,AV86)</f>
        <v>0</v>
      </c>
      <c r="AZ86" s="130">
        <f t="shared" si="334"/>
        <v>0</v>
      </c>
      <c r="BA86" s="131">
        <f t="shared" si="305"/>
        <v>0</v>
      </c>
      <c r="BB86" s="129">
        <f t="shared" ref="BB86:BC91" si="335">SUM(F86,I86,L86,R86,U86,X86,AD86,AG86,AJ86,AP86,AS86,AV86)</f>
        <v>0</v>
      </c>
      <c r="BC86" s="130">
        <f t="shared" si="335"/>
        <v>0</v>
      </c>
      <c r="BD86" s="131">
        <f t="shared" si="306"/>
        <v>0</v>
      </c>
      <c r="BE86" s="129">
        <v>0</v>
      </c>
      <c r="BF86" s="129">
        <v>0</v>
      </c>
      <c r="BG86" s="23">
        <f>BB86+BE86+BF86</f>
        <v>0</v>
      </c>
    </row>
    <row r="87" spans="1:59" s="124" customFormat="1" ht="15" hidden="1" customHeight="1" outlineLevel="1" x14ac:dyDescent="0.25">
      <c r="A87" s="62"/>
      <c r="B87" s="63" t="s">
        <v>59</v>
      </c>
      <c r="C87" s="25" t="s">
        <v>70</v>
      </c>
      <c r="D87" s="19">
        <v>0</v>
      </c>
      <c r="E87" s="19">
        <v>0</v>
      </c>
      <c r="F87" s="23">
        <v>0</v>
      </c>
      <c r="G87" s="22">
        <v>0</v>
      </c>
      <c r="H87" s="21">
        <f t="shared" si="290"/>
        <v>0</v>
      </c>
      <c r="I87" s="23">
        <v>0</v>
      </c>
      <c r="J87" s="22">
        <v>0</v>
      </c>
      <c r="K87" s="21">
        <f t="shared" si="291"/>
        <v>0</v>
      </c>
      <c r="L87" s="23">
        <v>0</v>
      </c>
      <c r="M87" s="22">
        <v>0</v>
      </c>
      <c r="N87" s="21">
        <f t="shared" si="292"/>
        <v>0</v>
      </c>
      <c r="O87" s="23">
        <f t="shared" si="331"/>
        <v>0</v>
      </c>
      <c r="P87" s="22">
        <f t="shared" si="331"/>
        <v>0</v>
      </c>
      <c r="Q87" s="21">
        <f t="shared" si="293"/>
        <v>0</v>
      </c>
      <c r="R87" s="23">
        <v>0</v>
      </c>
      <c r="S87" s="22">
        <v>0</v>
      </c>
      <c r="T87" s="21">
        <f t="shared" si="294"/>
        <v>0</v>
      </c>
      <c r="U87" s="23">
        <v>0</v>
      </c>
      <c r="V87" s="22">
        <v>0</v>
      </c>
      <c r="W87" s="21">
        <f t="shared" si="295"/>
        <v>0</v>
      </c>
      <c r="X87" s="23">
        <v>0</v>
      </c>
      <c r="Y87" s="22">
        <v>0</v>
      </c>
      <c r="Z87" s="21">
        <f t="shared" si="296"/>
        <v>0</v>
      </c>
      <c r="AA87" s="23">
        <f t="shared" si="332"/>
        <v>0</v>
      </c>
      <c r="AB87" s="22">
        <f t="shared" si="332"/>
        <v>0</v>
      </c>
      <c r="AC87" s="21">
        <f t="shared" si="297"/>
        <v>0</v>
      </c>
      <c r="AD87" s="23">
        <v>0</v>
      </c>
      <c r="AE87" s="22">
        <v>0</v>
      </c>
      <c r="AF87" s="21">
        <f t="shared" si="298"/>
        <v>0</v>
      </c>
      <c r="AG87" s="23">
        <v>0</v>
      </c>
      <c r="AH87" s="22">
        <v>0</v>
      </c>
      <c r="AI87" s="21">
        <f t="shared" si="299"/>
        <v>0</v>
      </c>
      <c r="AJ87" s="23">
        <v>0</v>
      </c>
      <c r="AK87" s="22">
        <v>0</v>
      </c>
      <c r="AL87" s="21">
        <f t="shared" si="300"/>
        <v>0</v>
      </c>
      <c r="AM87" s="23">
        <f t="shared" si="333"/>
        <v>0</v>
      </c>
      <c r="AN87" s="22">
        <f t="shared" si="333"/>
        <v>0</v>
      </c>
      <c r="AO87" s="21">
        <f t="shared" si="301"/>
        <v>0</v>
      </c>
      <c r="AP87" s="23">
        <v>0</v>
      </c>
      <c r="AQ87" s="22">
        <v>0</v>
      </c>
      <c r="AR87" s="21">
        <f t="shared" si="302"/>
        <v>0</v>
      </c>
      <c r="AS87" s="23">
        <v>0</v>
      </c>
      <c r="AT87" s="22">
        <v>0</v>
      </c>
      <c r="AU87" s="21">
        <f t="shared" si="303"/>
        <v>0</v>
      </c>
      <c r="AV87" s="23">
        <v>0</v>
      </c>
      <c r="AW87" s="22">
        <v>0</v>
      </c>
      <c r="AX87" s="21">
        <f t="shared" si="304"/>
        <v>0</v>
      </c>
      <c r="AY87" s="23">
        <f t="shared" si="334"/>
        <v>0</v>
      </c>
      <c r="AZ87" s="22">
        <f t="shared" si="334"/>
        <v>0</v>
      </c>
      <c r="BA87" s="21">
        <f t="shared" si="305"/>
        <v>0</v>
      </c>
      <c r="BB87" s="23">
        <f t="shared" si="335"/>
        <v>0</v>
      </c>
      <c r="BC87" s="22">
        <f t="shared" si="335"/>
        <v>0</v>
      </c>
      <c r="BD87" s="21">
        <f t="shared" si="306"/>
        <v>0</v>
      </c>
      <c r="BE87" s="23">
        <v>0</v>
      </c>
      <c r="BF87" s="23">
        <v>0</v>
      </c>
      <c r="BG87" s="23">
        <f t="shared" ref="BG87:BG91" si="336">BB87+BE87+BF87</f>
        <v>0</v>
      </c>
    </row>
    <row r="88" spans="1:59" s="124" customFormat="1" ht="15" hidden="1" customHeight="1" outlineLevel="1" x14ac:dyDescent="0.25">
      <c r="A88" s="62"/>
      <c r="B88" s="63" t="s">
        <v>60</v>
      </c>
      <c r="C88" s="25" t="s">
        <v>70</v>
      </c>
      <c r="D88" s="19">
        <v>0</v>
      </c>
      <c r="E88" s="19">
        <v>0</v>
      </c>
      <c r="F88" s="23">
        <v>0</v>
      </c>
      <c r="G88" s="22">
        <v>0</v>
      </c>
      <c r="H88" s="21">
        <f t="shared" si="290"/>
        <v>0</v>
      </c>
      <c r="I88" s="23">
        <v>0</v>
      </c>
      <c r="J88" s="22">
        <v>0</v>
      </c>
      <c r="K88" s="21">
        <f t="shared" si="291"/>
        <v>0</v>
      </c>
      <c r="L88" s="23">
        <v>0</v>
      </c>
      <c r="M88" s="22">
        <v>0</v>
      </c>
      <c r="N88" s="21">
        <f t="shared" si="292"/>
        <v>0</v>
      </c>
      <c r="O88" s="23">
        <f t="shared" si="331"/>
        <v>0</v>
      </c>
      <c r="P88" s="22">
        <f t="shared" si="331"/>
        <v>0</v>
      </c>
      <c r="Q88" s="21">
        <f t="shared" si="293"/>
        <v>0</v>
      </c>
      <c r="R88" s="23">
        <v>0</v>
      </c>
      <c r="S88" s="22">
        <v>0</v>
      </c>
      <c r="T88" s="21">
        <f t="shared" si="294"/>
        <v>0</v>
      </c>
      <c r="U88" s="23">
        <v>0</v>
      </c>
      <c r="V88" s="22">
        <v>0</v>
      </c>
      <c r="W88" s="21">
        <f t="shared" si="295"/>
        <v>0</v>
      </c>
      <c r="X88" s="23">
        <v>0</v>
      </c>
      <c r="Y88" s="22">
        <v>0</v>
      </c>
      <c r="Z88" s="21">
        <f t="shared" si="296"/>
        <v>0</v>
      </c>
      <c r="AA88" s="23">
        <f t="shared" si="332"/>
        <v>0</v>
      </c>
      <c r="AB88" s="22">
        <f t="shared" si="332"/>
        <v>0</v>
      </c>
      <c r="AC88" s="21">
        <f t="shared" si="297"/>
        <v>0</v>
      </c>
      <c r="AD88" s="23">
        <v>0</v>
      </c>
      <c r="AE88" s="22">
        <v>0</v>
      </c>
      <c r="AF88" s="21">
        <f t="shared" si="298"/>
        <v>0</v>
      </c>
      <c r="AG88" s="23">
        <v>0</v>
      </c>
      <c r="AH88" s="22">
        <v>0</v>
      </c>
      <c r="AI88" s="21">
        <f t="shared" si="299"/>
        <v>0</v>
      </c>
      <c r="AJ88" s="23">
        <v>0</v>
      </c>
      <c r="AK88" s="22">
        <v>0</v>
      </c>
      <c r="AL88" s="21">
        <f t="shared" si="300"/>
        <v>0</v>
      </c>
      <c r="AM88" s="23">
        <f t="shared" si="333"/>
        <v>0</v>
      </c>
      <c r="AN88" s="22">
        <f t="shared" si="333"/>
        <v>0</v>
      </c>
      <c r="AO88" s="21">
        <f t="shared" si="301"/>
        <v>0</v>
      </c>
      <c r="AP88" s="23">
        <v>0</v>
      </c>
      <c r="AQ88" s="22">
        <v>0</v>
      </c>
      <c r="AR88" s="21">
        <f t="shared" si="302"/>
        <v>0</v>
      </c>
      <c r="AS88" s="23">
        <v>0</v>
      </c>
      <c r="AT88" s="22">
        <v>0</v>
      </c>
      <c r="AU88" s="21">
        <f t="shared" si="303"/>
        <v>0</v>
      </c>
      <c r="AV88" s="23">
        <v>0</v>
      </c>
      <c r="AW88" s="22">
        <v>0</v>
      </c>
      <c r="AX88" s="21">
        <f t="shared" si="304"/>
        <v>0</v>
      </c>
      <c r="AY88" s="23">
        <f t="shared" si="334"/>
        <v>0</v>
      </c>
      <c r="AZ88" s="22">
        <f t="shared" si="334"/>
        <v>0</v>
      </c>
      <c r="BA88" s="21">
        <f t="shared" si="305"/>
        <v>0</v>
      </c>
      <c r="BB88" s="23">
        <f t="shared" si="335"/>
        <v>0</v>
      </c>
      <c r="BC88" s="22">
        <f t="shared" si="335"/>
        <v>0</v>
      </c>
      <c r="BD88" s="21">
        <f t="shared" si="306"/>
        <v>0</v>
      </c>
      <c r="BE88" s="23">
        <v>0</v>
      </c>
      <c r="BF88" s="23">
        <v>0</v>
      </c>
      <c r="BG88" s="23">
        <f t="shared" si="336"/>
        <v>0</v>
      </c>
    </row>
    <row r="89" spans="1:59" s="124" customFormat="1" ht="15" hidden="1" customHeight="1" outlineLevel="1" x14ac:dyDescent="0.25">
      <c r="A89" s="62"/>
      <c r="B89" s="63" t="s">
        <v>61</v>
      </c>
      <c r="C89" s="25" t="s">
        <v>70</v>
      </c>
      <c r="D89" s="19">
        <v>0</v>
      </c>
      <c r="E89" s="19">
        <v>0</v>
      </c>
      <c r="F89" s="23">
        <v>0</v>
      </c>
      <c r="G89" s="22">
        <v>0</v>
      </c>
      <c r="H89" s="21">
        <f t="shared" si="290"/>
        <v>0</v>
      </c>
      <c r="I89" s="23">
        <v>0</v>
      </c>
      <c r="J89" s="22">
        <v>0</v>
      </c>
      <c r="K89" s="21">
        <f t="shared" si="291"/>
        <v>0</v>
      </c>
      <c r="L89" s="23">
        <v>0</v>
      </c>
      <c r="M89" s="22">
        <v>0</v>
      </c>
      <c r="N89" s="21">
        <f t="shared" si="292"/>
        <v>0</v>
      </c>
      <c r="O89" s="23">
        <f t="shared" si="331"/>
        <v>0</v>
      </c>
      <c r="P89" s="22">
        <f t="shared" si="331"/>
        <v>0</v>
      </c>
      <c r="Q89" s="21">
        <f t="shared" si="293"/>
        <v>0</v>
      </c>
      <c r="R89" s="23">
        <v>0</v>
      </c>
      <c r="S89" s="22">
        <v>0</v>
      </c>
      <c r="T89" s="21">
        <f t="shared" si="294"/>
        <v>0</v>
      </c>
      <c r="U89" s="23">
        <v>0</v>
      </c>
      <c r="V89" s="22">
        <v>0</v>
      </c>
      <c r="W89" s="21">
        <f t="shared" si="295"/>
        <v>0</v>
      </c>
      <c r="X89" s="23">
        <v>0</v>
      </c>
      <c r="Y89" s="22">
        <v>0</v>
      </c>
      <c r="Z89" s="21">
        <f t="shared" si="296"/>
        <v>0</v>
      </c>
      <c r="AA89" s="23">
        <f t="shared" si="332"/>
        <v>0</v>
      </c>
      <c r="AB89" s="22">
        <f t="shared" si="332"/>
        <v>0</v>
      </c>
      <c r="AC89" s="21">
        <f t="shared" si="297"/>
        <v>0</v>
      </c>
      <c r="AD89" s="23">
        <v>0</v>
      </c>
      <c r="AE89" s="22">
        <v>0</v>
      </c>
      <c r="AF89" s="21">
        <f t="shared" si="298"/>
        <v>0</v>
      </c>
      <c r="AG89" s="23">
        <v>0</v>
      </c>
      <c r="AH89" s="22">
        <v>0</v>
      </c>
      <c r="AI89" s="21">
        <f t="shared" si="299"/>
        <v>0</v>
      </c>
      <c r="AJ89" s="23">
        <v>0</v>
      </c>
      <c r="AK89" s="22">
        <v>0</v>
      </c>
      <c r="AL89" s="21">
        <f t="shared" si="300"/>
        <v>0</v>
      </c>
      <c r="AM89" s="23">
        <f t="shared" si="333"/>
        <v>0</v>
      </c>
      <c r="AN89" s="22">
        <f t="shared" si="333"/>
        <v>0</v>
      </c>
      <c r="AO89" s="21">
        <f t="shared" si="301"/>
        <v>0</v>
      </c>
      <c r="AP89" s="23">
        <v>0</v>
      </c>
      <c r="AQ89" s="22">
        <v>0</v>
      </c>
      <c r="AR89" s="21">
        <f t="shared" si="302"/>
        <v>0</v>
      </c>
      <c r="AS89" s="23">
        <v>0</v>
      </c>
      <c r="AT89" s="22">
        <v>0</v>
      </c>
      <c r="AU89" s="21">
        <f t="shared" si="303"/>
        <v>0</v>
      </c>
      <c r="AV89" s="23">
        <v>0</v>
      </c>
      <c r="AW89" s="22">
        <v>0</v>
      </c>
      <c r="AX89" s="21">
        <f t="shared" si="304"/>
        <v>0</v>
      </c>
      <c r="AY89" s="23">
        <f t="shared" si="334"/>
        <v>0</v>
      </c>
      <c r="AZ89" s="22">
        <f t="shared" si="334"/>
        <v>0</v>
      </c>
      <c r="BA89" s="21">
        <f t="shared" si="305"/>
        <v>0</v>
      </c>
      <c r="BB89" s="23">
        <f t="shared" si="335"/>
        <v>0</v>
      </c>
      <c r="BC89" s="22">
        <f t="shared" si="335"/>
        <v>0</v>
      </c>
      <c r="BD89" s="21">
        <f t="shared" si="306"/>
        <v>0</v>
      </c>
      <c r="BE89" s="23">
        <v>0</v>
      </c>
      <c r="BF89" s="23">
        <v>0</v>
      </c>
      <c r="BG89" s="23">
        <f t="shared" si="336"/>
        <v>0</v>
      </c>
    </row>
    <row r="90" spans="1:59" s="124" customFormat="1" ht="15" hidden="1" customHeight="1" outlineLevel="1" x14ac:dyDescent="0.25">
      <c r="A90" s="62"/>
      <c r="B90" s="63" t="s">
        <v>62</v>
      </c>
      <c r="C90" s="25" t="s">
        <v>70</v>
      </c>
      <c r="D90" s="19">
        <v>0</v>
      </c>
      <c r="E90" s="19">
        <v>0</v>
      </c>
      <c r="F90" s="23">
        <v>0</v>
      </c>
      <c r="G90" s="22">
        <v>0</v>
      </c>
      <c r="H90" s="21">
        <f t="shared" si="290"/>
        <v>0</v>
      </c>
      <c r="I90" s="23">
        <v>0</v>
      </c>
      <c r="J90" s="22">
        <v>0</v>
      </c>
      <c r="K90" s="21">
        <f t="shared" si="291"/>
        <v>0</v>
      </c>
      <c r="L90" s="23">
        <v>0</v>
      </c>
      <c r="M90" s="22">
        <v>0</v>
      </c>
      <c r="N90" s="21">
        <f t="shared" si="292"/>
        <v>0</v>
      </c>
      <c r="O90" s="23">
        <f t="shared" si="331"/>
        <v>0</v>
      </c>
      <c r="P90" s="22">
        <f t="shared" si="331"/>
        <v>0</v>
      </c>
      <c r="Q90" s="21">
        <f t="shared" si="293"/>
        <v>0</v>
      </c>
      <c r="R90" s="23">
        <v>0</v>
      </c>
      <c r="S90" s="22">
        <v>0</v>
      </c>
      <c r="T90" s="21">
        <f t="shared" si="294"/>
        <v>0</v>
      </c>
      <c r="U90" s="23">
        <v>0</v>
      </c>
      <c r="V90" s="22">
        <v>0</v>
      </c>
      <c r="W90" s="21">
        <f t="shared" si="295"/>
        <v>0</v>
      </c>
      <c r="X90" s="23">
        <v>0</v>
      </c>
      <c r="Y90" s="22">
        <v>0</v>
      </c>
      <c r="Z90" s="21">
        <f t="shared" si="296"/>
        <v>0</v>
      </c>
      <c r="AA90" s="23">
        <f t="shared" si="332"/>
        <v>0</v>
      </c>
      <c r="AB90" s="22">
        <f t="shared" si="332"/>
        <v>0</v>
      </c>
      <c r="AC90" s="21">
        <f t="shared" si="297"/>
        <v>0</v>
      </c>
      <c r="AD90" s="23">
        <v>0</v>
      </c>
      <c r="AE90" s="22">
        <v>0</v>
      </c>
      <c r="AF90" s="21">
        <f t="shared" si="298"/>
        <v>0</v>
      </c>
      <c r="AG90" s="23">
        <v>0</v>
      </c>
      <c r="AH90" s="22">
        <v>0</v>
      </c>
      <c r="AI90" s="21">
        <f t="shared" si="299"/>
        <v>0</v>
      </c>
      <c r="AJ90" s="23">
        <v>0</v>
      </c>
      <c r="AK90" s="22">
        <v>0</v>
      </c>
      <c r="AL90" s="21">
        <f t="shared" si="300"/>
        <v>0</v>
      </c>
      <c r="AM90" s="23">
        <f t="shared" si="333"/>
        <v>0</v>
      </c>
      <c r="AN90" s="22">
        <f t="shared" si="333"/>
        <v>0</v>
      </c>
      <c r="AO90" s="21">
        <f t="shared" si="301"/>
        <v>0</v>
      </c>
      <c r="AP90" s="23">
        <v>0</v>
      </c>
      <c r="AQ90" s="22">
        <v>0</v>
      </c>
      <c r="AR90" s="21">
        <f t="shared" si="302"/>
        <v>0</v>
      </c>
      <c r="AS90" s="23">
        <v>0</v>
      </c>
      <c r="AT90" s="22">
        <v>0</v>
      </c>
      <c r="AU90" s="21">
        <f t="shared" si="303"/>
        <v>0</v>
      </c>
      <c r="AV90" s="23">
        <v>0</v>
      </c>
      <c r="AW90" s="22">
        <v>0</v>
      </c>
      <c r="AX90" s="21">
        <f t="shared" si="304"/>
        <v>0</v>
      </c>
      <c r="AY90" s="23">
        <f t="shared" si="334"/>
        <v>0</v>
      </c>
      <c r="AZ90" s="22">
        <f t="shared" si="334"/>
        <v>0</v>
      </c>
      <c r="BA90" s="21">
        <f t="shared" si="305"/>
        <v>0</v>
      </c>
      <c r="BB90" s="23">
        <f t="shared" si="335"/>
        <v>0</v>
      </c>
      <c r="BC90" s="22">
        <f t="shared" si="335"/>
        <v>0</v>
      </c>
      <c r="BD90" s="21">
        <f t="shared" si="306"/>
        <v>0</v>
      </c>
      <c r="BE90" s="23">
        <v>0</v>
      </c>
      <c r="BF90" s="23">
        <v>0</v>
      </c>
      <c r="BG90" s="23">
        <f t="shared" si="336"/>
        <v>0</v>
      </c>
    </row>
    <row r="91" spans="1:59" s="124" customFormat="1" ht="15" hidden="1" customHeight="1" outlineLevel="1" thickBot="1" x14ac:dyDescent="0.3">
      <c r="A91" s="64"/>
      <c r="B91" s="65" t="s">
        <v>74</v>
      </c>
      <c r="C91" s="7" t="s">
        <v>70</v>
      </c>
      <c r="D91" s="1">
        <v>0</v>
      </c>
      <c r="E91" s="1">
        <v>0</v>
      </c>
      <c r="F91" s="5">
        <v>0</v>
      </c>
      <c r="G91" s="4">
        <v>0</v>
      </c>
      <c r="H91" s="3">
        <f t="shared" si="290"/>
        <v>0</v>
      </c>
      <c r="I91" s="5">
        <v>0</v>
      </c>
      <c r="J91" s="4">
        <v>0</v>
      </c>
      <c r="K91" s="3">
        <f t="shared" si="291"/>
        <v>0</v>
      </c>
      <c r="L91" s="5">
        <v>0</v>
      </c>
      <c r="M91" s="4">
        <v>0</v>
      </c>
      <c r="N91" s="3">
        <f t="shared" si="292"/>
        <v>0</v>
      </c>
      <c r="O91" s="5">
        <f t="shared" si="331"/>
        <v>0</v>
      </c>
      <c r="P91" s="4">
        <f t="shared" si="331"/>
        <v>0</v>
      </c>
      <c r="Q91" s="3">
        <f t="shared" si="293"/>
        <v>0</v>
      </c>
      <c r="R91" s="5">
        <v>0</v>
      </c>
      <c r="S91" s="4">
        <v>0</v>
      </c>
      <c r="T91" s="3">
        <f t="shared" si="294"/>
        <v>0</v>
      </c>
      <c r="U91" s="5">
        <v>0</v>
      </c>
      <c r="V91" s="4">
        <v>0</v>
      </c>
      <c r="W91" s="3">
        <f t="shared" si="295"/>
        <v>0</v>
      </c>
      <c r="X91" s="5">
        <v>0</v>
      </c>
      <c r="Y91" s="4">
        <v>0</v>
      </c>
      <c r="Z91" s="3">
        <f t="shared" si="296"/>
        <v>0</v>
      </c>
      <c r="AA91" s="5">
        <f t="shared" si="332"/>
        <v>0</v>
      </c>
      <c r="AB91" s="4">
        <f t="shared" si="332"/>
        <v>0</v>
      </c>
      <c r="AC91" s="3">
        <f t="shared" si="297"/>
        <v>0</v>
      </c>
      <c r="AD91" s="5">
        <v>0</v>
      </c>
      <c r="AE91" s="4">
        <v>0</v>
      </c>
      <c r="AF91" s="3">
        <f t="shared" si="298"/>
        <v>0</v>
      </c>
      <c r="AG91" s="5">
        <v>0</v>
      </c>
      <c r="AH91" s="4">
        <v>0</v>
      </c>
      <c r="AI91" s="3">
        <f t="shared" si="299"/>
        <v>0</v>
      </c>
      <c r="AJ91" s="5">
        <v>0</v>
      </c>
      <c r="AK91" s="4">
        <v>0</v>
      </c>
      <c r="AL91" s="3">
        <f t="shared" si="300"/>
        <v>0</v>
      </c>
      <c r="AM91" s="5">
        <f t="shared" si="333"/>
        <v>0</v>
      </c>
      <c r="AN91" s="4">
        <f t="shared" si="333"/>
        <v>0</v>
      </c>
      <c r="AO91" s="3">
        <f t="shared" si="301"/>
        <v>0</v>
      </c>
      <c r="AP91" s="5">
        <v>0</v>
      </c>
      <c r="AQ91" s="4">
        <v>0</v>
      </c>
      <c r="AR91" s="3">
        <f t="shared" si="302"/>
        <v>0</v>
      </c>
      <c r="AS91" s="5">
        <v>0</v>
      </c>
      <c r="AT91" s="4">
        <v>0</v>
      </c>
      <c r="AU91" s="3">
        <f t="shared" si="303"/>
        <v>0</v>
      </c>
      <c r="AV91" s="5">
        <v>0</v>
      </c>
      <c r="AW91" s="4">
        <v>0</v>
      </c>
      <c r="AX91" s="3">
        <f t="shared" si="304"/>
        <v>0</v>
      </c>
      <c r="AY91" s="5">
        <f t="shared" si="334"/>
        <v>0</v>
      </c>
      <c r="AZ91" s="4">
        <f t="shared" si="334"/>
        <v>0</v>
      </c>
      <c r="BA91" s="3">
        <f t="shared" si="305"/>
        <v>0</v>
      </c>
      <c r="BB91" s="5">
        <f t="shared" si="335"/>
        <v>0</v>
      </c>
      <c r="BC91" s="4">
        <f t="shared" si="335"/>
        <v>0</v>
      </c>
      <c r="BD91" s="3">
        <f t="shared" si="306"/>
        <v>0</v>
      </c>
      <c r="BE91" s="5">
        <v>0</v>
      </c>
      <c r="BF91" s="5">
        <v>0</v>
      </c>
      <c r="BG91" s="23">
        <f t="shared" si="336"/>
        <v>0</v>
      </c>
    </row>
    <row r="92" spans="1:59" s="124" customFormat="1" ht="15.75" collapsed="1" thickBot="1" x14ac:dyDescent="0.3">
      <c r="A92" s="51" t="s">
        <v>75</v>
      </c>
      <c r="B92" s="52" t="s">
        <v>76</v>
      </c>
      <c r="C92" s="116" t="s">
        <v>70</v>
      </c>
      <c r="D92" s="28">
        <f>SUM(D93:D96)</f>
        <v>0</v>
      </c>
      <c r="E92" s="28">
        <f>SUM(E93:E96)</f>
        <v>0</v>
      </c>
      <c r="F92" s="53">
        <f>SUM(F93:F96)</f>
        <v>0</v>
      </c>
      <c r="G92" s="88">
        <f>SUM(G93:G96)</f>
        <v>0</v>
      </c>
      <c r="H92" s="96">
        <f t="shared" si="290"/>
        <v>0</v>
      </c>
      <c r="I92" s="53">
        <f>SUM(I93:I96)</f>
        <v>0</v>
      </c>
      <c r="J92" s="88">
        <f>SUM(J93:J96)</f>
        <v>0</v>
      </c>
      <c r="K92" s="96">
        <f t="shared" si="291"/>
        <v>0</v>
      </c>
      <c r="L92" s="53">
        <f>SUM(L93:L96)</f>
        <v>0</v>
      </c>
      <c r="M92" s="88">
        <f>SUM(M93:M96)</f>
        <v>0</v>
      </c>
      <c r="N92" s="96">
        <f t="shared" si="292"/>
        <v>0</v>
      </c>
      <c r="O92" s="53">
        <f>SUM(O93:O96)</f>
        <v>0</v>
      </c>
      <c r="P92" s="88">
        <f>SUM(P93:P96)</f>
        <v>0</v>
      </c>
      <c r="Q92" s="96">
        <f t="shared" si="293"/>
        <v>0</v>
      </c>
      <c r="R92" s="53">
        <f>SUM(R93:R96)</f>
        <v>0</v>
      </c>
      <c r="S92" s="88">
        <f>SUM(S93:S96)</f>
        <v>0</v>
      </c>
      <c r="T92" s="96">
        <f t="shared" si="294"/>
        <v>0</v>
      </c>
      <c r="U92" s="53">
        <f>SUM(U93:U96)</f>
        <v>0</v>
      </c>
      <c r="V92" s="88">
        <f>SUM(V93:V96)</f>
        <v>0</v>
      </c>
      <c r="W92" s="96">
        <f t="shared" si="295"/>
        <v>0</v>
      </c>
      <c r="X92" s="53">
        <f>SUM(X93:X96)</f>
        <v>0</v>
      </c>
      <c r="Y92" s="88">
        <f>SUM(Y93:Y96)</f>
        <v>0</v>
      </c>
      <c r="Z92" s="96">
        <f t="shared" si="296"/>
        <v>0</v>
      </c>
      <c r="AA92" s="53">
        <f>SUM(AA93:AA96)</f>
        <v>0</v>
      </c>
      <c r="AB92" s="88">
        <f>SUM(AB93:AB96)</f>
        <v>0</v>
      </c>
      <c r="AC92" s="96">
        <f t="shared" si="297"/>
        <v>0</v>
      </c>
      <c r="AD92" s="53">
        <f>SUM(AD93:AD96)</f>
        <v>0</v>
      </c>
      <c r="AE92" s="88">
        <f>SUM(AE93:AE96)</f>
        <v>0</v>
      </c>
      <c r="AF92" s="96">
        <f t="shared" si="298"/>
        <v>0</v>
      </c>
      <c r="AG92" s="53">
        <f>SUM(AG93:AG96)</f>
        <v>0</v>
      </c>
      <c r="AH92" s="88">
        <f>SUM(AH93:AH96)</f>
        <v>0</v>
      </c>
      <c r="AI92" s="96">
        <f t="shared" si="299"/>
        <v>0</v>
      </c>
      <c r="AJ92" s="53">
        <f>SUM(AJ93:AJ96)</f>
        <v>0</v>
      </c>
      <c r="AK92" s="88">
        <f>SUM(AK93:AK96)</f>
        <v>0</v>
      </c>
      <c r="AL92" s="96">
        <f t="shared" si="300"/>
        <v>0</v>
      </c>
      <c r="AM92" s="53">
        <f>SUM(AM93:AM96)</f>
        <v>0</v>
      </c>
      <c r="AN92" s="88">
        <f>SUM(AN93:AN96)</f>
        <v>0</v>
      </c>
      <c r="AO92" s="96">
        <f t="shared" si="301"/>
        <v>0</v>
      </c>
      <c r="AP92" s="53">
        <f>SUM(AP93:AP96)</f>
        <v>0</v>
      </c>
      <c r="AQ92" s="88">
        <f>SUM(AQ93:AQ96)</f>
        <v>0</v>
      </c>
      <c r="AR92" s="96">
        <f t="shared" si="302"/>
        <v>0</v>
      </c>
      <c r="AS92" s="53">
        <f>SUM(AS93:AS96)</f>
        <v>0</v>
      </c>
      <c r="AT92" s="88">
        <f>SUM(AT93:AT96)</f>
        <v>0</v>
      </c>
      <c r="AU92" s="96">
        <f t="shared" si="303"/>
        <v>0</v>
      </c>
      <c r="AV92" s="53">
        <f>SUM(AV93:AV96)</f>
        <v>0</v>
      </c>
      <c r="AW92" s="88">
        <f>SUM(AW93:AW96)</f>
        <v>0</v>
      </c>
      <c r="AX92" s="96">
        <f t="shared" si="304"/>
        <v>0</v>
      </c>
      <c r="AY92" s="53">
        <f>SUM(AY93:AY96)</f>
        <v>0</v>
      </c>
      <c r="AZ92" s="88">
        <f>SUM(AZ93:AZ96)</f>
        <v>0</v>
      </c>
      <c r="BA92" s="96">
        <f t="shared" si="305"/>
        <v>0</v>
      </c>
      <c r="BB92" s="53">
        <f>SUM(BB93:BB96)</f>
        <v>0</v>
      </c>
      <c r="BC92" s="88">
        <f>SUM(BC93:BC96)</f>
        <v>0</v>
      </c>
      <c r="BD92" s="96">
        <f t="shared" si="306"/>
        <v>0</v>
      </c>
      <c r="BE92" s="53">
        <f>SUM(BE93:BE96)</f>
        <v>0</v>
      </c>
      <c r="BF92" s="53">
        <f>SUM(BF93:BF96)</f>
        <v>0</v>
      </c>
      <c r="BG92" s="53">
        <f>SUM(BG93:BG96)</f>
        <v>0</v>
      </c>
    </row>
    <row r="93" spans="1:59" s="127" customFormat="1" ht="13.5" hidden="1" outlineLevel="1" x14ac:dyDescent="0.25">
      <c r="A93" s="27"/>
      <c r="B93" s="83" t="s">
        <v>28</v>
      </c>
      <c r="C93" s="117" t="s">
        <v>70</v>
      </c>
      <c r="D93" s="19">
        <f t="shared" ref="D93:G93" si="337">IF(D83=0,0,D53/D83*30)</f>
        <v>0</v>
      </c>
      <c r="E93" s="19">
        <f t="shared" si="337"/>
        <v>0</v>
      </c>
      <c r="F93" s="23">
        <f t="shared" si="337"/>
        <v>0</v>
      </c>
      <c r="G93" s="22">
        <f t="shared" si="337"/>
        <v>0</v>
      </c>
      <c r="H93" s="21">
        <f t="shared" si="290"/>
        <v>0</v>
      </c>
      <c r="I93" s="23">
        <f t="shared" ref="I93:J93" si="338">IF(I83=0,0,I53/I83*30)</f>
        <v>0</v>
      </c>
      <c r="J93" s="22">
        <f t="shared" si="338"/>
        <v>0</v>
      </c>
      <c r="K93" s="21">
        <f t="shared" si="291"/>
        <v>0</v>
      </c>
      <c r="L93" s="23">
        <f t="shared" ref="L93:M93" si="339">IF(L83=0,0,L53/L83*30)</f>
        <v>0</v>
      </c>
      <c r="M93" s="22">
        <f t="shared" si="339"/>
        <v>0</v>
      </c>
      <c r="N93" s="21">
        <f t="shared" si="292"/>
        <v>0</v>
      </c>
      <c r="O93" s="23">
        <f t="shared" ref="O93:P96" si="340">SUM(F93,I93,L93)</f>
        <v>0</v>
      </c>
      <c r="P93" s="22">
        <f t="shared" si="340"/>
        <v>0</v>
      </c>
      <c r="Q93" s="21">
        <f t="shared" si="293"/>
        <v>0</v>
      </c>
      <c r="R93" s="23">
        <f t="shared" ref="R93:S93" si="341">IF(R83=0,0,R53/R83*30)</f>
        <v>0</v>
      </c>
      <c r="S93" s="22">
        <f t="shared" si="341"/>
        <v>0</v>
      </c>
      <c r="T93" s="21">
        <f t="shared" si="294"/>
        <v>0</v>
      </c>
      <c r="U93" s="23">
        <f t="shared" ref="U93:V93" si="342">IF(U83=0,0,U53/U83*30)</f>
        <v>0</v>
      </c>
      <c r="V93" s="22">
        <f t="shared" si="342"/>
        <v>0</v>
      </c>
      <c r="W93" s="21">
        <f t="shared" si="295"/>
        <v>0</v>
      </c>
      <c r="X93" s="23">
        <f t="shared" ref="X93:Y93" si="343">IF(X83=0,0,X53/X83*30)</f>
        <v>0</v>
      </c>
      <c r="Y93" s="22">
        <f t="shared" si="343"/>
        <v>0</v>
      </c>
      <c r="Z93" s="21">
        <f t="shared" si="296"/>
        <v>0</v>
      </c>
      <c r="AA93" s="23">
        <f t="shared" ref="AA93:AB96" si="344">SUM(R93,U93,X93)</f>
        <v>0</v>
      </c>
      <c r="AB93" s="22">
        <f t="shared" si="344"/>
        <v>0</v>
      </c>
      <c r="AC93" s="21">
        <f t="shared" si="297"/>
        <v>0</v>
      </c>
      <c r="AD93" s="23">
        <f t="shared" ref="AD93:AE93" si="345">IF(AD83=0,0,AD53/AD83*30)</f>
        <v>0</v>
      </c>
      <c r="AE93" s="22">
        <f t="shared" si="345"/>
        <v>0</v>
      </c>
      <c r="AF93" s="21">
        <f t="shared" si="298"/>
        <v>0</v>
      </c>
      <c r="AG93" s="23">
        <f t="shared" ref="AG93:AH93" si="346">IF(AG83=0,0,AG53/AG83*30)</f>
        <v>0</v>
      </c>
      <c r="AH93" s="22">
        <f t="shared" si="346"/>
        <v>0</v>
      </c>
      <c r="AI93" s="21">
        <f t="shared" si="299"/>
        <v>0</v>
      </c>
      <c r="AJ93" s="23">
        <f t="shared" ref="AJ93:AK93" si="347">IF(AJ83=0,0,AJ53/AJ83*30)</f>
        <v>0</v>
      </c>
      <c r="AK93" s="22">
        <f t="shared" si="347"/>
        <v>0</v>
      </c>
      <c r="AL93" s="21">
        <f t="shared" si="300"/>
        <v>0</v>
      </c>
      <c r="AM93" s="23">
        <f t="shared" ref="AM93:AN96" si="348">SUM(AD93,AG93,AJ93)</f>
        <v>0</v>
      </c>
      <c r="AN93" s="22">
        <f t="shared" si="348"/>
        <v>0</v>
      </c>
      <c r="AO93" s="21">
        <f t="shared" si="301"/>
        <v>0</v>
      </c>
      <c r="AP93" s="23">
        <f t="shared" ref="AP93:AQ93" si="349">IF(AP83=0,0,AP53/AP83*30)</f>
        <v>0</v>
      </c>
      <c r="AQ93" s="22">
        <f t="shared" si="349"/>
        <v>0</v>
      </c>
      <c r="AR93" s="21">
        <f t="shared" si="302"/>
        <v>0</v>
      </c>
      <c r="AS93" s="23">
        <f t="shared" ref="AS93:AT93" si="350">IF(AS83=0,0,AS53/AS83*30)</f>
        <v>0</v>
      </c>
      <c r="AT93" s="22">
        <f t="shared" si="350"/>
        <v>0</v>
      </c>
      <c r="AU93" s="21">
        <f t="shared" si="303"/>
        <v>0</v>
      </c>
      <c r="AV93" s="23">
        <f t="shared" ref="AV93:AW93" si="351">IF(AV83=0,0,AV53/AV83*30)</f>
        <v>0</v>
      </c>
      <c r="AW93" s="22">
        <f t="shared" si="351"/>
        <v>0</v>
      </c>
      <c r="AX93" s="21">
        <f t="shared" si="304"/>
        <v>0</v>
      </c>
      <c r="AY93" s="23">
        <f t="shared" ref="AY93:AZ96" si="352">SUM(AP93,AS93,AV93)</f>
        <v>0</v>
      </c>
      <c r="AZ93" s="22">
        <f t="shared" si="352"/>
        <v>0</v>
      </c>
      <c r="BA93" s="21">
        <f t="shared" si="305"/>
        <v>0</v>
      </c>
      <c r="BB93" s="23">
        <f t="shared" ref="BB93:BC96" si="353">SUM(F93,I93,L93,R93,U93,X93,AD93,AG93,AJ93,AP93,AS93,AV93)</f>
        <v>0</v>
      </c>
      <c r="BC93" s="22">
        <f t="shared" si="353"/>
        <v>0</v>
      </c>
      <c r="BD93" s="21">
        <f t="shared" si="306"/>
        <v>0</v>
      </c>
      <c r="BE93" s="23">
        <f t="shared" ref="BE93:BF93" si="354">IF(BE78=0,0,BE73/BE78)</f>
        <v>0</v>
      </c>
      <c r="BF93" s="23">
        <f t="shared" si="354"/>
        <v>0</v>
      </c>
      <c r="BG93" s="23">
        <f>BB93+BE93+BF93</f>
        <v>0</v>
      </c>
    </row>
    <row r="94" spans="1:59" s="124" customFormat="1" ht="13.5" hidden="1" customHeight="1" outlineLevel="1" x14ac:dyDescent="0.25">
      <c r="A94" s="82"/>
      <c r="B94" s="83" t="s">
        <v>29</v>
      </c>
      <c r="C94" s="117" t="s">
        <v>70</v>
      </c>
      <c r="D94" s="19">
        <f t="shared" ref="D94:G94" si="355">IF(D84=0,0,D54/D84*30)</f>
        <v>0</v>
      </c>
      <c r="E94" s="19">
        <f t="shared" si="355"/>
        <v>0</v>
      </c>
      <c r="F94" s="23">
        <f t="shared" si="355"/>
        <v>0</v>
      </c>
      <c r="G94" s="22">
        <f t="shared" si="355"/>
        <v>0</v>
      </c>
      <c r="H94" s="21">
        <f t="shared" si="290"/>
        <v>0</v>
      </c>
      <c r="I94" s="23">
        <f t="shared" ref="I94:J94" si="356">IF(I84=0,0,I54/I84*30)</f>
        <v>0</v>
      </c>
      <c r="J94" s="22">
        <f t="shared" si="356"/>
        <v>0</v>
      </c>
      <c r="K94" s="21">
        <f t="shared" si="291"/>
        <v>0</v>
      </c>
      <c r="L94" s="23">
        <f t="shared" ref="L94:M94" si="357">IF(L84=0,0,L54/L84*30)</f>
        <v>0</v>
      </c>
      <c r="M94" s="22">
        <f t="shared" si="357"/>
        <v>0</v>
      </c>
      <c r="N94" s="21">
        <f t="shared" si="292"/>
        <v>0</v>
      </c>
      <c r="O94" s="23">
        <f t="shared" si="340"/>
        <v>0</v>
      </c>
      <c r="P94" s="22">
        <f t="shared" si="340"/>
        <v>0</v>
      </c>
      <c r="Q94" s="21">
        <f t="shared" si="293"/>
        <v>0</v>
      </c>
      <c r="R94" s="23">
        <f t="shared" ref="R94:S94" si="358">IF(R84=0,0,R54/R84*30)</f>
        <v>0</v>
      </c>
      <c r="S94" s="22">
        <f t="shared" si="358"/>
        <v>0</v>
      </c>
      <c r="T94" s="21">
        <f t="shared" si="294"/>
        <v>0</v>
      </c>
      <c r="U94" s="23">
        <f t="shared" ref="U94:V94" si="359">IF(U84=0,0,U54/U84*30)</f>
        <v>0</v>
      </c>
      <c r="V94" s="22">
        <f t="shared" si="359"/>
        <v>0</v>
      </c>
      <c r="W94" s="21">
        <f t="shared" si="295"/>
        <v>0</v>
      </c>
      <c r="X94" s="23">
        <f t="shared" ref="X94:Y94" si="360">IF(X84=0,0,X54/X84*30)</f>
        <v>0</v>
      </c>
      <c r="Y94" s="22">
        <f t="shared" si="360"/>
        <v>0</v>
      </c>
      <c r="Z94" s="21">
        <f t="shared" si="296"/>
        <v>0</v>
      </c>
      <c r="AA94" s="23">
        <f t="shared" si="344"/>
        <v>0</v>
      </c>
      <c r="AB94" s="22">
        <f t="shared" si="344"/>
        <v>0</v>
      </c>
      <c r="AC94" s="21">
        <f t="shared" si="297"/>
        <v>0</v>
      </c>
      <c r="AD94" s="23">
        <f t="shared" ref="AD94:AE94" si="361">IF(AD84=0,0,AD54/AD84*30)</f>
        <v>0</v>
      </c>
      <c r="AE94" s="22">
        <f t="shared" si="361"/>
        <v>0</v>
      </c>
      <c r="AF94" s="21">
        <f t="shared" si="298"/>
        <v>0</v>
      </c>
      <c r="AG94" s="23">
        <f t="shared" ref="AG94:AH94" si="362">IF(AG84=0,0,AG54/AG84*30)</f>
        <v>0</v>
      </c>
      <c r="AH94" s="22">
        <f t="shared" si="362"/>
        <v>0</v>
      </c>
      <c r="AI94" s="21">
        <f t="shared" si="299"/>
        <v>0</v>
      </c>
      <c r="AJ94" s="23">
        <f t="shared" ref="AJ94:AK94" si="363">IF(AJ84=0,0,AJ54/AJ84*30)</f>
        <v>0</v>
      </c>
      <c r="AK94" s="22">
        <f t="shared" si="363"/>
        <v>0</v>
      </c>
      <c r="AL94" s="21">
        <f t="shared" si="300"/>
        <v>0</v>
      </c>
      <c r="AM94" s="23">
        <f t="shared" si="348"/>
        <v>0</v>
      </c>
      <c r="AN94" s="22">
        <f t="shared" si="348"/>
        <v>0</v>
      </c>
      <c r="AO94" s="21">
        <f t="shared" si="301"/>
        <v>0</v>
      </c>
      <c r="AP94" s="23">
        <f t="shared" ref="AP94:AQ94" si="364">IF(AP84=0,0,AP54/AP84*30)</f>
        <v>0</v>
      </c>
      <c r="AQ94" s="22">
        <f t="shared" si="364"/>
        <v>0</v>
      </c>
      <c r="AR94" s="21">
        <f t="shared" si="302"/>
        <v>0</v>
      </c>
      <c r="AS94" s="23">
        <f t="shared" ref="AS94:AT94" si="365">IF(AS84=0,0,AS54/AS84*30)</f>
        <v>0</v>
      </c>
      <c r="AT94" s="22">
        <f t="shared" si="365"/>
        <v>0</v>
      </c>
      <c r="AU94" s="21">
        <f t="shared" si="303"/>
        <v>0</v>
      </c>
      <c r="AV94" s="23">
        <f t="shared" ref="AV94:AW94" si="366">IF(AV84=0,0,AV54/AV84*30)</f>
        <v>0</v>
      </c>
      <c r="AW94" s="22">
        <f t="shared" si="366"/>
        <v>0</v>
      </c>
      <c r="AX94" s="21">
        <f t="shared" si="304"/>
        <v>0</v>
      </c>
      <c r="AY94" s="23">
        <f t="shared" si="352"/>
        <v>0</v>
      </c>
      <c r="AZ94" s="22">
        <f t="shared" si="352"/>
        <v>0</v>
      </c>
      <c r="BA94" s="21">
        <f t="shared" si="305"/>
        <v>0</v>
      </c>
      <c r="BB94" s="23">
        <f t="shared" si="353"/>
        <v>0</v>
      </c>
      <c r="BC94" s="22">
        <f t="shared" si="353"/>
        <v>0</v>
      </c>
      <c r="BD94" s="21">
        <f t="shared" si="306"/>
        <v>0</v>
      </c>
      <c r="BE94" s="23">
        <f t="shared" ref="BE94:BF94" si="367">IF(BE79=0,0,BE74/BE79)</f>
        <v>0</v>
      </c>
      <c r="BF94" s="23">
        <f t="shared" si="367"/>
        <v>0</v>
      </c>
      <c r="BG94" s="23">
        <f t="shared" ref="BG94:BG96" si="368">BB94+BE94+BF94</f>
        <v>0</v>
      </c>
    </row>
    <row r="95" spans="1:59" s="124" customFormat="1" ht="13.5" hidden="1" customHeight="1" outlineLevel="1" x14ac:dyDescent="0.25">
      <c r="A95" s="82"/>
      <c r="B95" s="83" t="s">
        <v>30</v>
      </c>
      <c r="C95" s="117" t="s">
        <v>70</v>
      </c>
      <c r="D95" s="19">
        <f t="shared" ref="D95:G95" si="369">IF(D85=0,0,D55/D85*30)</f>
        <v>0</v>
      </c>
      <c r="E95" s="19">
        <f t="shared" si="369"/>
        <v>0</v>
      </c>
      <c r="F95" s="23">
        <f t="shared" si="369"/>
        <v>0</v>
      </c>
      <c r="G95" s="22">
        <f t="shared" si="369"/>
        <v>0</v>
      </c>
      <c r="H95" s="21">
        <f t="shared" si="290"/>
        <v>0</v>
      </c>
      <c r="I95" s="23">
        <f t="shared" ref="I95:J95" si="370">IF(I85=0,0,I55/I85*30)</f>
        <v>0</v>
      </c>
      <c r="J95" s="22">
        <f t="shared" si="370"/>
        <v>0</v>
      </c>
      <c r="K95" s="21">
        <f t="shared" si="291"/>
        <v>0</v>
      </c>
      <c r="L95" s="23">
        <f t="shared" ref="L95:M95" si="371">IF(L85=0,0,L55/L85*30)</f>
        <v>0</v>
      </c>
      <c r="M95" s="22">
        <f t="shared" si="371"/>
        <v>0</v>
      </c>
      <c r="N95" s="21">
        <f t="shared" si="292"/>
        <v>0</v>
      </c>
      <c r="O95" s="23">
        <f t="shared" si="340"/>
        <v>0</v>
      </c>
      <c r="P95" s="22">
        <f t="shared" si="340"/>
        <v>0</v>
      </c>
      <c r="Q95" s="21">
        <f t="shared" si="293"/>
        <v>0</v>
      </c>
      <c r="R95" s="23">
        <f t="shared" ref="R95:S95" si="372">IF(R85=0,0,R55/R85*30)</f>
        <v>0</v>
      </c>
      <c r="S95" s="22">
        <f t="shared" si="372"/>
        <v>0</v>
      </c>
      <c r="T95" s="21">
        <f t="shared" si="294"/>
        <v>0</v>
      </c>
      <c r="U95" s="23">
        <f t="shared" ref="U95:V95" si="373">IF(U85=0,0,U55/U85*30)</f>
        <v>0</v>
      </c>
      <c r="V95" s="22">
        <f t="shared" si="373"/>
        <v>0</v>
      </c>
      <c r="W95" s="21">
        <f t="shared" si="295"/>
        <v>0</v>
      </c>
      <c r="X95" s="23">
        <f t="shared" ref="X95:Y95" si="374">IF(X85=0,0,X55/X85*30)</f>
        <v>0</v>
      </c>
      <c r="Y95" s="22">
        <f t="shared" si="374"/>
        <v>0</v>
      </c>
      <c r="Z95" s="21">
        <f t="shared" si="296"/>
        <v>0</v>
      </c>
      <c r="AA95" s="23">
        <f t="shared" si="344"/>
        <v>0</v>
      </c>
      <c r="AB95" s="22">
        <f t="shared" si="344"/>
        <v>0</v>
      </c>
      <c r="AC95" s="21">
        <f t="shared" si="297"/>
        <v>0</v>
      </c>
      <c r="AD95" s="23">
        <f t="shared" ref="AD95:AE95" si="375">IF(AD85=0,0,AD55/AD85*30)</f>
        <v>0</v>
      </c>
      <c r="AE95" s="22">
        <f t="shared" si="375"/>
        <v>0</v>
      </c>
      <c r="AF95" s="21">
        <f t="shared" si="298"/>
        <v>0</v>
      </c>
      <c r="AG95" s="23">
        <f t="shared" ref="AG95:AH95" si="376">IF(AG85=0,0,AG55/AG85*30)</f>
        <v>0</v>
      </c>
      <c r="AH95" s="22">
        <f t="shared" si="376"/>
        <v>0</v>
      </c>
      <c r="AI95" s="21">
        <f t="shared" si="299"/>
        <v>0</v>
      </c>
      <c r="AJ95" s="23">
        <f t="shared" ref="AJ95:AK95" si="377">IF(AJ85=0,0,AJ55/AJ85*30)</f>
        <v>0</v>
      </c>
      <c r="AK95" s="22">
        <f t="shared" si="377"/>
        <v>0</v>
      </c>
      <c r="AL95" s="21">
        <f t="shared" si="300"/>
        <v>0</v>
      </c>
      <c r="AM95" s="23">
        <f t="shared" si="348"/>
        <v>0</v>
      </c>
      <c r="AN95" s="22">
        <f t="shared" si="348"/>
        <v>0</v>
      </c>
      <c r="AO95" s="21">
        <f t="shared" si="301"/>
        <v>0</v>
      </c>
      <c r="AP95" s="23">
        <f t="shared" ref="AP95:AQ95" si="378">IF(AP85=0,0,AP55/AP85*30)</f>
        <v>0</v>
      </c>
      <c r="AQ95" s="22">
        <f t="shared" si="378"/>
        <v>0</v>
      </c>
      <c r="AR95" s="21">
        <f t="shared" si="302"/>
        <v>0</v>
      </c>
      <c r="AS95" s="23">
        <f t="shared" ref="AS95:AT95" si="379">IF(AS85=0,0,AS55/AS85*30)</f>
        <v>0</v>
      </c>
      <c r="AT95" s="22">
        <f t="shared" si="379"/>
        <v>0</v>
      </c>
      <c r="AU95" s="21">
        <f t="shared" si="303"/>
        <v>0</v>
      </c>
      <c r="AV95" s="23">
        <f t="shared" ref="AV95:AW95" si="380">IF(AV85=0,0,AV55/AV85*30)</f>
        <v>0</v>
      </c>
      <c r="AW95" s="22">
        <f t="shared" si="380"/>
        <v>0</v>
      </c>
      <c r="AX95" s="21">
        <f t="shared" si="304"/>
        <v>0</v>
      </c>
      <c r="AY95" s="23">
        <f t="shared" si="352"/>
        <v>0</v>
      </c>
      <c r="AZ95" s="22">
        <f t="shared" si="352"/>
        <v>0</v>
      </c>
      <c r="BA95" s="21">
        <f t="shared" si="305"/>
        <v>0</v>
      </c>
      <c r="BB95" s="23">
        <f t="shared" si="353"/>
        <v>0</v>
      </c>
      <c r="BC95" s="22">
        <f t="shared" si="353"/>
        <v>0</v>
      </c>
      <c r="BD95" s="21">
        <f t="shared" si="306"/>
        <v>0</v>
      </c>
      <c r="BE95" s="23">
        <f t="shared" ref="BE95:BF95" si="381">IF(BE80=0,0,BE75/BE80)</f>
        <v>0</v>
      </c>
      <c r="BF95" s="23">
        <f t="shared" si="381"/>
        <v>0</v>
      </c>
      <c r="BG95" s="23">
        <f t="shared" si="368"/>
        <v>0</v>
      </c>
    </row>
    <row r="96" spans="1:59" s="124" customFormat="1" ht="13.5" hidden="1" customHeight="1" outlineLevel="1" thickBot="1" x14ac:dyDescent="0.3">
      <c r="A96" s="82"/>
      <c r="B96" s="83" t="s">
        <v>31</v>
      </c>
      <c r="C96" s="117" t="s">
        <v>70</v>
      </c>
      <c r="D96" s="19">
        <f t="shared" ref="D96:G96" si="382">IF(D86=0,0,D56/D86*30)</f>
        <v>0</v>
      </c>
      <c r="E96" s="19">
        <f t="shared" si="382"/>
        <v>0</v>
      </c>
      <c r="F96" s="23">
        <f t="shared" si="382"/>
        <v>0</v>
      </c>
      <c r="G96" s="22">
        <f t="shared" si="382"/>
        <v>0</v>
      </c>
      <c r="H96" s="21">
        <f t="shared" si="290"/>
        <v>0</v>
      </c>
      <c r="I96" s="23">
        <f t="shared" ref="I96:J96" si="383">IF(I86=0,0,I56/I86*30)</f>
        <v>0</v>
      </c>
      <c r="J96" s="22">
        <f t="shared" si="383"/>
        <v>0</v>
      </c>
      <c r="K96" s="21">
        <f t="shared" si="291"/>
        <v>0</v>
      </c>
      <c r="L96" s="23">
        <f t="shared" ref="L96:M96" si="384">IF(L86=0,0,L56/L86*30)</f>
        <v>0</v>
      </c>
      <c r="M96" s="22">
        <f t="shared" si="384"/>
        <v>0</v>
      </c>
      <c r="N96" s="21">
        <f t="shared" si="292"/>
        <v>0</v>
      </c>
      <c r="O96" s="23">
        <f t="shared" si="340"/>
        <v>0</v>
      </c>
      <c r="P96" s="22">
        <f t="shared" si="340"/>
        <v>0</v>
      </c>
      <c r="Q96" s="21">
        <f t="shared" si="293"/>
        <v>0</v>
      </c>
      <c r="R96" s="23">
        <f t="shared" ref="R96:S96" si="385">IF(R86=0,0,R56/R86*30)</f>
        <v>0</v>
      </c>
      <c r="S96" s="22">
        <f t="shared" si="385"/>
        <v>0</v>
      </c>
      <c r="T96" s="21">
        <f t="shared" si="294"/>
        <v>0</v>
      </c>
      <c r="U96" s="23">
        <f t="shared" ref="U96:V96" si="386">IF(U86=0,0,U56/U86*30)</f>
        <v>0</v>
      </c>
      <c r="V96" s="22">
        <f t="shared" si="386"/>
        <v>0</v>
      </c>
      <c r="W96" s="21">
        <f t="shared" si="295"/>
        <v>0</v>
      </c>
      <c r="X96" s="23">
        <f t="shared" ref="X96:Y96" si="387">IF(X86=0,0,X56/X86*30)</f>
        <v>0</v>
      </c>
      <c r="Y96" s="22">
        <f t="shared" si="387"/>
        <v>0</v>
      </c>
      <c r="Z96" s="21">
        <f t="shared" si="296"/>
        <v>0</v>
      </c>
      <c r="AA96" s="23">
        <f t="shared" si="344"/>
        <v>0</v>
      </c>
      <c r="AB96" s="22">
        <f t="shared" si="344"/>
        <v>0</v>
      </c>
      <c r="AC96" s="21">
        <f t="shared" si="297"/>
        <v>0</v>
      </c>
      <c r="AD96" s="23">
        <f t="shared" ref="AD96:AE96" si="388">IF(AD86=0,0,AD56/AD86*30)</f>
        <v>0</v>
      </c>
      <c r="AE96" s="22">
        <f t="shared" si="388"/>
        <v>0</v>
      </c>
      <c r="AF96" s="21">
        <f t="shared" si="298"/>
        <v>0</v>
      </c>
      <c r="AG96" s="23">
        <f t="shared" ref="AG96:AH96" si="389">IF(AG86=0,0,AG56/AG86*30)</f>
        <v>0</v>
      </c>
      <c r="AH96" s="22">
        <f t="shared" si="389"/>
        <v>0</v>
      </c>
      <c r="AI96" s="21">
        <f t="shared" si="299"/>
        <v>0</v>
      </c>
      <c r="AJ96" s="23">
        <f t="shared" ref="AJ96:AK96" si="390">IF(AJ86=0,0,AJ56/AJ86*30)</f>
        <v>0</v>
      </c>
      <c r="AK96" s="22">
        <f t="shared" si="390"/>
        <v>0</v>
      </c>
      <c r="AL96" s="21">
        <f t="shared" si="300"/>
        <v>0</v>
      </c>
      <c r="AM96" s="23">
        <f t="shared" si="348"/>
        <v>0</v>
      </c>
      <c r="AN96" s="22">
        <f t="shared" si="348"/>
        <v>0</v>
      </c>
      <c r="AO96" s="21">
        <f t="shared" si="301"/>
        <v>0</v>
      </c>
      <c r="AP96" s="23">
        <f t="shared" ref="AP96:AQ96" si="391">IF(AP86=0,0,AP56/AP86*30)</f>
        <v>0</v>
      </c>
      <c r="AQ96" s="22">
        <f t="shared" si="391"/>
        <v>0</v>
      </c>
      <c r="AR96" s="21">
        <f t="shared" si="302"/>
        <v>0</v>
      </c>
      <c r="AS96" s="23">
        <f t="shared" ref="AS96:AT96" si="392">IF(AS86=0,0,AS56/AS86*30)</f>
        <v>0</v>
      </c>
      <c r="AT96" s="22">
        <f t="shared" si="392"/>
        <v>0</v>
      </c>
      <c r="AU96" s="21">
        <f t="shared" si="303"/>
        <v>0</v>
      </c>
      <c r="AV96" s="23">
        <f t="shared" ref="AV96:AW96" si="393">IF(AV86=0,0,AV56/AV86*30)</f>
        <v>0</v>
      </c>
      <c r="AW96" s="22">
        <f t="shared" si="393"/>
        <v>0</v>
      </c>
      <c r="AX96" s="21">
        <f t="shared" si="304"/>
        <v>0</v>
      </c>
      <c r="AY96" s="23">
        <f t="shared" si="352"/>
        <v>0</v>
      </c>
      <c r="AZ96" s="22">
        <f t="shared" si="352"/>
        <v>0</v>
      </c>
      <c r="BA96" s="21">
        <f t="shared" si="305"/>
        <v>0</v>
      </c>
      <c r="BB96" s="23">
        <f t="shared" si="353"/>
        <v>0</v>
      </c>
      <c r="BC96" s="22">
        <f t="shared" si="353"/>
        <v>0</v>
      </c>
      <c r="BD96" s="21">
        <f t="shared" si="306"/>
        <v>0</v>
      </c>
      <c r="BE96" s="23">
        <f t="shared" ref="BE96:BF96" si="394">IF(BE81=0,0,BE76/BE81)</f>
        <v>0</v>
      </c>
      <c r="BF96" s="23">
        <f t="shared" si="394"/>
        <v>0</v>
      </c>
      <c r="BG96" s="23">
        <f t="shared" si="368"/>
        <v>0</v>
      </c>
    </row>
    <row r="97" spans="1:59" s="124" customFormat="1" ht="15.75" collapsed="1" thickBot="1" x14ac:dyDescent="0.3">
      <c r="A97" s="51" t="s">
        <v>77</v>
      </c>
      <c r="B97" s="52" t="s">
        <v>78</v>
      </c>
      <c r="C97" s="116" t="s">
        <v>70</v>
      </c>
      <c r="D97" s="28">
        <f>SUM(D98:D101)</f>
        <v>0</v>
      </c>
      <c r="E97" s="28">
        <f>SUM(E98:E101)</f>
        <v>0</v>
      </c>
      <c r="F97" s="53">
        <f>SUM(F98:F101)</f>
        <v>0</v>
      </c>
      <c r="G97" s="88">
        <f>SUM(G98:G101)</f>
        <v>0</v>
      </c>
      <c r="H97" s="96">
        <f t="shared" si="290"/>
        <v>0</v>
      </c>
      <c r="I97" s="53">
        <f>SUM(I98:I101)</f>
        <v>0</v>
      </c>
      <c r="J97" s="88">
        <f>SUM(J98:J101)</f>
        <v>0</v>
      </c>
      <c r="K97" s="96">
        <f t="shared" si="291"/>
        <v>0</v>
      </c>
      <c r="L97" s="53">
        <f>SUM(L98:L101)</f>
        <v>0</v>
      </c>
      <c r="M97" s="88">
        <f>SUM(M98:M101)</f>
        <v>0</v>
      </c>
      <c r="N97" s="96">
        <f t="shared" si="292"/>
        <v>0</v>
      </c>
      <c r="O97" s="53">
        <f>SUM(O98:O101)</f>
        <v>0</v>
      </c>
      <c r="P97" s="88">
        <f>SUM(P98:P101)</f>
        <v>0</v>
      </c>
      <c r="Q97" s="96">
        <f t="shared" si="293"/>
        <v>0</v>
      </c>
      <c r="R97" s="53">
        <f>SUM(R98:R101)</f>
        <v>0</v>
      </c>
      <c r="S97" s="88">
        <f>SUM(S98:S101)</f>
        <v>0</v>
      </c>
      <c r="T97" s="96">
        <f t="shared" si="294"/>
        <v>0</v>
      </c>
      <c r="U97" s="53">
        <f>SUM(U98:U101)</f>
        <v>0</v>
      </c>
      <c r="V97" s="88">
        <f>SUM(V98:V101)</f>
        <v>0</v>
      </c>
      <c r="W97" s="96">
        <f t="shared" si="295"/>
        <v>0</v>
      </c>
      <c r="X97" s="53">
        <f>SUM(X98:X101)</f>
        <v>0</v>
      </c>
      <c r="Y97" s="88">
        <f>SUM(Y98:Y101)</f>
        <v>0</v>
      </c>
      <c r="Z97" s="96">
        <f t="shared" si="296"/>
        <v>0</v>
      </c>
      <c r="AA97" s="53">
        <f>SUM(AA98:AA101)</f>
        <v>0</v>
      </c>
      <c r="AB97" s="88">
        <f>SUM(AB98:AB101)</f>
        <v>0</v>
      </c>
      <c r="AC97" s="96">
        <f t="shared" si="297"/>
        <v>0</v>
      </c>
      <c r="AD97" s="53">
        <f>SUM(AD98:AD101)</f>
        <v>0</v>
      </c>
      <c r="AE97" s="88">
        <f>SUM(AE98:AE101)</f>
        <v>0</v>
      </c>
      <c r="AF97" s="96">
        <f t="shared" si="298"/>
        <v>0</v>
      </c>
      <c r="AG97" s="53">
        <f>SUM(AG98:AG101)</f>
        <v>0</v>
      </c>
      <c r="AH97" s="88">
        <f>SUM(AH98:AH101)</f>
        <v>0</v>
      </c>
      <c r="AI97" s="96">
        <f t="shared" si="299"/>
        <v>0</v>
      </c>
      <c r="AJ97" s="53">
        <f>SUM(AJ98:AJ101)</f>
        <v>0</v>
      </c>
      <c r="AK97" s="88">
        <f>SUM(AK98:AK101)</f>
        <v>0</v>
      </c>
      <c r="AL97" s="96">
        <f t="shared" si="300"/>
        <v>0</v>
      </c>
      <c r="AM97" s="53">
        <f>SUM(AM98:AM101)</f>
        <v>0</v>
      </c>
      <c r="AN97" s="88">
        <f>SUM(AN98:AN101)</f>
        <v>0</v>
      </c>
      <c r="AO97" s="96">
        <f t="shared" si="301"/>
        <v>0</v>
      </c>
      <c r="AP97" s="53">
        <f>SUM(AP98:AP101)</f>
        <v>0</v>
      </c>
      <c r="AQ97" s="88">
        <f>SUM(AQ98:AQ101)</f>
        <v>0</v>
      </c>
      <c r="AR97" s="96">
        <f t="shared" si="302"/>
        <v>0</v>
      </c>
      <c r="AS97" s="53">
        <f>SUM(AS98:AS101)</f>
        <v>0</v>
      </c>
      <c r="AT97" s="88">
        <f>SUM(AT98:AT101)</f>
        <v>0</v>
      </c>
      <c r="AU97" s="96">
        <f t="shared" si="303"/>
        <v>0</v>
      </c>
      <c r="AV97" s="53">
        <f>SUM(AV98:AV101)</f>
        <v>0</v>
      </c>
      <c r="AW97" s="88">
        <f>SUM(AW98:AW101)</f>
        <v>0</v>
      </c>
      <c r="AX97" s="96">
        <f t="shared" si="304"/>
        <v>0</v>
      </c>
      <c r="AY97" s="53">
        <f>SUM(AY98:AY101)</f>
        <v>0</v>
      </c>
      <c r="AZ97" s="88">
        <f>SUM(AZ98:AZ101)</f>
        <v>0</v>
      </c>
      <c r="BA97" s="96">
        <f t="shared" si="305"/>
        <v>0</v>
      </c>
      <c r="BB97" s="53">
        <f>SUM(BB98:BB101)</f>
        <v>0</v>
      </c>
      <c r="BC97" s="88">
        <f>SUM(BC98:BC101)</f>
        <v>0</v>
      </c>
      <c r="BD97" s="96">
        <f t="shared" si="306"/>
        <v>0</v>
      </c>
      <c r="BE97" s="53">
        <f>SUM(BE98:BE101)</f>
        <v>0</v>
      </c>
      <c r="BF97" s="53">
        <f>SUM(BF98:BF101)</f>
        <v>0</v>
      </c>
      <c r="BG97" s="53">
        <f>SUM(BG98:BG101)</f>
        <v>0</v>
      </c>
    </row>
    <row r="98" spans="1:59" s="127" customFormat="1" ht="13.5" hidden="1" outlineLevel="1" x14ac:dyDescent="0.25">
      <c r="A98" s="27"/>
      <c r="B98" s="83" t="s">
        <v>28</v>
      </c>
      <c r="C98" s="117" t="s">
        <v>70</v>
      </c>
      <c r="D98" s="19">
        <f t="shared" ref="D98:G98" si="395">IF(D88=0,0,D58/D88*30)</f>
        <v>0</v>
      </c>
      <c r="E98" s="19">
        <f t="shared" si="395"/>
        <v>0</v>
      </c>
      <c r="F98" s="23">
        <f t="shared" si="395"/>
        <v>0</v>
      </c>
      <c r="G98" s="22">
        <f t="shared" si="395"/>
        <v>0</v>
      </c>
      <c r="H98" s="21">
        <f t="shared" si="290"/>
        <v>0</v>
      </c>
      <c r="I98" s="23">
        <f t="shared" ref="I98:J98" si="396">IF(I88=0,0,I58/I88*30)</f>
        <v>0</v>
      </c>
      <c r="J98" s="22">
        <f t="shared" si="396"/>
        <v>0</v>
      </c>
      <c r="K98" s="21">
        <f t="shared" si="291"/>
        <v>0</v>
      </c>
      <c r="L98" s="23">
        <f t="shared" ref="L98:M98" si="397">IF(L88=0,0,L58/L88*30)</f>
        <v>0</v>
      </c>
      <c r="M98" s="22">
        <f t="shared" si="397"/>
        <v>0</v>
      </c>
      <c r="N98" s="21">
        <f t="shared" si="292"/>
        <v>0</v>
      </c>
      <c r="O98" s="23">
        <f t="shared" ref="O98:P101" si="398">SUM(F98,I98,L98)</f>
        <v>0</v>
      </c>
      <c r="P98" s="22">
        <f t="shared" si="398"/>
        <v>0</v>
      </c>
      <c r="Q98" s="21">
        <f t="shared" si="293"/>
        <v>0</v>
      </c>
      <c r="R98" s="23">
        <f t="shared" ref="R98:S98" si="399">IF(R88=0,0,R58/R88*30)</f>
        <v>0</v>
      </c>
      <c r="S98" s="22">
        <f t="shared" si="399"/>
        <v>0</v>
      </c>
      <c r="T98" s="21">
        <f t="shared" si="294"/>
        <v>0</v>
      </c>
      <c r="U98" s="23">
        <f t="shared" ref="U98:V98" si="400">IF(U88=0,0,U58/U88*30)</f>
        <v>0</v>
      </c>
      <c r="V98" s="22">
        <f t="shared" si="400"/>
        <v>0</v>
      </c>
      <c r="W98" s="21">
        <f t="shared" si="295"/>
        <v>0</v>
      </c>
      <c r="X98" s="23">
        <f t="shared" ref="X98:Y98" si="401">IF(X88=0,0,X58/X88*30)</f>
        <v>0</v>
      </c>
      <c r="Y98" s="22">
        <f t="shared" si="401"/>
        <v>0</v>
      </c>
      <c r="Z98" s="21">
        <f t="shared" si="296"/>
        <v>0</v>
      </c>
      <c r="AA98" s="23">
        <f t="shared" ref="AA98:AB101" si="402">SUM(R98,U98,X98)</f>
        <v>0</v>
      </c>
      <c r="AB98" s="22">
        <f t="shared" si="402"/>
        <v>0</v>
      </c>
      <c r="AC98" s="21">
        <f t="shared" si="297"/>
        <v>0</v>
      </c>
      <c r="AD98" s="23"/>
      <c r="AE98" s="22"/>
      <c r="AF98" s="21">
        <f t="shared" si="298"/>
        <v>0</v>
      </c>
      <c r="AG98" s="23">
        <f t="shared" ref="AG98:AH98" si="403">IF(AG88=0,0,AG58/AG88*30)</f>
        <v>0</v>
      </c>
      <c r="AH98" s="22">
        <f t="shared" si="403"/>
        <v>0</v>
      </c>
      <c r="AI98" s="21">
        <f t="shared" si="299"/>
        <v>0</v>
      </c>
      <c r="AJ98" s="23">
        <f t="shared" ref="AJ98:AK98" si="404">IF(AJ88=0,0,AJ58/AJ88*30)</f>
        <v>0</v>
      </c>
      <c r="AK98" s="22">
        <f t="shared" si="404"/>
        <v>0</v>
      </c>
      <c r="AL98" s="21">
        <f t="shared" si="300"/>
        <v>0</v>
      </c>
      <c r="AM98" s="23">
        <f t="shared" ref="AM98:AN101" si="405">SUM(AD98,AG98,AJ98)</f>
        <v>0</v>
      </c>
      <c r="AN98" s="22">
        <f t="shared" si="405"/>
        <v>0</v>
      </c>
      <c r="AO98" s="21">
        <f t="shared" si="301"/>
        <v>0</v>
      </c>
      <c r="AP98" s="23">
        <f t="shared" ref="AP98:AQ98" si="406">IF(AP88=0,0,AP58/AP88*30)</f>
        <v>0</v>
      </c>
      <c r="AQ98" s="22">
        <f t="shared" si="406"/>
        <v>0</v>
      </c>
      <c r="AR98" s="21">
        <f t="shared" si="302"/>
        <v>0</v>
      </c>
      <c r="AS98" s="23">
        <f t="shared" ref="AS98:AT98" si="407">IF(AS88=0,0,AS58/AS88*30)</f>
        <v>0</v>
      </c>
      <c r="AT98" s="22">
        <f t="shared" si="407"/>
        <v>0</v>
      </c>
      <c r="AU98" s="21">
        <f t="shared" si="303"/>
        <v>0</v>
      </c>
      <c r="AV98" s="23">
        <f t="shared" ref="AV98:AW98" si="408">IF(AV88=0,0,AV58/AV88*30)</f>
        <v>0</v>
      </c>
      <c r="AW98" s="22">
        <f t="shared" si="408"/>
        <v>0</v>
      </c>
      <c r="AX98" s="21">
        <f t="shared" si="304"/>
        <v>0</v>
      </c>
      <c r="AY98" s="23">
        <f t="shared" ref="AY98:AZ101" si="409">SUM(AP98,AS98,AV98)</f>
        <v>0</v>
      </c>
      <c r="AZ98" s="22">
        <f t="shared" si="409"/>
        <v>0</v>
      </c>
      <c r="BA98" s="21">
        <f t="shared" si="305"/>
        <v>0</v>
      </c>
      <c r="BB98" s="23">
        <f t="shared" ref="BB98:BC101" si="410">SUM(F98,I98,L98,R98,U98,X98,AD98,AG98,AJ98,AP98,AS98,AV98)</f>
        <v>0</v>
      </c>
      <c r="BC98" s="22">
        <f t="shared" si="410"/>
        <v>0</v>
      </c>
      <c r="BD98" s="21">
        <f t="shared" si="306"/>
        <v>0</v>
      </c>
      <c r="BE98" s="23">
        <f t="shared" ref="BE98:BF98" si="411">IF(BE83=0,0,BE78/BE83)</f>
        <v>0</v>
      </c>
      <c r="BF98" s="23">
        <f t="shared" si="411"/>
        <v>0</v>
      </c>
      <c r="BG98" s="23">
        <f>BB98+BE98+BF98</f>
        <v>0</v>
      </c>
    </row>
    <row r="99" spans="1:59" s="124" customFormat="1" ht="13.5" hidden="1" customHeight="1" outlineLevel="1" x14ac:dyDescent="0.25">
      <c r="A99" s="82"/>
      <c r="B99" s="83" t="s">
        <v>29</v>
      </c>
      <c r="C99" s="117" t="s">
        <v>70</v>
      </c>
      <c r="D99" s="19">
        <f t="shared" ref="D99:G99" si="412">IF(D89=0,0,D59/D89*30)</f>
        <v>0</v>
      </c>
      <c r="E99" s="19">
        <f t="shared" si="412"/>
        <v>0</v>
      </c>
      <c r="F99" s="23">
        <f t="shared" si="412"/>
        <v>0</v>
      </c>
      <c r="G99" s="22">
        <f t="shared" si="412"/>
        <v>0</v>
      </c>
      <c r="H99" s="21">
        <f t="shared" si="290"/>
        <v>0</v>
      </c>
      <c r="I99" s="23">
        <f t="shared" ref="I99:J99" si="413">IF(I89=0,0,I59/I89*30)</f>
        <v>0</v>
      </c>
      <c r="J99" s="22">
        <f t="shared" si="413"/>
        <v>0</v>
      </c>
      <c r="K99" s="21">
        <f t="shared" si="291"/>
        <v>0</v>
      </c>
      <c r="L99" s="23">
        <f t="shared" ref="L99:M99" si="414">IF(L89=0,0,L59/L89*30)</f>
        <v>0</v>
      </c>
      <c r="M99" s="22">
        <f t="shared" si="414"/>
        <v>0</v>
      </c>
      <c r="N99" s="21">
        <f t="shared" si="292"/>
        <v>0</v>
      </c>
      <c r="O99" s="23">
        <f t="shared" si="398"/>
        <v>0</v>
      </c>
      <c r="P99" s="22">
        <f t="shared" si="398"/>
        <v>0</v>
      </c>
      <c r="Q99" s="21">
        <f t="shared" si="293"/>
        <v>0</v>
      </c>
      <c r="R99" s="23">
        <f t="shared" ref="R99:S99" si="415">IF(R89=0,0,R59/R89*30)</f>
        <v>0</v>
      </c>
      <c r="S99" s="22">
        <f t="shared" si="415"/>
        <v>0</v>
      </c>
      <c r="T99" s="21">
        <f t="shared" si="294"/>
        <v>0</v>
      </c>
      <c r="U99" s="23">
        <f t="shared" ref="U99:V99" si="416">IF(U89=0,0,U59/U89*30)</f>
        <v>0</v>
      </c>
      <c r="V99" s="22">
        <f t="shared" si="416"/>
        <v>0</v>
      </c>
      <c r="W99" s="21">
        <f t="shared" si="295"/>
        <v>0</v>
      </c>
      <c r="X99" s="23">
        <f t="shared" ref="X99:Y99" si="417">IF(X89=0,0,X59/X89*30)</f>
        <v>0</v>
      </c>
      <c r="Y99" s="22">
        <f t="shared" si="417"/>
        <v>0</v>
      </c>
      <c r="Z99" s="21">
        <f t="shared" si="296"/>
        <v>0</v>
      </c>
      <c r="AA99" s="23">
        <f t="shared" si="402"/>
        <v>0</v>
      </c>
      <c r="AB99" s="22">
        <f t="shared" si="402"/>
        <v>0</v>
      </c>
      <c r="AC99" s="21">
        <f t="shared" si="297"/>
        <v>0</v>
      </c>
      <c r="AD99" s="23">
        <f t="shared" ref="AD99:AE99" si="418">IF(AD89=0,0,AD59/AD89*30)</f>
        <v>0</v>
      </c>
      <c r="AE99" s="22">
        <f t="shared" si="418"/>
        <v>0</v>
      </c>
      <c r="AF99" s="21">
        <f t="shared" si="298"/>
        <v>0</v>
      </c>
      <c r="AG99" s="23">
        <f t="shared" ref="AG99:AH99" si="419">IF(AG89=0,0,AG59/AG89*30)</f>
        <v>0</v>
      </c>
      <c r="AH99" s="22">
        <f t="shared" si="419"/>
        <v>0</v>
      </c>
      <c r="AI99" s="21">
        <f t="shared" si="299"/>
        <v>0</v>
      </c>
      <c r="AJ99" s="23">
        <f t="shared" ref="AJ99:AK99" si="420">IF(AJ89=0,0,AJ59/AJ89*30)</f>
        <v>0</v>
      </c>
      <c r="AK99" s="22">
        <f t="shared" si="420"/>
        <v>0</v>
      </c>
      <c r="AL99" s="21">
        <f t="shared" si="300"/>
        <v>0</v>
      </c>
      <c r="AM99" s="23">
        <f t="shared" si="405"/>
        <v>0</v>
      </c>
      <c r="AN99" s="22">
        <f t="shared" si="405"/>
        <v>0</v>
      </c>
      <c r="AO99" s="21">
        <f t="shared" si="301"/>
        <v>0</v>
      </c>
      <c r="AP99" s="23">
        <f t="shared" ref="AP99:AQ99" si="421">IF(AP89=0,0,AP59/AP89*30)</f>
        <v>0</v>
      </c>
      <c r="AQ99" s="22">
        <f t="shared" si="421"/>
        <v>0</v>
      </c>
      <c r="AR99" s="21">
        <f t="shared" si="302"/>
        <v>0</v>
      </c>
      <c r="AS99" s="23">
        <f t="shared" ref="AS99:AT99" si="422">IF(AS89=0,0,AS59/AS89*30)</f>
        <v>0</v>
      </c>
      <c r="AT99" s="22">
        <f t="shared" si="422"/>
        <v>0</v>
      </c>
      <c r="AU99" s="21">
        <f t="shared" si="303"/>
        <v>0</v>
      </c>
      <c r="AV99" s="23">
        <f t="shared" ref="AV99:AW99" si="423">IF(AV89=0,0,AV59/AV89*30)</f>
        <v>0</v>
      </c>
      <c r="AW99" s="22">
        <f t="shared" si="423"/>
        <v>0</v>
      </c>
      <c r="AX99" s="21">
        <f t="shared" si="304"/>
        <v>0</v>
      </c>
      <c r="AY99" s="23">
        <f t="shared" si="409"/>
        <v>0</v>
      </c>
      <c r="AZ99" s="22">
        <f t="shared" si="409"/>
        <v>0</v>
      </c>
      <c r="BA99" s="21">
        <f t="shared" si="305"/>
        <v>0</v>
      </c>
      <c r="BB99" s="23">
        <f t="shared" si="410"/>
        <v>0</v>
      </c>
      <c r="BC99" s="22">
        <f t="shared" si="410"/>
        <v>0</v>
      </c>
      <c r="BD99" s="21">
        <f t="shared" si="306"/>
        <v>0</v>
      </c>
      <c r="BE99" s="23">
        <f t="shared" ref="BE99:BF99" si="424">IF(BE84=0,0,BE79/BE84)</f>
        <v>0</v>
      </c>
      <c r="BF99" s="23">
        <f t="shared" si="424"/>
        <v>0</v>
      </c>
      <c r="BG99" s="23">
        <f t="shared" ref="BG99:BG101" si="425">BB99+BE99+BF99</f>
        <v>0</v>
      </c>
    </row>
    <row r="100" spans="1:59" s="124" customFormat="1" ht="13.5" hidden="1" customHeight="1" outlineLevel="1" x14ac:dyDescent="0.25">
      <c r="A100" s="82"/>
      <c r="B100" s="83" t="s">
        <v>30</v>
      </c>
      <c r="C100" s="117" t="s">
        <v>70</v>
      </c>
      <c r="D100" s="19">
        <f t="shared" ref="D100:G100" si="426">IF(D90=0,0,D60/D90*30)</f>
        <v>0</v>
      </c>
      <c r="E100" s="19">
        <f t="shared" si="426"/>
        <v>0</v>
      </c>
      <c r="F100" s="23">
        <f t="shared" si="426"/>
        <v>0</v>
      </c>
      <c r="G100" s="22">
        <f t="shared" si="426"/>
        <v>0</v>
      </c>
      <c r="H100" s="21">
        <f t="shared" si="290"/>
        <v>0</v>
      </c>
      <c r="I100" s="23">
        <f t="shared" ref="I100:J100" si="427">IF(I90=0,0,I60/I90*30)</f>
        <v>0</v>
      </c>
      <c r="J100" s="22">
        <f t="shared" si="427"/>
        <v>0</v>
      </c>
      <c r="K100" s="21">
        <f t="shared" si="291"/>
        <v>0</v>
      </c>
      <c r="L100" s="23">
        <f t="shared" ref="L100:M100" si="428">IF(L90=0,0,L60/L90*30)</f>
        <v>0</v>
      </c>
      <c r="M100" s="22">
        <f t="shared" si="428"/>
        <v>0</v>
      </c>
      <c r="N100" s="21">
        <f t="shared" si="292"/>
        <v>0</v>
      </c>
      <c r="O100" s="23">
        <f t="shared" si="398"/>
        <v>0</v>
      </c>
      <c r="P100" s="22">
        <f t="shared" si="398"/>
        <v>0</v>
      </c>
      <c r="Q100" s="21">
        <f t="shared" si="293"/>
        <v>0</v>
      </c>
      <c r="R100" s="23">
        <f t="shared" ref="R100:S100" si="429">IF(R90=0,0,R60/R90*30)</f>
        <v>0</v>
      </c>
      <c r="S100" s="22">
        <f t="shared" si="429"/>
        <v>0</v>
      </c>
      <c r="T100" s="21">
        <f t="shared" si="294"/>
        <v>0</v>
      </c>
      <c r="U100" s="23">
        <f t="shared" ref="U100:V100" si="430">IF(U90=0,0,U60/U90*30)</f>
        <v>0</v>
      </c>
      <c r="V100" s="22">
        <f t="shared" si="430"/>
        <v>0</v>
      </c>
      <c r="W100" s="21">
        <f t="shared" si="295"/>
        <v>0</v>
      </c>
      <c r="X100" s="23">
        <f t="shared" ref="X100:Y100" si="431">IF(X90=0,0,X60/X90*30)</f>
        <v>0</v>
      </c>
      <c r="Y100" s="22">
        <f t="shared" si="431"/>
        <v>0</v>
      </c>
      <c r="Z100" s="21">
        <f t="shared" si="296"/>
        <v>0</v>
      </c>
      <c r="AA100" s="23">
        <f t="shared" si="402"/>
        <v>0</v>
      </c>
      <c r="AB100" s="22">
        <f t="shared" si="402"/>
        <v>0</v>
      </c>
      <c r="AC100" s="21">
        <f t="shared" si="297"/>
        <v>0</v>
      </c>
      <c r="AD100" s="23">
        <f t="shared" ref="AD100:AE100" si="432">IF(AD90=0,0,AD60/AD90*30)</f>
        <v>0</v>
      </c>
      <c r="AE100" s="22">
        <f t="shared" si="432"/>
        <v>0</v>
      </c>
      <c r="AF100" s="21">
        <f t="shared" si="298"/>
        <v>0</v>
      </c>
      <c r="AG100" s="23">
        <f t="shared" ref="AG100:AH100" si="433">IF(AG90=0,0,AG60/AG90*30)</f>
        <v>0</v>
      </c>
      <c r="AH100" s="22">
        <f t="shared" si="433"/>
        <v>0</v>
      </c>
      <c r="AI100" s="21">
        <f t="shared" si="299"/>
        <v>0</v>
      </c>
      <c r="AJ100" s="23">
        <f t="shared" ref="AJ100:AK100" si="434">IF(AJ90=0,0,AJ60/AJ90*30)</f>
        <v>0</v>
      </c>
      <c r="AK100" s="22">
        <f t="shared" si="434"/>
        <v>0</v>
      </c>
      <c r="AL100" s="21">
        <f t="shared" si="300"/>
        <v>0</v>
      </c>
      <c r="AM100" s="23">
        <f t="shared" si="405"/>
        <v>0</v>
      </c>
      <c r="AN100" s="22">
        <f t="shared" si="405"/>
        <v>0</v>
      </c>
      <c r="AO100" s="21">
        <f t="shared" si="301"/>
        <v>0</v>
      </c>
      <c r="AP100" s="23">
        <f t="shared" ref="AP100:AQ100" si="435">IF(AP90=0,0,AP60/AP90*30)</f>
        <v>0</v>
      </c>
      <c r="AQ100" s="22">
        <f t="shared" si="435"/>
        <v>0</v>
      </c>
      <c r="AR100" s="21">
        <f t="shared" si="302"/>
        <v>0</v>
      </c>
      <c r="AS100" s="23">
        <f t="shared" ref="AS100:AT100" si="436">IF(AS90=0,0,AS60/AS90*30)</f>
        <v>0</v>
      </c>
      <c r="AT100" s="22">
        <f t="shared" si="436"/>
        <v>0</v>
      </c>
      <c r="AU100" s="21">
        <f t="shared" si="303"/>
        <v>0</v>
      </c>
      <c r="AV100" s="23">
        <f t="shared" ref="AV100:AW100" si="437">IF(AV90=0,0,AV60/AV90*30)</f>
        <v>0</v>
      </c>
      <c r="AW100" s="22">
        <f t="shared" si="437"/>
        <v>0</v>
      </c>
      <c r="AX100" s="21">
        <f t="shared" si="304"/>
        <v>0</v>
      </c>
      <c r="AY100" s="23">
        <f t="shared" si="409"/>
        <v>0</v>
      </c>
      <c r="AZ100" s="22">
        <f t="shared" si="409"/>
        <v>0</v>
      </c>
      <c r="BA100" s="21">
        <f t="shared" si="305"/>
        <v>0</v>
      </c>
      <c r="BB100" s="23">
        <f t="shared" si="410"/>
        <v>0</v>
      </c>
      <c r="BC100" s="22">
        <f t="shared" si="410"/>
        <v>0</v>
      </c>
      <c r="BD100" s="21">
        <f t="shared" si="306"/>
        <v>0</v>
      </c>
      <c r="BE100" s="23">
        <f t="shared" ref="BE100:BF100" si="438">IF(BE85=0,0,BE80/BE85)</f>
        <v>0</v>
      </c>
      <c r="BF100" s="23">
        <f t="shared" si="438"/>
        <v>0</v>
      </c>
      <c r="BG100" s="23">
        <f t="shared" si="425"/>
        <v>0</v>
      </c>
    </row>
    <row r="101" spans="1:59" s="124" customFormat="1" ht="13.5" hidden="1" customHeight="1" outlineLevel="1" thickBot="1" x14ac:dyDescent="0.3">
      <c r="A101" s="54"/>
      <c r="B101" s="55" t="s">
        <v>31</v>
      </c>
      <c r="C101" s="120" t="s">
        <v>70</v>
      </c>
      <c r="D101" s="19">
        <f t="shared" ref="D101:G101" si="439">IF(D91=0,0,D61/D91*30)</f>
        <v>0</v>
      </c>
      <c r="E101" s="19">
        <f t="shared" si="439"/>
        <v>0</v>
      </c>
      <c r="F101" s="23">
        <f t="shared" si="439"/>
        <v>0</v>
      </c>
      <c r="G101" s="22">
        <f t="shared" si="439"/>
        <v>0</v>
      </c>
      <c r="H101" s="3">
        <f t="shared" si="290"/>
        <v>0</v>
      </c>
      <c r="I101" s="23">
        <f t="shared" ref="I101:J101" si="440">IF(I91=0,0,I61/I91*30)</f>
        <v>0</v>
      </c>
      <c r="J101" s="22">
        <f t="shared" si="440"/>
        <v>0</v>
      </c>
      <c r="K101" s="3">
        <f t="shared" si="291"/>
        <v>0</v>
      </c>
      <c r="L101" s="23">
        <f t="shared" ref="L101:M101" si="441">IF(L91=0,0,L61/L91*30)</f>
        <v>0</v>
      </c>
      <c r="M101" s="22">
        <f t="shared" si="441"/>
        <v>0</v>
      </c>
      <c r="N101" s="3">
        <f t="shared" si="292"/>
        <v>0</v>
      </c>
      <c r="O101" s="5">
        <f t="shared" si="398"/>
        <v>0</v>
      </c>
      <c r="P101" s="4">
        <f t="shared" si="398"/>
        <v>0</v>
      </c>
      <c r="Q101" s="3">
        <f t="shared" si="293"/>
        <v>0</v>
      </c>
      <c r="R101" s="23">
        <f t="shared" ref="R101:S101" si="442">IF(R91=0,0,R61/R91*30)</f>
        <v>0</v>
      </c>
      <c r="S101" s="22">
        <f t="shared" si="442"/>
        <v>0</v>
      </c>
      <c r="T101" s="3">
        <f t="shared" si="294"/>
        <v>0</v>
      </c>
      <c r="U101" s="23">
        <f t="shared" ref="U101:V101" si="443">IF(U91=0,0,U61/U91*30)</f>
        <v>0</v>
      </c>
      <c r="V101" s="22">
        <f t="shared" si="443"/>
        <v>0</v>
      </c>
      <c r="W101" s="3">
        <f t="shared" si="295"/>
        <v>0</v>
      </c>
      <c r="X101" s="23">
        <f t="shared" ref="X101:Y101" si="444">IF(X91=0,0,X61/X91*30)</f>
        <v>0</v>
      </c>
      <c r="Y101" s="22">
        <f t="shared" si="444"/>
        <v>0</v>
      </c>
      <c r="Z101" s="3">
        <f t="shared" si="296"/>
        <v>0</v>
      </c>
      <c r="AA101" s="5">
        <f t="shared" si="402"/>
        <v>0</v>
      </c>
      <c r="AB101" s="4">
        <f t="shared" si="402"/>
        <v>0</v>
      </c>
      <c r="AC101" s="3">
        <f t="shared" si="297"/>
        <v>0</v>
      </c>
      <c r="AD101" s="23">
        <f t="shared" ref="AD101:AE101" si="445">IF(AD91=0,0,AD61/AD91*30)</f>
        <v>0</v>
      </c>
      <c r="AE101" s="22">
        <f t="shared" si="445"/>
        <v>0</v>
      </c>
      <c r="AF101" s="3">
        <f t="shared" si="298"/>
        <v>0</v>
      </c>
      <c r="AG101" s="23">
        <f t="shared" ref="AG101:AH101" si="446">IF(AG91=0,0,AG61/AG91*30)</f>
        <v>0</v>
      </c>
      <c r="AH101" s="22">
        <f t="shared" si="446"/>
        <v>0</v>
      </c>
      <c r="AI101" s="3">
        <f t="shared" si="299"/>
        <v>0</v>
      </c>
      <c r="AJ101" s="23">
        <f t="shared" ref="AJ101:AK101" si="447">IF(AJ91=0,0,AJ61/AJ91*30)</f>
        <v>0</v>
      </c>
      <c r="AK101" s="22">
        <f t="shared" si="447"/>
        <v>0</v>
      </c>
      <c r="AL101" s="3">
        <f t="shared" si="300"/>
        <v>0</v>
      </c>
      <c r="AM101" s="5">
        <f t="shared" si="405"/>
        <v>0</v>
      </c>
      <c r="AN101" s="4">
        <f t="shared" si="405"/>
        <v>0</v>
      </c>
      <c r="AO101" s="3">
        <f t="shared" si="301"/>
        <v>0</v>
      </c>
      <c r="AP101" s="23">
        <f t="shared" ref="AP101:AQ101" si="448">IF(AP91=0,0,AP61/AP91*30)</f>
        <v>0</v>
      </c>
      <c r="AQ101" s="22">
        <f t="shared" si="448"/>
        <v>0</v>
      </c>
      <c r="AR101" s="3">
        <f t="shared" si="302"/>
        <v>0</v>
      </c>
      <c r="AS101" s="23">
        <f t="shared" ref="AS101:AT101" si="449">IF(AS91=0,0,AS61/AS91*30)</f>
        <v>0</v>
      </c>
      <c r="AT101" s="22">
        <f t="shared" si="449"/>
        <v>0</v>
      </c>
      <c r="AU101" s="3">
        <f t="shared" si="303"/>
        <v>0</v>
      </c>
      <c r="AV101" s="23">
        <f t="shared" ref="AV101:AW101" si="450">IF(AV91=0,0,AV61/AV91*30)</f>
        <v>0</v>
      </c>
      <c r="AW101" s="22">
        <f t="shared" si="450"/>
        <v>0</v>
      </c>
      <c r="AX101" s="3">
        <f t="shared" si="304"/>
        <v>0</v>
      </c>
      <c r="AY101" s="5">
        <f t="shared" si="409"/>
        <v>0</v>
      </c>
      <c r="AZ101" s="4">
        <f t="shared" si="409"/>
        <v>0</v>
      </c>
      <c r="BA101" s="3">
        <f t="shared" si="305"/>
        <v>0</v>
      </c>
      <c r="BB101" s="5">
        <f t="shared" si="410"/>
        <v>0</v>
      </c>
      <c r="BC101" s="4">
        <f t="shared" si="410"/>
        <v>0</v>
      </c>
      <c r="BD101" s="3">
        <f t="shared" si="306"/>
        <v>0</v>
      </c>
      <c r="BE101" s="23">
        <f t="shared" ref="BE101:BF101" si="451">IF(BE86=0,0,BE81/BE86)</f>
        <v>0</v>
      </c>
      <c r="BF101" s="23">
        <f t="shared" si="451"/>
        <v>0</v>
      </c>
      <c r="BG101" s="23">
        <f t="shared" si="425"/>
        <v>0</v>
      </c>
    </row>
    <row r="102" spans="1:59" s="124" customFormat="1" ht="15.75" collapsed="1" thickBot="1" x14ac:dyDescent="0.3">
      <c r="A102" s="162"/>
      <c r="B102" s="161"/>
      <c r="C102" s="160"/>
      <c r="D102" s="87"/>
      <c r="E102" s="87"/>
      <c r="F102" s="158"/>
      <c r="G102" s="157"/>
      <c r="H102" s="156"/>
      <c r="I102" s="158"/>
      <c r="J102" s="157"/>
      <c r="K102" s="156"/>
      <c r="L102" s="158"/>
      <c r="M102" s="157"/>
      <c r="N102" s="156"/>
      <c r="O102" s="158"/>
      <c r="P102" s="157"/>
      <c r="Q102" s="156"/>
      <c r="R102" s="158"/>
      <c r="S102" s="157"/>
      <c r="T102" s="156"/>
      <c r="U102" s="158"/>
      <c r="V102" s="157"/>
      <c r="W102" s="156"/>
      <c r="X102" s="158"/>
      <c r="Y102" s="157"/>
      <c r="Z102" s="156"/>
      <c r="AA102" s="158"/>
      <c r="AB102" s="157"/>
      <c r="AC102" s="156"/>
      <c r="AD102" s="23">
        <f t="shared" ref="AD102:AE102" si="452">IF(AD92=0,0,AD62/AD92*30)</f>
        <v>0</v>
      </c>
      <c r="AE102" s="22">
        <f t="shared" si="452"/>
        <v>0</v>
      </c>
      <c r="AF102" s="156"/>
      <c r="AG102" s="158"/>
      <c r="AH102" s="157"/>
      <c r="AI102" s="156"/>
      <c r="AJ102" s="158"/>
      <c r="AK102" s="157"/>
      <c r="AL102" s="156"/>
      <c r="AM102" s="158"/>
      <c r="AN102" s="157"/>
      <c r="AO102" s="156"/>
      <c r="AP102" s="158"/>
      <c r="AQ102" s="157"/>
      <c r="AR102" s="156"/>
      <c r="AS102" s="158"/>
      <c r="AT102" s="157"/>
      <c r="AU102" s="156"/>
      <c r="AV102" s="158"/>
      <c r="AW102" s="157"/>
      <c r="AX102" s="156"/>
      <c r="AY102" s="158"/>
      <c r="AZ102" s="157"/>
      <c r="BA102" s="156"/>
      <c r="BB102" s="158"/>
      <c r="BC102" s="157"/>
      <c r="BD102" s="156"/>
      <c r="BE102" s="163"/>
      <c r="BF102" s="163"/>
      <c r="BG102" s="163"/>
    </row>
    <row r="103" spans="1:59" s="124" customFormat="1" ht="26.25" customHeight="1" thickBot="1" x14ac:dyDescent="0.3">
      <c r="A103" s="195" t="s">
        <v>79</v>
      </c>
      <c r="B103" s="196"/>
      <c r="C103" s="196"/>
      <c r="D103" s="38"/>
      <c r="E103" s="38"/>
      <c r="F103" s="41"/>
      <c r="G103" s="40"/>
      <c r="H103" s="39"/>
      <c r="I103" s="41"/>
      <c r="J103" s="40"/>
      <c r="K103" s="39"/>
      <c r="L103" s="41"/>
      <c r="M103" s="40"/>
      <c r="N103" s="39"/>
      <c r="O103" s="41"/>
      <c r="P103" s="40"/>
      <c r="Q103" s="39"/>
      <c r="R103" s="41"/>
      <c r="S103" s="40"/>
      <c r="T103" s="39"/>
      <c r="U103" s="41"/>
      <c r="V103" s="40"/>
      <c r="W103" s="39"/>
      <c r="X103" s="41"/>
      <c r="Y103" s="40"/>
      <c r="Z103" s="39"/>
      <c r="AA103" s="41"/>
      <c r="AB103" s="40"/>
      <c r="AC103" s="39"/>
      <c r="AD103" s="41"/>
      <c r="AE103" s="40"/>
      <c r="AF103" s="39"/>
      <c r="AG103" s="41"/>
      <c r="AH103" s="40"/>
      <c r="AI103" s="39"/>
      <c r="AJ103" s="41"/>
      <c r="AK103" s="40"/>
      <c r="AL103" s="39"/>
      <c r="AM103" s="41"/>
      <c r="AN103" s="40"/>
      <c r="AO103" s="39"/>
      <c r="AP103" s="41"/>
      <c r="AQ103" s="40"/>
      <c r="AR103" s="39"/>
      <c r="AS103" s="41"/>
      <c r="AT103" s="40"/>
      <c r="AU103" s="39"/>
      <c r="AV103" s="41"/>
      <c r="AW103" s="40"/>
      <c r="AX103" s="39"/>
      <c r="AY103" s="41"/>
      <c r="AZ103" s="40"/>
      <c r="BA103" s="39"/>
      <c r="BB103" s="41"/>
      <c r="BC103" s="40"/>
      <c r="BD103" s="39"/>
      <c r="BE103" s="41"/>
      <c r="BF103" s="41"/>
      <c r="BG103" s="41"/>
    </row>
    <row r="104" spans="1:59" s="124" customFormat="1" ht="15.75" thickBot="1" x14ac:dyDescent="0.3">
      <c r="A104" s="162"/>
      <c r="B104" s="161"/>
      <c r="C104" s="160"/>
      <c r="D104" s="159"/>
      <c r="E104" s="159"/>
      <c r="F104" s="158"/>
      <c r="G104" s="157"/>
      <c r="H104" s="156"/>
      <c r="I104" s="158"/>
      <c r="J104" s="157"/>
      <c r="K104" s="156"/>
      <c r="L104" s="158"/>
      <c r="M104" s="157"/>
      <c r="N104" s="156"/>
      <c r="O104" s="158"/>
      <c r="P104" s="157"/>
      <c r="Q104" s="156"/>
      <c r="R104" s="158"/>
      <c r="S104" s="157"/>
      <c r="T104" s="156"/>
      <c r="U104" s="158"/>
      <c r="V104" s="157"/>
      <c r="W104" s="156"/>
      <c r="X104" s="158"/>
      <c r="Y104" s="157"/>
      <c r="Z104" s="156"/>
      <c r="AA104" s="158"/>
      <c r="AB104" s="157"/>
      <c r="AC104" s="156"/>
      <c r="AD104" s="158"/>
      <c r="AE104" s="157"/>
      <c r="AF104" s="156"/>
      <c r="AG104" s="158"/>
      <c r="AH104" s="157"/>
      <c r="AI104" s="156"/>
      <c r="AJ104" s="158"/>
      <c r="AK104" s="157"/>
      <c r="AL104" s="156"/>
      <c r="AM104" s="158"/>
      <c r="AN104" s="157"/>
      <c r="AO104" s="156"/>
      <c r="AP104" s="158"/>
      <c r="AQ104" s="157"/>
      <c r="AR104" s="156"/>
      <c r="AS104" s="158"/>
      <c r="AT104" s="157"/>
      <c r="AU104" s="156"/>
      <c r="AV104" s="158"/>
      <c r="AW104" s="157"/>
      <c r="AX104" s="156"/>
      <c r="AY104" s="158"/>
      <c r="AZ104" s="157"/>
      <c r="BA104" s="156"/>
      <c r="BB104" s="158"/>
      <c r="BC104" s="157"/>
      <c r="BD104" s="156"/>
      <c r="BE104" s="155"/>
      <c r="BF104" s="155"/>
      <c r="BG104" s="155"/>
    </row>
    <row r="105" spans="1:59" s="124" customFormat="1" ht="15.75" thickBot="1" x14ac:dyDescent="0.3">
      <c r="A105" s="66" t="s">
        <v>80</v>
      </c>
      <c r="B105" s="52" t="s">
        <v>81</v>
      </c>
      <c r="C105" s="116" t="s">
        <v>70</v>
      </c>
      <c r="D105" s="28">
        <f t="shared" ref="D105:AI105" si="453">IF(D111=0,0,D$110+D111+D116)</f>
        <v>0</v>
      </c>
      <c r="E105" s="28">
        <f t="shared" si="453"/>
        <v>0</v>
      </c>
      <c r="F105" s="53">
        <f t="shared" si="453"/>
        <v>0</v>
      </c>
      <c r="G105" s="88">
        <f t="shared" si="453"/>
        <v>0</v>
      </c>
      <c r="H105" s="96">
        <f t="shared" si="453"/>
        <v>0</v>
      </c>
      <c r="I105" s="53">
        <f t="shared" si="453"/>
        <v>0</v>
      </c>
      <c r="J105" s="88">
        <f t="shared" si="453"/>
        <v>0</v>
      </c>
      <c r="K105" s="96">
        <f t="shared" si="453"/>
        <v>0</v>
      </c>
      <c r="L105" s="53">
        <f t="shared" si="453"/>
        <v>0</v>
      </c>
      <c r="M105" s="88">
        <f t="shared" si="453"/>
        <v>0</v>
      </c>
      <c r="N105" s="96">
        <f t="shared" si="453"/>
        <v>0</v>
      </c>
      <c r="O105" s="53">
        <f t="shared" si="453"/>
        <v>0</v>
      </c>
      <c r="P105" s="88">
        <f t="shared" si="453"/>
        <v>0</v>
      </c>
      <c r="Q105" s="96">
        <f t="shared" si="453"/>
        <v>0</v>
      </c>
      <c r="R105" s="53">
        <f t="shared" si="453"/>
        <v>0</v>
      </c>
      <c r="S105" s="88">
        <f t="shared" si="453"/>
        <v>0</v>
      </c>
      <c r="T105" s="96">
        <f t="shared" si="453"/>
        <v>0</v>
      </c>
      <c r="U105" s="53">
        <f t="shared" si="453"/>
        <v>0</v>
      </c>
      <c r="V105" s="88">
        <f t="shared" si="453"/>
        <v>0</v>
      </c>
      <c r="W105" s="96">
        <f t="shared" si="453"/>
        <v>0</v>
      </c>
      <c r="X105" s="53">
        <f t="shared" si="453"/>
        <v>0</v>
      </c>
      <c r="Y105" s="88">
        <f t="shared" si="453"/>
        <v>0</v>
      </c>
      <c r="Z105" s="96">
        <f t="shared" si="453"/>
        <v>0</v>
      </c>
      <c r="AA105" s="53">
        <f t="shared" si="453"/>
        <v>0</v>
      </c>
      <c r="AB105" s="88">
        <f t="shared" si="453"/>
        <v>0</v>
      </c>
      <c r="AC105" s="96">
        <f t="shared" si="453"/>
        <v>0</v>
      </c>
      <c r="AD105" s="53">
        <f t="shared" si="453"/>
        <v>0</v>
      </c>
      <c r="AE105" s="88">
        <f t="shared" si="453"/>
        <v>0</v>
      </c>
      <c r="AF105" s="96">
        <f t="shared" si="453"/>
        <v>0</v>
      </c>
      <c r="AG105" s="53">
        <f t="shared" si="453"/>
        <v>0</v>
      </c>
      <c r="AH105" s="88">
        <f t="shared" si="453"/>
        <v>0</v>
      </c>
      <c r="AI105" s="96">
        <f t="shared" si="453"/>
        <v>0</v>
      </c>
      <c r="AJ105" s="53">
        <f t="shared" ref="AJ105:BE105" si="454">IF(AJ111=0,0,AJ$110+AJ111+AJ116)</f>
        <v>0</v>
      </c>
      <c r="AK105" s="88">
        <f t="shared" si="454"/>
        <v>0</v>
      </c>
      <c r="AL105" s="96">
        <f t="shared" si="454"/>
        <v>0</v>
      </c>
      <c r="AM105" s="53">
        <f t="shared" si="454"/>
        <v>0</v>
      </c>
      <c r="AN105" s="88">
        <f t="shared" si="454"/>
        <v>0</v>
      </c>
      <c r="AO105" s="96">
        <f t="shared" si="454"/>
        <v>0</v>
      </c>
      <c r="AP105" s="53">
        <f t="shared" si="454"/>
        <v>0</v>
      </c>
      <c r="AQ105" s="88">
        <f t="shared" si="454"/>
        <v>0</v>
      </c>
      <c r="AR105" s="96">
        <f t="shared" si="454"/>
        <v>0</v>
      </c>
      <c r="AS105" s="53">
        <f t="shared" si="454"/>
        <v>0</v>
      </c>
      <c r="AT105" s="88">
        <f t="shared" si="454"/>
        <v>0</v>
      </c>
      <c r="AU105" s="96">
        <f t="shared" si="454"/>
        <v>0</v>
      </c>
      <c r="AV105" s="53">
        <f t="shared" si="454"/>
        <v>0</v>
      </c>
      <c r="AW105" s="88">
        <f t="shared" si="454"/>
        <v>0</v>
      </c>
      <c r="AX105" s="96">
        <f t="shared" si="454"/>
        <v>0</v>
      </c>
      <c r="AY105" s="53">
        <f t="shared" si="454"/>
        <v>0</v>
      </c>
      <c r="AZ105" s="88">
        <f t="shared" si="454"/>
        <v>0</v>
      </c>
      <c r="BA105" s="96">
        <f t="shared" si="454"/>
        <v>0</v>
      </c>
      <c r="BB105" s="53">
        <f t="shared" si="454"/>
        <v>0</v>
      </c>
      <c r="BC105" s="88">
        <f t="shared" si="454"/>
        <v>0</v>
      </c>
      <c r="BD105" s="96">
        <f t="shared" si="454"/>
        <v>0</v>
      </c>
      <c r="BE105" s="53">
        <f t="shared" si="454"/>
        <v>0</v>
      </c>
      <c r="BF105" s="53">
        <f t="shared" ref="BF105:BG105" si="455">IF(BF111=0,0,BF$110+BF111+BF116)</f>
        <v>0</v>
      </c>
      <c r="BG105" s="53">
        <f t="shared" si="455"/>
        <v>0</v>
      </c>
    </row>
    <row r="106" spans="1:59" s="127" customFormat="1" ht="13.5" hidden="1" outlineLevel="1" x14ac:dyDescent="0.25">
      <c r="A106" s="27"/>
      <c r="B106" s="83" t="s">
        <v>28</v>
      </c>
      <c r="C106" s="25" t="s">
        <v>70</v>
      </c>
      <c r="D106" s="19">
        <f t="shared" ref="D106:AI106" si="456">IF(D112=0,0,D$110+D112+D117)</f>
        <v>0</v>
      </c>
      <c r="E106" s="19">
        <f t="shared" si="456"/>
        <v>0</v>
      </c>
      <c r="F106" s="23">
        <f t="shared" si="456"/>
        <v>0</v>
      </c>
      <c r="G106" s="22">
        <f t="shared" si="456"/>
        <v>0</v>
      </c>
      <c r="H106" s="21">
        <f t="shared" si="456"/>
        <v>0</v>
      </c>
      <c r="I106" s="23">
        <f t="shared" si="456"/>
        <v>0</v>
      </c>
      <c r="J106" s="22">
        <f t="shared" si="456"/>
        <v>0</v>
      </c>
      <c r="K106" s="21">
        <f t="shared" si="456"/>
        <v>0</v>
      </c>
      <c r="L106" s="23">
        <f t="shared" si="456"/>
        <v>0</v>
      </c>
      <c r="M106" s="22">
        <f t="shared" si="456"/>
        <v>0</v>
      </c>
      <c r="N106" s="21">
        <f t="shared" si="456"/>
        <v>0</v>
      </c>
      <c r="O106" s="23">
        <f t="shared" si="456"/>
        <v>0</v>
      </c>
      <c r="P106" s="22">
        <f t="shared" si="456"/>
        <v>0</v>
      </c>
      <c r="Q106" s="21">
        <f t="shared" si="456"/>
        <v>0</v>
      </c>
      <c r="R106" s="23">
        <f t="shared" si="456"/>
        <v>0</v>
      </c>
      <c r="S106" s="22">
        <f t="shared" si="456"/>
        <v>0</v>
      </c>
      <c r="T106" s="21">
        <f t="shared" si="456"/>
        <v>0</v>
      </c>
      <c r="U106" s="23">
        <f t="shared" si="456"/>
        <v>0</v>
      </c>
      <c r="V106" s="22">
        <f t="shared" si="456"/>
        <v>0</v>
      </c>
      <c r="W106" s="21">
        <f t="shared" si="456"/>
        <v>0</v>
      </c>
      <c r="X106" s="23">
        <f t="shared" si="456"/>
        <v>0</v>
      </c>
      <c r="Y106" s="22">
        <f t="shared" si="456"/>
        <v>0</v>
      </c>
      <c r="Z106" s="21">
        <f t="shared" si="456"/>
        <v>0</v>
      </c>
      <c r="AA106" s="23">
        <f t="shared" si="456"/>
        <v>0</v>
      </c>
      <c r="AB106" s="22">
        <f t="shared" si="456"/>
        <v>0</v>
      </c>
      <c r="AC106" s="21">
        <f t="shared" si="456"/>
        <v>0</v>
      </c>
      <c r="AD106" s="23">
        <f t="shared" si="456"/>
        <v>0</v>
      </c>
      <c r="AE106" s="22">
        <f t="shared" si="456"/>
        <v>0</v>
      </c>
      <c r="AF106" s="21">
        <f t="shared" si="456"/>
        <v>0</v>
      </c>
      <c r="AG106" s="23">
        <f t="shared" si="456"/>
        <v>0</v>
      </c>
      <c r="AH106" s="22">
        <f t="shared" si="456"/>
        <v>0</v>
      </c>
      <c r="AI106" s="21">
        <f t="shared" si="456"/>
        <v>0</v>
      </c>
      <c r="AJ106" s="23">
        <f t="shared" ref="AJ106:BE106" si="457">IF(AJ112=0,0,AJ$110+AJ112+AJ117)</f>
        <v>0</v>
      </c>
      <c r="AK106" s="22">
        <f t="shared" si="457"/>
        <v>0</v>
      </c>
      <c r="AL106" s="21">
        <f t="shared" si="457"/>
        <v>0</v>
      </c>
      <c r="AM106" s="23">
        <f t="shared" si="457"/>
        <v>0</v>
      </c>
      <c r="AN106" s="22">
        <f t="shared" si="457"/>
        <v>0</v>
      </c>
      <c r="AO106" s="21">
        <f t="shared" si="457"/>
        <v>0</v>
      </c>
      <c r="AP106" s="23">
        <f t="shared" si="457"/>
        <v>0</v>
      </c>
      <c r="AQ106" s="22">
        <f t="shared" si="457"/>
        <v>0</v>
      </c>
      <c r="AR106" s="21">
        <f t="shared" si="457"/>
        <v>0</v>
      </c>
      <c r="AS106" s="23">
        <f t="shared" si="457"/>
        <v>0</v>
      </c>
      <c r="AT106" s="22">
        <f t="shared" si="457"/>
        <v>0</v>
      </c>
      <c r="AU106" s="21">
        <f t="shared" si="457"/>
        <v>0</v>
      </c>
      <c r="AV106" s="23">
        <f t="shared" si="457"/>
        <v>0</v>
      </c>
      <c r="AW106" s="22">
        <f t="shared" si="457"/>
        <v>0</v>
      </c>
      <c r="AX106" s="21">
        <f t="shared" si="457"/>
        <v>0</v>
      </c>
      <c r="AY106" s="23">
        <f t="shared" si="457"/>
        <v>0</v>
      </c>
      <c r="AZ106" s="22">
        <f t="shared" si="457"/>
        <v>0</v>
      </c>
      <c r="BA106" s="21">
        <f t="shared" si="457"/>
        <v>0</v>
      </c>
      <c r="BB106" s="23">
        <f t="shared" si="457"/>
        <v>0</v>
      </c>
      <c r="BC106" s="22">
        <f t="shared" si="457"/>
        <v>0</v>
      </c>
      <c r="BD106" s="21">
        <f t="shared" si="457"/>
        <v>0</v>
      </c>
      <c r="BE106" s="23">
        <f t="shared" si="457"/>
        <v>0</v>
      </c>
      <c r="BF106" s="23">
        <f t="shared" ref="BF106:BG106" si="458">IF(BF112=0,0,BF$110+BF112+BF117)</f>
        <v>0</v>
      </c>
      <c r="BG106" s="23">
        <f t="shared" si="458"/>
        <v>0</v>
      </c>
    </row>
    <row r="107" spans="1:59" ht="13.5" hidden="1" outlineLevel="1" x14ac:dyDescent="0.25">
      <c r="A107" s="62"/>
      <c r="B107" s="83" t="s">
        <v>29</v>
      </c>
      <c r="C107" s="25" t="s">
        <v>70</v>
      </c>
      <c r="D107" s="19">
        <f t="shared" ref="D107:AI107" si="459">IF(D113=0,0,D$110+D113+D118)</f>
        <v>0</v>
      </c>
      <c r="E107" s="19">
        <f t="shared" si="459"/>
        <v>0</v>
      </c>
      <c r="F107" s="23">
        <f t="shared" si="459"/>
        <v>0</v>
      </c>
      <c r="G107" s="22">
        <f t="shared" si="459"/>
        <v>0</v>
      </c>
      <c r="H107" s="21">
        <f t="shared" si="459"/>
        <v>0</v>
      </c>
      <c r="I107" s="23">
        <f t="shared" si="459"/>
        <v>0</v>
      </c>
      <c r="J107" s="22">
        <f t="shared" si="459"/>
        <v>0</v>
      </c>
      <c r="K107" s="21">
        <f t="shared" si="459"/>
        <v>0</v>
      </c>
      <c r="L107" s="23">
        <f t="shared" si="459"/>
        <v>0</v>
      </c>
      <c r="M107" s="22">
        <f t="shared" si="459"/>
        <v>0</v>
      </c>
      <c r="N107" s="21">
        <f t="shared" si="459"/>
        <v>0</v>
      </c>
      <c r="O107" s="23">
        <f t="shared" si="459"/>
        <v>0</v>
      </c>
      <c r="P107" s="22">
        <f t="shared" si="459"/>
        <v>0</v>
      </c>
      <c r="Q107" s="21">
        <f t="shared" si="459"/>
        <v>0</v>
      </c>
      <c r="R107" s="23">
        <f t="shared" si="459"/>
        <v>0</v>
      </c>
      <c r="S107" s="22">
        <f t="shared" si="459"/>
        <v>0</v>
      </c>
      <c r="T107" s="21">
        <f t="shared" si="459"/>
        <v>0</v>
      </c>
      <c r="U107" s="23">
        <f t="shared" si="459"/>
        <v>0</v>
      </c>
      <c r="V107" s="22">
        <f t="shared" si="459"/>
        <v>0</v>
      </c>
      <c r="W107" s="21">
        <f t="shared" si="459"/>
        <v>0</v>
      </c>
      <c r="X107" s="23">
        <f t="shared" si="459"/>
        <v>0</v>
      </c>
      <c r="Y107" s="22">
        <f t="shared" si="459"/>
        <v>0</v>
      </c>
      <c r="Z107" s="21">
        <f t="shared" si="459"/>
        <v>0</v>
      </c>
      <c r="AA107" s="23">
        <f t="shared" si="459"/>
        <v>0</v>
      </c>
      <c r="AB107" s="22">
        <f t="shared" si="459"/>
        <v>0</v>
      </c>
      <c r="AC107" s="21">
        <f t="shared" si="459"/>
        <v>0</v>
      </c>
      <c r="AD107" s="23">
        <f t="shared" si="459"/>
        <v>0</v>
      </c>
      <c r="AE107" s="22">
        <f t="shared" si="459"/>
        <v>0</v>
      </c>
      <c r="AF107" s="21">
        <f t="shared" si="459"/>
        <v>0</v>
      </c>
      <c r="AG107" s="23">
        <f t="shared" si="459"/>
        <v>0</v>
      </c>
      <c r="AH107" s="22">
        <f t="shared" si="459"/>
        <v>0</v>
      </c>
      <c r="AI107" s="21">
        <f t="shared" si="459"/>
        <v>0</v>
      </c>
      <c r="AJ107" s="23">
        <f t="shared" ref="AJ107:BE107" si="460">IF(AJ113=0,0,AJ$110+AJ113+AJ118)</f>
        <v>0</v>
      </c>
      <c r="AK107" s="22">
        <f t="shared" si="460"/>
        <v>0</v>
      </c>
      <c r="AL107" s="21">
        <f t="shared" si="460"/>
        <v>0</v>
      </c>
      <c r="AM107" s="23">
        <f t="shared" si="460"/>
        <v>0</v>
      </c>
      <c r="AN107" s="22">
        <f t="shared" si="460"/>
        <v>0</v>
      </c>
      <c r="AO107" s="21">
        <f t="shared" si="460"/>
        <v>0</v>
      </c>
      <c r="AP107" s="23">
        <f t="shared" si="460"/>
        <v>0</v>
      </c>
      <c r="AQ107" s="22">
        <f t="shared" si="460"/>
        <v>0</v>
      </c>
      <c r="AR107" s="21">
        <f t="shared" si="460"/>
        <v>0</v>
      </c>
      <c r="AS107" s="23">
        <f t="shared" si="460"/>
        <v>0</v>
      </c>
      <c r="AT107" s="22">
        <f t="shared" si="460"/>
        <v>0</v>
      </c>
      <c r="AU107" s="21">
        <f t="shared" si="460"/>
        <v>0</v>
      </c>
      <c r="AV107" s="23">
        <f t="shared" si="460"/>
        <v>0</v>
      </c>
      <c r="AW107" s="22">
        <f t="shared" si="460"/>
        <v>0</v>
      </c>
      <c r="AX107" s="21">
        <f t="shared" si="460"/>
        <v>0</v>
      </c>
      <c r="AY107" s="23">
        <f t="shared" si="460"/>
        <v>0</v>
      </c>
      <c r="AZ107" s="22">
        <f t="shared" si="460"/>
        <v>0</v>
      </c>
      <c r="BA107" s="21">
        <f t="shared" si="460"/>
        <v>0</v>
      </c>
      <c r="BB107" s="23">
        <f t="shared" si="460"/>
        <v>0</v>
      </c>
      <c r="BC107" s="22">
        <f t="shared" si="460"/>
        <v>0</v>
      </c>
      <c r="BD107" s="21">
        <f t="shared" si="460"/>
        <v>0</v>
      </c>
      <c r="BE107" s="23">
        <f t="shared" si="460"/>
        <v>0</v>
      </c>
      <c r="BF107" s="23">
        <f t="shared" ref="BF107:BG107" si="461">IF(BF113=0,0,BF$110+BF113+BF118)</f>
        <v>0</v>
      </c>
      <c r="BG107" s="23">
        <f t="shared" si="461"/>
        <v>0</v>
      </c>
    </row>
    <row r="108" spans="1:59" ht="13.5" hidden="1" outlineLevel="1" x14ac:dyDescent="0.25">
      <c r="A108" s="62"/>
      <c r="B108" s="83" t="s">
        <v>30</v>
      </c>
      <c r="C108" s="25" t="s">
        <v>70</v>
      </c>
      <c r="D108" s="19">
        <f t="shared" ref="D108:AI108" si="462">IF(D114=0,0,D$110+D114+D119)</f>
        <v>0</v>
      </c>
      <c r="E108" s="19">
        <f t="shared" si="462"/>
        <v>0</v>
      </c>
      <c r="F108" s="23">
        <f t="shared" si="462"/>
        <v>0</v>
      </c>
      <c r="G108" s="22">
        <f t="shared" si="462"/>
        <v>0</v>
      </c>
      <c r="H108" s="21">
        <f t="shared" si="462"/>
        <v>0</v>
      </c>
      <c r="I108" s="23">
        <f t="shared" si="462"/>
        <v>0</v>
      </c>
      <c r="J108" s="22">
        <f t="shared" si="462"/>
        <v>0</v>
      </c>
      <c r="K108" s="21">
        <f t="shared" si="462"/>
        <v>0</v>
      </c>
      <c r="L108" s="23">
        <f t="shared" si="462"/>
        <v>0</v>
      </c>
      <c r="M108" s="22">
        <f t="shared" si="462"/>
        <v>0</v>
      </c>
      <c r="N108" s="21">
        <f t="shared" si="462"/>
        <v>0</v>
      </c>
      <c r="O108" s="23">
        <f t="shared" si="462"/>
        <v>0</v>
      </c>
      <c r="P108" s="22">
        <f t="shared" si="462"/>
        <v>0</v>
      </c>
      <c r="Q108" s="21">
        <f t="shared" si="462"/>
        <v>0</v>
      </c>
      <c r="R108" s="23">
        <f t="shared" si="462"/>
        <v>0</v>
      </c>
      <c r="S108" s="22">
        <f t="shared" si="462"/>
        <v>0</v>
      </c>
      <c r="T108" s="21">
        <f t="shared" si="462"/>
        <v>0</v>
      </c>
      <c r="U108" s="23">
        <f t="shared" si="462"/>
        <v>0</v>
      </c>
      <c r="V108" s="22">
        <f t="shared" si="462"/>
        <v>0</v>
      </c>
      <c r="W108" s="21">
        <f t="shared" si="462"/>
        <v>0</v>
      </c>
      <c r="X108" s="23">
        <f t="shared" si="462"/>
        <v>0</v>
      </c>
      <c r="Y108" s="22">
        <f t="shared" si="462"/>
        <v>0</v>
      </c>
      <c r="Z108" s="21">
        <f t="shared" si="462"/>
        <v>0</v>
      </c>
      <c r="AA108" s="23">
        <f t="shared" si="462"/>
        <v>0</v>
      </c>
      <c r="AB108" s="22">
        <f t="shared" si="462"/>
        <v>0</v>
      </c>
      <c r="AC108" s="21">
        <f t="shared" si="462"/>
        <v>0</v>
      </c>
      <c r="AD108" s="23">
        <f t="shared" si="462"/>
        <v>0</v>
      </c>
      <c r="AE108" s="22">
        <f t="shared" si="462"/>
        <v>0</v>
      </c>
      <c r="AF108" s="21">
        <f t="shared" si="462"/>
        <v>0</v>
      </c>
      <c r="AG108" s="23">
        <f t="shared" si="462"/>
        <v>0</v>
      </c>
      <c r="AH108" s="22">
        <f t="shared" si="462"/>
        <v>0</v>
      </c>
      <c r="AI108" s="21">
        <f t="shared" si="462"/>
        <v>0</v>
      </c>
      <c r="AJ108" s="23">
        <f t="shared" ref="AJ108:BE108" si="463">IF(AJ114=0,0,AJ$110+AJ114+AJ119)</f>
        <v>0</v>
      </c>
      <c r="AK108" s="22">
        <f t="shared" si="463"/>
        <v>0</v>
      </c>
      <c r="AL108" s="21">
        <f t="shared" si="463"/>
        <v>0</v>
      </c>
      <c r="AM108" s="23">
        <f t="shared" si="463"/>
        <v>0</v>
      </c>
      <c r="AN108" s="22">
        <f t="shared" si="463"/>
        <v>0</v>
      </c>
      <c r="AO108" s="21">
        <f t="shared" si="463"/>
        <v>0</v>
      </c>
      <c r="AP108" s="23">
        <f t="shared" si="463"/>
        <v>0</v>
      </c>
      <c r="AQ108" s="22">
        <f t="shared" si="463"/>
        <v>0</v>
      </c>
      <c r="AR108" s="21">
        <f t="shared" si="463"/>
        <v>0</v>
      </c>
      <c r="AS108" s="23">
        <f t="shared" si="463"/>
        <v>0</v>
      </c>
      <c r="AT108" s="22">
        <f t="shared" si="463"/>
        <v>0</v>
      </c>
      <c r="AU108" s="21">
        <f t="shared" si="463"/>
        <v>0</v>
      </c>
      <c r="AV108" s="23">
        <f t="shared" si="463"/>
        <v>0</v>
      </c>
      <c r="AW108" s="22">
        <f t="shared" si="463"/>
        <v>0</v>
      </c>
      <c r="AX108" s="21">
        <f t="shared" si="463"/>
        <v>0</v>
      </c>
      <c r="AY108" s="23">
        <f t="shared" si="463"/>
        <v>0</v>
      </c>
      <c r="AZ108" s="22">
        <f t="shared" si="463"/>
        <v>0</v>
      </c>
      <c r="BA108" s="21">
        <f t="shared" si="463"/>
        <v>0</v>
      </c>
      <c r="BB108" s="23">
        <f t="shared" si="463"/>
        <v>0</v>
      </c>
      <c r="BC108" s="22">
        <f t="shared" si="463"/>
        <v>0</v>
      </c>
      <c r="BD108" s="21">
        <f t="shared" si="463"/>
        <v>0</v>
      </c>
      <c r="BE108" s="23">
        <f t="shared" si="463"/>
        <v>0</v>
      </c>
      <c r="BF108" s="23">
        <f t="shared" ref="BF108:BG108" si="464">IF(BF114=0,0,BF$110+BF114+BF119)</f>
        <v>0</v>
      </c>
      <c r="BG108" s="23">
        <f t="shared" si="464"/>
        <v>0</v>
      </c>
    </row>
    <row r="109" spans="1:59" ht="14.25" hidden="1" outlineLevel="1" thickBot="1" x14ac:dyDescent="0.3">
      <c r="A109" s="62"/>
      <c r="B109" s="83" t="s">
        <v>31</v>
      </c>
      <c r="C109" s="25" t="s">
        <v>70</v>
      </c>
      <c r="D109" s="19">
        <f t="shared" ref="D109:AI109" si="465">IF(D115=0,0,D$110+D115+D120)</f>
        <v>0</v>
      </c>
      <c r="E109" s="19">
        <f t="shared" si="465"/>
        <v>0</v>
      </c>
      <c r="F109" s="23">
        <f t="shared" si="465"/>
        <v>0</v>
      </c>
      <c r="G109" s="22">
        <f t="shared" si="465"/>
        <v>0</v>
      </c>
      <c r="H109" s="21">
        <f t="shared" si="465"/>
        <v>0</v>
      </c>
      <c r="I109" s="23">
        <f t="shared" si="465"/>
        <v>0</v>
      </c>
      <c r="J109" s="22">
        <f t="shared" si="465"/>
        <v>0</v>
      </c>
      <c r="K109" s="21">
        <f t="shared" si="465"/>
        <v>0</v>
      </c>
      <c r="L109" s="23">
        <f t="shared" si="465"/>
        <v>0</v>
      </c>
      <c r="M109" s="22">
        <f t="shared" si="465"/>
        <v>0</v>
      </c>
      <c r="N109" s="21">
        <f t="shared" si="465"/>
        <v>0</v>
      </c>
      <c r="O109" s="23">
        <f t="shared" si="465"/>
        <v>0</v>
      </c>
      <c r="P109" s="22">
        <f t="shared" si="465"/>
        <v>0</v>
      </c>
      <c r="Q109" s="21">
        <f t="shared" si="465"/>
        <v>0</v>
      </c>
      <c r="R109" s="23">
        <f t="shared" si="465"/>
        <v>0</v>
      </c>
      <c r="S109" s="22">
        <f t="shared" si="465"/>
        <v>0</v>
      </c>
      <c r="T109" s="21">
        <f t="shared" si="465"/>
        <v>0</v>
      </c>
      <c r="U109" s="23">
        <f t="shared" si="465"/>
        <v>0</v>
      </c>
      <c r="V109" s="22">
        <f t="shared" si="465"/>
        <v>0</v>
      </c>
      <c r="W109" s="21">
        <f t="shared" si="465"/>
        <v>0</v>
      </c>
      <c r="X109" s="23">
        <f t="shared" si="465"/>
        <v>0</v>
      </c>
      <c r="Y109" s="22">
        <f t="shared" si="465"/>
        <v>0</v>
      </c>
      <c r="Z109" s="21">
        <f t="shared" si="465"/>
        <v>0</v>
      </c>
      <c r="AA109" s="23">
        <f t="shared" si="465"/>
        <v>0</v>
      </c>
      <c r="AB109" s="22">
        <f t="shared" si="465"/>
        <v>0</v>
      </c>
      <c r="AC109" s="21">
        <f t="shared" si="465"/>
        <v>0</v>
      </c>
      <c r="AD109" s="23">
        <f t="shared" si="465"/>
        <v>0</v>
      </c>
      <c r="AE109" s="22">
        <f t="shared" si="465"/>
        <v>0</v>
      </c>
      <c r="AF109" s="21">
        <f t="shared" si="465"/>
        <v>0</v>
      </c>
      <c r="AG109" s="23">
        <f t="shared" si="465"/>
        <v>0</v>
      </c>
      <c r="AH109" s="22">
        <f t="shared" si="465"/>
        <v>0</v>
      </c>
      <c r="AI109" s="21">
        <f t="shared" si="465"/>
        <v>0</v>
      </c>
      <c r="AJ109" s="23">
        <f t="shared" ref="AJ109:BE109" si="466">IF(AJ115=0,0,AJ$110+AJ115+AJ120)</f>
        <v>0</v>
      </c>
      <c r="AK109" s="22">
        <f t="shared" si="466"/>
        <v>0</v>
      </c>
      <c r="AL109" s="21">
        <f t="shared" si="466"/>
        <v>0</v>
      </c>
      <c r="AM109" s="23">
        <f t="shared" si="466"/>
        <v>0</v>
      </c>
      <c r="AN109" s="22">
        <f t="shared" si="466"/>
        <v>0</v>
      </c>
      <c r="AO109" s="21">
        <f t="shared" si="466"/>
        <v>0</v>
      </c>
      <c r="AP109" s="23">
        <f t="shared" si="466"/>
        <v>0</v>
      </c>
      <c r="AQ109" s="22">
        <f t="shared" si="466"/>
        <v>0</v>
      </c>
      <c r="AR109" s="21">
        <f t="shared" si="466"/>
        <v>0</v>
      </c>
      <c r="AS109" s="23">
        <f t="shared" si="466"/>
        <v>0</v>
      </c>
      <c r="AT109" s="22">
        <f t="shared" si="466"/>
        <v>0</v>
      </c>
      <c r="AU109" s="21">
        <f t="shared" si="466"/>
        <v>0</v>
      </c>
      <c r="AV109" s="23">
        <f t="shared" si="466"/>
        <v>0</v>
      </c>
      <c r="AW109" s="22">
        <f t="shared" si="466"/>
        <v>0</v>
      </c>
      <c r="AX109" s="21">
        <f t="shared" si="466"/>
        <v>0</v>
      </c>
      <c r="AY109" s="23">
        <f t="shared" si="466"/>
        <v>0</v>
      </c>
      <c r="AZ109" s="22">
        <f t="shared" si="466"/>
        <v>0</v>
      </c>
      <c r="BA109" s="21">
        <f t="shared" si="466"/>
        <v>0</v>
      </c>
      <c r="BB109" s="23">
        <f t="shared" si="466"/>
        <v>0</v>
      </c>
      <c r="BC109" s="22">
        <f t="shared" si="466"/>
        <v>0</v>
      </c>
      <c r="BD109" s="21">
        <f t="shared" si="466"/>
        <v>0</v>
      </c>
      <c r="BE109" s="23">
        <f t="shared" si="466"/>
        <v>0</v>
      </c>
      <c r="BF109" s="23">
        <f t="shared" ref="BF109:BG109" si="467">IF(BF115=0,0,BF$110+BF115+BF120)</f>
        <v>0</v>
      </c>
      <c r="BG109" s="23">
        <f t="shared" si="467"/>
        <v>0</v>
      </c>
    </row>
    <row r="110" spans="1:59" s="124" customFormat="1" ht="15.75" collapsed="1" thickBot="1" x14ac:dyDescent="0.3">
      <c r="A110" s="67" t="s">
        <v>82</v>
      </c>
      <c r="B110" s="68" t="s">
        <v>83</v>
      </c>
      <c r="C110" s="121" t="s">
        <v>70</v>
      </c>
      <c r="D110" s="70">
        <f>IF(D19=0,0,D80/D19)</f>
        <v>0</v>
      </c>
      <c r="E110" s="70">
        <f>IF(E19=0,0,E80/E19)</f>
        <v>0</v>
      </c>
      <c r="F110" s="69">
        <f>IF(F19=0,0,F80/F19)</f>
        <v>0</v>
      </c>
      <c r="G110" s="92">
        <f>IF(G19=0,0,G80/G19)</f>
        <v>0</v>
      </c>
      <c r="H110" s="100">
        <f t="shared" ref="H110:H131" si="468">G110-F110</f>
        <v>0</v>
      </c>
      <c r="I110" s="69">
        <f>IF(I19=0,0,I80/I19)</f>
        <v>0</v>
      </c>
      <c r="J110" s="92">
        <f>IF(J19=0,0,J80/J19)</f>
        <v>0</v>
      </c>
      <c r="K110" s="100">
        <f t="shared" ref="K110:K131" si="469">J110-I110</f>
        <v>0</v>
      </c>
      <c r="L110" s="69">
        <f>IF(L19=0,0,L80/L19)</f>
        <v>0</v>
      </c>
      <c r="M110" s="92">
        <f>IF(M19=0,0,M80/M19)</f>
        <v>0</v>
      </c>
      <c r="N110" s="100">
        <f t="shared" ref="N110:N131" si="470">M110-L110</f>
        <v>0</v>
      </c>
      <c r="O110" s="69">
        <f>IF(O19=0,0,O80/O19)</f>
        <v>0</v>
      </c>
      <c r="P110" s="92">
        <f>IF(P19=0,0,P80/P19)</f>
        <v>0</v>
      </c>
      <c r="Q110" s="100">
        <f t="shared" ref="Q110:Q131" si="471">P110-O110</f>
        <v>0</v>
      </c>
      <c r="R110" s="69">
        <f>IF(R19=0,0,R80/R19)</f>
        <v>0</v>
      </c>
      <c r="S110" s="92">
        <f>IF(S19=0,0,S80/S19)</f>
        <v>0</v>
      </c>
      <c r="T110" s="100">
        <f t="shared" ref="T110:T131" si="472">S110-R110</f>
        <v>0</v>
      </c>
      <c r="U110" s="69">
        <f>IF(U19=0,0,U80/U19)</f>
        <v>0</v>
      </c>
      <c r="V110" s="92">
        <f>IF(V19=0,0,V80/V19)</f>
        <v>0</v>
      </c>
      <c r="W110" s="100">
        <f t="shared" ref="W110:W131" si="473">V110-U110</f>
        <v>0</v>
      </c>
      <c r="X110" s="69">
        <f>IF(X19=0,0,X80/X19)</f>
        <v>0</v>
      </c>
      <c r="Y110" s="92">
        <f>IF(Y19=0,0,Y80/Y19)</f>
        <v>0</v>
      </c>
      <c r="Z110" s="100">
        <f t="shared" ref="Z110:Z131" si="474">Y110-X110</f>
        <v>0</v>
      </c>
      <c r="AA110" s="69">
        <f>IF(AA19=0,0,AA80/AA19)</f>
        <v>0</v>
      </c>
      <c r="AB110" s="92">
        <f>IF(AB19=0,0,AB80/AB19)</f>
        <v>0</v>
      </c>
      <c r="AC110" s="100">
        <f t="shared" ref="AC110:AC131" si="475">AB110-AA110</f>
        <v>0</v>
      </c>
      <c r="AD110" s="69">
        <f>IF(AD19=0,0,AD80/AD19)</f>
        <v>0</v>
      </c>
      <c r="AE110" s="92">
        <f>IF(AE19=0,0,AE80/AE19)</f>
        <v>0</v>
      </c>
      <c r="AF110" s="100">
        <f t="shared" ref="AF110:AF131" si="476">AE110-AD110</f>
        <v>0</v>
      </c>
      <c r="AG110" s="69">
        <f>IF(AG19=0,0,AG80/AG19)</f>
        <v>0</v>
      </c>
      <c r="AH110" s="92">
        <f>IF(AH19=0,0,AH80/AH19)</f>
        <v>0</v>
      </c>
      <c r="AI110" s="100">
        <f t="shared" ref="AI110:AI131" si="477">AH110-AG110</f>
        <v>0</v>
      </c>
      <c r="AJ110" s="69">
        <f>IF(AJ19=0,0,AJ80/AJ19)</f>
        <v>0</v>
      </c>
      <c r="AK110" s="92">
        <f>IF(AK19=0,0,AK80/AK19)</f>
        <v>0</v>
      </c>
      <c r="AL110" s="100">
        <f t="shared" ref="AL110:AL131" si="478">AK110-AJ110</f>
        <v>0</v>
      </c>
      <c r="AM110" s="69">
        <f>IF(AM19=0,0,AM80/AM19)</f>
        <v>0</v>
      </c>
      <c r="AN110" s="92">
        <f>IF(AN19=0,0,AN80/AN19)</f>
        <v>0</v>
      </c>
      <c r="AO110" s="100">
        <f t="shared" ref="AO110:AO131" si="479">AN110-AM110</f>
        <v>0</v>
      </c>
      <c r="AP110" s="69">
        <f>IF(AP19=0,0,AP80/AP19)</f>
        <v>0</v>
      </c>
      <c r="AQ110" s="92">
        <f>IF(AQ19=0,0,AQ80/AQ19)</f>
        <v>0</v>
      </c>
      <c r="AR110" s="100">
        <f t="shared" ref="AR110:AR131" si="480">AQ110-AP110</f>
        <v>0</v>
      </c>
      <c r="AS110" s="69">
        <f>IF(AS19=0,0,AS80/AS19)</f>
        <v>0</v>
      </c>
      <c r="AT110" s="92">
        <f>IF(AT19=0,0,AT80/AT19)</f>
        <v>0</v>
      </c>
      <c r="AU110" s="100">
        <f t="shared" ref="AU110:AU131" si="481">AT110-AS110</f>
        <v>0</v>
      </c>
      <c r="AV110" s="69">
        <f>IF(AV19=0,0,AV80/AV19)</f>
        <v>0</v>
      </c>
      <c r="AW110" s="92">
        <f>IF(AW19=0,0,AW80/AW19)</f>
        <v>0</v>
      </c>
      <c r="AX110" s="100">
        <f t="shared" ref="AX110:AX131" si="482">AW110-AV110</f>
        <v>0</v>
      </c>
      <c r="AY110" s="69">
        <f>IF(AY19=0,0,AY80/AY19)</f>
        <v>0</v>
      </c>
      <c r="AZ110" s="92">
        <f>IF(AZ19=0,0,AZ80/AZ19)</f>
        <v>0</v>
      </c>
      <c r="BA110" s="100">
        <f t="shared" ref="BA110:BA131" si="483">AZ110-AY110</f>
        <v>0</v>
      </c>
      <c r="BB110" s="69">
        <f>IF(BB19=0,0,BB80/BB19)</f>
        <v>0</v>
      </c>
      <c r="BC110" s="92">
        <f>IF(BC19=0,0,BC80/BC19)</f>
        <v>0</v>
      </c>
      <c r="BD110" s="100">
        <f t="shared" ref="BD110:BD131" si="484">BC110-BB110</f>
        <v>0</v>
      </c>
      <c r="BE110" s="69">
        <f>IF(BE19=0,0,BE80/BE19)</f>
        <v>0</v>
      </c>
      <c r="BF110" s="69">
        <f>IF(BF19=0,0,BF80/BF19)</f>
        <v>0</v>
      </c>
      <c r="BG110" s="69">
        <f>IF(BG19=0,0,BG80/BG19)</f>
        <v>0</v>
      </c>
    </row>
    <row r="111" spans="1:59" s="124" customFormat="1" ht="15.75" thickBot="1" x14ac:dyDescent="0.3">
      <c r="A111" s="66" t="s">
        <v>84</v>
      </c>
      <c r="B111" s="52" t="s">
        <v>85</v>
      </c>
      <c r="C111" s="116" t="s">
        <v>70</v>
      </c>
      <c r="D111" s="28">
        <f t="shared" ref="D111:G120" si="485">IF(D19=0,0,D92/D19)</f>
        <v>0</v>
      </c>
      <c r="E111" s="28">
        <f t="shared" si="485"/>
        <v>0</v>
      </c>
      <c r="F111" s="53">
        <f t="shared" si="485"/>
        <v>0</v>
      </c>
      <c r="G111" s="88">
        <f t="shared" si="485"/>
        <v>0</v>
      </c>
      <c r="H111" s="96">
        <f t="shared" si="468"/>
        <v>0</v>
      </c>
      <c r="I111" s="53">
        <f t="shared" ref="I111:J120" si="486">IF(I19=0,0,I92/I19)</f>
        <v>0</v>
      </c>
      <c r="J111" s="88">
        <f t="shared" si="486"/>
        <v>0</v>
      </c>
      <c r="K111" s="96">
        <f t="shared" si="469"/>
        <v>0</v>
      </c>
      <c r="L111" s="53">
        <f t="shared" ref="L111:M120" si="487">IF(L19=0,0,L92/L19)</f>
        <v>0</v>
      </c>
      <c r="M111" s="88">
        <f t="shared" si="487"/>
        <v>0</v>
      </c>
      <c r="N111" s="96">
        <f t="shared" si="470"/>
        <v>0</v>
      </c>
      <c r="O111" s="53">
        <f t="shared" ref="O111:P120" si="488">IF(O19=0,0,O92/O19)</f>
        <v>0</v>
      </c>
      <c r="P111" s="88">
        <f t="shared" si="488"/>
        <v>0</v>
      </c>
      <c r="Q111" s="96">
        <f t="shared" si="471"/>
        <v>0</v>
      </c>
      <c r="R111" s="53">
        <f t="shared" ref="R111:S120" si="489">IF(R19=0,0,R92/R19)</f>
        <v>0</v>
      </c>
      <c r="S111" s="88">
        <f t="shared" si="489"/>
        <v>0</v>
      </c>
      <c r="T111" s="96">
        <f t="shared" si="472"/>
        <v>0</v>
      </c>
      <c r="U111" s="53">
        <f t="shared" ref="U111:V120" si="490">IF(U19=0,0,U92/U19)</f>
        <v>0</v>
      </c>
      <c r="V111" s="88">
        <f t="shared" si="490"/>
        <v>0</v>
      </c>
      <c r="W111" s="96">
        <f t="shared" si="473"/>
        <v>0</v>
      </c>
      <c r="X111" s="53">
        <f t="shared" ref="X111:Y120" si="491">IF(X19=0,0,X92/X19)</f>
        <v>0</v>
      </c>
      <c r="Y111" s="88">
        <f t="shared" si="491"/>
        <v>0</v>
      </c>
      <c r="Z111" s="96">
        <f t="shared" si="474"/>
        <v>0</v>
      </c>
      <c r="AA111" s="53">
        <f t="shared" ref="AA111:AB120" si="492">IF(AA19=0,0,AA92/AA19)</f>
        <v>0</v>
      </c>
      <c r="AB111" s="88">
        <f t="shared" si="492"/>
        <v>0</v>
      </c>
      <c r="AC111" s="96">
        <f t="shared" si="475"/>
        <v>0</v>
      </c>
      <c r="AD111" s="53">
        <f t="shared" ref="AD111:AE120" si="493">IF(AD19=0,0,AD92/AD19)</f>
        <v>0</v>
      </c>
      <c r="AE111" s="88">
        <f t="shared" si="493"/>
        <v>0</v>
      </c>
      <c r="AF111" s="96">
        <f t="shared" si="476"/>
        <v>0</v>
      </c>
      <c r="AG111" s="53">
        <f t="shared" ref="AG111:AH120" si="494">IF(AG19=0,0,AG92/AG19)</f>
        <v>0</v>
      </c>
      <c r="AH111" s="88">
        <f t="shared" si="494"/>
        <v>0</v>
      </c>
      <c r="AI111" s="96">
        <f t="shared" si="477"/>
        <v>0</v>
      </c>
      <c r="AJ111" s="53">
        <f t="shared" ref="AJ111:AK120" si="495">IF(AJ19=0,0,AJ92/AJ19)</f>
        <v>0</v>
      </c>
      <c r="AK111" s="88">
        <f t="shared" si="495"/>
        <v>0</v>
      </c>
      <c r="AL111" s="96">
        <f t="shared" si="478"/>
        <v>0</v>
      </c>
      <c r="AM111" s="53">
        <f t="shared" ref="AM111:AN120" si="496">IF(AM19=0,0,AM92/AM19)</f>
        <v>0</v>
      </c>
      <c r="AN111" s="88">
        <f t="shared" si="496"/>
        <v>0</v>
      </c>
      <c r="AO111" s="96">
        <f t="shared" si="479"/>
        <v>0</v>
      </c>
      <c r="AP111" s="53">
        <f t="shared" ref="AP111:AQ120" si="497">IF(AP19=0,0,AP92/AP19)</f>
        <v>0</v>
      </c>
      <c r="AQ111" s="88">
        <f t="shared" si="497"/>
        <v>0</v>
      </c>
      <c r="AR111" s="96">
        <f t="shared" si="480"/>
        <v>0</v>
      </c>
      <c r="AS111" s="53">
        <f t="shared" ref="AS111:AT120" si="498">IF(AS19=0,0,AS92/AS19)</f>
        <v>0</v>
      </c>
      <c r="AT111" s="88">
        <f t="shared" si="498"/>
        <v>0</v>
      </c>
      <c r="AU111" s="96">
        <f t="shared" si="481"/>
        <v>0</v>
      </c>
      <c r="AV111" s="53">
        <f t="shared" ref="AV111:AW120" si="499">IF(AV19=0,0,AV92/AV19)</f>
        <v>0</v>
      </c>
      <c r="AW111" s="88">
        <f t="shared" si="499"/>
        <v>0</v>
      </c>
      <c r="AX111" s="96">
        <f t="shared" si="482"/>
        <v>0</v>
      </c>
      <c r="AY111" s="53">
        <f t="shared" ref="AY111:AZ120" si="500">IF(AY19=0,0,AY92/AY19)</f>
        <v>0</v>
      </c>
      <c r="AZ111" s="88">
        <f t="shared" si="500"/>
        <v>0</v>
      </c>
      <c r="BA111" s="96">
        <f t="shared" si="483"/>
        <v>0</v>
      </c>
      <c r="BB111" s="53">
        <f t="shared" ref="BB111:BC120" si="501">IF(BB19=0,0,BB92/BB19)</f>
        <v>0</v>
      </c>
      <c r="BC111" s="88">
        <f t="shared" si="501"/>
        <v>0</v>
      </c>
      <c r="BD111" s="96">
        <f t="shared" si="484"/>
        <v>0</v>
      </c>
      <c r="BE111" s="53">
        <f t="shared" ref="BE111:BF120" si="502">IF(BE19=0,0,BE92/BE19)</f>
        <v>0</v>
      </c>
      <c r="BF111" s="53">
        <f t="shared" si="502"/>
        <v>0</v>
      </c>
      <c r="BG111" s="53">
        <f t="shared" ref="BG111" si="503">IF(BG19=0,0,BG92/BG19)</f>
        <v>0</v>
      </c>
    </row>
    <row r="112" spans="1:59" s="127" customFormat="1" ht="13.5" hidden="1" outlineLevel="1" x14ac:dyDescent="0.25">
      <c r="A112" s="27"/>
      <c r="B112" s="83" t="s">
        <v>28</v>
      </c>
      <c r="C112" s="25" t="s">
        <v>70</v>
      </c>
      <c r="D112" s="19">
        <f t="shared" si="485"/>
        <v>0</v>
      </c>
      <c r="E112" s="19">
        <f t="shared" si="485"/>
        <v>0</v>
      </c>
      <c r="F112" s="23">
        <f t="shared" si="485"/>
        <v>0</v>
      </c>
      <c r="G112" s="22">
        <f t="shared" si="485"/>
        <v>0</v>
      </c>
      <c r="H112" s="21">
        <f t="shared" si="468"/>
        <v>0</v>
      </c>
      <c r="I112" s="23">
        <f t="shared" si="486"/>
        <v>0</v>
      </c>
      <c r="J112" s="22">
        <f t="shared" si="486"/>
        <v>0</v>
      </c>
      <c r="K112" s="21">
        <f t="shared" si="469"/>
        <v>0</v>
      </c>
      <c r="L112" s="23">
        <f t="shared" si="487"/>
        <v>0</v>
      </c>
      <c r="M112" s="22">
        <f t="shared" si="487"/>
        <v>0</v>
      </c>
      <c r="N112" s="21">
        <f t="shared" si="470"/>
        <v>0</v>
      </c>
      <c r="O112" s="23">
        <f t="shared" si="488"/>
        <v>0</v>
      </c>
      <c r="P112" s="22">
        <f t="shared" si="488"/>
        <v>0</v>
      </c>
      <c r="Q112" s="21">
        <f t="shared" si="471"/>
        <v>0</v>
      </c>
      <c r="R112" s="23">
        <f t="shared" si="489"/>
        <v>0</v>
      </c>
      <c r="S112" s="22">
        <f t="shared" si="489"/>
        <v>0</v>
      </c>
      <c r="T112" s="21">
        <f t="shared" si="472"/>
        <v>0</v>
      </c>
      <c r="U112" s="23">
        <f t="shared" si="490"/>
        <v>0</v>
      </c>
      <c r="V112" s="22">
        <f t="shared" si="490"/>
        <v>0</v>
      </c>
      <c r="W112" s="21">
        <f t="shared" si="473"/>
        <v>0</v>
      </c>
      <c r="X112" s="23">
        <f t="shared" si="491"/>
        <v>0</v>
      </c>
      <c r="Y112" s="22">
        <f t="shared" si="491"/>
        <v>0</v>
      </c>
      <c r="Z112" s="21">
        <f t="shared" si="474"/>
        <v>0</v>
      </c>
      <c r="AA112" s="23">
        <f t="shared" si="492"/>
        <v>0</v>
      </c>
      <c r="AB112" s="22">
        <f t="shared" si="492"/>
        <v>0</v>
      </c>
      <c r="AC112" s="21">
        <f t="shared" si="475"/>
        <v>0</v>
      </c>
      <c r="AD112" s="23">
        <f t="shared" si="493"/>
        <v>0</v>
      </c>
      <c r="AE112" s="22">
        <f t="shared" si="493"/>
        <v>0</v>
      </c>
      <c r="AF112" s="21">
        <f t="shared" si="476"/>
        <v>0</v>
      </c>
      <c r="AG112" s="23">
        <f t="shared" si="494"/>
        <v>0</v>
      </c>
      <c r="AH112" s="22">
        <f t="shared" si="494"/>
        <v>0</v>
      </c>
      <c r="AI112" s="21">
        <f t="shared" si="477"/>
        <v>0</v>
      </c>
      <c r="AJ112" s="23">
        <f t="shared" si="495"/>
        <v>0</v>
      </c>
      <c r="AK112" s="22">
        <f t="shared" si="495"/>
        <v>0</v>
      </c>
      <c r="AL112" s="21">
        <f t="shared" si="478"/>
        <v>0</v>
      </c>
      <c r="AM112" s="23">
        <f t="shared" si="496"/>
        <v>0</v>
      </c>
      <c r="AN112" s="22">
        <f t="shared" si="496"/>
        <v>0</v>
      </c>
      <c r="AO112" s="21">
        <f t="shared" si="479"/>
        <v>0</v>
      </c>
      <c r="AP112" s="23">
        <f t="shared" si="497"/>
        <v>0</v>
      </c>
      <c r="AQ112" s="22">
        <f t="shared" si="497"/>
        <v>0</v>
      </c>
      <c r="AR112" s="21">
        <f t="shared" si="480"/>
        <v>0</v>
      </c>
      <c r="AS112" s="23">
        <f t="shared" si="498"/>
        <v>0</v>
      </c>
      <c r="AT112" s="22">
        <f t="shared" si="498"/>
        <v>0</v>
      </c>
      <c r="AU112" s="21">
        <f t="shared" si="481"/>
        <v>0</v>
      </c>
      <c r="AV112" s="23">
        <f t="shared" si="499"/>
        <v>0</v>
      </c>
      <c r="AW112" s="22">
        <f t="shared" si="499"/>
        <v>0</v>
      </c>
      <c r="AX112" s="21">
        <f t="shared" si="482"/>
        <v>0</v>
      </c>
      <c r="AY112" s="23">
        <f t="shared" si="500"/>
        <v>0</v>
      </c>
      <c r="AZ112" s="22">
        <f t="shared" si="500"/>
        <v>0</v>
      </c>
      <c r="BA112" s="21">
        <f t="shared" si="483"/>
        <v>0</v>
      </c>
      <c r="BB112" s="23">
        <f t="shared" si="501"/>
        <v>0</v>
      </c>
      <c r="BC112" s="22">
        <f t="shared" si="501"/>
        <v>0</v>
      </c>
      <c r="BD112" s="21">
        <f t="shared" si="484"/>
        <v>0</v>
      </c>
      <c r="BE112" s="23">
        <f t="shared" si="502"/>
        <v>0</v>
      </c>
      <c r="BF112" s="23">
        <f t="shared" si="502"/>
        <v>0</v>
      </c>
      <c r="BG112" s="23">
        <f t="shared" ref="BG112" si="504">IF(BG20=0,0,BG93/BG20)</f>
        <v>0</v>
      </c>
    </row>
    <row r="113" spans="1:59" ht="13.5" hidden="1" outlineLevel="1" x14ac:dyDescent="0.25">
      <c r="A113" s="62"/>
      <c r="B113" s="83" t="s">
        <v>29</v>
      </c>
      <c r="C113" s="25" t="s">
        <v>70</v>
      </c>
      <c r="D113" s="19">
        <f t="shared" si="485"/>
        <v>0</v>
      </c>
      <c r="E113" s="19">
        <f t="shared" si="485"/>
        <v>0</v>
      </c>
      <c r="F113" s="23">
        <f t="shared" si="485"/>
        <v>0</v>
      </c>
      <c r="G113" s="22">
        <f t="shared" si="485"/>
        <v>0</v>
      </c>
      <c r="H113" s="21">
        <f t="shared" si="468"/>
        <v>0</v>
      </c>
      <c r="I113" s="23">
        <f t="shared" si="486"/>
        <v>0</v>
      </c>
      <c r="J113" s="22">
        <f t="shared" si="486"/>
        <v>0</v>
      </c>
      <c r="K113" s="21">
        <f t="shared" si="469"/>
        <v>0</v>
      </c>
      <c r="L113" s="23">
        <f t="shared" si="487"/>
        <v>0</v>
      </c>
      <c r="M113" s="22">
        <f t="shared" si="487"/>
        <v>0</v>
      </c>
      <c r="N113" s="21">
        <f t="shared" si="470"/>
        <v>0</v>
      </c>
      <c r="O113" s="23">
        <f t="shared" si="488"/>
        <v>0</v>
      </c>
      <c r="P113" s="22">
        <f t="shared" si="488"/>
        <v>0</v>
      </c>
      <c r="Q113" s="21">
        <f t="shared" si="471"/>
        <v>0</v>
      </c>
      <c r="R113" s="23">
        <f t="shared" si="489"/>
        <v>0</v>
      </c>
      <c r="S113" s="22">
        <f t="shared" si="489"/>
        <v>0</v>
      </c>
      <c r="T113" s="21">
        <f t="shared" si="472"/>
        <v>0</v>
      </c>
      <c r="U113" s="23">
        <f t="shared" si="490"/>
        <v>0</v>
      </c>
      <c r="V113" s="22">
        <f t="shared" si="490"/>
        <v>0</v>
      </c>
      <c r="W113" s="21">
        <f t="shared" si="473"/>
        <v>0</v>
      </c>
      <c r="X113" s="23">
        <f t="shared" si="491"/>
        <v>0</v>
      </c>
      <c r="Y113" s="22">
        <f t="shared" si="491"/>
        <v>0</v>
      </c>
      <c r="Z113" s="21">
        <f t="shared" si="474"/>
        <v>0</v>
      </c>
      <c r="AA113" s="23">
        <f t="shared" si="492"/>
        <v>0</v>
      </c>
      <c r="AB113" s="22">
        <f t="shared" si="492"/>
        <v>0</v>
      </c>
      <c r="AC113" s="21">
        <f t="shared" si="475"/>
        <v>0</v>
      </c>
      <c r="AD113" s="23">
        <f t="shared" si="493"/>
        <v>0</v>
      </c>
      <c r="AE113" s="22">
        <f t="shared" si="493"/>
        <v>0</v>
      </c>
      <c r="AF113" s="21">
        <f t="shared" si="476"/>
        <v>0</v>
      </c>
      <c r="AG113" s="23">
        <f t="shared" si="494"/>
        <v>0</v>
      </c>
      <c r="AH113" s="22">
        <f t="shared" si="494"/>
        <v>0</v>
      </c>
      <c r="AI113" s="21">
        <f t="shared" si="477"/>
        <v>0</v>
      </c>
      <c r="AJ113" s="23">
        <f t="shared" si="495"/>
        <v>0</v>
      </c>
      <c r="AK113" s="22">
        <f t="shared" si="495"/>
        <v>0</v>
      </c>
      <c r="AL113" s="21">
        <f t="shared" si="478"/>
        <v>0</v>
      </c>
      <c r="AM113" s="23">
        <f t="shared" si="496"/>
        <v>0</v>
      </c>
      <c r="AN113" s="22">
        <f t="shared" si="496"/>
        <v>0</v>
      </c>
      <c r="AO113" s="21">
        <f t="shared" si="479"/>
        <v>0</v>
      </c>
      <c r="AP113" s="23">
        <f t="shared" si="497"/>
        <v>0</v>
      </c>
      <c r="AQ113" s="22">
        <f t="shared" si="497"/>
        <v>0</v>
      </c>
      <c r="AR113" s="21">
        <f t="shared" si="480"/>
        <v>0</v>
      </c>
      <c r="AS113" s="23">
        <f t="shared" si="498"/>
        <v>0</v>
      </c>
      <c r="AT113" s="22">
        <f t="shared" si="498"/>
        <v>0</v>
      </c>
      <c r="AU113" s="21">
        <f t="shared" si="481"/>
        <v>0</v>
      </c>
      <c r="AV113" s="23">
        <f t="shared" si="499"/>
        <v>0</v>
      </c>
      <c r="AW113" s="22">
        <f t="shared" si="499"/>
        <v>0</v>
      </c>
      <c r="AX113" s="21">
        <f t="shared" si="482"/>
        <v>0</v>
      </c>
      <c r="AY113" s="23">
        <f t="shared" si="500"/>
        <v>0</v>
      </c>
      <c r="AZ113" s="22">
        <f t="shared" si="500"/>
        <v>0</v>
      </c>
      <c r="BA113" s="21">
        <f t="shared" si="483"/>
        <v>0</v>
      </c>
      <c r="BB113" s="23">
        <f t="shared" si="501"/>
        <v>0</v>
      </c>
      <c r="BC113" s="22">
        <f t="shared" si="501"/>
        <v>0</v>
      </c>
      <c r="BD113" s="21">
        <f t="shared" si="484"/>
        <v>0</v>
      </c>
      <c r="BE113" s="23">
        <f t="shared" si="502"/>
        <v>0</v>
      </c>
      <c r="BF113" s="23">
        <f t="shared" si="502"/>
        <v>0</v>
      </c>
      <c r="BG113" s="23">
        <f t="shared" ref="BG113" si="505">IF(BG21=0,0,BG94/BG21)</f>
        <v>0</v>
      </c>
    </row>
    <row r="114" spans="1:59" ht="13.5" hidden="1" outlineLevel="1" x14ac:dyDescent="0.25">
      <c r="A114" s="62"/>
      <c r="B114" s="83" t="s">
        <v>30</v>
      </c>
      <c r="C114" s="25" t="s">
        <v>70</v>
      </c>
      <c r="D114" s="19">
        <f t="shared" si="485"/>
        <v>0</v>
      </c>
      <c r="E114" s="19">
        <f t="shared" si="485"/>
        <v>0</v>
      </c>
      <c r="F114" s="23">
        <f t="shared" si="485"/>
        <v>0</v>
      </c>
      <c r="G114" s="22">
        <f t="shared" si="485"/>
        <v>0</v>
      </c>
      <c r="H114" s="21">
        <f t="shared" si="468"/>
        <v>0</v>
      </c>
      <c r="I114" s="23">
        <f t="shared" si="486"/>
        <v>0</v>
      </c>
      <c r="J114" s="22">
        <f t="shared" si="486"/>
        <v>0</v>
      </c>
      <c r="K114" s="21">
        <f t="shared" si="469"/>
        <v>0</v>
      </c>
      <c r="L114" s="23">
        <f t="shared" si="487"/>
        <v>0</v>
      </c>
      <c r="M114" s="22">
        <f t="shared" si="487"/>
        <v>0</v>
      </c>
      <c r="N114" s="21">
        <f t="shared" si="470"/>
        <v>0</v>
      </c>
      <c r="O114" s="23">
        <f t="shared" si="488"/>
        <v>0</v>
      </c>
      <c r="P114" s="22">
        <f t="shared" si="488"/>
        <v>0</v>
      </c>
      <c r="Q114" s="21">
        <f t="shared" si="471"/>
        <v>0</v>
      </c>
      <c r="R114" s="23">
        <f t="shared" si="489"/>
        <v>0</v>
      </c>
      <c r="S114" s="22">
        <f t="shared" si="489"/>
        <v>0</v>
      </c>
      <c r="T114" s="21">
        <f t="shared" si="472"/>
        <v>0</v>
      </c>
      <c r="U114" s="23">
        <f t="shared" si="490"/>
        <v>0</v>
      </c>
      <c r="V114" s="22">
        <f t="shared" si="490"/>
        <v>0</v>
      </c>
      <c r="W114" s="21">
        <f t="shared" si="473"/>
        <v>0</v>
      </c>
      <c r="X114" s="23">
        <f t="shared" si="491"/>
        <v>0</v>
      </c>
      <c r="Y114" s="22">
        <f t="shared" si="491"/>
        <v>0</v>
      </c>
      <c r="Z114" s="21">
        <f t="shared" si="474"/>
        <v>0</v>
      </c>
      <c r="AA114" s="23">
        <f t="shared" si="492"/>
        <v>0</v>
      </c>
      <c r="AB114" s="22">
        <f t="shared" si="492"/>
        <v>0</v>
      </c>
      <c r="AC114" s="21">
        <f t="shared" si="475"/>
        <v>0</v>
      </c>
      <c r="AD114" s="23">
        <f t="shared" si="493"/>
        <v>0</v>
      </c>
      <c r="AE114" s="22">
        <f t="shared" si="493"/>
        <v>0</v>
      </c>
      <c r="AF114" s="21">
        <f t="shared" si="476"/>
        <v>0</v>
      </c>
      <c r="AG114" s="23">
        <f t="shared" si="494"/>
        <v>0</v>
      </c>
      <c r="AH114" s="22">
        <f t="shared" si="494"/>
        <v>0</v>
      </c>
      <c r="AI114" s="21">
        <f t="shared" si="477"/>
        <v>0</v>
      </c>
      <c r="AJ114" s="23">
        <f t="shared" si="495"/>
        <v>0</v>
      </c>
      <c r="AK114" s="22">
        <f t="shared" si="495"/>
        <v>0</v>
      </c>
      <c r="AL114" s="21">
        <f t="shared" si="478"/>
        <v>0</v>
      </c>
      <c r="AM114" s="23">
        <f t="shared" si="496"/>
        <v>0</v>
      </c>
      <c r="AN114" s="22">
        <f t="shared" si="496"/>
        <v>0</v>
      </c>
      <c r="AO114" s="21">
        <f t="shared" si="479"/>
        <v>0</v>
      </c>
      <c r="AP114" s="23">
        <f t="shared" si="497"/>
        <v>0</v>
      </c>
      <c r="AQ114" s="22">
        <f t="shared" si="497"/>
        <v>0</v>
      </c>
      <c r="AR114" s="21">
        <f t="shared" si="480"/>
        <v>0</v>
      </c>
      <c r="AS114" s="23">
        <f t="shared" si="498"/>
        <v>0</v>
      </c>
      <c r="AT114" s="22">
        <f t="shared" si="498"/>
        <v>0</v>
      </c>
      <c r="AU114" s="21">
        <f t="shared" si="481"/>
        <v>0</v>
      </c>
      <c r="AV114" s="23">
        <f t="shared" si="499"/>
        <v>0</v>
      </c>
      <c r="AW114" s="22">
        <f t="shared" si="499"/>
        <v>0</v>
      </c>
      <c r="AX114" s="21">
        <f t="shared" si="482"/>
        <v>0</v>
      </c>
      <c r="AY114" s="23">
        <f t="shared" si="500"/>
        <v>0</v>
      </c>
      <c r="AZ114" s="22">
        <f t="shared" si="500"/>
        <v>0</v>
      </c>
      <c r="BA114" s="21">
        <f t="shared" si="483"/>
        <v>0</v>
      </c>
      <c r="BB114" s="23">
        <f t="shared" si="501"/>
        <v>0</v>
      </c>
      <c r="BC114" s="22">
        <f t="shared" si="501"/>
        <v>0</v>
      </c>
      <c r="BD114" s="21">
        <f t="shared" si="484"/>
        <v>0</v>
      </c>
      <c r="BE114" s="23">
        <f t="shared" si="502"/>
        <v>0</v>
      </c>
      <c r="BF114" s="23">
        <f t="shared" si="502"/>
        <v>0</v>
      </c>
      <c r="BG114" s="23">
        <f t="shared" ref="BG114" si="506">IF(BG22=0,0,BG95/BG22)</f>
        <v>0</v>
      </c>
    </row>
    <row r="115" spans="1:59" ht="14.25" hidden="1" outlineLevel="1" thickBot="1" x14ac:dyDescent="0.3">
      <c r="A115" s="62"/>
      <c r="B115" s="83" t="s">
        <v>31</v>
      </c>
      <c r="C115" s="25" t="s">
        <v>70</v>
      </c>
      <c r="D115" s="19">
        <f t="shared" si="485"/>
        <v>0</v>
      </c>
      <c r="E115" s="19">
        <f t="shared" si="485"/>
        <v>0</v>
      </c>
      <c r="F115" s="23">
        <f t="shared" si="485"/>
        <v>0</v>
      </c>
      <c r="G115" s="22">
        <f t="shared" si="485"/>
        <v>0</v>
      </c>
      <c r="H115" s="21">
        <f t="shared" si="468"/>
        <v>0</v>
      </c>
      <c r="I115" s="23">
        <f t="shared" si="486"/>
        <v>0</v>
      </c>
      <c r="J115" s="22">
        <f t="shared" si="486"/>
        <v>0</v>
      </c>
      <c r="K115" s="21">
        <f t="shared" si="469"/>
        <v>0</v>
      </c>
      <c r="L115" s="23">
        <f t="shared" si="487"/>
        <v>0</v>
      </c>
      <c r="M115" s="22">
        <f t="shared" si="487"/>
        <v>0</v>
      </c>
      <c r="N115" s="21">
        <f t="shared" si="470"/>
        <v>0</v>
      </c>
      <c r="O115" s="23">
        <f t="shared" si="488"/>
        <v>0</v>
      </c>
      <c r="P115" s="22">
        <f t="shared" si="488"/>
        <v>0</v>
      </c>
      <c r="Q115" s="21">
        <f t="shared" si="471"/>
        <v>0</v>
      </c>
      <c r="R115" s="23">
        <f t="shared" si="489"/>
        <v>0</v>
      </c>
      <c r="S115" s="22">
        <f t="shared" si="489"/>
        <v>0</v>
      </c>
      <c r="T115" s="21">
        <f t="shared" si="472"/>
        <v>0</v>
      </c>
      <c r="U115" s="23">
        <f t="shared" si="490"/>
        <v>0</v>
      </c>
      <c r="V115" s="22">
        <f t="shared" si="490"/>
        <v>0</v>
      </c>
      <c r="W115" s="21">
        <f t="shared" si="473"/>
        <v>0</v>
      </c>
      <c r="X115" s="23">
        <f t="shared" si="491"/>
        <v>0</v>
      </c>
      <c r="Y115" s="22">
        <f t="shared" si="491"/>
        <v>0</v>
      </c>
      <c r="Z115" s="21">
        <f t="shared" si="474"/>
        <v>0</v>
      </c>
      <c r="AA115" s="23">
        <f t="shared" si="492"/>
        <v>0</v>
      </c>
      <c r="AB115" s="22">
        <f t="shared" si="492"/>
        <v>0</v>
      </c>
      <c r="AC115" s="21">
        <f t="shared" si="475"/>
        <v>0</v>
      </c>
      <c r="AD115" s="23">
        <f t="shared" si="493"/>
        <v>0</v>
      </c>
      <c r="AE115" s="22">
        <f t="shared" si="493"/>
        <v>0</v>
      </c>
      <c r="AF115" s="21">
        <f t="shared" si="476"/>
        <v>0</v>
      </c>
      <c r="AG115" s="23">
        <f t="shared" si="494"/>
        <v>0</v>
      </c>
      <c r="AH115" s="22">
        <f t="shared" si="494"/>
        <v>0</v>
      </c>
      <c r="AI115" s="21">
        <f t="shared" si="477"/>
        <v>0</v>
      </c>
      <c r="AJ115" s="23">
        <f t="shared" si="495"/>
        <v>0</v>
      </c>
      <c r="AK115" s="22">
        <f t="shared" si="495"/>
        <v>0</v>
      </c>
      <c r="AL115" s="21">
        <f t="shared" si="478"/>
        <v>0</v>
      </c>
      <c r="AM115" s="23">
        <f t="shared" si="496"/>
        <v>0</v>
      </c>
      <c r="AN115" s="22">
        <f t="shared" si="496"/>
        <v>0</v>
      </c>
      <c r="AO115" s="21">
        <f t="shared" si="479"/>
        <v>0</v>
      </c>
      <c r="AP115" s="23">
        <f t="shared" si="497"/>
        <v>0</v>
      </c>
      <c r="AQ115" s="22">
        <f t="shared" si="497"/>
        <v>0</v>
      </c>
      <c r="AR115" s="21">
        <f t="shared" si="480"/>
        <v>0</v>
      </c>
      <c r="AS115" s="23">
        <f t="shared" si="498"/>
        <v>0</v>
      </c>
      <c r="AT115" s="22">
        <f t="shared" si="498"/>
        <v>0</v>
      </c>
      <c r="AU115" s="21">
        <f t="shared" si="481"/>
        <v>0</v>
      </c>
      <c r="AV115" s="23">
        <f t="shared" si="499"/>
        <v>0</v>
      </c>
      <c r="AW115" s="22">
        <f t="shared" si="499"/>
        <v>0</v>
      </c>
      <c r="AX115" s="21">
        <f t="shared" si="482"/>
        <v>0</v>
      </c>
      <c r="AY115" s="23">
        <f t="shared" si="500"/>
        <v>0</v>
      </c>
      <c r="AZ115" s="22">
        <f t="shared" si="500"/>
        <v>0</v>
      </c>
      <c r="BA115" s="21">
        <f t="shared" si="483"/>
        <v>0</v>
      </c>
      <c r="BB115" s="23">
        <f t="shared" si="501"/>
        <v>0</v>
      </c>
      <c r="BC115" s="22">
        <f t="shared" si="501"/>
        <v>0</v>
      </c>
      <c r="BD115" s="21">
        <f t="shared" si="484"/>
        <v>0</v>
      </c>
      <c r="BE115" s="23">
        <f t="shared" si="502"/>
        <v>0</v>
      </c>
      <c r="BF115" s="23">
        <f t="shared" si="502"/>
        <v>0</v>
      </c>
      <c r="BG115" s="23">
        <f t="shared" ref="BG115" si="507">IF(BG23=0,0,BG96/BG23)</f>
        <v>0</v>
      </c>
    </row>
    <row r="116" spans="1:59" s="124" customFormat="1" ht="15.75" collapsed="1" thickBot="1" x14ac:dyDescent="0.3">
      <c r="A116" s="66" t="s">
        <v>86</v>
      </c>
      <c r="B116" s="52" t="s">
        <v>87</v>
      </c>
      <c r="C116" s="116" t="s">
        <v>70</v>
      </c>
      <c r="D116" s="28">
        <f t="shared" si="485"/>
        <v>0</v>
      </c>
      <c r="E116" s="28">
        <f t="shared" si="485"/>
        <v>0</v>
      </c>
      <c r="F116" s="53">
        <f t="shared" si="485"/>
        <v>0</v>
      </c>
      <c r="G116" s="88">
        <f t="shared" si="485"/>
        <v>0</v>
      </c>
      <c r="H116" s="96">
        <f t="shared" si="468"/>
        <v>0</v>
      </c>
      <c r="I116" s="53">
        <f t="shared" si="486"/>
        <v>0</v>
      </c>
      <c r="J116" s="88">
        <f t="shared" si="486"/>
        <v>0</v>
      </c>
      <c r="K116" s="96">
        <f t="shared" si="469"/>
        <v>0</v>
      </c>
      <c r="L116" s="53">
        <f t="shared" si="487"/>
        <v>0</v>
      </c>
      <c r="M116" s="88">
        <f t="shared" si="487"/>
        <v>0</v>
      </c>
      <c r="N116" s="96">
        <f t="shared" si="470"/>
        <v>0</v>
      </c>
      <c r="O116" s="53">
        <f t="shared" si="488"/>
        <v>0</v>
      </c>
      <c r="P116" s="88">
        <f t="shared" si="488"/>
        <v>0</v>
      </c>
      <c r="Q116" s="96">
        <f t="shared" si="471"/>
        <v>0</v>
      </c>
      <c r="R116" s="53">
        <f t="shared" si="489"/>
        <v>0</v>
      </c>
      <c r="S116" s="88">
        <f t="shared" si="489"/>
        <v>0</v>
      </c>
      <c r="T116" s="96">
        <f t="shared" si="472"/>
        <v>0</v>
      </c>
      <c r="U116" s="53">
        <f t="shared" si="490"/>
        <v>0</v>
      </c>
      <c r="V116" s="88">
        <f t="shared" si="490"/>
        <v>0</v>
      </c>
      <c r="W116" s="96">
        <f t="shared" si="473"/>
        <v>0</v>
      </c>
      <c r="X116" s="53">
        <f t="shared" si="491"/>
        <v>0</v>
      </c>
      <c r="Y116" s="88">
        <f t="shared" si="491"/>
        <v>0</v>
      </c>
      <c r="Z116" s="96">
        <f t="shared" si="474"/>
        <v>0</v>
      </c>
      <c r="AA116" s="53">
        <f t="shared" si="492"/>
        <v>0</v>
      </c>
      <c r="AB116" s="88">
        <f t="shared" si="492"/>
        <v>0</v>
      </c>
      <c r="AC116" s="96">
        <f t="shared" si="475"/>
        <v>0</v>
      </c>
      <c r="AD116" s="53">
        <f t="shared" si="493"/>
        <v>0</v>
      </c>
      <c r="AE116" s="88">
        <f t="shared" si="493"/>
        <v>0</v>
      </c>
      <c r="AF116" s="96">
        <f t="shared" si="476"/>
        <v>0</v>
      </c>
      <c r="AG116" s="53">
        <f t="shared" si="494"/>
        <v>0</v>
      </c>
      <c r="AH116" s="88">
        <f t="shared" si="494"/>
        <v>0</v>
      </c>
      <c r="AI116" s="96">
        <f t="shared" si="477"/>
        <v>0</v>
      </c>
      <c r="AJ116" s="53">
        <f t="shared" si="495"/>
        <v>0</v>
      </c>
      <c r="AK116" s="88">
        <f t="shared" si="495"/>
        <v>0</v>
      </c>
      <c r="AL116" s="96">
        <f t="shared" si="478"/>
        <v>0</v>
      </c>
      <c r="AM116" s="53">
        <f t="shared" si="496"/>
        <v>0</v>
      </c>
      <c r="AN116" s="88">
        <f t="shared" si="496"/>
        <v>0</v>
      </c>
      <c r="AO116" s="96">
        <f t="shared" si="479"/>
        <v>0</v>
      </c>
      <c r="AP116" s="53">
        <f t="shared" si="497"/>
        <v>0</v>
      </c>
      <c r="AQ116" s="88">
        <f t="shared" si="497"/>
        <v>0</v>
      </c>
      <c r="AR116" s="96">
        <f t="shared" si="480"/>
        <v>0</v>
      </c>
      <c r="AS116" s="53">
        <f t="shared" si="498"/>
        <v>0</v>
      </c>
      <c r="AT116" s="88">
        <f t="shared" si="498"/>
        <v>0</v>
      </c>
      <c r="AU116" s="96">
        <f t="shared" si="481"/>
        <v>0</v>
      </c>
      <c r="AV116" s="53">
        <f t="shared" si="499"/>
        <v>0</v>
      </c>
      <c r="AW116" s="88">
        <f t="shared" si="499"/>
        <v>0</v>
      </c>
      <c r="AX116" s="96">
        <f t="shared" si="482"/>
        <v>0</v>
      </c>
      <c r="AY116" s="53">
        <f t="shared" si="500"/>
        <v>0</v>
      </c>
      <c r="AZ116" s="88">
        <f t="shared" si="500"/>
        <v>0</v>
      </c>
      <c r="BA116" s="96">
        <f t="shared" si="483"/>
        <v>0</v>
      </c>
      <c r="BB116" s="53">
        <f t="shared" si="501"/>
        <v>0</v>
      </c>
      <c r="BC116" s="88">
        <f t="shared" si="501"/>
        <v>0</v>
      </c>
      <c r="BD116" s="96">
        <f t="shared" si="484"/>
        <v>0</v>
      </c>
      <c r="BE116" s="53">
        <f t="shared" si="502"/>
        <v>0</v>
      </c>
      <c r="BF116" s="53">
        <f t="shared" si="502"/>
        <v>0</v>
      </c>
      <c r="BG116" s="53">
        <f t="shared" ref="BG116" si="508">IF(BG24=0,0,BG97/BG24)</f>
        <v>0</v>
      </c>
    </row>
    <row r="117" spans="1:59" s="127" customFormat="1" ht="13.5" hidden="1" outlineLevel="1" x14ac:dyDescent="0.25">
      <c r="A117" s="27"/>
      <c r="B117" s="83" t="s">
        <v>28</v>
      </c>
      <c r="C117" s="25" t="s">
        <v>70</v>
      </c>
      <c r="D117" s="19">
        <f t="shared" si="485"/>
        <v>0</v>
      </c>
      <c r="E117" s="19">
        <f t="shared" si="485"/>
        <v>0</v>
      </c>
      <c r="F117" s="23">
        <f t="shared" si="485"/>
        <v>0</v>
      </c>
      <c r="G117" s="22">
        <f t="shared" si="485"/>
        <v>0</v>
      </c>
      <c r="H117" s="21">
        <f t="shared" si="468"/>
        <v>0</v>
      </c>
      <c r="I117" s="23">
        <f t="shared" si="486"/>
        <v>0</v>
      </c>
      <c r="J117" s="22">
        <f t="shared" si="486"/>
        <v>0</v>
      </c>
      <c r="K117" s="21">
        <f t="shared" si="469"/>
        <v>0</v>
      </c>
      <c r="L117" s="23">
        <f t="shared" si="487"/>
        <v>0</v>
      </c>
      <c r="M117" s="22">
        <f t="shared" si="487"/>
        <v>0</v>
      </c>
      <c r="N117" s="21">
        <f t="shared" si="470"/>
        <v>0</v>
      </c>
      <c r="O117" s="23">
        <f t="shared" si="488"/>
        <v>0</v>
      </c>
      <c r="P117" s="22">
        <f t="shared" si="488"/>
        <v>0</v>
      </c>
      <c r="Q117" s="21">
        <f t="shared" si="471"/>
        <v>0</v>
      </c>
      <c r="R117" s="23">
        <f t="shared" si="489"/>
        <v>0</v>
      </c>
      <c r="S117" s="22">
        <f t="shared" si="489"/>
        <v>0</v>
      </c>
      <c r="T117" s="21">
        <f t="shared" si="472"/>
        <v>0</v>
      </c>
      <c r="U117" s="23">
        <f t="shared" si="490"/>
        <v>0</v>
      </c>
      <c r="V117" s="22">
        <f t="shared" si="490"/>
        <v>0</v>
      </c>
      <c r="W117" s="21">
        <f t="shared" si="473"/>
        <v>0</v>
      </c>
      <c r="X117" s="23">
        <f t="shared" si="491"/>
        <v>0</v>
      </c>
      <c r="Y117" s="22">
        <f t="shared" si="491"/>
        <v>0</v>
      </c>
      <c r="Z117" s="21">
        <f t="shared" si="474"/>
        <v>0</v>
      </c>
      <c r="AA117" s="23">
        <f t="shared" si="492"/>
        <v>0</v>
      </c>
      <c r="AB117" s="22">
        <f t="shared" si="492"/>
        <v>0</v>
      </c>
      <c r="AC117" s="21">
        <f t="shared" si="475"/>
        <v>0</v>
      </c>
      <c r="AD117" s="23">
        <f t="shared" si="493"/>
        <v>0</v>
      </c>
      <c r="AE117" s="22">
        <f t="shared" si="493"/>
        <v>0</v>
      </c>
      <c r="AF117" s="21">
        <f t="shared" si="476"/>
        <v>0</v>
      </c>
      <c r="AG117" s="23">
        <f t="shared" si="494"/>
        <v>0</v>
      </c>
      <c r="AH117" s="22">
        <f t="shared" si="494"/>
        <v>0</v>
      </c>
      <c r="AI117" s="21">
        <f t="shared" si="477"/>
        <v>0</v>
      </c>
      <c r="AJ117" s="23">
        <f t="shared" si="495"/>
        <v>0</v>
      </c>
      <c r="AK117" s="22">
        <f t="shared" si="495"/>
        <v>0</v>
      </c>
      <c r="AL117" s="21">
        <f t="shared" si="478"/>
        <v>0</v>
      </c>
      <c r="AM117" s="23">
        <f t="shared" si="496"/>
        <v>0</v>
      </c>
      <c r="AN117" s="22">
        <f t="shared" si="496"/>
        <v>0</v>
      </c>
      <c r="AO117" s="21">
        <f t="shared" si="479"/>
        <v>0</v>
      </c>
      <c r="AP117" s="23">
        <f t="shared" si="497"/>
        <v>0</v>
      </c>
      <c r="AQ117" s="22">
        <f t="shared" si="497"/>
        <v>0</v>
      </c>
      <c r="AR117" s="21">
        <f t="shared" si="480"/>
        <v>0</v>
      </c>
      <c r="AS117" s="23">
        <f t="shared" si="498"/>
        <v>0</v>
      </c>
      <c r="AT117" s="22">
        <f t="shared" si="498"/>
        <v>0</v>
      </c>
      <c r="AU117" s="21">
        <f t="shared" si="481"/>
        <v>0</v>
      </c>
      <c r="AV117" s="23">
        <f t="shared" si="499"/>
        <v>0</v>
      </c>
      <c r="AW117" s="22">
        <f t="shared" si="499"/>
        <v>0</v>
      </c>
      <c r="AX117" s="21">
        <f t="shared" si="482"/>
        <v>0</v>
      </c>
      <c r="AY117" s="23">
        <f t="shared" si="500"/>
        <v>0</v>
      </c>
      <c r="AZ117" s="22">
        <f t="shared" si="500"/>
        <v>0</v>
      </c>
      <c r="BA117" s="21">
        <f t="shared" si="483"/>
        <v>0</v>
      </c>
      <c r="BB117" s="23">
        <f t="shared" si="501"/>
        <v>0</v>
      </c>
      <c r="BC117" s="22">
        <f t="shared" si="501"/>
        <v>0</v>
      </c>
      <c r="BD117" s="21">
        <f t="shared" si="484"/>
        <v>0</v>
      </c>
      <c r="BE117" s="23">
        <f t="shared" si="502"/>
        <v>0</v>
      </c>
      <c r="BF117" s="23">
        <f t="shared" si="502"/>
        <v>0</v>
      </c>
      <c r="BG117" s="23">
        <f t="shared" ref="BG117" si="509">IF(BG25=0,0,BG98/BG25)</f>
        <v>0</v>
      </c>
    </row>
    <row r="118" spans="1:59" ht="13.5" hidden="1" outlineLevel="1" x14ac:dyDescent="0.25">
      <c r="A118" s="62"/>
      <c r="B118" s="83" t="s">
        <v>29</v>
      </c>
      <c r="C118" s="25" t="s">
        <v>70</v>
      </c>
      <c r="D118" s="19">
        <f t="shared" si="485"/>
        <v>0</v>
      </c>
      <c r="E118" s="19">
        <f t="shared" si="485"/>
        <v>0</v>
      </c>
      <c r="F118" s="23">
        <f t="shared" si="485"/>
        <v>0</v>
      </c>
      <c r="G118" s="22">
        <f t="shared" si="485"/>
        <v>0</v>
      </c>
      <c r="H118" s="21">
        <f t="shared" si="468"/>
        <v>0</v>
      </c>
      <c r="I118" s="23">
        <f t="shared" si="486"/>
        <v>0</v>
      </c>
      <c r="J118" s="22">
        <f t="shared" si="486"/>
        <v>0</v>
      </c>
      <c r="K118" s="21">
        <f t="shared" si="469"/>
        <v>0</v>
      </c>
      <c r="L118" s="23">
        <f t="shared" si="487"/>
        <v>0</v>
      </c>
      <c r="M118" s="22">
        <f t="shared" si="487"/>
        <v>0</v>
      </c>
      <c r="N118" s="21">
        <f t="shared" si="470"/>
        <v>0</v>
      </c>
      <c r="O118" s="23">
        <f t="shared" si="488"/>
        <v>0</v>
      </c>
      <c r="P118" s="22">
        <f t="shared" si="488"/>
        <v>0</v>
      </c>
      <c r="Q118" s="21">
        <f t="shared" si="471"/>
        <v>0</v>
      </c>
      <c r="R118" s="23">
        <f t="shared" si="489"/>
        <v>0</v>
      </c>
      <c r="S118" s="22">
        <f t="shared" si="489"/>
        <v>0</v>
      </c>
      <c r="T118" s="21">
        <f t="shared" si="472"/>
        <v>0</v>
      </c>
      <c r="U118" s="23">
        <f t="shared" si="490"/>
        <v>0</v>
      </c>
      <c r="V118" s="22">
        <f t="shared" si="490"/>
        <v>0</v>
      </c>
      <c r="W118" s="21">
        <f t="shared" si="473"/>
        <v>0</v>
      </c>
      <c r="X118" s="23">
        <f t="shared" si="491"/>
        <v>0</v>
      </c>
      <c r="Y118" s="22">
        <f t="shared" si="491"/>
        <v>0</v>
      </c>
      <c r="Z118" s="21">
        <f t="shared" si="474"/>
        <v>0</v>
      </c>
      <c r="AA118" s="23">
        <f t="shared" si="492"/>
        <v>0</v>
      </c>
      <c r="AB118" s="22">
        <f t="shared" si="492"/>
        <v>0</v>
      </c>
      <c r="AC118" s="21">
        <f t="shared" si="475"/>
        <v>0</v>
      </c>
      <c r="AD118" s="23">
        <f t="shared" si="493"/>
        <v>0</v>
      </c>
      <c r="AE118" s="22">
        <f t="shared" si="493"/>
        <v>0</v>
      </c>
      <c r="AF118" s="21">
        <f t="shared" si="476"/>
        <v>0</v>
      </c>
      <c r="AG118" s="23">
        <f t="shared" si="494"/>
        <v>0</v>
      </c>
      <c r="AH118" s="22">
        <f t="shared" si="494"/>
        <v>0</v>
      </c>
      <c r="AI118" s="21">
        <f t="shared" si="477"/>
        <v>0</v>
      </c>
      <c r="AJ118" s="23">
        <f t="shared" si="495"/>
        <v>0</v>
      </c>
      <c r="AK118" s="22">
        <f t="shared" si="495"/>
        <v>0</v>
      </c>
      <c r="AL118" s="21">
        <f t="shared" si="478"/>
        <v>0</v>
      </c>
      <c r="AM118" s="23">
        <f t="shared" si="496"/>
        <v>0</v>
      </c>
      <c r="AN118" s="22">
        <f t="shared" si="496"/>
        <v>0</v>
      </c>
      <c r="AO118" s="21">
        <f t="shared" si="479"/>
        <v>0</v>
      </c>
      <c r="AP118" s="23">
        <f t="shared" si="497"/>
        <v>0</v>
      </c>
      <c r="AQ118" s="22">
        <f t="shared" si="497"/>
        <v>0</v>
      </c>
      <c r="AR118" s="21">
        <f t="shared" si="480"/>
        <v>0</v>
      </c>
      <c r="AS118" s="23">
        <f t="shared" si="498"/>
        <v>0</v>
      </c>
      <c r="AT118" s="22">
        <f t="shared" si="498"/>
        <v>0</v>
      </c>
      <c r="AU118" s="21">
        <f t="shared" si="481"/>
        <v>0</v>
      </c>
      <c r="AV118" s="23">
        <f t="shared" si="499"/>
        <v>0</v>
      </c>
      <c r="AW118" s="22">
        <f t="shared" si="499"/>
        <v>0</v>
      </c>
      <c r="AX118" s="21">
        <f t="shared" si="482"/>
        <v>0</v>
      </c>
      <c r="AY118" s="23">
        <f t="shared" si="500"/>
        <v>0</v>
      </c>
      <c r="AZ118" s="22">
        <f t="shared" si="500"/>
        <v>0</v>
      </c>
      <c r="BA118" s="21">
        <f t="shared" si="483"/>
        <v>0</v>
      </c>
      <c r="BB118" s="23">
        <f t="shared" si="501"/>
        <v>0</v>
      </c>
      <c r="BC118" s="22">
        <f t="shared" si="501"/>
        <v>0</v>
      </c>
      <c r="BD118" s="21">
        <f t="shared" si="484"/>
        <v>0</v>
      </c>
      <c r="BE118" s="23">
        <f t="shared" si="502"/>
        <v>0</v>
      </c>
      <c r="BF118" s="23">
        <f t="shared" si="502"/>
        <v>0</v>
      </c>
      <c r="BG118" s="23">
        <f t="shared" ref="BG118" si="510">IF(BG26=0,0,BG99/BG26)</f>
        <v>0</v>
      </c>
    </row>
    <row r="119" spans="1:59" ht="13.5" hidden="1" outlineLevel="1" x14ac:dyDescent="0.25">
      <c r="A119" s="62"/>
      <c r="B119" s="83" t="s">
        <v>30</v>
      </c>
      <c r="C119" s="25" t="s">
        <v>70</v>
      </c>
      <c r="D119" s="19">
        <f t="shared" si="485"/>
        <v>0</v>
      </c>
      <c r="E119" s="19">
        <f t="shared" si="485"/>
        <v>0</v>
      </c>
      <c r="F119" s="23">
        <f t="shared" si="485"/>
        <v>0</v>
      </c>
      <c r="G119" s="22">
        <f t="shared" si="485"/>
        <v>0</v>
      </c>
      <c r="H119" s="21">
        <f t="shared" si="468"/>
        <v>0</v>
      </c>
      <c r="I119" s="23">
        <f t="shared" si="486"/>
        <v>0</v>
      </c>
      <c r="J119" s="22">
        <f t="shared" si="486"/>
        <v>0</v>
      </c>
      <c r="K119" s="21">
        <f t="shared" si="469"/>
        <v>0</v>
      </c>
      <c r="L119" s="23">
        <f t="shared" si="487"/>
        <v>0</v>
      </c>
      <c r="M119" s="22">
        <f t="shared" si="487"/>
        <v>0</v>
      </c>
      <c r="N119" s="21">
        <f t="shared" si="470"/>
        <v>0</v>
      </c>
      <c r="O119" s="23">
        <f t="shared" si="488"/>
        <v>0</v>
      </c>
      <c r="P119" s="22">
        <f t="shared" si="488"/>
        <v>0</v>
      </c>
      <c r="Q119" s="21">
        <f t="shared" si="471"/>
        <v>0</v>
      </c>
      <c r="R119" s="23">
        <f t="shared" si="489"/>
        <v>0</v>
      </c>
      <c r="S119" s="22">
        <f t="shared" si="489"/>
        <v>0</v>
      </c>
      <c r="T119" s="21">
        <f t="shared" si="472"/>
        <v>0</v>
      </c>
      <c r="U119" s="23">
        <f t="shared" si="490"/>
        <v>0</v>
      </c>
      <c r="V119" s="22">
        <f t="shared" si="490"/>
        <v>0</v>
      </c>
      <c r="W119" s="21">
        <f t="shared" si="473"/>
        <v>0</v>
      </c>
      <c r="X119" s="23">
        <f t="shared" si="491"/>
        <v>0</v>
      </c>
      <c r="Y119" s="22">
        <f t="shared" si="491"/>
        <v>0</v>
      </c>
      <c r="Z119" s="21">
        <f t="shared" si="474"/>
        <v>0</v>
      </c>
      <c r="AA119" s="23">
        <f t="shared" si="492"/>
        <v>0</v>
      </c>
      <c r="AB119" s="22">
        <f t="shared" si="492"/>
        <v>0</v>
      </c>
      <c r="AC119" s="21">
        <f t="shared" si="475"/>
        <v>0</v>
      </c>
      <c r="AD119" s="23">
        <f t="shared" si="493"/>
        <v>0</v>
      </c>
      <c r="AE119" s="22">
        <f t="shared" si="493"/>
        <v>0</v>
      </c>
      <c r="AF119" s="21">
        <f t="shared" si="476"/>
        <v>0</v>
      </c>
      <c r="AG119" s="23">
        <f t="shared" si="494"/>
        <v>0</v>
      </c>
      <c r="AH119" s="22">
        <f t="shared" si="494"/>
        <v>0</v>
      </c>
      <c r="AI119" s="21">
        <f t="shared" si="477"/>
        <v>0</v>
      </c>
      <c r="AJ119" s="23">
        <f t="shared" si="495"/>
        <v>0</v>
      </c>
      <c r="AK119" s="22">
        <f t="shared" si="495"/>
        <v>0</v>
      </c>
      <c r="AL119" s="21">
        <f t="shared" si="478"/>
        <v>0</v>
      </c>
      <c r="AM119" s="23">
        <f t="shared" si="496"/>
        <v>0</v>
      </c>
      <c r="AN119" s="22">
        <f t="shared" si="496"/>
        <v>0</v>
      </c>
      <c r="AO119" s="21">
        <f t="shared" si="479"/>
        <v>0</v>
      </c>
      <c r="AP119" s="23">
        <f t="shared" si="497"/>
        <v>0</v>
      </c>
      <c r="AQ119" s="22">
        <f t="shared" si="497"/>
        <v>0</v>
      </c>
      <c r="AR119" s="21">
        <f t="shared" si="480"/>
        <v>0</v>
      </c>
      <c r="AS119" s="23">
        <f t="shared" si="498"/>
        <v>0</v>
      </c>
      <c r="AT119" s="22">
        <f t="shared" si="498"/>
        <v>0</v>
      </c>
      <c r="AU119" s="21">
        <f t="shared" si="481"/>
        <v>0</v>
      </c>
      <c r="AV119" s="23">
        <f t="shared" si="499"/>
        <v>0</v>
      </c>
      <c r="AW119" s="22">
        <f t="shared" si="499"/>
        <v>0</v>
      </c>
      <c r="AX119" s="21">
        <f t="shared" si="482"/>
        <v>0</v>
      </c>
      <c r="AY119" s="23">
        <f t="shared" si="500"/>
        <v>0</v>
      </c>
      <c r="AZ119" s="22">
        <f t="shared" si="500"/>
        <v>0</v>
      </c>
      <c r="BA119" s="21">
        <f t="shared" si="483"/>
        <v>0</v>
      </c>
      <c r="BB119" s="23">
        <f t="shared" si="501"/>
        <v>0</v>
      </c>
      <c r="BC119" s="22">
        <f t="shared" si="501"/>
        <v>0</v>
      </c>
      <c r="BD119" s="21">
        <f t="shared" si="484"/>
        <v>0</v>
      </c>
      <c r="BE119" s="23">
        <f t="shared" si="502"/>
        <v>0</v>
      </c>
      <c r="BF119" s="23">
        <f t="shared" si="502"/>
        <v>0</v>
      </c>
      <c r="BG119" s="23">
        <f t="shared" ref="BG119" si="511">IF(BG27=0,0,BG100/BG27)</f>
        <v>0</v>
      </c>
    </row>
    <row r="120" spans="1:59" ht="14.25" hidden="1" outlineLevel="1" thickBot="1" x14ac:dyDescent="0.3">
      <c r="A120" s="62"/>
      <c r="B120" s="83" t="s">
        <v>31</v>
      </c>
      <c r="C120" s="25" t="s">
        <v>70</v>
      </c>
      <c r="D120" s="19">
        <f t="shared" si="485"/>
        <v>0</v>
      </c>
      <c r="E120" s="19">
        <f t="shared" si="485"/>
        <v>0</v>
      </c>
      <c r="F120" s="23">
        <f t="shared" si="485"/>
        <v>0</v>
      </c>
      <c r="G120" s="22">
        <f t="shared" si="485"/>
        <v>0</v>
      </c>
      <c r="H120" s="21">
        <f t="shared" si="468"/>
        <v>0</v>
      </c>
      <c r="I120" s="23">
        <f t="shared" si="486"/>
        <v>0</v>
      </c>
      <c r="J120" s="22">
        <f t="shared" si="486"/>
        <v>0</v>
      </c>
      <c r="K120" s="21">
        <f t="shared" si="469"/>
        <v>0</v>
      </c>
      <c r="L120" s="23">
        <f t="shared" si="487"/>
        <v>0</v>
      </c>
      <c r="M120" s="22">
        <f t="shared" si="487"/>
        <v>0</v>
      </c>
      <c r="N120" s="21">
        <f t="shared" si="470"/>
        <v>0</v>
      </c>
      <c r="O120" s="23">
        <f t="shared" si="488"/>
        <v>0</v>
      </c>
      <c r="P120" s="22">
        <f t="shared" si="488"/>
        <v>0</v>
      </c>
      <c r="Q120" s="21">
        <f t="shared" si="471"/>
        <v>0</v>
      </c>
      <c r="R120" s="23">
        <f t="shared" si="489"/>
        <v>0</v>
      </c>
      <c r="S120" s="22">
        <f t="shared" si="489"/>
        <v>0</v>
      </c>
      <c r="T120" s="21">
        <f t="shared" si="472"/>
        <v>0</v>
      </c>
      <c r="U120" s="23">
        <f t="shared" si="490"/>
        <v>0</v>
      </c>
      <c r="V120" s="22">
        <f t="shared" si="490"/>
        <v>0</v>
      </c>
      <c r="W120" s="21">
        <f t="shared" si="473"/>
        <v>0</v>
      </c>
      <c r="X120" s="23">
        <f t="shared" si="491"/>
        <v>0</v>
      </c>
      <c r="Y120" s="22">
        <f t="shared" si="491"/>
        <v>0</v>
      </c>
      <c r="Z120" s="21">
        <f t="shared" si="474"/>
        <v>0</v>
      </c>
      <c r="AA120" s="23">
        <f t="shared" si="492"/>
        <v>0</v>
      </c>
      <c r="AB120" s="22">
        <f t="shared" si="492"/>
        <v>0</v>
      </c>
      <c r="AC120" s="21">
        <f t="shared" si="475"/>
        <v>0</v>
      </c>
      <c r="AD120" s="23">
        <f t="shared" si="493"/>
        <v>0</v>
      </c>
      <c r="AE120" s="22">
        <f t="shared" si="493"/>
        <v>0</v>
      </c>
      <c r="AF120" s="21">
        <f t="shared" si="476"/>
        <v>0</v>
      </c>
      <c r="AG120" s="23">
        <f t="shared" si="494"/>
        <v>0</v>
      </c>
      <c r="AH120" s="22">
        <f t="shared" si="494"/>
        <v>0</v>
      </c>
      <c r="AI120" s="21">
        <f t="shared" si="477"/>
        <v>0</v>
      </c>
      <c r="AJ120" s="23">
        <f t="shared" si="495"/>
        <v>0</v>
      </c>
      <c r="AK120" s="22">
        <f t="shared" si="495"/>
        <v>0</v>
      </c>
      <c r="AL120" s="21">
        <f t="shared" si="478"/>
        <v>0</v>
      </c>
      <c r="AM120" s="23">
        <f t="shared" si="496"/>
        <v>0</v>
      </c>
      <c r="AN120" s="22">
        <f t="shared" si="496"/>
        <v>0</v>
      </c>
      <c r="AO120" s="21">
        <f t="shared" si="479"/>
        <v>0</v>
      </c>
      <c r="AP120" s="23">
        <f t="shared" si="497"/>
        <v>0</v>
      </c>
      <c r="AQ120" s="22">
        <f t="shared" si="497"/>
        <v>0</v>
      </c>
      <c r="AR120" s="21">
        <f t="shared" si="480"/>
        <v>0</v>
      </c>
      <c r="AS120" s="23">
        <f t="shared" si="498"/>
        <v>0</v>
      </c>
      <c r="AT120" s="22">
        <f t="shared" si="498"/>
        <v>0</v>
      </c>
      <c r="AU120" s="21">
        <f t="shared" si="481"/>
        <v>0</v>
      </c>
      <c r="AV120" s="23">
        <f t="shared" si="499"/>
        <v>0</v>
      </c>
      <c r="AW120" s="22">
        <f t="shared" si="499"/>
        <v>0</v>
      </c>
      <c r="AX120" s="21">
        <f t="shared" si="482"/>
        <v>0</v>
      </c>
      <c r="AY120" s="23">
        <f t="shared" si="500"/>
        <v>0</v>
      </c>
      <c r="AZ120" s="22">
        <f t="shared" si="500"/>
        <v>0</v>
      </c>
      <c r="BA120" s="21">
        <f t="shared" si="483"/>
        <v>0</v>
      </c>
      <c r="BB120" s="23">
        <f t="shared" si="501"/>
        <v>0</v>
      </c>
      <c r="BC120" s="22">
        <f t="shared" si="501"/>
        <v>0</v>
      </c>
      <c r="BD120" s="21">
        <f t="shared" si="484"/>
        <v>0</v>
      </c>
      <c r="BE120" s="23">
        <f t="shared" si="502"/>
        <v>0</v>
      </c>
      <c r="BF120" s="23">
        <f t="shared" si="502"/>
        <v>0</v>
      </c>
      <c r="BG120" s="23">
        <f t="shared" ref="BG120" si="512">IF(BG28=0,0,BG101/BG28)</f>
        <v>0</v>
      </c>
    </row>
    <row r="121" spans="1:59" s="124" customFormat="1" ht="15.75" collapsed="1" thickBot="1" x14ac:dyDescent="0.3">
      <c r="A121" s="66" t="s">
        <v>88</v>
      </c>
      <c r="B121" s="52" t="s">
        <v>89</v>
      </c>
      <c r="C121" s="116" t="s">
        <v>70</v>
      </c>
      <c r="D121" s="72">
        <f t="shared" ref="D121:G125" si="513">D$126+D127</f>
        <v>0</v>
      </c>
      <c r="E121" s="72">
        <f t="shared" si="513"/>
        <v>0</v>
      </c>
      <c r="F121" s="71">
        <f t="shared" si="513"/>
        <v>0</v>
      </c>
      <c r="G121" s="93">
        <f t="shared" si="513"/>
        <v>0</v>
      </c>
      <c r="H121" s="101">
        <f t="shared" si="468"/>
        <v>0</v>
      </c>
      <c r="I121" s="71">
        <f t="shared" ref="I121:J125" si="514">I$126+I127</f>
        <v>0</v>
      </c>
      <c r="J121" s="93">
        <f t="shared" si="514"/>
        <v>0</v>
      </c>
      <c r="K121" s="101">
        <f t="shared" si="469"/>
        <v>0</v>
      </c>
      <c r="L121" s="71">
        <f t="shared" ref="L121:M125" si="515">L$126+L127</f>
        <v>0</v>
      </c>
      <c r="M121" s="93">
        <f t="shared" si="515"/>
        <v>0</v>
      </c>
      <c r="N121" s="101">
        <f t="shared" si="470"/>
        <v>0</v>
      </c>
      <c r="O121" s="71">
        <f t="shared" ref="O121:P125" si="516">O$126+O127</f>
        <v>0</v>
      </c>
      <c r="P121" s="93">
        <f t="shared" si="516"/>
        <v>0</v>
      </c>
      <c r="Q121" s="101">
        <f t="shared" si="471"/>
        <v>0</v>
      </c>
      <c r="R121" s="71">
        <f t="shared" ref="R121:S125" si="517">R$126+R127</f>
        <v>0</v>
      </c>
      <c r="S121" s="93">
        <f t="shared" si="517"/>
        <v>0</v>
      </c>
      <c r="T121" s="101">
        <f t="shared" si="472"/>
        <v>0</v>
      </c>
      <c r="U121" s="71">
        <f t="shared" ref="U121:V125" si="518">U$126+U127</f>
        <v>0</v>
      </c>
      <c r="V121" s="93">
        <f t="shared" si="518"/>
        <v>0</v>
      </c>
      <c r="W121" s="101">
        <f t="shared" si="473"/>
        <v>0</v>
      </c>
      <c r="X121" s="71">
        <f t="shared" ref="X121:Y125" si="519">X$126+X127</f>
        <v>0</v>
      </c>
      <c r="Y121" s="93">
        <f t="shared" si="519"/>
        <v>0</v>
      </c>
      <c r="Z121" s="101">
        <f t="shared" si="474"/>
        <v>0</v>
      </c>
      <c r="AA121" s="71">
        <f t="shared" ref="AA121:AB125" si="520">AA$126+AA127</f>
        <v>0</v>
      </c>
      <c r="AB121" s="93">
        <f t="shared" si="520"/>
        <v>0</v>
      </c>
      <c r="AC121" s="101">
        <f t="shared" si="475"/>
        <v>0</v>
      </c>
      <c r="AD121" s="71">
        <f t="shared" ref="AD121:AE125" si="521">AD$126+AD127</f>
        <v>0</v>
      </c>
      <c r="AE121" s="93">
        <f t="shared" si="521"/>
        <v>0</v>
      </c>
      <c r="AF121" s="101">
        <f t="shared" si="476"/>
        <v>0</v>
      </c>
      <c r="AG121" s="71">
        <f t="shared" ref="AG121:AH125" si="522">AG$126+AG127</f>
        <v>0</v>
      </c>
      <c r="AH121" s="93">
        <f t="shared" si="522"/>
        <v>0</v>
      </c>
      <c r="AI121" s="101">
        <f t="shared" si="477"/>
        <v>0</v>
      </c>
      <c r="AJ121" s="71">
        <f t="shared" ref="AJ121:AK125" si="523">AJ$126+AJ127</f>
        <v>0</v>
      </c>
      <c r="AK121" s="93">
        <f t="shared" si="523"/>
        <v>0</v>
      </c>
      <c r="AL121" s="101">
        <f t="shared" si="478"/>
        <v>0</v>
      </c>
      <c r="AM121" s="71">
        <f t="shared" ref="AM121:AN125" si="524">AM$126+AM127</f>
        <v>0</v>
      </c>
      <c r="AN121" s="93">
        <f t="shared" si="524"/>
        <v>0</v>
      </c>
      <c r="AO121" s="101">
        <f t="shared" si="479"/>
        <v>0</v>
      </c>
      <c r="AP121" s="71">
        <f t="shared" ref="AP121:AQ125" si="525">AP$126+AP127</f>
        <v>0</v>
      </c>
      <c r="AQ121" s="93">
        <f t="shared" si="525"/>
        <v>0</v>
      </c>
      <c r="AR121" s="101">
        <f t="shared" si="480"/>
        <v>0</v>
      </c>
      <c r="AS121" s="71">
        <f t="shared" ref="AS121:AT125" si="526">AS$126+AS127</f>
        <v>0</v>
      </c>
      <c r="AT121" s="93">
        <f t="shared" si="526"/>
        <v>0</v>
      </c>
      <c r="AU121" s="101">
        <f t="shared" si="481"/>
        <v>0</v>
      </c>
      <c r="AV121" s="71">
        <f t="shared" ref="AV121:AW125" si="527">AV$126+AV127</f>
        <v>0</v>
      </c>
      <c r="AW121" s="93">
        <f t="shared" si="527"/>
        <v>0</v>
      </c>
      <c r="AX121" s="101">
        <f t="shared" si="482"/>
        <v>0</v>
      </c>
      <c r="AY121" s="71">
        <f t="shared" ref="AY121:AZ125" si="528">AY$126+AY127</f>
        <v>0</v>
      </c>
      <c r="AZ121" s="93">
        <f t="shared" si="528"/>
        <v>0</v>
      </c>
      <c r="BA121" s="101">
        <f t="shared" si="483"/>
        <v>0</v>
      </c>
      <c r="BB121" s="71">
        <f t="shared" ref="BB121:BC125" si="529">BB$126+BB127</f>
        <v>0</v>
      </c>
      <c r="BC121" s="93">
        <f t="shared" si="529"/>
        <v>0</v>
      </c>
      <c r="BD121" s="101">
        <f t="shared" si="484"/>
        <v>0</v>
      </c>
      <c r="BE121" s="71">
        <f t="shared" ref="BE121:BG125" si="530">BE$126+BE127</f>
        <v>0</v>
      </c>
      <c r="BF121" s="71">
        <f t="shared" si="530"/>
        <v>0</v>
      </c>
      <c r="BG121" s="71">
        <f t="shared" si="530"/>
        <v>0</v>
      </c>
    </row>
    <row r="122" spans="1:59" s="127" customFormat="1" ht="13.5" hidden="1" outlineLevel="1" x14ac:dyDescent="0.25">
      <c r="A122" s="27"/>
      <c r="B122" s="83" t="s">
        <v>28</v>
      </c>
      <c r="C122" s="25" t="s">
        <v>70</v>
      </c>
      <c r="D122" s="113">
        <f t="shared" si="513"/>
        <v>0</v>
      </c>
      <c r="E122" s="113">
        <f t="shared" si="513"/>
        <v>0</v>
      </c>
      <c r="F122" s="109">
        <f t="shared" si="513"/>
        <v>0</v>
      </c>
      <c r="G122" s="111">
        <f t="shared" si="513"/>
        <v>0</v>
      </c>
      <c r="H122" s="110">
        <f t="shared" si="468"/>
        <v>0</v>
      </c>
      <c r="I122" s="109">
        <f t="shared" si="514"/>
        <v>0</v>
      </c>
      <c r="J122" s="111">
        <f t="shared" si="514"/>
        <v>0</v>
      </c>
      <c r="K122" s="110">
        <f t="shared" si="469"/>
        <v>0</v>
      </c>
      <c r="L122" s="109">
        <f t="shared" si="515"/>
        <v>0</v>
      </c>
      <c r="M122" s="111">
        <f t="shared" si="515"/>
        <v>0</v>
      </c>
      <c r="N122" s="110">
        <f t="shared" si="470"/>
        <v>0</v>
      </c>
      <c r="O122" s="109">
        <f t="shared" si="516"/>
        <v>0</v>
      </c>
      <c r="P122" s="111">
        <f t="shared" si="516"/>
        <v>0</v>
      </c>
      <c r="Q122" s="110">
        <f t="shared" si="471"/>
        <v>0</v>
      </c>
      <c r="R122" s="109">
        <f t="shared" si="517"/>
        <v>0</v>
      </c>
      <c r="S122" s="111">
        <f t="shared" si="517"/>
        <v>0</v>
      </c>
      <c r="T122" s="110">
        <f t="shared" si="472"/>
        <v>0</v>
      </c>
      <c r="U122" s="109">
        <f t="shared" si="518"/>
        <v>0</v>
      </c>
      <c r="V122" s="111">
        <f t="shared" si="518"/>
        <v>0</v>
      </c>
      <c r="W122" s="110">
        <f t="shared" si="473"/>
        <v>0</v>
      </c>
      <c r="X122" s="109">
        <f t="shared" si="519"/>
        <v>0</v>
      </c>
      <c r="Y122" s="111">
        <f t="shared" si="519"/>
        <v>0</v>
      </c>
      <c r="Z122" s="110">
        <f t="shared" si="474"/>
        <v>0</v>
      </c>
      <c r="AA122" s="109">
        <f t="shared" si="520"/>
        <v>0</v>
      </c>
      <c r="AB122" s="111">
        <f t="shared" si="520"/>
        <v>0</v>
      </c>
      <c r="AC122" s="110">
        <f t="shared" si="475"/>
        <v>0</v>
      </c>
      <c r="AD122" s="109">
        <f t="shared" si="521"/>
        <v>0</v>
      </c>
      <c r="AE122" s="111">
        <f t="shared" si="521"/>
        <v>0</v>
      </c>
      <c r="AF122" s="110">
        <f t="shared" si="476"/>
        <v>0</v>
      </c>
      <c r="AG122" s="109">
        <f t="shared" si="522"/>
        <v>0</v>
      </c>
      <c r="AH122" s="111">
        <f t="shared" si="522"/>
        <v>0</v>
      </c>
      <c r="AI122" s="110">
        <f t="shared" si="477"/>
        <v>0</v>
      </c>
      <c r="AJ122" s="109">
        <f t="shared" si="523"/>
        <v>0</v>
      </c>
      <c r="AK122" s="111">
        <f t="shared" si="523"/>
        <v>0</v>
      </c>
      <c r="AL122" s="110">
        <f t="shared" si="478"/>
        <v>0</v>
      </c>
      <c r="AM122" s="109">
        <f t="shared" si="524"/>
        <v>0</v>
      </c>
      <c r="AN122" s="111">
        <f t="shared" si="524"/>
        <v>0</v>
      </c>
      <c r="AO122" s="110">
        <f t="shared" si="479"/>
        <v>0</v>
      </c>
      <c r="AP122" s="109">
        <f t="shared" si="525"/>
        <v>0</v>
      </c>
      <c r="AQ122" s="111">
        <f t="shared" si="525"/>
        <v>0</v>
      </c>
      <c r="AR122" s="110">
        <f t="shared" si="480"/>
        <v>0</v>
      </c>
      <c r="AS122" s="109">
        <f t="shared" si="526"/>
        <v>0</v>
      </c>
      <c r="AT122" s="111">
        <f t="shared" si="526"/>
        <v>0</v>
      </c>
      <c r="AU122" s="110">
        <f t="shared" si="481"/>
        <v>0</v>
      </c>
      <c r="AV122" s="109">
        <f t="shared" si="527"/>
        <v>0</v>
      </c>
      <c r="AW122" s="111">
        <f t="shared" si="527"/>
        <v>0</v>
      </c>
      <c r="AX122" s="110">
        <f t="shared" si="482"/>
        <v>0</v>
      </c>
      <c r="AY122" s="109">
        <f t="shared" si="528"/>
        <v>0</v>
      </c>
      <c r="AZ122" s="111">
        <f t="shared" si="528"/>
        <v>0</v>
      </c>
      <c r="BA122" s="110">
        <f t="shared" si="483"/>
        <v>0</v>
      </c>
      <c r="BB122" s="109">
        <f t="shared" si="529"/>
        <v>0</v>
      </c>
      <c r="BC122" s="111">
        <f t="shared" si="529"/>
        <v>0</v>
      </c>
      <c r="BD122" s="110">
        <f t="shared" si="484"/>
        <v>0</v>
      </c>
      <c r="BE122" s="109">
        <f t="shared" si="530"/>
        <v>0</v>
      </c>
      <c r="BF122" s="109">
        <f t="shared" si="530"/>
        <v>0</v>
      </c>
      <c r="BG122" s="109">
        <f t="shared" si="530"/>
        <v>0</v>
      </c>
    </row>
    <row r="123" spans="1:59" ht="13.5" hidden="1" outlineLevel="1" x14ac:dyDescent="0.25">
      <c r="A123" s="62"/>
      <c r="B123" s="83" t="s">
        <v>29</v>
      </c>
      <c r="C123" s="25" t="s">
        <v>70</v>
      </c>
      <c r="D123" s="113">
        <f t="shared" si="513"/>
        <v>0</v>
      </c>
      <c r="E123" s="113">
        <f t="shared" si="513"/>
        <v>0</v>
      </c>
      <c r="F123" s="109">
        <f t="shared" si="513"/>
        <v>0</v>
      </c>
      <c r="G123" s="111">
        <f t="shared" si="513"/>
        <v>0</v>
      </c>
      <c r="H123" s="110">
        <f t="shared" si="468"/>
        <v>0</v>
      </c>
      <c r="I123" s="109">
        <f t="shared" si="514"/>
        <v>0</v>
      </c>
      <c r="J123" s="111">
        <f t="shared" si="514"/>
        <v>0</v>
      </c>
      <c r="K123" s="110">
        <f t="shared" si="469"/>
        <v>0</v>
      </c>
      <c r="L123" s="109">
        <f t="shared" si="515"/>
        <v>0</v>
      </c>
      <c r="M123" s="111">
        <f t="shared" si="515"/>
        <v>0</v>
      </c>
      <c r="N123" s="110">
        <f t="shared" si="470"/>
        <v>0</v>
      </c>
      <c r="O123" s="109">
        <f t="shared" si="516"/>
        <v>0</v>
      </c>
      <c r="P123" s="111">
        <f t="shared" si="516"/>
        <v>0</v>
      </c>
      <c r="Q123" s="110">
        <f t="shared" si="471"/>
        <v>0</v>
      </c>
      <c r="R123" s="109">
        <f t="shared" si="517"/>
        <v>0</v>
      </c>
      <c r="S123" s="111">
        <f t="shared" si="517"/>
        <v>0</v>
      </c>
      <c r="T123" s="110">
        <f t="shared" si="472"/>
        <v>0</v>
      </c>
      <c r="U123" s="109">
        <f t="shared" si="518"/>
        <v>0</v>
      </c>
      <c r="V123" s="111">
        <f t="shared" si="518"/>
        <v>0</v>
      </c>
      <c r="W123" s="110">
        <f t="shared" si="473"/>
        <v>0</v>
      </c>
      <c r="X123" s="109">
        <f t="shared" si="519"/>
        <v>0</v>
      </c>
      <c r="Y123" s="111">
        <f t="shared" si="519"/>
        <v>0</v>
      </c>
      <c r="Z123" s="110">
        <f t="shared" si="474"/>
        <v>0</v>
      </c>
      <c r="AA123" s="109">
        <f t="shared" si="520"/>
        <v>0</v>
      </c>
      <c r="AB123" s="111">
        <f t="shared" si="520"/>
        <v>0</v>
      </c>
      <c r="AC123" s="110">
        <f t="shared" si="475"/>
        <v>0</v>
      </c>
      <c r="AD123" s="109">
        <f t="shared" si="521"/>
        <v>0</v>
      </c>
      <c r="AE123" s="111">
        <f t="shared" si="521"/>
        <v>0</v>
      </c>
      <c r="AF123" s="110">
        <f t="shared" si="476"/>
        <v>0</v>
      </c>
      <c r="AG123" s="109">
        <f t="shared" si="522"/>
        <v>0</v>
      </c>
      <c r="AH123" s="111">
        <f t="shared" si="522"/>
        <v>0</v>
      </c>
      <c r="AI123" s="110">
        <f t="shared" si="477"/>
        <v>0</v>
      </c>
      <c r="AJ123" s="109">
        <f t="shared" si="523"/>
        <v>0</v>
      </c>
      <c r="AK123" s="111">
        <f t="shared" si="523"/>
        <v>0</v>
      </c>
      <c r="AL123" s="110">
        <f t="shared" si="478"/>
        <v>0</v>
      </c>
      <c r="AM123" s="109">
        <f t="shared" si="524"/>
        <v>0</v>
      </c>
      <c r="AN123" s="111">
        <f t="shared" si="524"/>
        <v>0</v>
      </c>
      <c r="AO123" s="110">
        <f t="shared" si="479"/>
        <v>0</v>
      </c>
      <c r="AP123" s="109">
        <f t="shared" si="525"/>
        <v>0</v>
      </c>
      <c r="AQ123" s="111">
        <f t="shared" si="525"/>
        <v>0</v>
      </c>
      <c r="AR123" s="110">
        <f t="shared" si="480"/>
        <v>0</v>
      </c>
      <c r="AS123" s="109">
        <f t="shared" si="526"/>
        <v>0</v>
      </c>
      <c r="AT123" s="111">
        <f t="shared" si="526"/>
        <v>0</v>
      </c>
      <c r="AU123" s="110">
        <f t="shared" si="481"/>
        <v>0</v>
      </c>
      <c r="AV123" s="109">
        <f t="shared" si="527"/>
        <v>0</v>
      </c>
      <c r="AW123" s="111">
        <f t="shared" si="527"/>
        <v>0</v>
      </c>
      <c r="AX123" s="110">
        <f t="shared" si="482"/>
        <v>0</v>
      </c>
      <c r="AY123" s="109">
        <f t="shared" si="528"/>
        <v>0</v>
      </c>
      <c r="AZ123" s="111">
        <f t="shared" si="528"/>
        <v>0</v>
      </c>
      <c r="BA123" s="110">
        <f t="shared" si="483"/>
        <v>0</v>
      </c>
      <c r="BB123" s="109">
        <f t="shared" si="529"/>
        <v>0</v>
      </c>
      <c r="BC123" s="111">
        <f t="shared" si="529"/>
        <v>0</v>
      </c>
      <c r="BD123" s="110">
        <f t="shared" si="484"/>
        <v>0</v>
      </c>
      <c r="BE123" s="109">
        <f t="shared" si="530"/>
        <v>0</v>
      </c>
      <c r="BF123" s="109">
        <f t="shared" si="530"/>
        <v>0</v>
      </c>
      <c r="BG123" s="109">
        <f t="shared" si="530"/>
        <v>0</v>
      </c>
    </row>
    <row r="124" spans="1:59" ht="13.5" hidden="1" outlineLevel="1" x14ac:dyDescent="0.25">
      <c r="A124" s="62"/>
      <c r="B124" s="83" t="s">
        <v>30</v>
      </c>
      <c r="C124" s="25" t="s">
        <v>70</v>
      </c>
      <c r="D124" s="113">
        <f t="shared" si="513"/>
        <v>0</v>
      </c>
      <c r="E124" s="113">
        <f t="shared" si="513"/>
        <v>0</v>
      </c>
      <c r="F124" s="109">
        <f t="shared" si="513"/>
        <v>0</v>
      </c>
      <c r="G124" s="111">
        <f t="shared" si="513"/>
        <v>0</v>
      </c>
      <c r="H124" s="110">
        <f t="shared" si="468"/>
        <v>0</v>
      </c>
      <c r="I124" s="109">
        <f t="shared" si="514"/>
        <v>0</v>
      </c>
      <c r="J124" s="111">
        <f t="shared" si="514"/>
        <v>0</v>
      </c>
      <c r="K124" s="110">
        <f t="shared" si="469"/>
        <v>0</v>
      </c>
      <c r="L124" s="109">
        <f t="shared" si="515"/>
        <v>0</v>
      </c>
      <c r="M124" s="111">
        <f t="shared" si="515"/>
        <v>0</v>
      </c>
      <c r="N124" s="110">
        <f t="shared" si="470"/>
        <v>0</v>
      </c>
      <c r="O124" s="109">
        <f t="shared" si="516"/>
        <v>0</v>
      </c>
      <c r="P124" s="111">
        <f t="shared" si="516"/>
        <v>0</v>
      </c>
      <c r="Q124" s="110">
        <f t="shared" si="471"/>
        <v>0</v>
      </c>
      <c r="R124" s="109">
        <f t="shared" si="517"/>
        <v>0</v>
      </c>
      <c r="S124" s="111">
        <f t="shared" si="517"/>
        <v>0</v>
      </c>
      <c r="T124" s="110">
        <f t="shared" si="472"/>
        <v>0</v>
      </c>
      <c r="U124" s="109">
        <f t="shared" si="518"/>
        <v>0</v>
      </c>
      <c r="V124" s="111">
        <f t="shared" si="518"/>
        <v>0</v>
      </c>
      <c r="W124" s="110">
        <f t="shared" si="473"/>
        <v>0</v>
      </c>
      <c r="X124" s="109">
        <f t="shared" si="519"/>
        <v>0</v>
      </c>
      <c r="Y124" s="111">
        <f t="shared" si="519"/>
        <v>0</v>
      </c>
      <c r="Z124" s="110">
        <f t="shared" si="474"/>
        <v>0</v>
      </c>
      <c r="AA124" s="109">
        <f t="shared" si="520"/>
        <v>0</v>
      </c>
      <c r="AB124" s="111">
        <f t="shared" si="520"/>
        <v>0</v>
      </c>
      <c r="AC124" s="110">
        <f t="shared" si="475"/>
        <v>0</v>
      </c>
      <c r="AD124" s="109">
        <f t="shared" si="521"/>
        <v>0</v>
      </c>
      <c r="AE124" s="111">
        <f t="shared" si="521"/>
        <v>0</v>
      </c>
      <c r="AF124" s="110">
        <f t="shared" si="476"/>
        <v>0</v>
      </c>
      <c r="AG124" s="109">
        <f t="shared" si="522"/>
        <v>0</v>
      </c>
      <c r="AH124" s="111">
        <f t="shared" si="522"/>
        <v>0</v>
      </c>
      <c r="AI124" s="110">
        <f t="shared" si="477"/>
        <v>0</v>
      </c>
      <c r="AJ124" s="109">
        <f t="shared" si="523"/>
        <v>0</v>
      </c>
      <c r="AK124" s="111">
        <f t="shared" si="523"/>
        <v>0</v>
      </c>
      <c r="AL124" s="110">
        <f t="shared" si="478"/>
        <v>0</v>
      </c>
      <c r="AM124" s="109">
        <f t="shared" si="524"/>
        <v>0</v>
      </c>
      <c r="AN124" s="111">
        <f t="shared" si="524"/>
        <v>0</v>
      </c>
      <c r="AO124" s="110">
        <f t="shared" si="479"/>
        <v>0</v>
      </c>
      <c r="AP124" s="109">
        <f t="shared" si="525"/>
        <v>0</v>
      </c>
      <c r="AQ124" s="111">
        <f t="shared" si="525"/>
        <v>0</v>
      </c>
      <c r="AR124" s="110">
        <f t="shared" si="480"/>
        <v>0</v>
      </c>
      <c r="AS124" s="109">
        <f t="shared" si="526"/>
        <v>0</v>
      </c>
      <c r="AT124" s="111">
        <f t="shared" si="526"/>
        <v>0</v>
      </c>
      <c r="AU124" s="110">
        <f t="shared" si="481"/>
        <v>0</v>
      </c>
      <c r="AV124" s="109">
        <f t="shared" si="527"/>
        <v>0</v>
      </c>
      <c r="AW124" s="111">
        <f t="shared" si="527"/>
        <v>0</v>
      </c>
      <c r="AX124" s="110">
        <f t="shared" si="482"/>
        <v>0</v>
      </c>
      <c r="AY124" s="109">
        <f t="shared" si="528"/>
        <v>0</v>
      </c>
      <c r="AZ124" s="111">
        <f t="shared" si="528"/>
        <v>0</v>
      </c>
      <c r="BA124" s="110">
        <f t="shared" si="483"/>
        <v>0</v>
      </c>
      <c r="BB124" s="109">
        <f t="shared" si="529"/>
        <v>0</v>
      </c>
      <c r="BC124" s="111">
        <f t="shared" si="529"/>
        <v>0</v>
      </c>
      <c r="BD124" s="110">
        <f t="shared" si="484"/>
        <v>0</v>
      </c>
      <c r="BE124" s="109">
        <f t="shared" si="530"/>
        <v>0</v>
      </c>
      <c r="BF124" s="109">
        <f t="shared" si="530"/>
        <v>0</v>
      </c>
      <c r="BG124" s="109">
        <f t="shared" si="530"/>
        <v>0</v>
      </c>
    </row>
    <row r="125" spans="1:59" ht="14.25" hidden="1" outlineLevel="1" thickBot="1" x14ac:dyDescent="0.3">
      <c r="A125" s="62"/>
      <c r="B125" s="83" t="s">
        <v>31</v>
      </c>
      <c r="C125" s="25" t="s">
        <v>70</v>
      </c>
      <c r="D125" s="113">
        <f t="shared" si="513"/>
        <v>0</v>
      </c>
      <c r="E125" s="113">
        <f t="shared" si="513"/>
        <v>0</v>
      </c>
      <c r="F125" s="109">
        <f t="shared" si="513"/>
        <v>0</v>
      </c>
      <c r="G125" s="111">
        <f t="shared" si="513"/>
        <v>0</v>
      </c>
      <c r="H125" s="110">
        <f t="shared" si="468"/>
        <v>0</v>
      </c>
      <c r="I125" s="109">
        <f t="shared" si="514"/>
        <v>0</v>
      </c>
      <c r="J125" s="111">
        <f t="shared" si="514"/>
        <v>0</v>
      </c>
      <c r="K125" s="110">
        <f t="shared" si="469"/>
        <v>0</v>
      </c>
      <c r="L125" s="109">
        <f t="shared" si="515"/>
        <v>0</v>
      </c>
      <c r="M125" s="111">
        <f t="shared" si="515"/>
        <v>0</v>
      </c>
      <c r="N125" s="110">
        <f t="shared" si="470"/>
        <v>0</v>
      </c>
      <c r="O125" s="109">
        <f t="shared" si="516"/>
        <v>0</v>
      </c>
      <c r="P125" s="111">
        <f t="shared" si="516"/>
        <v>0</v>
      </c>
      <c r="Q125" s="110">
        <f t="shared" si="471"/>
        <v>0</v>
      </c>
      <c r="R125" s="109">
        <f t="shared" si="517"/>
        <v>0</v>
      </c>
      <c r="S125" s="111">
        <f t="shared" si="517"/>
        <v>0</v>
      </c>
      <c r="T125" s="110">
        <f t="shared" si="472"/>
        <v>0</v>
      </c>
      <c r="U125" s="109">
        <f t="shared" si="518"/>
        <v>0</v>
      </c>
      <c r="V125" s="111">
        <f t="shared" si="518"/>
        <v>0</v>
      </c>
      <c r="W125" s="110">
        <f t="shared" si="473"/>
        <v>0</v>
      </c>
      <c r="X125" s="109">
        <f t="shared" si="519"/>
        <v>0</v>
      </c>
      <c r="Y125" s="111">
        <f t="shared" si="519"/>
        <v>0</v>
      </c>
      <c r="Z125" s="110">
        <f t="shared" si="474"/>
        <v>0</v>
      </c>
      <c r="AA125" s="109">
        <f t="shared" si="520"/>
        <v>0</v>
      </c>
      <c r="AB125" s="111">
        <f t="shared" si="520"/>
        <v>0</v>
      </c>
      <c r="AC125" s="110">
        <f t="shared" si="475"/>
        <v>0</v>
      </c>
      <c r="AD125" s="109">
        <f t="shared" si="521"/>
        <v>0</v>
      </c>
      <c r="AE125" s="111">
        <f t="shared" si="521"/>
        <v>0</v>
      </c>
      <c r="AF125" s="110">
        <f t="shared" si="476"/>
        <v>0</v>
      </c>
      <c r="AG125" s="109">
        <f t="shared" si="522"/>
        <v>0</v>
      </c>
      <c r="AH125" s="111">
        <f t="shared" si="522"/>
        <v>0</v>
      </c>
      <c r="AI125" s="110">
        <f t="shared" si="477"/>
        <v>0</v>
      </c>
      <c r="AJ125" s="109">
        <f t="shared" si="523"/>
        <v>0</v>
      </c>
      <c r="AK125" s="111">
        <f t="shared" si="523"/>
        <v>0</v>
      </c>
      <c r="AL125" s="110">
        <f t="shared" si="478"/>
        <v>0</v>
      </c>
      <c r="AM125" s="109">
        <f t="shared" si="524"/>
        <v>0</v>
      </c>
      <c r="AN125" s="111">
        <f t="shared" si="524"/>
        <v>0</v>
      </c>
      <c r="AO125" s="110">
        <f t="shared" si="479"/>
        <v>0</v>
      </c>
      <c r="AP125" s="109">
        <f t="shared" si="525"/>
        <v>0</v>
      </c>
      <c r="AQ125" s="111">
        <f t="shared" si="525"/>
        <v>0</v>
      </c>
      <c r="AR125" s="110">
        <f t="shared" si="480"/>
        <v>0</v>
      </c>
      <c r="AS125" s="109">
        <f t="shared" si="526"/>
        <v>0</v>
      </c>
      <c r="AT125" s="111">
        <f t="shared" si="526"/>
        <v>0</v>
      </c>
      <c r="AU125" s="110">
        <f t="shared" si="481"/>
        <v>0</v>
      </c>
      <c r="AV125" s="109">
        <f t="shared" si="527"/>
        <v>0</v>
      </c>
      <c r="AW125" s="111">
        <f t="shared" si="527"/>
        <v>0</v>
      </c>
      <c r="AX125" s="110">
        <f t="shared" si="482"/>
        <v>0</v>
      </c>
      <c r="AY125" s="109">
        <f t="shared" si="528"/>
        <v>0</v>
      </c>
      <c r="AZ125" s="111">
        <f t="shared" si="528"/>
        <v>0</v>
      </c>
      <c r="BA125" s="110">
        <f t="shared" si="483"/>
        <v>0</v>
      </c>
      <c r="BB125" s="109">
        <f t="shared" si="529"/>
        <v>0</v>
      </c>
      <c r="BC125" s="111">
        <f t="shared" si="529"/>
        <v>0</v>
      </c>
      <c r="BD125" s="110">
        <f t="shared" si="484"/>
        <v>0</v>
      </c>
      <c r="BE125" s="109">
        <f t="shared" si="530"/>
        <v>0</v>
      </c>
      <c r="BF125" s="109">
        <f t="shared" si="530"/>
        <v>0</v>
      </c>
      <c r="BG125" s="109">
        <f t="shared" si="530"/>
        <v>0</v>
      </c>
    </row>
    <row r="126" spans="1:59" s="124" customFormat="1" ht="15.75" collapsed="1" thickBot="1" x14ac:dyDescent="0.3">
      <c r="A126" s="67" t="s">
        <v>90</v>
      </c>
      <c r="B126" s="68" t="s">
        <v>91</v>
      </c>
      <c r="C126" s="121" t="s">
        <v>70</v>
      </c>
      <c r="D126" s="74">
        <f>IF(D14=0,0,D80/D14)</f>
        <v>0</v>
      </c>
      <c r="E126" s="74">
        <f>IF(E14=0,0,E80/E14)</f>
        <v>0</v>
      </c>
      <c r="F126" s="73">
        <f>IF(F14=0,0,F80/F14)</f>
        <v>0</v>
      </c>
      <c r="G126" s="94">
        <f>IF(G14=0,0,G80/G14)</f>
        <v>0</v>
      </c>
      <c r="H126" s="102">
        <f t="shared" si="468"/>
        <v>0</v>
      </c>
      <c r="I126" s="73">
        <f>IF(I14=0,0,I80/I14)</f>
        <v>0</v>
      </c>
      <c r="J126" s="94">
        <f>IF(J14=0,0,J80/J14)</f>
        <v>0</v>
      </c>
      <c r="K126" s="102">
        <f t="shared" si="469"/>
        <v>0</v>
      </c>
      <c r="L126" s="73">
        <f>IF(L14=0,0,L80/L14)</f>
        <v>0</v>
      </c>
      <c r="M126" s="94">
        <f>IF(M14=0,0,M80/M14)</f>
        <v>0</v>
      </c>
      <c r="N126" s="102">
        <f t="shared" si="470"/>
        <v>0</v>
      </c>
      <c r="O126" s="73">
        <f>IF(O14=0,0,O80/O14)</f>
        <v>0</v>
      </c>
      <c r="P126" s="94">
        <f>IF(P14=0,0,P80/P14)</f>
        <v>0</v>
      </c>
      <c r="Q126" s="102">
        <f t="shared" si="471"/>
        <v>0</v>
      </c>
      <c r="R126" s="73">
        <f>IF(R14=0,0,R80/R14)</f>
        <v>0</v>
      </c>
      <c r="S126" s="94">
        <f>IF(S14=0,0,S80/S14)</f>
        <v>0</v>
      </c>
      <c r="T126" s="102">
        <f t="shared" si="472"/>
        <v>0</v>
      </c>
      <c r="U126" s="73">
        <f>IF(U14=0,0,U80/U14)</f>
        <v>0</v>
      </c>
      <c r="V126" s="94">
        <f>IF(V14=0,0,V80/V14)</f>
        <v>0</v>
      </c>
      <c r="W126" s="102">
        <f t="shared" si="473"/>
        <v>0</v>
      </c>
      <c r="X126" s="73">
        <f>IF(X14=0,0,X80/X14)</f>
        <v>0</v>
      </c>
      <c r="Y126" s="94">
        <f>IF(Y14=0,0,Y80/Y14)</f>
        <v>0</v>
      </c>
      <c r="Z126" s="102">
        <f t="shared" si="474"/>
        <v>0</v>
      </c>
      <c r="AA126" s="73">
        <f>IF(AA14=0,0,AA80/AA14)</f>
        <v>0</v>
      </c>
      <c r="AB126" s="94">
        <f>IF(AB14=0,0,AB80/AB14)</f>
        <v>0</v>
      </c>
      <c r="AC126" s="102">
        <f t="shared" si="475"/>
        <v>0</v>
      </c>
      <c r="AD126" s="73">
        <f>IF(AD14=0,0,AD80/AD14)</f>
        <v>0</v>
      </c>
      <c r="AE126" s="94">
        <f>IF(AE14=0,0,AE80/AE14)</f>
        <v>0</v>
      </c>
      <c r="AF126" s="102">
        <f t="shared" si="476"/>
        <v>0</v>
      </c>
      <c r="AG126" s="73">
        <f>IF(AG14=0,0,AG80/AG14)</f>
        <v>0</v>
      </c>
      <c r="AH126" s="94">
        <f>IF(AH14=0,0,AH80/AH14)</f>
        <v>0</v>
      </c>
      <c r="AI126" s="102">
        <f t="shared" si="477"/>
        <v>0</v>
      </c>
      <c r="AJ126" s="73">
        <f>IF(AJ14=0,0,AJ80/AJ14)</f>
        <v>0</v>
      </c>
      <c r="AK126" s="94">
        <f>IF(AK14=0,0,AK80/AK14)</f>
        <v>0</v>
      </c>
      <c r="AL126" s="102">
        <f t="shared" si="478"/>
        <v>0</v>
      </c>
      <c r="AM126" s="73">
        <f>IF(AM14=0,0,AM80/AM14)</f>
        <v>0</v>
      </c>
      <c r="AN126" s="94">
        <f>IF(AN14=0,0,AN80/AN14)</f>
        <v>0</v>
      </c>
      <c r="AO126" s="102">
        <f t="shared" si="479"/>
        <v>0</v>
      </c>
      <c r="AP126" s="73">
        <f>IF(AP14=0,0,AP80/AP14)</f>
        <v>0</v>
      </c>
      <c r="AQ126" s="94">
        <f>IF(AQ14=0,0,AQ80/AQ14)</f>
        <v>0</v>
      </c>
      <c r="AR126" s="102">
        <f t="shared" si="480"/>
        <v>0</v>
      </c>
      <c r="AS126" s="73">
        <f>IF(AS14=0,0,AS80/AS14)</f>
        <v>0</v>
      </c>
      <c r="AT126" s="94">
        <f>IF(AT14=0,0,AT80/AT14)</f>
        <v>0</v>
      </c>
      <c r="AU126" s="102">
        <f t="shared" si="481"/>
        <v>0</v>
      </c>
      <c r="AV126" s="73">
        <f>IF(AV14=0,0,AV80/AV14)</f>
        <v>0</v>
      </c>
      <c r="AW126" s="94">
        <f>IF(AW14=0,0,AW80/AW14)</f>
        <v>0</v>
      </c>
      <c r="AX126" s="102">
        <f t="shared" si="482"/>
        <v>0</v>
      </c>
      <c r="AY126" s="73">
        <f>IF(AY14=0,0,AY80/AY14)</f>
        <v>0</v>
      </c>
      <c r="AZ126" s="94">
        <f>IF(AZ14=0,0,AZ80/AZ14)</f>
        <v>0</v>
      </c>
      <c r="BA126" s="102">
        <f t="shared" si="483"/>
        <v>0</v>
      </c>
      <c r="BB126" s="73">
        <f>IF(BB14=0,0,BB80/BB14)</f>
        <v>0</v>
      </c>
      <c r="BC126" s="94">
        <f>IF(BC14=0,0,BC80/BC14)</f>
        <v>0</v>
      </c>
      <c r="BD126" s="102">
        <f t="shared" si="484"/>
        <v>0</v>
      </c>
      <c r="BE126" s="73">
        <f>IF(BE14=0,0,BE80/BE14)</f>
        <v>0</v>
      </c>
      <c r="BF126" s="73">
        <f>IF(BF14=0,0,BF80/BF14)</f>
        <v>0</v>
      </c>
      <c r="BG126" s="73">
        <f>IF(BG14=0,0,BG80/BG14)</f>
        <v>0</v>
      </c>
    </row>
    <row r="127" spans="1:59" s="124" customFormat="1" ht="15.75" thickBot="1" x14ac:dyDescent="0.3">
      <c r="A127" s="66" t="s">
        <v>92</v>
      </c>
      <c r="B127" s="52" t="s">
        <v>93</v>
      </c>
      <c r="C127" s="116" t="s">
        <v>70</v>
      </c>
      <c r="D127" s="72">
        <f t="shared" ref="D127:G131" si="531">IF(D14=0,0,D92/D14)</f>
        <v>0</v>
      </c>
      <c r="E127" s="72">
        <f t="shared" si="531"/>
        <v>0</v>
      </c>
      <c r="F127" s="71">
        <f t="shared" si="531"/>
        <v>0</v>
      </c>
      <c r="G127" s="93">
        <f t="shared" si="531"/>
        <v>0</v>
      </c>
      <c r="H127" s="101">
        <f t="shared" si="468"/>
        <v>0</v>
      </c>
      <c r="I127" s="71">
        <f t="shared" ref="I127:J131" si="532">IF(I14=0,0,I92/I14)</f>
        <v>0</v>
      </c>
      <c r="J127" s="93">
        <f t="shared" si="532"/>
        <v>0</v>
      </c>
      <c r="K127" s="101">
        <f t="shared" si="469"/>
        <v>0</v>
      </c>
      <c r="L127" s="71">
        <f t="shared" ref="L127:M131" si="533">IF(L14=0,0,L92/L14)</f>
        <v>0</v>
      </c>
      <c r="M127" s="93">
        <f t="shared" si="533"/>
        <v>0</v>
      </c>
      <c r="N127" s="101">
        <f t="shared" si="470"/>
        <v>0</v>
      </c>
      <c r="O127" s="71">
        <f t="shared" ref="O127:P131" si="534">IF(O14=0,0,O92/O14)</f>
        <v>0</v>
      </c>
      <c r="P127" s="93">
        <f t="shared" si="534"/>
        <v>0</v>
      </c>
      <c r="Q127" s="101">
        <f t="shared" si="471"/>
        <v>0</v>
      </c>
      <c r="R127" s="71">
        <f t="shared" ref="R127:S131" si="535">IF(R14=0,0,R92/R14)</f>
        <v>0</v>
      </c>
      <c r="S127" s="93">
        <f t="shared" si="535"/>
        <v>0</v>
      </c>
      <c r="T127" s="101">
        <f t="shared" si="472"/>
        <v>0</v>
      </c>
      <c r="U127" s="71">
        <f t="shared" ref="U127:V131" si="536">IF(U14=0,0,U92/U14)</f>
        <v>0</v>
      </c>
      <c r="V127" s="93">
        <f t="shared" si="536"/>
        <v>0</v>
      </c>
      <c r="W127" s="101">
        <f t="shared" si="473"/>
        <v>0</v>
      </c>
      <c r="X127" s="71">
        <f t="shared" ref="X127:Y131" si="537">IF(X14=0,0,X92/X14)</f>
        <v>0</v>
      </c>
      <c r="Y127" s="93">
        <f t="shared" si="537"/>
        <v>0</v>
      </c>
      <c r="Z127" s="101">
        <f t="shared" si="474"/>
        <v>0</v>
      </c>
      <c r="AA127" s="71">
        <f t="shared" ref="AA127:AB131" si="538">IF(AA14=0,0,AA92/AA14)</f>
        <v>0</v>
      </c>
      <c r="AB127" s="93">
        <f t="shared" si="538"/>
        <v>0</v>
      </c>
      <c r="AC127" s="101">
        <f t="shared" si="475"/>
        <v>0</v>
      </c>
      <c r="AD127" s="71">
        <f t="shared" ref="AD127:AE131" si="539">IF(AD14=0,0,AD92/AD14)</f>
        <v>0</v>
      </c>
      <c r="AE127" s="93">
        <f t="shared" si="539"/>
        <v>0</v>
      </c>
      <c r="AF127" s="101">
        <f t="shared" si="476"/>
        <v>0</v>
      </c>
      <c r="AG127" s="71">
        <f t="shared" ref="AG127:AH131" si="540">IF(AG14=0,0,AG92/AG14)</f>
        <v>0</v>
      </c>
      <c r="AH127" s="93">
        <f t="shared" si="540"/>
        <v>0</v>
      </c>
      <c r="AI127" s="101">
        <f t="shared" si="477"/>
        <v>0</v>
      </c>
      <c r="AJ127" s="71">
        <f t="shared" ref="AJ127:AK131" si="541">IF(AJ14=0,0,AJ92/AJ14)</f>
        <v>0</v>
      </c>
      <c r="AK127" s="93">
        <f t="shared" si="541"/>
        <v>0</v>
      </c>
      <c r="AL127" s="101">
        <f t="shared" si="478"/>
        <v>0</v>
      </c>
      <c r="AM127" s="71">
        <f t="shared" ref="AM127:AN131" si="542">IF(AM14=0,0,AM92/AM14)</f>
        <v>0</v>
      </c>
      <c r="AN127" s="93">
        <f t="shared" si="542"/>
        <v>0</v>
      </c>
      <c r="AO127" s="101">
        <f t="shared" si="479"/>
        <v>0</v>
      </c>
      <c r="AP127" s="71">
        <f t="shared" ref="AP127:AQ131" si="543">IF(AP14=0,0,AP92/AP14)</f>
        <v>0</v>
      </c>
      <c r="AQ127" s="93">
        <f t="shared" si="543"/>
        <v>0</v>
      </c>
      <c r="AR127" s="101">
        <f t="shared" si="480"/>
        <v>0</v>
      </c>
      <c r="AS127" s="71">
        <f t="shared" ref="AS127:AT131" si="544">IF(AS14=0,0,AS92/AS14)</f>
        <v>0</v>
      </c>
      <c r="AT127" s="93">
        <f t="shared" si="544"/>
        <v>0</v>
      </c>
      <c r="AU127" s="101">
        <f t="shared" si="481"/>
        <v>0</v>
      </c>
      <c r="AV127" s="71">
        <f t="shared" ref="AV127:AW131" si="545">IF(AV14=0,0,AV92/AV14)</f>
        <v>0</v>
      </c>
      <c r="AW127" s="93">
        <f t="shared" si="545"/>
        <v>0</v>
      </c>
      <c r="AX127" s="101">
        <f t="shared" si="482"/>
        <v>0</v>
      </c>
      <c r="AY127" s="71">
        <f t="shared" ref="AY127:AZ131" si="546">IF(AY14=0,0,AY92/AY14)</f>
        <v>0</v>
      </c>
      <c r="AZ127" s="93">
        <f t="shared" si="546"/>
        <v>0</v>
      </c>
      <c r="BA127" s="101">
        <f t="shared" si="483"/>
        <v>0</v>
      </c>
      <c r="BB127" s="71">
        <f t="shared" ref="BB127:BC131" si="547">IF(BB14=0,0,BB92/BB14)</f>
        <v>0</v>
      </c>
      <c r="BC127" s="93">
        <f t="shared" si="547"/>
        <v>0</v>
      </c>
      <c r="BD127" s="101">
        <f t="shared" si="484"/>
        <v>0</v>
      </c>
      <c r="BE127" s="71">
        <f t="shared" ref="BE127:BG131" si="548">IF(BE14=0,0,BE92/BE14)</f>
        <v>0</v>
      </c>
      <c r="BF127" s="71">
        <f t="shared" si="548"/>
        <v>0</v>
      </c>
      <c r="BG127" s="71">
        <f t="shared" si="548"/>
        <v>0</v>
      </c>
    </row>
    <row r="128" spans="1:59" s="127" customFormat="1" ht="13.5" hidden="1" outlineLevel="1" x14ac:dyDescent="0.25">
      <c r="A128" s="27"/>
      <c r="B128" s="83" t="s">
        <v>28</v>
      </c>
      <c r="C128" s="25" t="s">
        <v>70</v>
      </c>
      <c r="D128" s="113">
        <f t="shared" si="531"/>
        <v>0</v>
      </c>
      <c r="E128" s="113">
        <f t="shared" si="531"/>
        <v>0</v>
      </c>
      <c r="F128" s="109">
        <f t="shared" si="531"/>
        <v>0</v>
      </c>
      <c r="G128" s="111">
        <f t="shared" si="531"/>
        <v>0</v>
      </c>
      <c r="H128" s="110">
        <f t="shared" si="468"/>
        <v>0</v>
      </c>
      <c r="I128" s="109">
        <f t="shared" si="532"/>
        <v>0</v>
      </c>
      <c r="J128" s="111">
        <f t="shared" si="532"/>
        <v>0</v>
      </c>
      <c r="K128" s="110">
        <f t="shared" si="469"/>
        <v>0</v>
      </c>
      <c r="L128" s="109">
        <f t="shared" si="533"/>
        <v>0</v>
      </c>
      <c r="M128" s="111">
        <f t="shared" si="533"/>
        <v>0</v>
      </c>
      <c r="N128" s="110">
        <f t="shared" si="470"/>
        <v>0</v>
      </c>
      <c r="O128" s="109">
        <f t="shared" si="534"/>
        <v>0</v>
      </c>
      <c r="P128" s="111">
        <f t="shared" si="534"/>
        <v>0</v>
      </c>
      <c r="Q128" s="110">
        <f t="shared" si="471"/>
        <v>0</v>
      </c>
      <c r="R128" s="109">
        <f t="shared" si="535"/>
        <v>0</v>
      </c>
      <c r="S128" s="111">
        <f t="shared" si="535"/>
        <v>0</v>
      </c>
      <c r="T128" s="110">
        <f t="shared" si="472"/>
        <v>0</v>
      </c>
      <c r="U128" s="109">
        <f t="shared" si="536"/>
        <v>0</v>
      </c>
      <c r="V128" s="111">
        <f t="shared" si="536"/>
        <v>0</v>
      </c>
      <c r="W128" s="110">
        <f t="shared" si="473"/>
        <v>0</v>
      </c>
      <c r="X128" s="109">
        <f t="shared" si="537"/>
        <v>0</v>
      </c>
      <c r="Y128" s="111">
        <f t="shared" si="537"/>
        <v>0</v>
      </c>
      <c r="Z128" s="110">
        <f t="shared" si="474"/>
        <v>0</v>
      </c>
      <c r="AA128" s="109">
        <f t="shared" si="538"/>
        <v>0</v>
      </c>
      <c r="AB128" s="111">
        <f t="shared" si="538"/>
        <v>0</v>
      </c>
      <c r="AC128" s="110">
        <f t="shared" si="475"/>
        <v>0</v>
      </c>
      <c r="AD128" s="109">
        <f t="shared" si="539"/>
        <v>0</v>
      </c>
      <c r="AE128" s="111">
        <f t="shared" si="539"/>
        <v>0</v>
      </c>
      <c r="AF128" s="110">
        <f t="shared" si="476"/>
        <v>0</v>
      </c>
      <c r="AG128" s="109">
        <f t="shared" si="540"/>
        <v>0</v>
      </c>
      <c r="AH128" s="111">
        <f t="shared" si="540"/>
        <v>0</v>
      </c>
      <c r="AI128" s="110">
        <f t="shared" si="477"/>
        <v>0</v>
      </c>
      <c r="AJ128" s="109">
        <f t="shared" si="541"/>
        <v>0</v>
      </c>
      <c r="AK128" s="111">
        <f t="shared" si="541"/>
        <v>0</v>
      </c>
      <c r="AL128" s="110">
        <f t="shared" si="478"/>
        <v>0</v>
      </c>
      <c r="AM128" s="109">
        <f t="shared" si="542"/>
        <v>0</v>
      </c>
      <c r="AN128" s="111">
        <f t="shared" si="542"/>
        <v>0</v>
      </c>
      <c r="AO128" s="110">
        <f t="shared" si="479"/>
        <v>0</v>
      </c>
      <c r="AP128" s="109">
        <f t="shared" si="543"/>
        <v>0</v>
      </c>
      <c r="AQ128" s="111">
        <f t="shared" si="543"/>
        <v>0</v>
      </c>
      <c r="AR128" s="110">
        <f t="shared" si="480"/>
        <v>0</v>
      </c>
      <c r="AS128" s="109">
        <f t="shared" si="544"/>
        <v>0</v>
      </c>
      <c r="AT128" s="111">
        <f t="shared" si="544"/>
        <v>0</v>
      </c>
      <c r="AU128" s="110">
        <f t="shared" si="481"/>
        <v>0</v>
      </c>
      <c r="AV128" s="109">
        <f t="shared" si="545"/>
        <v>0</v>
      </c>
      <c r="AW128" s="111">
        <f t="shared" si="545"/>
        <v>0</v>
      </c>
      <c r="AX128" s="110">
        <f t="shared" si="482"/>
        <v>0</v>
      </c>
      <c r="AY128" s="109">
        <f t="shared" si="546"/>
        <v>0</v>
      </c>
      <c r="AZ128" s="111">
        <f t="shared" si="546"/>
        <v>0</v>
      </c>
      <c r="BA128" s="110">
        <f t="shared" si="483"/>
        <v>0</v>
      </c>
      <c r="BB128" s="109">
        <f t="shared" si="547"/>
        <v>0</v>
      </c>
      <c r="BC128" s="111">
        <f t="shared" si="547"/>
        <v>0</v>
      </c>
      <c r="BD128" s="110">
        <f t="shared" si="484"/>
        <v>0</v>
      </c>
      <c r="BE128" s="109">
        <f t="shared" si="548"/>
        <v>0</v>
      </c>
      <c r="BF128" s="109">
        <f t="shared" si="548"/>
        <v>0</v>
      </c>
      <c r="BG128" s="109">
        <f t="shared" si="548"/>
        <v>0</v>
      </c>
    </row>
    <row r="129" spans="1:59" ht="13.5" hidden="1" outlineLevel="1" x14ac:dyDescent="0.25">
      <c r="A129" s="62"/>
      <c r="B129" s="83" t="s">
        <v>29</v>
      </c>
      <c r="C129" s="25" t="s">
        <v>70</v>
      </c>
      <c r="D129" s="113">
        <f t="shared" si="531"/>
        <v>0</v>
      </c>
      <c r="E129" s="113">
        <f t="shared" si="531"/>
        <v>0</v>
      </c>
      <c r="F129" s="109">
        <f t="shared" si="531"/>
        <v>0</v>
      </c>
      <c r="G129" s="111">
        <f t="shared" si="531"/>
        <v>0</v>
      </c>
      <c r="H129" s="110">
        <f t="shared" si="468"/>
        <v>0</v>
      </c>
      <c r="I129" s="109">
        <f t="shared" si="532"/>
        <v>0</v>
      </c>
      <c r="J129" s="111">
        <f t="shared" si="532"/>
        <v>0</v>
      </c>
      <c r="K129" s="110">
        <f t="shared" si="469"/>
        <v>0</v>
      </c>
      <c r="L129" s="109">
        <f t="shared" si="533"/>
        <v>0</v>
      </c>
      <c r="M129" s="111">
        <f t="shared" si="533"/>
        <v>0</v>
      </c>
      <c r="N129" s="110">
        <f t="shared" si="470"/>
        <v>0</v>
      </c>
      <c r="O129" s="109">
        <f t="shared" si="534"/>
        <v>0</v>
      </c>
      <c r="P129" s="111">
        <f t="shared" si="534"/>
        <v>0</v>
      </c>
      <c r="Q129" s="110">
        <f t="shared" si="471"/>
        <v>0</v>
      </c>
      <c r="R129" s="109">
        <f t="shared" si="535"/>
        <v>0</v>
      </c>
      <c r="S129" s="111">
        <f t="shared" si="535"/>
        <v>0</v>
      </c>
      <c r="T129" s="110">
        <f t="shared" si="472"/>
        <v>0</v>
      </c>
      <c r="U129" s="109">
        <f t="shared" si="536"/>
        <v>0</v>
      </c>
      <c r="V129" s="111">
        <f t="shared" si="536"/>
        <v>0</v>
      </c>
      <c r="W129" s="110">
        <f t="shared" si="473"/>
        <v>0</v>
      </c>
      <c r="X129" s="109">
        <f t="shared" si="537"/>
        <v>0</v>
      </c>
      <c r="Y129" s="111">
        <f t="shared" si="537"/>
        <v>0</v>
      </c>
      <c r="Z129" s="110">
        <f t="shared" si="474"/>
        <v>0</v>
      </c>
      <c r="AA129" s="109">
        <f t="shared" si="538"/>
        <v>0</v>
      </c>
      <c r="AB129" s="111">
        <f t="shared" si="538"/>
        <v>0</v>
      </c>
      <c r="AC129" s="110">
        <f t="shared" si="475"/>
        <v>0</v>
      </c>
      <c r="AD129" s="109">
        <f t="shared" si="539"/>
        <v>0</v>
      </c>
      <c r="AE129" s="111">
        <f t="shared" si="539"/>
        <v>0</v>
      </c>
      <c r="AF129" s="110">
        <f t="shared" si="476"/>
        <v>0</v>
      </c>
      <c r="AG129" s="109">
        <f t="shared" si="540"/>
        <v>0</v>
      </c>
      <c r="AH129" s="111">
        <f t="shared" si="540"/>
        <v>0</v>
      </c>
      <c r="AI129" s="110">
        <f t="shared" si="477"/>
        <v>0</v>
      </c>
      <c r="AJ129" s="109">
        <f t="shared" si="541"/>
        <v>0</v>
      </c>
      <c r="AK129" s="111">
        <f t="shared" si="541"/>
        <v>0</v>
      </c>
      <c r="AL129" s="110">
        <f t="shared" si="478"/>
        <v>0</v>
      </c>
      <c r="AM129" s="109">
        <f t="shared" si="542"/>
        <v>0</v>
      </c>
      <c r="AN129" s="111">
        <f t="shared" si="542"/>
        <v>0</v>
      </c>
      <c r="AO129" s="110">
        <f t="shared" si="479"/>
        <v>0</v>
      </c>
      <c r="AP129" s="109">
        <f t="shared" si="543"/>
        <v>0</v>
      </c>
      <c r="AQ129" s="111">
        <f t="shared" si="543"/>
        <v>0</v>
      </c>
      <c r="AR129" s="110">
        <f t="shared" si="480"/>
        <v>0</v>
      </c>
      <c r="AS129" s="109">
        <f t="shared" si="544"/>
        <v>0</v>
      </c>
      <c r="AT129" s="111">
        <f t="shared" si="544"/>
        <v>0</v>
      </c>
      <c r="AU129" s="110">
        <f t="shared" si="481"/>
        <v>0</v>
      </c>
      <c r="AV129" s="109">
        <f t="shared" si="545"/>
        <v>0</v>
      </c>
      <c r="AW129" s="111">
        <f t="shared" si="545"/>
        <v>0</v>
      </c>
      <c r="AX129" s="110">
        <f t="shared" si="482"/>
        <v>0</v>
      </c>
      <c r="AY129" s="109">
        <f t="shared" si="546"/>
        <v>0</v>
      </c>
      <c r="AZ129" s="111">
        <f t="shared" si="546"/>
        <v>0</v>
      </c>
      <c r="BA129" s="110">
        <f t="shared" si="483"/>
        <v>0</v>
      </c>
      <c r="BB129" s="109">
        <f t="shared" si="547"/>
        <v>0</v>
      </c>
      <c r="BC129" s="111">
        <f t="shared" si="547"/>
        <v>0</v>
      </c>
      <c r="BD129" s="110">
        <f t="shared" si="484"/>
        <v>0</v>
      </c>
      <c r="BE129" s="109">
        <f t="shared" si="548"/>
        <v>0</v>
      </c>
      <c r="BF129" s="109">
        <f t="shared" si="548"/>
        <v>0</v>
      </c>
      <c r="BG129" s="109">
        <f t="shared" si="548"/>
        <v>0</v>
      </c>
    </row>
    <row r="130" spans="1:59" ht="13.5" hidden="1" outlineLevel="1" x14ac:dyDescent="0.25">
      <c r="A130" s="62"/>
      <c r="B130" s="83" t="s">
        <v>30</v>
      </c>
      <c r="C130" s="25" t="s">
        <v>70</v>
      </c>
      <c r="D130" s="113">
        <f t="shared" si="531"/>
        <v>0</v>
      </c>
      <c r="E130" s="113">
        <f t="shared" si="531"/>
        <v>0</v>
      </c>
      <c r="F130" s="109">
        <f t="shared" si="531"/>
        <v>0</v>
      </c>
      <c r="G130" s="111">
        <f t="shared" si="531"/>
        <v>0</v>
      </c>
      <c r="H130" s="110">
        <f t="shared" si="468"/>
        <v>0</v>
      </c>
      <c r="I130" s="109">
        <f t="shared" si="532"/>
        <v>0</v>
      </c>
      <c r="J130" s="111">
        <f t="shared" si="532"/>
        <v>0</v>
      </c>
      <c r="K130" s="110">
        <f t="shared" si="469"/>
        <v>0</v>
      </c>
      <c r="L130" s="109">
        <f t="shared" si="533"/>
        <v>0</v>
      </c>
      <c r="M130" s="111">
        <f t="shared" si="533"/>
        <v>0</v>
      </c>
      <c r="N130" s="110">
        <f t="shared" si="470"/>
        <v>0</v>
      </c>
      <c r="O130" s="109">
        <f t="shared" si="534"/>
        <v>0</v>
      </c>
      <c r="P130" s="111">
        <f t="shared" si="534"/>
        <v>0</v>
      </c>
      <c r="Q130" s="110">
        <f t="shared" si="471"/>
        <v>0</v>
      </c>
      <c r="R130" s="109">
        <f t="shared" si="535"/>
        <v>0</v>
      </c>
      <c r="S130" s="111">
        <f t="shared" si="535"/>
        <v>0</v>
      </c>
      <c r="T130" s="110">
        <f t="shared" si="472"/>
        <v>0</v>
      </c>
      <c r="U130" s="109">
        <f t="shared" si="536"/>
        <v>0</v>
      </c>
      <c r="V130" s="111">
        <f t="shared" si="536"/>
        <v>0</v>
      </c>
      <c r="W130" s="110">
        <f t="shared" si="473"/>
        <v>0</v>
      </c>
      <c r="X130" s="109">
        <f t="shared" si="537"/>
        <v>0</v>
      </c>
      <c r="Y130" s="111">
        <f t="shared" si="537"/>
        <v>0</v>
      </c>
      <c r="Z130" s="110">
        <f t="shared" si="474"/>
        <v>0</v>
      </c>
      <c r="AA130" s="109">
        <f t="shared" si="538"/>
        <v>0</v>
      </c>
      <c r="AB130" s="111">
        <f t="shared" si="538"/>
        <v>0</v>
      </c>
      <c r="AC130" s="110">
        <f t="shared" si="475"/>
        <v>0</v>
      </c>
      <c r="AD130" s="109">
        <f t="shared" si="539"/>
        <v>0</v>
      </c>
      <c r="AE130" s="111">
        <f t="shared" si="539"/>
        <v>0</v>
      </c>
      <c r="AF130" s="110">
        <f t="shared" si="476"/>
        <v>0</v>
      </c>
      <c r="AG130" s="109">
        <f t="shared" si="540"/>
        <v>0</v>
      </c>
      <c r="AH130" s="111">
        <f t="shared" si="540"/>
        <v>0</v>
      </c>
      <c r="AI130" s="110">
        <f t="shared" si="477"/>
        <v>0</v>
      </c>
      <c r="AJ130" s="109">
        <f t="shared" si="541"/>
        <v>0</v>
      </c>
      <c r="AK130" s="111">
        <f t="shared" si="541"/>
        <v>0</v>
      </c>
      <c r="AL130" s="110">
        <f t="shared" si="478"/>
        <v>0</v>
      </c>
      <c r="AM130" s="109">
        <f t="shared" si="542"/>
        <v>0</v>
      </c>
      <c r="AN130" s="111">
        <f t="shared" si="542"/>
        <v>0</v>
      </c>
      <c r="AO130" s="110">
        <f t="shared" si="479"/>
        <v>0</v>
      </c>
      <c r="AP130" s="109">
        <f t="shared" si="543"/>
        <v>0</v>
      </c>
      <c r="AQ130" s="111">
        <f t="shared" si="543"/>
        <v>0</v>
      </c>
      <c r="AR130" s="110">
        <f t="shared" si="480"/>
        <v>0</v>
      </c>
      <c r="AS130" s="109">
        <f t="shared" si="544"/>
        <v>0</v>
      </c>
      <c r="AT130" s="111">
        <f t="shared" si="544"/>
        <v>0</v>
      </c>
      <c r="AU130" s="110">
        <f t="shared" si="481"/>
        <v>0</v>
      </c>
      <c r="AV130" s="109">
        <f t="shared" si="545"/>
        <v>0</v>
      </c>
      <c r="AW130" s="111">
        <f t="shared" si="545"/>
        <v>0</v>
      </c>
      <c r="AX130" s="110">
        <f t="shared" si="482"/>
        <v>0</v>
      </c>
      <c r="AY130" s="109">
        <f t="shared" si="546"/>
        <v>0</v>
      </c>
      <c r="AZ130" s="111">
        <f t="shared" si="546"/>
        <v>0</v>
      </c>
      <c r="BA130" s="110">
        <f t="shared" si="483"/>
        <v>0</v>
      </c>
      <c r="BB130" s="109">
        <f t="shared" si="547"/>
        <v>0</v>
      </c>
      <c r="BC130" s="111">
        <f t="shared" si="547"/>
        <v>0</v>
      </c>
      <c r="BD130" s="110">
        <f t="shared" si="484"/>
        <v>0</v>
      </c>
      <c r="BE130" s="109">
        <f t="shared" si="548"/>
        <v>0</v>
      </c>
      <c r="BF130" s="109">
        <f t="shared" si="548"/>
        <v>0</v>
      </c>
      <c r="BG130" s="109">
        <f t="shared" si="548"/>
        <v>0</v>
      </c>
    </row>
    <row r="131" spans="1:59" ht="14.25" hidden="1" outlineLevel="1" thickBot="1" x14ac:dyDescent="0.3">
      <c r="A131" s="62"/>
      <c r="B131" s="83" t="s">
        <v>31</v>
      </c>
      <c r="C131" s="25" t="s">
        <v>70</v>
      </c>
      <c r="D131" s="113">
        <f t="shared" si="531"/>
        <v>0</v>
      </c>
      <c r="E131" s="113">
        <f t="shared" si="531"/>
        <v>0</v>
      </c>
      <c r="F131" s="109">
        <f t="shared" si="531"/>
        <v>0</v>
      </c>
      <c r="G131" s="111">
        <f t="shared" si="531"/>
        <v>0</v>
      </c>
      <c r="H131" s="110">
        <f t="shared" si="468"/>
        <v>0</v>
      </c>
      <c r="I131" s="109">
        <f t="shared" si="532"/>
        <v>0</v>
      </c>
      <c r="J131" s="111">
        <f t="shared" si="532"/>
        <v>0</v>
      </c>
      <c r="K131" s="110">
        <f t="shared" si="469"/>
        <v>0</v>
      </c>
      <c r="L131" s="109">
        <f t="shared" si="533"/>
        <v>0</v>
      </c>
      <c r="M131" s="111">
        <f t="shared" si="533"/>
        <v>0</v>
      </c>
      <c r="N131" s="110">
        <f t="shared" si="470"/>
        <v>0</v>
      </c>
      <c r="O131" s="109">
        <f t="shared" si="534"/>
        <v>0</v>
      </c>
      <c r="P131" s="111">
        <f t="shared" si="534"/>
        <v>0</v>
      </c>
      <c r="Q131" s="110">
        <f t="shared" si="471"/>
        <v>0</v>
      </c>
      <c r="R131" s="109">
        <f t="shared" si="535"/>
        <v>0</v>
      </c>
      <c r="S131" s="111">
        <f t="shared" si="535"/>
        <v>0</v>
      </c>
      <c r="T131" s="110">
        <f t="shared" si="472"/>
        <v>0</v>
      </c>
      <c r="U131" s="109">
        <f t="shared" si="536"/>
        <v>0</v>
      </c>
      <c r="V131" s="111">
        <f t="shared" si="536"/>
        <v>0</v>
      </c>
      <c r="W131" s="110">
        <f t="shared" si="473"/>
        <v>0</v>
      </c>
      <c r="X131" s="109">
        <f t="shared" si="537"/>
        <v>0</v>
      </c>
      <c r="Y131" s="111">
        <f t="shared" si="537"/>
        <v>0</v>
      </c>
      <c r="Z131" s="110">
        <f t="shared" si="474"/>
        <v>0</v>
      </c>
      <c r="AA131" s="109">
        <f t="shared" si="538"/>
        <v>0</v>
      </c>
      <c r="AB131" s="111">
        <f t="shared" si="538"/>
        <v>0</v>
      </c>
      <c r="AC131" s="110">
        <f t="shared" si="475"/>
        <v>0</v>
      </c>
      <c r="AD131" s="109">
        <f t="shared" si="539"/>
        <v>0</v>
      </c>
      <c r="AE131" s="111">
        <f t="shared" si="539"/>
        <v>0</v>
      </c>
      <c r="AF131" s="110">
        <f t="shared" si="476"/>
        <v>0</v>
      </c>
      <c r="AG131" s="109">
        <f t="shared" si="540"/>
        <v>0</v>
      </c>
      <c r="AH131" s="111">
        <f t="shared" si="540"/>
        <v>0</v>
      </c>
      <c r="AI131" s="110">
        <f t="shared" si="477"/>
        <v>0</v>
      </c>
      <c r="AJ131" s="109">
        <f t="shared" si="541"/>
        <v>0</v>
      </c>
      <c r="AK131" s="111">
        <f t="shared" si="541"/>
        <v>0</v>
      </c>
      <c r="AL131" s="110">
        <f t="shared" si="478"/>
        <v>0</v>
      </c>
      <c r="AM131" s="109">
        <f t="shared" si="542"/>
        <v>0</v>
      </c>
      <c r="AN131" s="111">
        <f t="shared" si="542"/>
        <v>0</v>
      </c>
      <c r="AO131" s="110">
        <f t="shared" si="479"/>
        <v>0</v>
      </c>
      <c r="AP131" s="109">
        <f t="shared" si="543"/>
        <v>0</v>
      </c>
      <c r="AQ131" s="111">
        <f t="shared" si="543"/>
        <v>0</v>
      </c>
      <c r="AR131" s="110">
        <f t="shared" si="480"/>
        <v>0</v>
      </c>
      <c r="AS131" s="109">
        <f t="shared" si="544"/>
        <v>0</v>
      </c>
      <c r="AT131" s="111">
        <f t="shared" si="544"/>
        <v>0</v>
      </c>
      <c r="AU131" s="110">
        <f t="shared" si="481"/>
        <v>0</v>
      </c>
      <c r="AV131" s="109">
        <f t="shared" si="545"/>
        <v>0</v>
      </c>
      <c r="AW131" s="111">
        <f t="shared" si="545"/>
        <v>0</v>
      </c>
      <c r="AX131" s="110">
        <f t="shared" si="482"/>
        <v>0</v>
      </c>
      <c r="AY131" s="109">
        <f t="shared" si="546"/>
        <v>0</v>
      </c>
      <c r="AZ131" s="111">
        <f t="shared" si="546"/>
        <v>0</v>
      </c>
      <c r="BA131" s="110">
        <f t="shared" si="483"/>
        <v>0</v>
      </c>
      <c r="BB131" s="109">
        <f t="shared" si="547"/>
        <v>0</v>
      </c>
      <c r="BC131" s="111">
        <f t="shared" si="547"/>
        <v>0</v>
      </c>
      <c r="BD131" s="110">
        <f t="shared" si="484"/>
        <v>0</v>
      </c>
      <c r="BE131" s="109">
        <f t="shared" si="548"/>
        <v>0</v>
      </c>
      <c r="BF131" s="109">
        <f t="shared" si="548"/>
        <v>0</v>
      </c>
      <c r="BG131" s="109">
        <f t="shared" si="548"/>
        <v>0</v>
      </c>
    </row>
    <row r="132" spans="1:59" s="127" customFormat="1" ht="12" customHeight="1" collapsed="1" x14ac:dyDescent="0.25">
      <c r="A132" s="51"/>
      <c r="B132" s="52" t="s">
        <v>94</v>
      </c>
      <c r="C132" s="116" t="s">
        <v>70</v>
      </c>
      <c r="D132" s="28"/>
      <c r="E132" s="28"/>
      <c r="F132" s="53"/>
      <c r="G132" s="88"/>
      <c r="H132" s="96"/>
      <c r="I132" s="53"/>
      <c r="J132" s="88"/>
      <c r="K132" s="96"/>
      <c r="L132" s="53"/>
      <c r="M132" s="88"/>
      <c r="N132" s="96"/>
      <c r="O132" s="53"/>
      <c r="P132" s="88"/>
      <c r="Q132" s="96"/>
      <c r="R132" s="53"/>
      <c r="S132" s="88"/>
      <c r="T132" s="96"/>
      <c r="U132" s="53"/>
      <c r="V132" s="88"/>
      <c r="W132" s="96"/>
      <c r="X132" s="53"/>
      <c r="Y132" s="88"/>
      <c r="Z132" s="96"/>
      <c r="AA132" s="53"/>
      <c r="AB132" s="88"/>
      <c r="AC132" s="96"/>
      <c r="AD132" s="53"/>
      <c r="AE132" s="88"/>
      <c r="AF132" s="96"/>
      <c r="AG132" s="53"/>
      <c r="AH132" s="88"/>
      <c r="AI132" s="96"/>
      <c r="AJ132" s="53"/>
      <c r="AK132" s="88"/>
      <c r="AL132" s="96"/>
      <c r="AM132" s="53"/>
      <c r="AN132" s="88"/>
      <c r="AO132" s="96"/>
      <c r="AP132" s="53"/>
      <c r="AQ132" s="88"/>
      <c r="AR132" s="96"/>
      <c r="AS132" s="53"/>
      <c r="AT132" s="88"/>
      <c r="AU132" s="96"/>
      <c r="AV132" s="53"/>
      <c r="AW132" s="88"/>
      <c r="AX132" s="96"/>
      <c r="AY132" s="53"/>
      <c r="AZ132" s="88"/>
      <c r="BA132" s="96"/>
      <c r="BB132" s="53"/>
      <c r="BC132" s="88"/>
      <c r="BD132" s="96"/>
      <c r="BE132" s="53"/>
      <c r="BF132" s="53"/>
      <c r="BG132" s="53"/>
    </row>
    <row r="133" spans="1:59" s="127" customFormat="1" ht="15" hidden="1" customHeight="1" outlineLevel="1" x14ac:dyDescent="0.25">
      <c r="A133" s="27"/>
      <c r="B133" s="26" t="s">
        <v>58</v>
      </c>
      <c r="C133" s="25" t="s">
        <v>70</v>
      </c>
      <c r="D133" s="112">
        <f t="shared" ref="D133:G137" si="549">IF(D65=0,0,D86/D65)</f>
        <v>0</v>
      </c>
      <c r="E133" s="112">
        <f t="shared" si="549"/>
        <v>0</v>
      </c>
      <c r="F133" s="75">
        <f t="shared" si="549"/>
        <v>0</v>
      </c>
      <c r="G133" s="90">
        <f t="shared" si="549"/>
        <v>0</v>
      </c>
      <c r="H133" s="98">
        <f>G133-F133</f>
        <v>0</v>
      </c>
      <c r="I133" s="75">
        <f t="shared" ref="I133:J137" si="550">IF(I65=0,0,I86/I65)</f>
        <v>0</v>
      </c>
      <c r="J133" s="90">
        <f t="shared" si="550"/>
        <v>0</v>
      </c>
      <c r="K133" s="98">
        <f>J133-I133</f>
        <v>0</v>
      </c>
      <c r="L133" s="75">
        <f t="shared" ref="L133:M137" si="551">IF(L65=0,0,L86/L65)</f>
        <v>0</v>
      </c>
      <c r="M133" s="90">
        <f t="shared" si="551"/>
        <v>0</v>
      </c>
      <c r="N133" s="98">
        <f>M133-L133</f>
        <v>0</v>
      </c>
      <c r="O133" s="75">
        <f t="shared" ref="O133:P137" si="552">IF(O65=0,0,O86/O65)</f>
        <v>0</v>
      </c>
      <c r="P133" s="90">
        <f t="shared" si="552"/>
        <v>0</v>
      </c>
      <c r="Q133" s="98">
        <f>P133-O133</f>
        <v>0</v>
      </c>
      <c r="R133" s="75">
        <f t="shared" ref="R133:S137" si="553">IF(R65=0,0,R86/R65)</f>
        <v>0</v>
      </c>
      <c r="S133" s="90">
        <f t="shared" si="553"/>
        <v>0</v>
      </c>
      <c r="T133" s="98">
        <f>S133-R133</f>
        <v>0</v>
      </c>
      <c r="U133" s="75">
        <f t="shared" ref="U133:V137" si="554">IF(U65=0,0,U86/U65)</f>
        <v>0</v>
      </c>
      <c r="V133" s="90">
        <f t="shared" si="554"/>
        <v>0</v>
      </c>
      <c r="W133" s="98">
        <f>V133-U133</f>
        <v>0</v>
      </c>
      <c r="X133" s="75">
        <f t="shared" ref="X133:Y137" si="555">IF(X65=0,0,X86/X65)</f>
        <v>0</v>
      </c>
      <c r="Y133" s="90">
        <f t="shared" si="555"/>
        <v>0</v>
      </c>
      <c r="Z133" s="98">
        <f>Y133-X133</f>
        <v>0</v>
      </c>
      <c r="AA133" s="75">
        <f t="shared" ref="AA133:AB137" si="556">IF(AA65=0,0,AA86/AA65)</f>
        <v>0</v>
      </c>
      <c r="AB133" s="90">
        <f t="shared" si="556"/>
        <v>0</v>
      </c>
      <c r="AC133" s="98">
        <f>AB133-AA133</f>
        <v>0</v>
      </c>
      <c r="AD133" s="75">
        <f t="shared" ref="AD133:AE137" si="557">IF(AD65=0,0,AD86/AD65)</f>
        <v>0</v>
      </c>
      <c r="AE133" s="90">
        <f t="shared" si="557"/>
        <v>0</v>
      </c>
      <c r="AF133" s="98">
        <f>AE133-AD133</f>
        <v>0</v>
      </c>
      <c r="AG133" s="75">
        <f t="shared" ref="AG133:AH137" si="558">IF(AG65=0,0,AG86/AG65)</f>
        <v>0</v>
      </c>
      <c r="AH133" s="90">
        <f t="shared" si="558"/>
        <v>0</v>
      </c>
      <c r="AI133" s="98">
        <f>AH133-AG133</f>
        <v>0</v>
      </c>
      <c r="AJ133" s="75">
        <f t="shared" ref="AJ133:AK137" si="559">IF(AJ65=0,0,AJ86/AJ65)</f>
        <v>0</v>
      </c>
      <c r="AK133" s="90">
        <f t="shared" si="559"/>
        <v>0</v>
      </c>
      <c r="AL133" s="98">
        <f>AK133-AJ133</f>
        <v>0</v>
      </c>
      <c r="AM133" s="75">
        <f t="shared" ref="AM133:AN137" si="560">IF(AM65=0,0,AM86/AM65)</f>
        <v>0</v>
      </c>
      <c r="AN133" s="90">
        <f t="shared" si="560"/>
        <v>0</v>
      </c>
      <c r="AO133" s="98">
        <f>AN133-AM133</f>
        <v>0</v>
      </c>
      <c r="AP133" s="75">
        <f t="shared" ref="AP133:AQ137" si="561">IF(AP65=0,0,AP86/AP65)</f>
        <v>0</v>
      </c>
      <c r="AQ133" s="90">
        <f t="shared" si="561"/>
        <v>0</v>
      </c>
      <c r="AR133" s="98">
        <f>AQ133-AP133</f>
        <v>0</v>
      </c>
      <c r="AS133" s="75">
        <f t="shared" ref="AS133:AT137" si="562">IF(AS65=0,0,AS86/AS65)</f>
        <v>0</v>
      </c>
      <c r="AT133" s="90">
        <f t="shared" si="562"/>
        <v>0</v>
      </c>
      <c r="AU133" s="98">
        <f>AT133-AS133</f>
        <v>0</v>
      </c>
      <c r="AV133" s="75">
        <f t="shared" ref="AV133:AW137" si="563">IF(AV65=0,0,AV86/AV65)</f>
        <v>0</v>
      </c>
      <c r="AW133" s="90">
        <f t="shared" si="563"/>
        <v>0</v>
      </c>
      <c r="AX133" s="98">
        <f>AW133-AV133</f>
        <v>0</v>
      </c>
      <c r="AY133" s="75">
        <f t="shared" ref="AY133:AZ137" si="564">IF(AY65=0,0,AY86/AY65)</f>
        <v>0</v>
      </c>
      <c r="AZ133" s="90">
        <f t="shared" si="564"/>
        <v>0</v>
      </c>
      <c r="BA133" s="98">
        <f>AZ133-AY133</f>
        <v>0</v>
      </c>
      <c r="BB133" s="75">
        <f t="shared" ref="BB133:BC137" si="565">IF(BB65=0,0,BB86/BB65)</f>
        <v>0</v>
      </c>
      <c r="BC133" s="90">
        <f t="shared" si="565"/>
        <v>0</v>
      </c>
      <c r="BD133" s="98">
        <f>BC133-BB133</f>
        <v>0</v>
      </c>
      <c r="BE133" s="75">
        <f t="shared" ref="BE133:BG137" si="566">IF(BE65=0,0,BE86/BE65)</f>
        <v>0</v>
      </c>
      <c r="BF133" s="75">
        <f t="shared" si="566"/>
        <v>0</v>
      </c>
      <c r="BG133" s="75">
        <f t="shared" si="566"/>
        <v>0</v>
      </c>
    </row>
    <row r="134" spans="1:59" s="127" customFormat="1" ht="15" hidden="1" customHeight="1" outlineLevel="1" x14ac:dyDescent="0.25">
      <c r="A134" s="27"/>
      <c r="B134" s="26" t="s">
        <v>59</v>
      </c>
      <c r="C134" s="25" t="s">
        <v>70</v>
      </c>
      <c r="D134" s="112">
        <f t="shared" si="549"/>
        <v>0</v>
      </c>
      <c r="E134" s="112">
        <f t="shared" si="549"/>
        <v>0</v>
      </c>
      <c r="F134" s="75">
        <f t="shared" si="549"/>
        <v>0</v>
      </c>
      <c r="G134" s="90">
        <f t="shared" si="549"/>
        <v>0</v>
      </c>
      <c r="H134" s="98">
        <f>G134-F134</f>
        <v>0</v>
      </c>
      <c r="I134" s="75">
        <f t="shared" si="550"/>
        <v>0</v>
      </c>
      <c r="J134" s="90">
        <f t="shared" si="550"/>
        <v>0</v>
      </c>
      <c r="K134" s="98">
        <f>J134-I134</f>
        <v>0</v>
      </c>
      <c r="L134" s="75">
        <f t="shared" si="551"/>
        <v>0</v>
      </c>
      <c r="M134" s="90">
        <f t="shared" si="551"/>
        <v>0</v>
      </c>
      <c r="N134" s="98">
        <f>M134-L134</f>
        <v>0</v>
      </c>
      <c r="O134" s="75">
        <f t="shared" si="552"/>
        <v>0</v>
      </c>
      <c r="P134" s="90">
        <f t="shared" si="552"/>
        <v>0</v>
      </c>
      <c r="Q134" s="98">
        <f>P134-O134</f>
        <v>0</v>
      </c>
      <c r="R134" s="75">
        <f t="shared" si="553"/>
        <v>0</v>
      </c>
      <c r="S134" s="90">
        <f t="shared" si="553"/>
        <v>0</v>
      </c>
      <c r="T134" s="98">
        <f>S134-R134</f>
        <v>0</v>
      </c>
      <c r="U134" s="75">
        <f t="shared" si="554"/>
        <v>0</v>
      </c>
      <c r="V134" s="90">
        <f t="shared" si="554"/>
        <v>0</v>
      </c>
      <c r="W134" s="98">
        <f>V134-U134</f>
        <v>0</v>
      </c>
      <c r="X134" s="75">
        <f t="shared" si="555"/>
        <v>0</v>
      </c>
      <c r="Y134" s="90">
        <f t="shared" si="555"/>
        <v>0</v>
      </c>
      <c r="Z134" s="98">
        <f>Y134-X134</f>
        <v>0</v>
      </c>
      <c r="AA134" s="75">
        <f t="shared" si="556"/>
        <v>0</v>
      </c>
      <c r="AB134" s="90">
        <f t="shared" si="556"/>
        <v>0</v>
      </c>
      <c r="AC134" s="98">
        <f>AB134-AA134</f>
        <v>0</v>
      </c>
      <c r="AD134" s="75">
        <f t="shared" si="557"/>
        <v>0</v>
      </c>
      <c r="AE134" s="90">
        <f t="shared" si="557"/>
        <v>0</v>
      </c>
      <c r="AF134" s="98">
        <f>AE134-AD134</f>
        <v>0</v>
      </c>
      <c r="AG134" s="75">
        <f t="shared" si="558"/>
        <v>0</v>
      </c>
      <c r="AH134" s="90">
        <f t="shared" si="558"/>
        <v>0</v>
      </c>
      <c r="AI134" s="98">
        <f>AH134-AG134</f>
        <v>0</v>
      </c>
      <c r="AJ134" s="75">
        <f t="shared" si="559"/>
        <v>0</v>
      </c>
      <c r="AK134" s="90">
        <f t="shared" si="559"/>
        <v>0</v>
      </c>
      <c r="AL134" s="98">
        <f>AK134-AJ134</f>
        <v>0</v>
      </c>
      <c r="AM134" s="75">
        <f t="shared" si="560"/>
        <v>0</v>
      </c>
      <c r="AN134" s="90">
        <f t="shared" si="560"/>
        <v>0</v>
      </c>
      <c r="AO134" s="98">
        <f>AN134-AM134</f>
        <v>0</v>
      </c>
      <c r="AP134" s="75">
        <f t="shared" si="561"/>
        <v>0</v>
      </c>
      <c r="AQ134" s="90">
        <f t="shared" si="561"/>
        <v>0</v>
      </c>
      <c r="AR134" s="98">
        <f>AQ134-AP134</f>
        <v>0</v>
      </c>
      <c r="AS134" s="75">
        <f t="shared" si="562"/>
        <v>0</v>
      </c>
      <c r="AT134" s="90">
        <f t="shared" si="562"/>
        <v>0</v>
      </c>
      <c r="AU134" s="98">
        <f>AT134-AS134</f>
        <v>0</v>
      </c>
      <c r="AV134" s="75">
        <f t="shared" si="563"/>
        <v>0</v>
      </c>
      <c r="AW134" s="90">
        <f t="shared" si="563"/>
        <v>0</v>
      </c>
      <c r="AX134" s="98">
        <f>AW134-AV134</f>
        <v>0</v>
      </c>
      <c r="AY134" s="75">
        <f t="shared" si="564"/>
        <v>0</v>
      </c>
      <c r="AZ134" s="90">
        <f t="shared" si="564"/>
        <v>0</v>
      </c>
      <c r="BA134" s="98">
        <f>AZ134-AY134</f>
        <v>0</v>
      </c>
      <c r="BB134" s="75">
        <f t="shared" si="565"/>
        <v>0</v>
      </c>
      <c r="BC134" s="90">
        <f t="shared" si="565"/>
        <v>0</v>
      </c>
      <c r="BD134" s="98">
        <f>BC134-BB134</f>
        <v>0</v>
      </c>
      <c r="BE134" s="75">
        <f t="shared" si="566"/>
        <v>0</v>
      </c>
      <c r="BF134" s="75">
        <f t="shared" si="566"/>
        <v>0</v>
      </c>
      <c r="BG134" s="75">
        <f t="shared" si="566"/>
        <v>0</v>
      </c>
    </row>
    <row r="135" spans="1:59" s="127" customFormat="1" ht="15" hidden="1" customHeight="1" outlineLevel="1" x14ac:dyDescent="0.25">
      <c r="A135" s="27"/>
      <c r="B135" s="26" t="s">
        <v>60</v>
      </c>
      <c r="C135" s="25" t="s">
        <v>70</v>
      </c>
      <c r="D135" s="112">
        <f t="shared" si="549"/>
        <v>0</v>
      </c>
      <c r="E135" s="112">
        <f t="shared" si="549"/>
        <v>0</v>
      </c>
      <c r="F135" s="75">
        <f t="shared" si="549"/>
        <v>0</v>
      </c>
      <c r="G135" s="90">
        <f t="shared" si="549"/>
        <v>0</v>
      </c>
      <c r="H135" s="98">
        <f>G135-F135</f>
        <v>0</v>
      </c>
      <c r="I135" s="75">
        <f t="shared" si="550"/>
        <v>0</v>
      </c>
      <c r="J135" s="90">
        <f t="shared" si="550"/>
        <v>0</v>
      </c>
      <c r="K135" s="98">
        <f>J135-I135</f>
        <v>0</v>
      </c>
      <c r="L135" s="75">
        <f t="shared" si="551"/>
        <v>0</v>
      </c>
      <c r="M135" s="90">
        <f t="shared" si="551"/>
        <v>0</v>
      </c>
      <c r="N135" s="98">
        <f>M135-L135</f>
        <v>0</v>
      </c>
      <c r="O135" s="75">
        <f t="shared" si="552"/>
        <v>0</v>
      </c>
      <c r="P135" s="90">
        <f t="shared" si="552"/>
        <v>0</v>
      </c>
      <c r="Q135" s="98">
        <f>P135-O135</f>
        <v>0</v>
      </c>
      <c r="R135" s="75">
        <f t="shared" si="553"/>
        <v>0</v>
      </c>
      <c r="S135" s="90">
        <f t="shared" si="553"/>
        <v>0</v>
      </c>
      <c r="T135" s="98">
        <f>S135-R135</f>
        <v>0</v>
      </c>
      <c r="U135" s="75">
        <f t="shared" si="554"/>
        <v>0</v>
      </c>
      <c r="V135" s="90">
        <f t="shared" si="554"/>
        <v>0</v>
      </c>
      <c r="W135" s="98">
        <f>V135-U135</f>
        <v>0</v>
      </c>
      <c r="X135" s="75">
        <f t="shared" si="555"/>
        <v>0</v>
      </c>
      <c r="Y135" s="90">
        <f t="shared" si="555"/>
        <v>0</v>
      </c>
      <c r="Z135" s="98">
        <f>Y135-X135</f>
        <v>0</v>
      </c>
      <c r="AA135" s="75">
        <f t="shared" si="556"/>
        <v>0</v>
      </c>
      <c r="AB135" s="90">
        <f t="shared" si="556"/>
        <v>0</v>
      </c>
      <c r="AC135" s="98">
        <f>AB135-AA135</f>
        <v>0</v>
      </c>
      <c r="AD135" s="75">
        <f t="shared" si="557"/>
        <v>0</v>
      </c>
      <c r="AE135" s="90">
        <f t="shared" si="557"/>
        <v>0</v>
      </c>
      <c r="AF135" s="98">
        <f>AE135-AD135</f>
        <v>0</v>
      </c>
      <c r="AG135" s="75">
        <f t="shared" si="558"/>
        <v>0</v>
      </c>
      <c r="AH135" s="90">
        <f t="shared" si="558"/>
        <v>0</v>
      </c>
      <c r="AI135" s="98">
        <f>AH135-AG135</f>
        <v>0</v>
      </c>
      <c r="AJ135" s="75">
        <f t="shared" si="559"/>
        <v>0</v>
      </c>
      <c r="AK135" s="90">
        <f t="shared" si="559"/>
        <v>0</v>
      </c>
      <c r="AL135" s="98">
        <f>AK135-AJ135</f>
        <v>0</v>
      </c>
      <c r="AM135" s="75">
        <f t="shared" si="560"/>
        <v>0</v>
      </c>
      <c r="AN135" s="90">
        <f t="shared" si="560"/>
        <v>0</v>
      </c>
      <c r="AO135" s="98">
        <f>AN135-AM135</f>
        <v>0</v>
      </c>
      <c r="AP135" s="75">
        <f t="shared" si="561"/>
        <v>0</v>
      </c>
      <c r="AQ135" s="90">
        <f t="shared" si="561"/>
        <v>0</v>
      </c>
      <c r="AR135" s="98">
        <f>AQ135-AP135</f>
        <v>0</v>
      </c>
      <c r="AS135" s="75">
        <f t="shared" si="562"/>
        <v>0</v>
      </c>
      <c r="AT135" s="90">
        <f t="shared" si="562"/>
        <v>0</v>
      </c>
      <c r="AU135" s="98">
        <f>AT135-AS135</f>
        <v>0</v>
      </c>
      <c r="AV135" s="75">
        <f t="shared" si="563"/>
        <v>0</v>
      </c>
      <c r="AW135" s="90">
        <f t="shared" si="563"/>
        <v>0</v>
      </c>
      <c r="AX135" s="98">
        <f>AW135-AV135</f>
        <v>0</v>
      </c>
      <c r="AY135" s="75">
        <f t="shared" si="564"/>
        <v>0</v>
      </c>
      <c r="AZ135" s="90">
        <f t="shared" si="564"/>
        <v>0</v>
      </c>
      <c r="BA135" s="98">
        <f>AZ135-AY135</f>
        <v>0</v>
      </c>
      <c r="BB135" s="75">
        <f t="shared" si="565"/>
        <v>0</v>
      </c>
      <c r="BC135" s="90">
        <f t="shared" si="565"/>
        <v>0</v>
      </c>
      <c r="BD135" s="98">
        <f>BC135-BB135</f>
        <v>0</v>
      </c>
      <c r="BE135" s="75">
        <f t="shared" si="566"/>
        <v>0</v>
      </c>
      <c r="BF135" s="75">
        <f t="shared" si="566"/>
        <v>0</v>
      </c>
      <c r="BG135" s="75">
        <f t="shared" si="566"/>
        <v>0</v>
      </c>
    </row>
    <row r="136" spans="1:59" s="127" customFormat="1" ht="15" hidden="1" customHeight="1" outlineLevel="1" x14ac:dyDescent="0.25">
      <c r="A136" s="27"/>
      <c r="B136" s="26" t="s">
        <v>61</v>
      </c>
      <c r="C136" s="25" t="s">
        <v>70</v>
      </c>
      <c r="D136" s="112">
        <f t="shared" si="549"/>
        <v>0</v>
      </c>
      <c r="E136" s="112">
        <f t="shared" si="549"/>
        <v>0</v>
      </c>
      <c r="F136" s="75">
        <f t="shared" si="549"/>
        <v>0</v>
      </c>
      <c r="G136" s="90">
        <f t="shared" si="549"/>
        <v>0</v>
      </c>
      <c r="H136" s="98">
        <f>G136-F136</f>
        <v>0</v>
      </c>
      <c r="I136" s="75">
        <f t="shared" si="550"/>
        <v>0</v>
      </c>
      <c r="J136" s="90">
        <f t="shared" si="550"/>
        <v>0</v>
      </c>
      <c r="K136" s="98">
        <f>J136-I136</f>
        <v>0</v>
      </c>
      <c r="L136" s="75">
        <f t="shared" si="551"/>
        <v>0</v>
      </c>
      <c r="M136" s="90">
        <f t="shared" si="551"/>
        <v>0</v>
      </c>
      <c r="N136" s="98">
        <f>M136-L136</f>
        <v>0</v>
      </c>
      <c r="O136" s="75">
        <f t="shared" si="552"/>
        <v>0</v>
      </c>
      <c r="P136" s="90">
        <f t="shared" si="552"/>
        <v>0</v>
      </c>
      <c r="Q136" s="98">
        <f>P136-O136</f>
        <v>0</v>
      </c>
      <c r="R136" s="75">
        <f t="shared" si="553"/>
        <v>0</v>
      </c>
      <c r="S136" s="90">
        <f t="shared" si="553"/>
        <v>0</v>
      </c>
      <c r="T136" s="98">
        <f>S136-R136</f>
        <v>0</v>
      </c>
      <c r="U136" s="75">
        <f t="shared" si="554"/>
        <v>0</v>
      </c>
      <c r="V136" s="90">
        <f t="shared" si="554"/>
        <v>0</v>
      </c>
      <c r="W136" s="98">
        <f>V136-U136</f>
        <v>0</v>
      </c>
      <c r="X136" s="75">
        <f t="shared" si="555"/>
        <v>0</v>
      </c>
      <c r="Y136" s="90">
        <f t="shared" si="555"/>
        <v>0</v>
      </c>
      <c r="Z136" s="98">
        <f>Y136-X136</f>
        <v>0</v>
      </c>
      <c r="AA136" s="75">
        <f t="shared" si="556"/>
        <v>0</v>
      </c>
      <c r="AB136" s="90">
        <f t="shared" si="556"/>
        <v>0</v>
      </c>
      <c r="AC136" s="98">
        <f>AB136-AA136</f>
        <v>0</v>
      </c>
      <c r="AD136" s="75">
        <f t="shared" si="557"/>
        <v>0</v>
      </c>
      <c r="AE136" s="90">
        <f t="shared" si="557"/>
        <v>0</v>
      </c>
      <c r="AF136" s="98">
        <f>AE136-AD136</f>
        <v>0</v>
      </c>
      <c r="AG136" s="75">
        <f t="shared" si="558"/>
        <v>0</v>
      </c>
      <c r="AH136" s="90">
        <f t="shared" si="558"/>
        <v>0</v>
      </c>
      <c r="AI136" s="98">
        <f>AH136-AG136</f>
        <v>0</v>
      </c>
      <c r="AJ136" s="75">
        <f t="shared" si="559"/>
        <v>0</v>
      </c>
      <c r="AK136" s="90">
        <f t="shared" si="559"/>
        <v>0</v>
      </c>
      <c r="AL136" s="98">
        <f>AK136-AJ136</f>
        <v>0</v>
      </c>
      <c r="AM136" s="75">
        <f t="shared" si="560"/>
        <v>0</v>
      </c>
      <c r="AN136" s="90">
        <f t="shared" si="560"/>
        <v>0</v>
      </c>
      <c r="AO136" s="98">
        <f>AN136-AM136</f>
        <v>0</v>
      </c>
      <c r="AP136" s="75">
        <f t="shared" si="561"/>
        <v>0</v>
      </c>
      <c r="AQ136" s="90">
        <f t="shared" si="561"/>
        <v>0</v>
      </c>
      <c r="AR136" s="98">
        <f>AQ136-AP136</f>
        <v>0</v>
      </c>
      <c r="AS136" s="75">
        <f t="shared" si="562"/>
        <v>0</v>
      </c>
      <c r="AT136" s="90">
        <f t="shared" si="562"/>
        <v>0</v>
      </c>
      <c r="AU136" s="98">
        <f>AT136-AS136</f>
        <v>0</v>
      </c>
      <c r="AV136" s="75">
        <f t="shared" si="563"/>
        <v>0</v>
      </c>
      <c r="AW136" s="90">
        <f t="shared" si="563"/>
        <v>0</v>
      </c>
      <c r="AX136" s="98">
        <f>AW136-AV136</f>
        <v>0</v>
      </c>
      <c r="AY136" s="75">
        <f t="shared" si="564"/>
        <v>0</v>
      </c>
      <c r="AZ136" s="90">
        <f t="shared" si="564"/>
        <v>0</v>
      </c>
      <c r="BA136" s="98">
        <f>AZ136-AY136</f>
        <v>0</v>
      </c>
      <c r="BB136" s="75">
        <f t="shared" si="565"/>
        <v>0</v>
      </c>
      <c r="BC136" s="90">
        <f t="shared" si="565"/>
        <v>0</v>
      </c>
      <c r="BD136" s="98">
        <f>BC136-BB136</f>
        <v>0</v>
      </c>
      <c r="BE136" s="75">
        <f t="shared" si="566"/>
        <v>0</v>
      </c>
      <c r="BF136" s="75">
        <f t="shared" si="566"/>
        <v>0</v>
      </c>
      <c r="BG136" s="75">
        <f t="shared" si="566"/>
        <v>0</v>
      </c>
    </row>
    <row r="137" spans="1:59" s="127" customFormat="1" ht="15" hidden="1" customHeight="1" outlineLevel="1" thickBot="1" x14ac:dyDescent="0.3">
      <c r="A137" s="9"/>
      <c r="B137" s="8" t="s">
        <v>62</v>
      </c>
      <c r="C137" s="7" t="s">
        <v>70</v>
      </c>
      <c r="D137" s="58">
        <f t="shared" si="549"/>
        <v>0</v>
      </c>
      <c r="E137" s="58">
        <f t="shared" si="549"/>
        <v>0</v>
      </c>
      <c r="F137" s="76">
        <f t="shared" si="549"/>
        <v>0</v>
      </c>
      <c r="G137" s="91">
        <f t="shared" si="549"/>
        <v>0</v>
      </c>
      <c r="H137" s="99">
        <f>G137-F137</f>
        <v>0</v>
      </c>
      <c r="I137" s="76">
        <f t="shared" si="550"/>
        <v>0</v>
      </c>
      <c r="J137" s="91">
        <f t="shared" si="550"/>
        <v>0</v>
      </c>
      <c r="K137" s="99">
        <f>J137-I137</f>
        <v>0</v>
      </c>
      <c r="L137" s="76">
        <f t="shared" si="551"/>
        <v>0</v>
      </c>
      <c r="M137" s="91">
        <f t="shared" si="551"/>
        <v>0</v>
      </c>
      <c r="N137" s="99">
        <f>M137-L137</f>
        <v>0</v>
      </c>
      <c r="O137" s="76">
        <f t="shared" si="552"/>
        <v>0</v>
      </c>
      <c r="P137" s="91">
        <f t="shared" si="552"/>
        <v>0</v>
      </c>
      <c r="Q137" s="99">
        <f>P137-O137</f>
        <v>0</v>
      </c>
      <c r="R137" s="76">
        <f t="shared" si="553"/>
        <v>0</v>
      </c>
      <c r="S137" s="91">
        <f t="shared" si="553"/>
        <v>0</v>
      </c>
      <c r="T137" s="99">
        <f>S137-R137</f>
        <v>0</v>
      </c>
      <c r="U137" s="76">
        <f t="shared" si="554"/>
        <v>0</v>
      </c>
      <c r="V137" s="91">
        <f t="shared" si="554"/>
        <v>0</v>
      </c>
      <c r="W137" s="99">
        <f>V137-U137</f>
        <v>0</v>
      </c>
      <c r="X137" s="76">
        <f t="shared" si="555"/>
        <v>0</v>
      </c>
      <c r="Y137" s="91">
        <f t="shared" si="555"/>
        <v>0</v>
      </c>
      <c r="Z137" s="99">
        <f>Y137-X137</f>
        <v>0</v>
      </c>
      <c r="AA137" s="76">
        <f t="shared" si="556"/>
        <v>0</v>
      </c>
      <c r="AB137" s="91">
        <f t="shared" si="556"/>
        <v>0</v>
      </c>
      <c r="AC137" s="99">
        <f>AB137-AA137</f>
        <v>0</v>
      </c>
      <c r="AD137" s="76">
        <f t="shared" si="557"/>
        <v>0</v>
      </c>
      <c r="AE137" s="91">
        <f t="shared" si="557"/>
        <v>0</v>
      </c>
      <c r="AF137" s="99">
        <f>AE137-AD137</f>
        <v>0</v>
      </c>
      <c r="AG137" s="76">
        <f t="shared" si="558"/>
        <v>0</v>
      </c>
      <c r="AH137" s="91">
        <f t="shared" si="558"/>
        <v>0</v>
      </c>
      <c r="AI137" s="99">
        <f>AH137-AG137</f>
        <v>0</v>
      </c>
      <c r="AJ137" s="76">
        <f t="shared" si="559"/>
        <v>0</v>
      </c>
      <c r="AK137" s="91">
        <f t="shared" si="559"/>
        <v>0</v>
      </c>
      <c r="AL137" s="99">
        <f>AK137-AJ137</f>
        <v>0</v>
      </c>
      <c r="AM137" s="76">
        <f t="shared" si="560"/>
        <v>0</v>
      </c>
      <c r="AN137" s="91">
        <f t="shared" si="560"/>
        <v>0</v>
      </c>
      <c r="AO137" s="99">
        <f>AN137-AM137</f>
        <v>0</v>
      </c>
      <c r="AP137" s="76">
        <f t="shared" si="561"/>
        <v>0</v>
      </c>
      <c r="AQ137" s="91">
        <f t="shared" si="561"/>
        <v>0</v>
      </c>
      <c r="AR137" s="99">
        <f>AQ137-AP137</f>
        <v>0</v>
      </c>
      <c r="AS137" s="76">
        <f t="shared" si="562"/>
        <v>0</v>
      </c>
      <c r="AT137" s="91">
        <f t="shared" si="562"/>
        <v>0</v>
      </c>
      <c r="AU137" s="99">
        <f>AT137-AS137</f>
        <v>0</v>
      </c>
      <c r="AV137" s="76">
        <f t="shared" si="563"/>
        <v>0</v>
      </c>
      <c r="AW137" s="91">
        <f t="shared" si="563"/>
        <v>0</v>
      </c>
      <c r="AX137" s="99">
        <f>AW137-AV137</f>
        <v>0</v>
      </c>
      <c r="AY137" s="76">
        <f t="shared" si="564"/>
        <v>0</v>
      </c>
      <c r="AZ137" s="91">
        <f t="shared" si="564"/>
        <v>0</v>
      </c>
      <c r="BA137" s="99">
        <f>AZ137-AY137</f>
        <v>0</v>
      </c>
      <c r="BB137" s="76">
        <f t="shared" si="565"/>
        <v>0</v>
      </c>
      <c r="BC137" s="91">
        <f t="shared" si="565"/>
        <v>0</v>
      </c>
      <c r="BD137" s="99">
        <f>BC137-BB137</f>
        <v>0</v>
      </c>
      <c r="BE137" s="76">
        <f t="shared" si="566"/>
        <v>0</v>
      </c>
      <c r="BF137" s="76">
        <f t="shared" si="566"/>
        <v>0</v>
      </c>
      <c r="BG137" s="76">
        <f t="shared" si="566"/>
        <v>0</v>
      </c>
    </row>
    <row r="138" spans="1:59" s="77" customFormat="1" ht="13.5" collapsed="1" thickBot="1" x14ac:dyDescent="0.3"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9"/>
      <c r="BC138" s="79"/>
      <c r="BD138" s="79"/>
      <c r="BE138" s="78"/>
      <c r="BF138" s="78"/>
      <c r="BG138" s="78"/>
    </row>
    <row r="139" spans="1:59" s="132" customFormat="1" ht="39" customHeight="1" thickBot="1" x14ac:dyDescent="0.3">
      <c r="A139" s="195" t="s">
        <v>95</v>
      </c>
      <c r="B139" s="196"/>
      <c r="C139" s="196"/>
      <c r="D139" s="42"/>
      <c r="E139" s="42"/>
      <c r="F139" s="41"/>
      <c r="G139" s="40"/>
      <c r="H139" s="39"/>
      <c r="I139" s="41"/>
      <c r="J139" s="40"/>
      <c r="K139" s="39"/>
      <c r="L139" s="41"/>
      <c r="M139" s="40"/>
      <c r="N139" s="39"/>
      <c r="O139" s="40"/>
      <c r="P139" s="40"/>
      <c r="Q139" s="39"/>
      <c r="R139" s="41"/>
      <c r="S139" s="40"/>
      <c r="T139" s="39"/>
      <c r="U139" s="41"/>
      <c r="V139" s="40"/>
      <c r="W139" s="39"/>
      <c r="X139" s="41"/>
      <c r="Y139" s="40"/>
      <c r="Z139" s="39"/>
      <c r="AA139" s="40"/>
      <c r="AB139" s="40"/>
      <c r="AC139" s="39"/>
      <c r="AD139" s="41"/>
      <c r="AE139" s="40"/>
      <c r="AF139" s="39"/>
      <c r="AG139" s="41"/>
      <c r="AH139" s="40"/>
      <c r="AI139" s="39"/>
      <c r="AJ139" s="41"/>
      <c r="AK139" s="40"/>
      <c r="AL139" s="39"/>
      <c r="AM139" s="40"/>
      <c r="AN139" s="40"/>
      <c r="AO139" s="39"/>
      <c r="AP139" s="41"/>
      <c r="AQ139" s="40"/>
      <c r="AR139" s="39"/>
      <c r="AS139" s="41"/>
      <c r="AT139" s="40"/>
      <c r="AU139" s="39"/>
      <c r="AV139" s="41"/>
      <c r="AW139" s="40"/>
      <c r="AX139" s="39"/>
      <c r="AY139" s="40"/>
      <c r="AZ139" s="40"/>
      <c r="BA139" s="39"/>
      <c r="BB139" s="41"/>
      <c r="BC139" s="40"/>
      <c r="BD139" s="39"/>
      <c r="BE139" s="41"/>
      <c r="BF139" s="41"/>
      <c r="BG139" s="41"/>
    </row>
    <row r="140" spans="1:59" s="132" customFormat="1" ht="38.25" customHeight="1" x14ac:dyDescent="0.25">
      <c r="A140" s="37" t="s">
        <v>96</v>
      </c>
      <c r="B140" s="36" t="s">
        <v>97</v>
      </c>
      <c r="C140" s="35" t="s">
        <v>70</v>
      </c>
      <c r="D140" s="34">
        <f>D75+D141</f>
        <v>0</v>
      </c>
      <c r="E140" s="33">
        <f>E75+E141</f>
        <v>0</v>
      </c>
      <c r="F140" s="32">
        <f>F75+F141</f>
        <v>0</v>
      </c>
      <c r="G140" s="31">
        <f>G75+G141</f>
        <v>0</v>
      </c>
      <c r="H140" s="30">
        <f>G140-F140</f>
        <v>0</v>
      </c>
      <c r="I140" s="32">
        <f>I75+I141</f>
        <v>0</v>
      </c>
      <c r="J140" s="29">
        <f>J75+J141</f>
        <v>0</v>
      </c>
      <c r="K140" s="30">
        <f>J140-I140</f>
        <v>0</v>
      </c>
      <c r="L140" s="32">
        <f>L75+L141</f>
        <v>0</v>
      </c>
      <c r="M140" s="29">
        <f>M75+M141</f>
        <v>0</v>
      </c>
      <c r="N140" s="30">
        <f>M140-L140</f>
        <v>0</v>
      </c>
      <c r="O140" s="31">
        <f>O75+O141</f>
        <v>0</v>
      </c>
      <c r="P140" s="31">
        <f>P75+P141</f>
        <v>0</v>
      </c>
      <c r="Q140" s="30">
        <f>P140-O140</f>
        <v>0</v>
      </c>
      <c r="R140" s="32">
        <f>R75+R141</f>
        <v>0</v>
      </c>
      <c r="S140" s="31">
        <f>S75+S141</f>
        <v>0</v>
      </c>
      <c r="T140" s="30">
        <f>S140-R140</f>
        <v>0</v>
      </c>
      <c r="U140" s="32">
        <f>U75+U141</f>
        <v>0</v>
      </c>
      <c r="V140" s="29">
        <f>V75+V141</f>
        <v>0</v>
      </c>
      <c r="W140" s="30">
        <f>V140-U140</f>
        <v>0</v>
      </c>
      <c r="X140" s="32">
        <f>X75+X141</f>
        <v>0</v>
      </c>
      <c r="Y140" s="29">
        <f>Y75+Y141</f>
        <v>0</v>
      </c>
      <c r="Z140" s="30">
        <f>Y140-X140</f>
        <v>0</v>
      </c>
      <c r="AA140" s="31">
        <f>AA75+AA141</f>
        <v>0</v>
      </c>
      <c r="AB140" s="31">
        <f>AB75+AB141</f>
        <v>0</v>
      </c>
      <c r="AC140" s="30">
        <f>AB140-AA140</f>
        <v>0</v>
      </c>
      <c r="AD140" s="32">
        <f>AD75+AD141</f>
        <v>0</v>
      </c>
      <c r="AE140" s="31">
        <f>AE75+AE141</f>
        <v>0</v>
      </c>
      <c r="AF140" s="30">
        <f>AE140-AD140</f>
        <v>0</v>
      </c>
      <c r="AG140" s="32">
        <f>AG75+AG141</f>
        <v>0</v>
      </c>
      <c r="AH140" s="29">
        <f>AH75+AH141</f>
        <v>0</v>
      </c>
      <c r="AI140" s="30">
        <f>AH140-AG140</f>
        <v>0</v>
      </c>
      <c r="AJ140" s="32">
        <f>AJ75+AJ141</f>
        <v>0</v>
      </c>
      <c r="AK140" s="29">
        <f>AK75+AK141</f>
        <v>0</v>
      </c>
      <c r="AL140" s="30">
        <f>AK140-AJ140</f>
        <v>0</v>
      </c>
      <c r="AM140" s="31">
        <f>AM75+AM141</f>
        <v>0</v>
      </c>
      <c r="AN140" s="31">
        <f>AN75+AN141</f>
        <v>0</v>
      </c>
      <c r="AO140" s="30">
        <f>AN140-AM140</f>
        <v>0</v>
      </c>
      <c r="AP140" s="32">
        <f>AP75+AP141</f>
        <v>0</v>
      </c>
      <c r="AQ140" s="31">
        <f>AQ75+AQ141</f>
        <v>0</v>
      </c>
      <c r="AR140" s="30">
        <f>AQ140-AP140</f>
        <v>0</v>
      </c>
      <c r="AS140" s="32">
        <f>AS75+AS141</f>
        <v>0</v>
      </c>
      <c r="AT140" s="29">
        <f>AT75+AT141</f>
        <v>0</v>
      </c>
      <c r="AU140" s="30">
        <f>AT140-AS140</f>
        <v>0</v>
      </c>
      <c r="AV140" s="32">
        <f>AV75+AV141</f>
        <v>0</v>
      </c>
      <c r="AW140" s="29">
        <f>AW75+AW141</f>
        <v>0</v>
      </c>
      <c r="AX140" s="30">
        <f>AW140-AV140</f>
        <v>0</v>
      </c>
      <c r="AY140" s="31">
        <f>AY75+AY141</f>
        <v>0</v>
      </c>
      <c r="AZ140" s="31">
        <f>AZ75+AZ141</f>
        <v>0</v>
      </c>
      <c r="BA140" s="30">
        <f>AZ140-AY140</f>
        <v>0</v>
      </c>
      <c r="BB140" s="32">
        <f t="shared" ref="BB140:BC144" si="567">SUM(F140,I140,L140,R140,U140,X140,AD140,AG140,AJ140,AP140,AS140,AV140)</f>
        <v>0</v>
      </c>
      <c r="BC140" s="31">
        <f t="shared" si="567"/>
        <v>0</v>
      </c>
      <c r="BD140" s="30">
        <f>BC140-BB140</f>
        <v>0</v>
      </c>
      <c r="BE140" s="32">
        <f>BE75+BE141</f>
        <v>0</v>
      </c>
      <c r="BF140" s="32">
        <f>BF75+BF141</f>
        <v>0</v>
      </c>
      <c r="BG140" s="32">
        <f>BG75+BG141</f>
        <v>0</v>
      </c>
    </row>
    <row r="141" spans="1:59" ht="15" hidden="1" customHeight="1" outlineLevel="1" x14ac:dyDescent="0.25">
      <c r="A141" s="27"/>
      <c r="B141" s="26" t="s">
        <v>98</v>
      </c>
      <c r="C141" s="25" t="s">
        <v>70</v>
      </c>
      <c r="D141" s="24">
        <v>0</v>
      </c>
      <c r="E141" s="24">
        <v>0</v>
      </c>
      <c r="F141" s="23">
        <v>0</v>
      </c>
      <c r="G141" s="22">
        <v>0</v>
      </c>
      <c r="H141" s="21">
        <f>G141-F141</f>
        <v>0</v>
      </c>
      <c r="I141" s="23">
        <v>0</v>
      </c>
      <c r="J141" s="20">
        <v>0</v>
      </c>
      <c r="K141" s="21">
        <f>J141-I141</f>
        <v>0</v>
      </c>
      <c r="L141" s="23">
        <v>0</v>
      </c>
      <c r="M141" s="20">
        <v>0</v>
      </c>
      <c r="N141" s="21">
        <f>M141-L141</f>
        <v>0</v>
      </c>
      <c r="O141" s="22">
        <f>SUM(F141,I141,L141)</f>
        <v>0</v>
      </c>
      <c r="P141" s="22">
        <f>SUM(G141,J141,M141)</f>
        <v>0</v>
      </c>
      <c r="Q141" s="21">
        <f>P141-O141</f>
        <v>0</v>
      </c>
      <c r="R141" s="23">
        <v>0</v>
      </c>
      <c r="S141" s="22">
        <v>0</v>
      </c>
      <c r="T141" s="21">
        <f>S141-R141</f>
        <v>0</v>
      </c>
      <c r="U141" s="23">
        <v>0</v>
      </c>
      <c r="V141" s="20">
        <v>0</v>
      </c>
      <c r="W141" s="21">
        <f>V141-U141</f>
        <v>0</v>
      </c>
      <c r="X141" s="23">
        <v>0</v>
      </c>
      <c r="Y141" s="20">
        <v>0</v>
      </c>
      <c r="Z141" s="21">
        <f>Y141-X141</f>
        <v>0</v>
      </c>
      <c r="AA141" s="22">
        <f>SUM(R141,U141,X141)</f>
        <v>0</v>
      </c>
      <c r="AB141" s="22">
        <f>SUM(S141,V141,Y141)</f>
        <v>0</v>
      </c>
      <c r="AC141" s="21">
        <f>AB141-AA141</f>
        <v>0</v>
      </c>
      <c r="AD141" s="23">
        <v>0</v>
      </c>
      <c r="AE141" s="22">
        <v>0</v>
      </c>
      <c r="AF141" s="21">
        <f>AE141-AD141</f>
        <v>0</v>
      </c>
      <c r="AG141" s="23">
        <v>0</v>
      </c>
      <c r="AH141" s="20">
        <v>0</v>
      </c>
      <c r="AI141" s="21">
        <f>AH141-AG141</f>
        <v>0</v>
      </c>
      <c r="AJ141" s="23">
        <v>0</v>
      </c>
      <c r="AK141" s="20">
        <v>0</v>
      </c>
      <c r="AL141" s="21">
        <f>AK141-AJ141</f>
        <v>0</v>
      </c>
      <c r="AM141" s="22">
        <f>SUM(AD141,AG141,AJ141)</f>
        <v>0</v>
      </c>
      <c r="AN141" s="22">
        <f>SUM(AE141,AH141,AK141)</f>
        <v>0</v>
      </c>
      <c r="AO141" s="21">
        <f>AN141-AM141</f>
        <v>0</v>
      </c>
      <c r="AP141" s="23">
        <v>0</v>
      </c>
      <c r="AQ141" s="22">
        <v>0</v>
      </c>
      <c r="AR141" s="21">
        <f>AQ141-AP141</f>
        <v>0</v>
      </c>
      <c r="AS141" s="23">
        <v>0</v>
      </c>
      <c r="AT141" s="20">
        <v>0</v>
      </c>
      <c r="AU141" s="21">
        <f>AT141-AS141</f>
        <v>0</v>
      </c>
      <c r="AV141" s="23">
        <v>0</v>
      </c>
      <c r="AW141" s="20">
        <v>0</v>
      </c>
      <c r="AX141" s="21">
        <f>AW141-AV141</f>
        <v>0</v>
      </c>
      <c r="AY141" s="22">
        <f>SUM(AP141,AS141,AV141)</f>
        <v>0</v>
      </c>
      <c r="AZ141" s="22">
        <f>SUM(AQ141,AT141,AW141)</f>
        <v>0</v>
      </c>
      <c r="BA141" s="21">
        <f>AZ141-AY141</f>
        <v>0</v>
      </c>
      <c r="BB141" s="23">
        <f t="shared" si="567"/>
        <v>0</v>
      </c>
      <c r="BC141" s="22">
        <f t="shared" si="567"/>
        <v>0</v>
      </c>
      <c r="BD141" s="21">
        <f>BC141-BB141</f>
        <v>0</v>
      </c>
      <c r="BE141" s="23">
        <v>0</v>
      </c>
      <c r="BF141" s="23">
        <v>0</v>
      </c>
      <c r="BG141" s="23">
        <f>BB141+BE141+BF141</f>
        <v>0</v>
      </c>
    </row>
    <row r="142" spans="1:59" ht="25.5" collapsed="1" x14ac:dyDescent="0.25">
      <c r="A142" s="18" t="s">
        <v>99</v>
      </c>
      <c r="B142" s="17" t="s">
        <v>100</v>
      </c>
      <c r="C142" s="16" t="s">
        <v>70</v>
      </c>
      <c r="D142" s="15">
        <f>D140+D143+D144</f>
        <v>0</v>
      </c>
      <c r="E142" s="14">
        <f>E140+E143+E144</f>
        <v>0</v>
      </c>
      <c r="F142" s="13">
        <f>F140+F143+F144</f>
        <v>0</v>
      </c>
      <c r="G142" s="12">
        <f>G140+G143+G144</f>
        <v>0</v>
      </c>
      <c r="H142" s="11">
        <f>G142-F142</f>
        <v>0</v>
      </c>
      <c r="I142" s="13">
        <f>I140+I143+I144</f>
        <v>0</v>
      </c>
      <c r="J142" s="10">
        <f>J140+J143+J144</f>
        <v>0</v>
      </c>
      <c r="K142" s="11">
        <f>J142-I142</f>
        <v>0</v>
      </c>
      <c r="L142" s="13">
        <f>L140+L143+L144</f>
        <v>0</v>
      </c>
      <c r="M142" s="10">
        <f>M140+M143+M144</f>
        <v>0</v>
      </c>
      <c r="N142" s="11">
        <f>M142-L142</f>
        <v>0</v>
      </c>
      <c r="O142" s="12">
        <f>O140+O143+O144</f>
        <v>0</v>
      </c>
      <c r="P142" s="12">
        <f>P140+P143+P144</f>
        <v>0</v>
      </c>
      <c r="Q142" s="11">
        <f>P142-O142</f>
        <v>0</v>
      </c>
      <c r="R142" s="13">
        <f>R140+R143+R144</f>
        <v>0</v>
      </c>
      <c r="S142" s="12">
        <f>S140+S143+S144</f>
        <v>0</v>
      </c>
      <c r="T142" s="11">
        <f>S142-R142</f>
        <v>0</v>
      </c>
      <c r="U142" s="13">
        <f>U140+U143+U144</f>
        <v>0</v>
      </c>
      <c r="V142" s="10">
        <f>V140+V143+V144</f>
        <v>0</v>
      </c>
      <c r="W142" s="11">
        <f>V142-U142</f>
        <v>0</v>
      </c>
      <c r="X142" s="13">
        <f>X140+X143+X144</f>
        <v>0</v>
      </c>
      <c r="Y142" s="10">
        <f>Y140+Y143+Y144</f>
        <v>0</v>
      </c>
      <c r="Z142" s="11">
        <f>Y142-X142</f>
        <v>0</v>
      </c>
      <c r="AA142" s="12">
        <f>AA140+AA143+AA144</f>
        <v>0</v>
      </c>
      <c r="AB142" s="12">
        <f>AB140+AB143+AB144</f>
        <v>0</v>
      </c>
      <c r="AC142" s="11">
        <f>AB142-AA142</f>
        <v>0</v>
      </c>
      <c r="AD142" s="13">
        <f>AD140+AD143+AD144</f>
        <v>0</v>
      </c>
      <c r="AE142" s="12">
        <f>AE140+AE143+AE144</f>
        <v>0</v>
      </c>
      <c r="AF142" s="11">
        <f>AE142-AD142</f>
        <v>0</v>
      </c>
      <c r="AG142" s="13">
        <f>AG140+AG143+AG144</f>
        <v>0</v>
      </c>
      <c r="AH142" s="10">
        <f>AH140+AH143+AH144</f>
        <v>0</v>
      </c>
      <c r="AI142" s="11">
        <f>AH142-AG142</f>
        <v>0</v>
      </c>
      <c r="AJ142" s="13">
        <f>AJ140+AJ143+AJ144</f>
        <v>0</v>
      </c>
      <c r="AK142" s="10">
        <f>AK140+AK143+AK144</f>
        <v>0</v>
      </c>
      <c r="AL142" s="11">
        <f>AK142-AJ142</f>
        <v>0</v>
      </c>
      <c r="AM142" s="12">
        <f>AM140+AM143+AM144</f>
        <v>0</v>
      </c>
      <c r="AN142" s="12">
        <f>AN140+AN143+AN144</f>
        <v>0</v>
      </c>
      <c r="AO142" s="11">
        <f>AN142-AM142</f>
        <v>0</v>
      </c>
      <c r="AP142" s="13">
        <f>AP140+AP143+AP144</f>
        <v>0</v>
      </c>
      <c r="AQ142" s="12">
        <f>AQ140+AQ143+AQ144</f>
        <v>0</v>
      </c>
      <c r="AR142" s="11">
        <f>AQ142-AP142</f>
        <v>0</v>
      </c>
      <c r="AS142" s="13">
        <f>AS140+AS143+AS144</f>
        <v>0</v>
      </c>
      <c r="AT142" s="10">
        <f>AT140+AT143+AT144</f>
        <v>0</v>
      </c>
      <c r="AU142" s="11">
        <f>AT142-AS142</f>
        <v>0</v>
      </c>
      <c r="AV142" s="13">
        <f>AV140+AV143+AV144</f>
        <v>0</v>
      </c>
      <c r="AW142" s="10">
        <f>AW140+AW143+AW144</f>
        <v>0</v>
      </c>
      <c r="AX142" s="11">
        <f>AW142-AV142</f>
        <v>0</v>
      </c>
      <c r="AY142" s="12">
        <f>AY140+AY143+AY144</f>
        <v>0</v>
      </c>
      <c r="AZ142" s="12">
        <f>AZ140+AZ143+AZ144</f>
        <v>0</v>
      </c>
      <c r="BA142" s="11">
        <f>AZ142-AY142</f>
        <v>0</v>
      </c>
      <c r="BB142" s="13">
        <f t="shared" si="567"/>
        <v>0</v>
      </c>
      <c r="BC142" s="12">
        <f t="shared" si="567"/>
        <v>0</v>
      </c>
      <c r="BD142" s="11">
        <f>BC142-BB142</f>
        <v>0</v>
      </c>
      <c r="BE142" s="13">
        <f>BE140+BE143+BE144</f>
        <v>0</v>
      </c>
      <c r="BF142" s="13">
        <f>BF140+BF143+BF144</f>
        <v>0</v>
      </c>
      <c r="BG142" s="13">
        <f>BG140+BG143+BG144</f>
        <v>0</v>
      </c>
    </row>
    <row r="143" spans="1:59" ht="15" hidden="1" customHeight="1" outlineLevel="1" x14ac:dyDescent="0.25">
      <c r="A143" s="27"/>
      <c r="B143" s="26" t="s">
        <v>101</v>
      </c>
      <c r="C143" s="25" t="s">
        <v>70</v>
      </c>
      <c r="D143" s="24">
        <v>0</v>
      </c>
      <c r="E143" s="24">
        <v>0</v>
      </c>
      <c r="F143" s="23">
        <v>0</v>
      </c>
      <c r="G143" s="22">
        <v>0</v>
      </c>
      <c r="H143" s="21">
        <f>G143-F143</f>
        <v>0</v>
      </c>
      <c r="I143" s="23">
        <v>0</v>
      </c>
      <c r="J143" s="20">
        <v>0</v>
      </c>
      <c r="K143" s="21">
        <f>J143-I143</f>
        <v>0</v>
      </c>
      <c r="L143" s="23">
        <v>0</v>
      </c>
      <c r="M143" s="20">
        <v>0</v>
      </c>
      <c r="N143" s="21">
        <f>M143-L143</f>
        <v>0</v>
      </c>
      <c r="O143" s="22">
        <f>SUM(F143,I143,L143)</f>
        <v>0</v>
      </c>
      <c r="P143" s="22">
        <f>SUM(G143,J143,M143)</f>
        <v>0</v>
      </c>
      <c r="Q143" s="21">
        <f>P143-O143</f>
        <v>0</v>
      </c>
      <c r="R143" s="23">
        <v>0</v>
      </c>
      <c r="S143" s="22">
        <v>0</v>
      </c>
      <c r="T143" s="21">
        <f>S143-R143</f>
        <v>0</v>
      </c>
      <c r="U143" s="23">
        <v>0</v>
      </c>
      <c r="V143" s="20">
        <v>0</v>
      </c>
      <c r="W143" s="21">
        <f>V143-U143</f>
        <v>0</v>
      </c>
      <c r="X143" s="23">
        <v>0</v>
      </c>
      <c r="Y143" s="20">
        <v>0</v>
      </c>
      <c r="Z143" s="21">
        <f>Y143-X143</f>
        <v>0</v>
      </c>
      <c r="AA143" s="22">
        <f>SUM(R143,U143,X143)</f>
        <v>0</v>
      </c>
      <c r="AB143" s="22">
        <f>SUM(S143,V143,Y143)</f>
        <v>0</v>
      </c>
      <c r="AC143" s="21">
        <f>AB143-AA143</f>
        <v>0</v>
      </c>
      <c r="AD143" s="23">
        <v>0</v>
      </c>
      <c r="AE143" s="22">
        <v>0</v>
      </c>
      <c r="AF143" s="21">
        <f>AE143-AD143</f>
        <v>0</v>
      </c>
      <c r="AG143" s="23">
        <v>0</v>
      </c>
      <c r="AH143" s="20">
        <v>0</v>
      </c>
      <c r="AI143" s="21">
        <f>AH143-AG143</f>
        <v>0</v>
      </c>
      <c r="AJ143" s="23">
        <v>0</v>
      </c>
      <c r="AK143" s="20">
        <v>0</v>
      </c>
      <c r="AL143" s="21">
        <f>AK143-AJ143</f>
        <v>0</v>
      </c>
      <c r="AM143" s="22">
        <f>SUM(AD143,AG143,AJ143)</f>
        <v>0</v>
      </c>
      <c r="AN143" s="22">
        <f>SUM(AE143,AH143,AK143)</f>
        <v>0</v>
      </c>
      <c r="AO143" s="21">
        <f>AN143-AM143</f>
        <v>0</v>
      </c>
      <c r="AP143" s="23">
        <v>0</v>
      </c>
      <c r="AQ143" s="22">
        <v>0</v>
      </c>
      <c r="AR143" s="21">
        <f>AQ143-AP143</f>
        <v>0</v>
      </c>
      <c r="AS143" s="23">
        <v>0</v>
      </c>
      <c r="AT143" s="20">
        <v>0</v>
      </c>
      <c r="AU143" s="21">
        <f>AT143-AS143</f>
        <v>0</v>
      </c>
      <c r="AV143" s="23">
        <v>0</v>
      </c>
      <c r="AW143" s="20">
        <v>0</v>
      </c>
      <c r="AX143" s="21">
        <f>AW143-AV143</f>
        <v>0</v>
      </c>
      <c r="AY143" s="22">
        <f>SUM(AP143,AS143,AV143)</f>
        <v>0</v>
      </c>
      <c r="AZ143" s="22">
        <f>SUM(AQ143,AT143,AW143)</f>
        <v>0</v>
      </c>
      <c r="BA143" s="21">
        <f>AZ143-AY143</f>
        <v>0</v>
      </c>
      <c r="BB143" s="23">
        <f t="shared" si="567"/>
        <v>0</v>
      </c>
      <c r="BC143" s="22">
        <f t="shared" si="567"/>
        <v>0</v>
      </c>
      <c r="BD143" s="21">
        <f>BC143-BB143</f>
        <v>0</v>
      </c>
      <c r="BE143" s="23">
        <v>0</v>
      </c>
      <c r="BF143" s="23">
        <v>0</v>
      </c>
      <c r="BG143" s="23">
        <f>BB143+BE143+BF143</f>
        <v>0</v>
      </c>
    </row>
    <row r="144" spans="1:59" ht="15" hidden="1" customHeight="1" outlineLevel="1" thickBot="1" x14ac:dyDescent="0.3">
      <c r="A144" s="9"/>
      <c r="B144" s="8" t="s">
        <v>102</v>
      </c>
      <c r="C144" s="7" t="s">
        <v>70</v>
      </c>
      <c r="D144" s="6">
        <v>0</v>
      </c>
      <c r="E144" s="6">
        <v>0</v>
      </c>
      <c r="F144" s="5">
        <v>0</v>
      </c>
      <c r="G144" s="4">
        <v>0</v>
      </c>
      <c r="H144" s="3">
        <f>G144-F144</f>
        <v>0</v>
      </c>
      <c r="I144" s="5">
        <v>0</v>
      </c>
      <c r="J144" s="2">
        <v>0</v>
      </c>
      <c r="K144" s="3">
        <f>J144-I144</f>
        <v>0</v>
      </c>
      <c r="L144" s="5">
        <v>0</v>
      </c>
      <c r="M144" s="2">
        <v>0</v>
      </c>
      <c r="N144" s="3">
        <f>M144-L144</f>
        <v>0</v>
      </c>
      <c r="O144" s="4">
        <f>SUM(F144,I144,L144)</f>
        <v>0</v>
      </c>
      <c r="P144" s="4">
        <f>SUM(G144,J144,M144)</f>
        <v>0</v>
      </c>
      <c r="Q144" s="3">
        <f>P144-O144</f>
        <v>0</v>
      </c>
      <c r="R144" s="5">
        <v>0</v>
      </c>
      <c r="S144" s="4">
        <v>0</v>
      </c>
      <c r="T144" s="3">
        <f>S144-R144</f>
        <v>0</v>
      </c>
      <c r="U144" s="5">
        <v>0</v>
      </c>
      <c r="V144" s="2">
        <v>0</v>
      </c>
      <c r="W144" s="3">
        <f>V144-U144</f>
        <v>0</v>
      </c>
      <c r="X144" s="5">
        <v>0</v>
      </c>
      <c r="Y144" s="2">
        <v>0</v>
      </c>
      <c r="Z144" s="3">
        <f>Y144-X144</f>
        <v>0</v>
      </c>
      <c r="AA144" s="4">
        <f>SUM(R144,U144,X144)</f>
        <v>0</v>
      </c>
      <c r="AB144" s="4">
        <f>SUM(S144,V144,Y144)</f>
        <v>0</v>
      </c>
      <c r="AC144" s="3">
        <f>AB144-AA144</f>
        <v>0</v>
      </c>
      <c r="AD144" s="5">
        <v>0</v>
      </c>
      <c r="AE144" s="4">
        <v>0</v>
      </c>
      <c r="AF144" s="3">
        <f>AE144-AD144</f>
        <v>0</v>
      </c>
      <c r="AG144" s="5">
        <v>0</v>
      </c>
      <c r="AH144" s="2">
        <v>0</v>
      </c>
      <c r="AI144" s="3">
        <f>AH144-AG144</f>
        <v>0</v>
      </c>
      <c r="AJ144" s="5">
        <v>0</v>
      </c>
      <c r="AK144" s="2">
        <v>0</v>
      </c>
      <c r="AL144" s="3">
        <f>AK144-AJ144</f>
        <v>0</v>
      </c>
      <c r="AM144" s="4">
        <f>SUM(AD144,AG144,AJ144)</f>
        <v>0</v>
      </c>
      <c r="AN144" s="4">
        <f>SUM(AE144,AH144,AK144)</f>
        <v>0</v>
      </c>
      <c r="AO144" s="3">
        <f>AN144-AM144</f>
        <v>0</v>
      </c>
      <c r="AP144" s="5">
        <v>0</v>
      </c>
      <c r="AQ144" s="4">
        <v>0</v>
      </c>
      <c r="AR144" s="3">
        <f>AQ144-AP144</f>
        <v>0</v>
      </c>
      <c r="AS144" s="5">
        <v>0</v>
      </c>
      <c r="AT144" s="2">
        <v>0</v>
      </c>
      <c r="AU144" s="3">
        <f>AT144-AS144</f>
        <v>0</v>
      </c>
      <c r="AV144" s="5">
        <v>0</v>
      </c>
      <c r="AW144" s="2">
        <v>0</v>
      </c>
      <c r="AX144" s="3">
        <f>AW144-AV144</f>
        <v>0</v>
      </c>
      <c r="AY144" s="4">
        <f>SUM(AP144,AS144,AV144)</f>
        <v>0</v>
      </c>
      <c r="AZ144" s="4">
        <f>SUM(AQ144,AT144,AW144)</f>
        <v>0</v>
      </c>
      <c r="BA144" s="3">
        <f>AZ144-AY144</f>
        <v>0</v>
      </c>
      <c r="BB144" s="5">
        <f t="shared" si="567"/>
        <v>0</v>
      </c>
      <c r="BC144" s="4">
        <f t="shared" si="567"/>
        <v>0</v>
      </c>
      <c r="BD144" s="3">
        <f>BC144-BB144</f>
        <v>0</v>
      </c>
      <c r="BE144" s="5">
        <v>0</v>
      </c>
      <c r="BF144" s="5">
        <v>0</v>
      </c>
      <c r="BG144" s="23">
        <f>BB144+BE144+BF144</f>
        <v>0</v>
      </c>
    </row>
    <row r="145" collapsed="1" x14ac:dyDescent="0.25"/>
  </sheetData>
  <mergeCells count="37">
    <mergeCell ref="A139:C139"/>
    <mergeCell ref="AV6:AX6"/>
    <mergeCell ref="AS6:AU6"/>
    <mergeCell ref="E5:E6"/>
    <mergeCell ref="F5:BD5"/>
    <mergeCell ref="F6:H6"/>
    <mergeCell ref="AY6:BA6"/>
    <mergeCell ref="BB6:BD6"/>
    <mergeCell ref="A8:C8"/>
    <mergeCell ref="A73:C73"/>
    <mergeCell ref="A103:C103"/>
    <mergeCell ref="AD6:AF6"/>
    <mergeCell ref="AG6:AI6"/>
    <mergeCell ref="AJ6:AL6"/>
    <mergeCell ref="AM6:AO6"/>
    <mergeCell ref="AP6:AR6"/>
    <mergeCell ref="AB1:AD1"/>
    <mergeCell ref="K2:M2"/>
    <mergeCell ref="N2:P2"/>
    <mergeCell ref="Q2:T2"/>
    <mergeCell ref="U2:W2"/>
    <mergeCell ref="K1:M1"/>
    <mergeCell ref="N1:P1"/>
    <mergeCell ref="Q1:T1"/>
    <mergeCell ref="U1:W1"/>
    <mergeCell ref="X1:AA1"/>
    <mergeCell ref="X6:Z6"/>
    <mergeCell ref="AA6:AC6"/>
    <mergeCell ref="A5:A7"/>
    <mergeCell ref="B5:B7"/>
    <mergeCell ref="C5:C7"/>
    <mergeCell ref="D5:D6"/>
    <mergeCell ref="I6:K6"/>
    <mergeCell ref="L6:N6"/>
    <mergeCell ref="O6:Q6"/>
    <mergeCell ref="R6:T6"/>
    <mergeCell ref="U6:W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ЗБС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2015-10-22T11:48:21Z</dcterms:created>
  <dcterms:modified xsi:type="dcterms:W3CDTF">2019-07-22T09:15:29Z</dcterms:modified>
</cp:coreProperties>
</file>