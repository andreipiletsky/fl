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Work\TFS\Petroviser\GPN_Dev\ГПН.Церера\Ceres\smb2crs\Reports\AllRoles\"/>
    </mc:Choice>
  </mc:AlternateContent>
  <bookViews>
    <workbookView xWindow="0" yWindow="0" windowWidth="21570" windowHeight="8145"/>
  </bookViews>
  <sheets>
    <sheet name="Год" sheetId="2" r:id="rId1"/>
    <sheet name="Примечания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2" l="1"/>
  <c r="V58" i="2"/>
  <c r="V59" i="2"/>
  <c r="V41" i="2"/>
  <c r="V39" i="2"/>
  <c r="V57" i="2"/>
  <c r="V40" i="2"/>
  <c r="V22" i="2"/>
  <c r="J10" i="2" l="1"/>
  <c r="V60" i="2"/>
  <c r="V23" i="2"/>
  <c r="V33" i="2"/>
  <c r="V42" i="2"/>
  <c r="V27" i="2"/>
  <c r="V51" i="2"/>
  <c r="V61" i="2"/>
  <c r="V43" i="2"/>
  <c r="E32" i="2" l="1"/>
  <c r="D32" i="2"/>
  <c r="V35" i="2"/>
  <c r="D35" i="2"/>
  <c r="D24" i="2"/>
  <c r="D53" i="2"/>
  <c r="V53" i="2"/>
  <c r="V26" i="2"/>
  <c r="V56" i="2"/>
  <c r="V32" i="2"/>
  <c r="V38" i="2"/>
  <c r="V36" i="2"/>
  <c r="D25" i="2"/>
  <c r="V55" i="2"/>
  <c r="V34" i="2"/>
  <c r="V50" i="2"/>
  <c r="V37" i="2"/>
  <c r="V52" i="2"/>
  <c r="D36" i="2"/>
  <c r="D54" i="2"/>
  <c r="V25" i="2"/>
  <c r="V28" i="2"/>
  <c r="V54" i="2"/>
  <c r="V24" i="2"/>
</calcChain>
</file>

<file path=xl/comments1.xml><?xml version="1.0" encoding="utf-8"?>
<comments xmlns="http://schemas.openxmlformats.org/spreadsheetml/2006/main">
  <authors>
    <author>Штыкова А.В.</author>
  </authors>
  <commentList>
    <comment ref="H1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 (Бурение виды работ: бурение, передвижка, мобилизация, монтаж, стаскивание, демонтаж, демобилизация)</t>
        </r>
      </text>
    </comment>
    <comment ref="V1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Бурится скв. (число скважин, на которых были операции бурения)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осв.с ГРП (виды работ: освоение)</t>
        </r>
      </text>
    </comment>
    <comment ref="H1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обустройство (виды работ: обустройство)</t>
        </r>
      </text>
    </comment>
    <comment ref="V1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Передвижка/Стаскивание, шт. (кол-во за год работ передвижка или стаскивание)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запуск скв (виды работ: ВНР, ввод в эксплуатацию)</t>
        </r>
      </text>
    </comment>
    <comment ref="V1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ГРП, скв опер, шт. (сумма количества стадий ГРП для куста)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(проходки в месяцах, где есть бурение)</t>
        </r>
      </text>
    </comment>
    <comment ref="V1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(проходка за год)</t>
        </r>
      </text>
    </comment>
    <comment ref="H1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(число дней бурения в месяце / 30)</t>
        </r>
      </text>
    </comment>
    <comment ref="V1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(число дней бурения за год / 30)</t>
        </r>
      </text>
    </comment>
    <comment ref="H2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(кол-во скважин, у которых в данном месяце закончилась работа бурение)</t>
        </r>
      </text>
    </comment>
    <comment ref="V2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(сумма скважин, у которых в были работы бурения)</t>
        </r>
      </text>
    </comment>
    <comment ref="H2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(кол-во скважин, у которых в данном месяце закончилась работа освоение)</t>
        </r>
      </text>
    </comment>
    <comment ref="V2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(сумма скважин, у которых в были работы освоения)</t>
        </r>
      </text>
    </comment>
    <comment ref="H2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Закон. строит. доб. скв., шт. аналогично Скв. законч. строит., шт.</t>
        </r>
      </text>
    </comment>
    <comment ref="V2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аналогично Скв. законч. строит., шт.</t>
        </r>
      </text>
    </comment>
    <comment ref="H2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м./ст.-мес. (проходка/ ст.мес.)</t>
        </r>
      </text>
    </comment>
    <comment ref="V2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м./ст.-мес. (проходка/ ст.мес.)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в месяце / проходка * 1000)</t>
        </r>
      </text>
    </comment>
    <comment ref="V2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в месяце / проходка * 1000)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(показатель проходки в месяцах, где есть бурение)</t>
        </r>
      </text>
    </comment>
    <comment ref="V2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(показатель проходки за год)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(число дней бурения в месяце / 30)</t>
        </r>
      </text>
    </comment>
    <comment ref="V2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(число дней бурения за год / 30)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Передвижка/Стаскивание, шт. (кол-во начавшихся в данном месяце работ передвижка или стаскивание)</t>
        </r>
      </text>
    </comment>
    <comment ref="V3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Передвижка/Стаскивание, шт. (кол-во за год работ передвижка или стаскивание)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(кол-во скважин, у которых в данном месяце закончилась работа бурение)</t>
        </r>
      </text>
    </comment>
    <comment ref="V3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(сумма скважин, у которых в были работы бурения)</t>
        </r>
      </text>
    </comment>
    <comment ref="H3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(кол-во скважин, у которых в данном месяце закончилась работа освоение)</t>
        </r>
      </text>
    </comment>
    <comment ref="V3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(сумма скважин, у которых в были работы освоения)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Закон. строит. доб. скв., шт. аналогично Скв. законч. строит., шт.</t>
        </r>
      </text>
    </comment>
    <comment ref="V3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аналогично Скв. законч. строит., шт.</t>
        </r>
      </text>
    </comment>
    <comment ref="H3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ГРП, скв опер, шт. (сумма количества стадий ГРП для месторождения)</t>
        </r>
      </text>
    </comment>
    <comment ref="V3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ГРП, скв опер, шт. (сумма количества стадий ГРП для месторождения за год)</t>
        </r>
      </text>
    </comment>
    <comment ref="H35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бур. бригад, шт. (кол-во дней бурения / число дней в месяце)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бур. бригад, шт. (среднее значение за год)</t>
        </r>
      </text>
    </comment>
    <comment ref="H3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бригад освоения, шт. (кол-во дней освоения / число дней в месяце)</t>
        </r>
      </text>
    </comment>
    <comment ref="V3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бригад освоения, шт. (среднее значение за год)</t>
        </r>
      </text>
    </comment>
    <comment ref="H3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в/монт. бригад, шт. (кол-во дней операций ВМР / число дней в месяце)</t>
        </r>
      </text>
    </comment>
    <comment ref="V3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в/монт. бригад, шт. (среднее значение за год)</t>
        </r>
      </text>
    </comment>
    <comment ref="H3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м./ст.-мес. (проходка/ ст.мес.)</t>
        </r>
      </text>
    </comment>
    <comment ref="V3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м/ст.-мес (проходка / ст./мес., где ст./мес. есть дни бурения для каждого куста /30)</t>
        </r>
      </text>
    </comment>
    <comment ref="H3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в месяце / проходка * 1000)</t>
        </r>
      </text>
    </comment>
    <comment ref="V3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за год / проходка * 1000)</t>
        </r>
      </text>
    </comment>
    <comment ref="H4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(показатель проходки по месторождениям, где есть бурение)</t>
        </r>
      </text>
    </comment>
    <comment ref="V4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Проходка, м. (показатель проходки по всем месторождениям, где есть бурение)</t>
        </r>
      </text>
    </comment>
    <comment ref="H4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(сумма ст./мес. по месяцам по кустам, входящих в месторождения)</t>
        </r>
      </text>
    </comment>
    <comment ref="V4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Ст./мес. (сумма ст./мес. за год по кустам, входящих в месторождения) 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Передвижка/Стаскивание, шт. (кол-во начавшихся в данном месяце работ передвижка или стаскивание)</t>
        </r>
      </text>
    </comment>
    <comment ref="V48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Передвижка/Стаскивание, шт. (сумма работ передвижка или стаскивание)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(кол-во скважин, у которых в данном месяце закончилась работа бурение)</t>
        </r>
      </text>
    </comment>
    <comment ref="V49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бур., шт. (сумма скважин, у которых в были работы бурения)</t>
        </r>
      </text>
    </comment>
    <comment ref="H5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(кол-во скважин, у которых в данном месяце закончилась работа освоение)</t>
        </r>
      </text>
    </comment>
    <comment ref="V50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Скв. законч. строит., шт.  (сумма скважин, у которых в были работы освоения)</t>
        </r>
      </text>
    </comment>
    <comment ref="H5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Закон. строит. доб. скв., шт. аналогично Скв. законч. строит., шт.</t>
        </r>
      </text>
    </comment>
    <comment ref="V51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аналогично Скв. законч. строит., шт.</t>
        </r>
      </text>
    </comment>
    <comment ref="H5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ГРП, скв опер, шт. (сумма количества стадий ГРП для всех месторождений)</t>
        </r>
      </text>
    </comment>
    <comment ref="V52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ГРП, скв опер, шт. (сумма количества стадий ГРП для всех месторождений за год)</t>
        </r>
      </text>
    </comment>
    <comment ref="H5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бур. бригад, шт. (кол-во дней бурения / число дней в месяце)</t>
        </r>
      </text>
    </comment>
    <comment ref="V53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бур. бригад, шт. (сумма по всем месторождениям средних значений за год)</t>
        </r>
      </text>
    </comment>
    <comment ref="H5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бригад освоения, шт. (кол-во дней освоения / число дней в месяце)</t>
        </r>
      </text>
    </comment>
    <comment ref="V54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бригад освоения, шт. (сумма по всем месторождениям средних значений за год)</t>
        </r>
      </text>
    </comment>
    <comment ref="H55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в/монт. бригад, шт. (кол-во дней операций ВМР / число дней в месяце)</t>
        </r>
      </text>
    </comment>
    <comment ref="V55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Кол-во в/монт. бригад, шт. (сумма по всем месторождениям  средних значений за год)</t>
        </r>
      </text>
    </comment>
    <comment ref="H5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м./ст.-мес. (проходка/ ст.мес.)</t>
        </r>
      </text>
    </comment>
    <comment ref="V56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м/ст.-мес (проходка / ст./мес.)</t>
        </r>
      </text>
    </comment>
    <comment ref="H5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в месяце / проходка * 1000)</t>
        </r>
      </text>
    </comment>
    <comment ref="V57" authorId="0" shapeId="0">
      <text>
        <r>
          <rPr>
            <b/>
            <sz val="9"/>
            <color indexed="81"/>
            <rFont val="Tahoma"/>
            <family val="2"/>
            <charset val="204"/>
          </rPr>
          <t>Штыкова А.В.:</t>
        </r>
        <r>
          <rPr>
            <sz val="9"/>
            <color indexed="81"/>
            <rFont val="Tahoma"/>
            <family val="2"/>
            <charset val="204"/>
          </rPr>
          <t xml:space="preserve">
Коммерческая скорость, сут./1000м (число дней бурения за год / проходка * 1000)</t>
        </r>
      </text>
    </comment>
  </commentList>
</comments>
</file>

<file path=xl/sharedStrings.xml><?xml version="1.0" encoding="utf-8"?>
<sst xmlns="http://schemas.openxmlformats.org/spreadsheetml/2006/main" count="251" uniqueCount="91">
  <si>
    <t xml:space="preserve">Проходка всего: </t>
  </si>
  <si>
    <t xml:space="preserve">Законченных бурением скважин, всего: </t>
  </si>
  <si>
    <t xml:space="preserve">Законченных строительством скважин, всего: </t>
  </si>
  <si>
    <t>Месторождение</t>
  </si>
  <si>
    <t>№ куста</t>
  </si>
  <si>
    <t>Кол-во скважин</t>
  </si>
  <si>
    <t>Всего</t>
  </si>
  <si>
    <t>ДАТА БУРЕНИЯ КУСТА</t>
  </si>
  <si>
    <t>начало</t>
  </si>
  <si>
    <t>окончание</t>
  </si>
  <si>
    <t>Вид работ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</si>
  <si>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</si>
  <si>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</si>
  <si>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</si>
  <si>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</si>
  <si>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</si>
  <si>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</si>
  <si>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</si>
  <si>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</si>
  <si>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</si>
  <si>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</si>
  <si>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</si>
  <si>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</si>
  <si>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За год</t>
  </si>
  <si>
    <t>Показатель</t>
  </si>
  <si>
    <t>Количество</t>
  </si>
  <si>
    <t>Подрядчик</t>
  </si>
  <si>
    <t>БУ</t>
  </si>
  <si>
    <t>бур. бригада</t>
  </si>
  <si>
    <t>ст./мес.</t>
  </si>
  <si>
    <t>ком.ск.</t>
  </si>
  <si>
    <t>бурение</t>
  </si>
  <si>
    <t>осв.с ГРП</t>
  </si>
  <si>
    <t>обустройство</t>
  </si>
  <si>
    <t>запуск скв</t>
  </si>
  <si>
    <t>Проходка, м.</t>
  </si>
  <si>
    <t>Ст./мес.</t>
  </si>
  <si>
    <t>Скв. законч. бур., шт.</t>
  </si>
  <si>
    <t>Скв. законч. строит., шт.</t>
  </si>
  <si>
    <t>Закон. строит. доб. скв., шт.</t>
  </si>
  <si>
    <t>Коммерческая скорость, м./ст.-мес.</t>
  </si>
  <si>
    <t>Коммерческая скорость, сут./1000м</t>
  </si>
  <si>
    <t>Бурится скв.</t>
  </si>
  <si>
    <t>Передвижка/Стаскивание, шт.</t>
  </si>
  <si>
    <t>ГРП, скв. опер, шт.</t>
  </si>
  <si>
    <t>Коммерческая скорость,м/ст.-мес</t>
  </si>
  <si>
    <t>Коммерческая скорость,сут/1000м</t>
  </si>
  <si>
    <t>ком.ск., м/ст.-мес</t>
  </si>
  <si>
    <t>ГРП, скв опер, шт.</t>
  </si>
  <si>
    <t>Кол-во бур. бригад, шт.</t>
  </si>
  <si>
    <t>Кол-во бригад освоения, шт.</t>
  </si>
  <si>
    <t>Кол-во в/монт. бригад, шт.</t>
  </si>
  <si>
    <t>Коммерческая скорость, м/ст.-мес</t>
  </si>
  <si>
    <t>ГРАФИК СТРОИТЕЛЬСТВА ЭКСПЛУАТАЦИОННЫХ СКВАЖИН в ДЗО на годплана г.</t>
  </si>
  <si>
    <t>Название Месторождения</t>
  </si>
  <si>
    <t>номер куста</t>
  </si>
  <si>
    <t xml:space="preserve">Обозначения: </t>
  </si>
  <si>
    <t>Итого по месторождение/подрядчик по месяцам</t>
  </si>
  <si>
    <t>продолжительность бур. в сутках</t>
  </si>
  <si>
    <t>продолжительность осв. в сутках</t>
  </si>
  <si>
    <t>продолжительность монтажа в сутках</t>
  </si>
  <si>
    <t>Итого по всем месторождениям/подрядчикам по месяцам</t>
  </si>
  <si>
    <t xml:space="preserve">ВНР      </t>
  </si>
  <si>
    <t xml:space="preserve">Освоение      </t>
  </si>
  <si>
    <t xml:space="preserve">Демобилизация      </t>
  </si>
  <si>
    <t xml:space="preserve">Демонтаж      </t>
  </si>
  <si>
    <t xml:space="preserve">Стаскивание      </t>
  </si>
  <si>
    <t xml:space="preserve">Бурение  горизонтальная под многостадийное ГРП  баженовская свита  </t>
  </si>
  <si>
    <t xml:space="preserve">Передвижка 9     </t>
  </si>
  <si>
    <t xml:space="preserve">Бурение  Наклонно-направленная  баженовская свита  </t>
  </si>
  <si>
    <t>годовой показатель ком.ск. для всех месторождений</t>
  </si>
  <si>
    <t>годовой показатель ст./мес. для всех месторождений</t>
  </si>
  <si>
    <t>количество</t>
  </si>
  <si>
    <t>Итого по всем месторождениям по месяцам</t>
  </si>
  <si>
    <t>Коммерческая скорость, сут/1000м</t>
  </si>
  <si>
    <t>годовой показатель ком.ск. для месторождения</t>
  </si>
  <si>
    <t>годовой показатель ст./мес. для месторождения</t>
  </si>
  <si>
    <t>Итого по Вынгапуровское по месяцам</t>
  </si>
  <si>
    <t>годовой показатель ком.ск. для куста</t>
  </si>
  <si>
    <t>годовой показатель ст./мес. для куста</t>
  </si>
  <si>
    <t>Имя бур.бригады</t>
  </si>
  <si>
    <t>Наименование БУ</t>
  </si>
  <si>
    <t>Имя подрядчика</t>
  </si>
  <si>
    <t>ДД.ММ.ГГ</t>
  </si>
  <si>
    <t>Куст</t>
  </si>
  <si>
    <t>Вынгапуровское</t>
  </si>
  <si>
    <t>Бур2017</t>
  </si>
  <si>
    <t xml:space="preserve"> скв</t>
  </si>
  <si>
    <t xml:space="preserve"> тыс. м</t>
  </si>
  <si>
    <t>от ДД.ММ.ГГГГ</t>
  </si>
  <si>
    <t>ГРАФИК СТРОИТЕЛЬСТВА ЭКСПЛУАТАЦИОННЫХ СКВАЖИН в АО "Газпромнефть-Ноябрьскнефтегаз" на 2017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</si>
</sst>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/m/yyyy;@"/>
    <numFmt numFmtId="165" formatCode="dd/mm/yy;@"/>
    <numFmt numFmtId="166" formatCode="#,##0.0"/>
    <numFmt numFmtId="167" formatCode="0.0"/>
  </numFmts>
  <fonts count="4" x14ac:knownFonts="1">
    <font>
      <b/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 vertical="center"/>
    </xf>
    <xf numFmtId="164" fontId="1" fillId="4" borderId="0" xfId="0" applyNumberFormat="1" applyFont="1" applyFill="1"/>
    <xf numFmtId="0" fontId="0" fillId="4" borderId="0" xfId="0" quotePrefix="1" applyFill="1" applyAlignment="1">
      <alignment horizontal="left" vertical="center"/>
    </xf>
    <xf numFmtId="165" fontId="0" fillId="3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right"/>
    </xf>
    <xf numFmtId="0" fontId="1" fillId="4" borderId="0" xfId="0" applyFont="1" applyFill="1"/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1" fillId="4" borderId="0" xfId="0" applyNumberFormat="1" applyFont="1" applyFill="1"/>
    <xf numFmtId="0" fontId="1" fillId="4" borderId="0" xfId="0" applyNumberFormat="1" applyFont="1" applyFill="1"/>
    <xf numFmtId="14" fontId="0" fillId="4" borderId="0" xfId="0" applyNumberForma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13</xdr:row>
      <xdr:rowOff>0</xdr:rowOff>
    </xdr:from>
    <xdr:to>
      <xdr:col>8</xdr:col>
      <xdr:colOff>1433056</xdr:colOff>
      <xdr:row>14</xdr:row>
      <xdr:rowOff>0</xdr:rowOff>
    </xdr:to>
    <xdr:sp macro="" textlink="">
      <xdr:nvSpPr>
        <xdr:cNvPr id="2" name="Прямоугольник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4876800" y="2476500"/>
          <a:ext cx="613906" cy="190500"/>
        </a:xfrm>
        <a:prstGeom prst="rect">
          <a:avLst/>
        </a:prstGeom>
        <a:solidFill>
          <a:srgbClr val="6699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2196</a:t>
          </a:r>
        </a:p>
      </xdr:txBody>
    </xdr:sp>
    <xdr:clientData/>
  </xdr:twoCellAnchor>
  <xdr:twoCellAnchor>
    <xdr:from>
      <xdr:col>8</xdr:col>
      <xdr:colOff>1433056</xdr:colOff>
      <xdr:row>13</xdr:row>
      <xdr:rowOff>0</xdr:rowOff>
    </xdr:from>
    <xdr:to>
      <xdr:col>8</xdr:col>
      <xdr:colOff>1501297</xdr:colOff>
      <xdr:row>14</xdr:row>
      <xdr:rowOff>0</xdr:rowOff>
    </xdr:to>
    <xdr:sp macro="" textlink="">
      <xdr:nvSpPr>
        <xdr:cNvPr id="3" name="Прямоугольник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5490706" y="2476500"/>
          <a:ext cx="0" cy="190500"/>
        </a:xfrm>
        <a:prstGeom prst="rect">
          <a:avLst/>
        </a:prstGeom>
        <a:solidFill>
          <a:srgbClr val="0000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8</xdr:col>
      <xdr:colOff>1501297</xdr:colOff>
      <xdr:row>13</xdr:row>
      <xdr:rowOff>0</xdr:rowOff>
    </xdr:from>
    <xdr:to>
      <xdr:col>9</xdr:col>
      <xdr:colOff>1638692</xdr:colOff>
      <xdr:row>14</xdr:row>
      <xdr:rowOff>0</xdr:rowOff>
    </xdr:to>
    <xdr:sp macro="" textlink="">
      <xdr:nvSpPr>
        <xdr:cNvPr id="4" name="Прямоугольник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>
        <a:xfrm>
          <a:off x="5482747" y="2476500"/>
          <a:ext cx="613645" cy="190500"/>
        </a:xfrm>
        <a:prstGeom prst="rect">
          <a:avLst/>
        </a:prstGeom>
        <a:pattFill prst="pct10">
          <a:fgClr>
            <a:srgbClr val="000000"/>
          </a:fgClr>
          <a:bgClr>
            <a:srgbClr val="339966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4000</a:t>
          </a:r>
        </a:p>
      </xdr:txBody>
    </xdr:sp>
    <xdr:clientData/>
  </xdr:twoCellAnchor>
  <xdr:twoCellAnchor>
    <xdr:from>
      <xdr:col>9</xdr:col>
      <xdr:colOff>1638691</xdr:colOff>
      <xdr:row>13</xdr:row>
      <xdr:rowOff>0</xdr:rowOff>
    </xdr:from>
    <xdr:to>
      <xdr:col>9</xdr:col>
      <xdr:colOff>1706931</xdr:colOff>
      <xdr:row>14</xdr:row>
      <xdr:rowOff>0</xdr:rowOff>
    </xdr:to>
    <xdr:sp macro="" textlink="">
      <xdr:nvSpPr>
        <xdr:cNvPr id="5" name="Прямоугольник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/>
      </xdr:nvSpPr>
      <xdr:spPr>
        <a:xfrm>
          <a:off x="6096391" y="2476500"/>
          <a:ext cx="1565" cy="190500"/>
        </a:xfrm>
        <a:prstGeom prst="rect">
          <a:avLst/>
        </a:prstGeom>
        <a:pattFill prst="dkVert">
          <a:fgClr>
            <a:srgbClr val="000000"/>
          </a:fgClr>
          <a:bgClr>
            <a:srgbClr val="FFFFFF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10</xdr:col>
      <xdr:colOff>816018</xdr:colOff>
      <xdr:row>13</xdr:row>
      <xdr:rowOff>0</xdr:rowOff>
    </xdr:from>
    <xdr:to>
      <xdr:col>10</xdr:col>
      <xdr:colOff>1771390</xdr:colOff>
      <xdr:row>14</xdr:row>
      <xdr:rowOff>0</xdr:rowOff>
    </xdr:to>
    <xdr:sp macro="" textlink="">
      <xdr:nvSpPr>
        <xdr:cNvPr id="6" name="Прямоугольник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SpPr/>
      </xdr:nvSpPr>
      <xdr:spPr>
        <a:xfrm>
          <a:off x="6702468" y="2476500"/>
          <a:ext cx="2872" cy="190500"/>
        </a:xfrm>
        <a:prstGeom prst="rect">
          <a:avLst/>
        </a:prstGeom>
        <a:pattFill prst="dkVert">
          <a:fgClr>
            <a:srgbClr val="000000"/>
          </a:fgClr>
          <a:bgClr>
            <a:srgbClr val="8B0000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10</xdr:col>
      <xdr:colOff>1771390</xdr:colOff>
      <xdr:row>13</xdr:row>
      <xdr:rowOff>0</xdr:rowOff>
    </xdr:from>
    <xdr:to>
      <xdr:col>11</xdr:col>
      <xdr:colOff>339248</xdr:colOff>
      <xdr:row>14</xdr:row>
      <xdr:rowOff>0</xdr:rowOff>
    </xdr:to>
    <xdr:sp macro="" textlink="">
      <xdr:nvSpPr>
        <xdr:cNvPr id="7" name="Прямоугольник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>
        <a:xfrm>
          <a:off x="6705340" y="2476500"/>
          <a:ext cx="339508" cy="190500"/>
        </a:xfrm>
        <a:prstGeom prst="rect">
          <a:avLst/>
        </a:prstGeom>
        <a:pattFill prst="dkVert">
          <a:fgClr>
            <a:srgbClr val="000000"/>
          </a:fgClr>
          <a:bgClr>
            <a:srgbClr val="FFFFFF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8</xdr:col>
      <xdr:colOff>1501297</xdr:colOff>
      <xdr:row>14</xdr:row>
      <xdr:rowOff>0</xdr:rowOff>
    </xdr:from>
    <xdr:to>
      <xdr:col>9</xdr:col>
      <xdr:colOff>69154</xdr:colOff>
      <xdr:row>15</xdr:row>
      <xdr:rowOff>0</xdr:rowOff>
    </xdr:to>
    <xdr:sp macro="" textlink="">
      <xdr:nvSpPr>
        <xdr:cNvPr id="8" name="Прямоугольник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>
        <a:xfrm>
          <a:off x="5482747" y="2667000"/>
          <a:ext cx="72807" cy="190500"/>
        </a:xfrm>
        <a:prstGeom prst="rect">
          <a:avLst/>
        </a:prstGeom>
        <a:solidFill>
          <a:srgbClr val="66CC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9</xdr:col>
      <xdr:colOff>1706931</xdr:colOff>
      <xdr:row>14</xdr:row>
      <xdr:rowOff>0</xdr:rowOff>
    </xdr:from>
    <xdr:to>
      <xdr:col>10</xdr:col>
      <xdr:colOff>474814</xdr:colOff>
      <xdr:row>15</xdr:row>
      <xdr:rowOff>0</xdr:rowOff>
    </xdr:to>
    <xdr:sp macro="" textlink="">
      <xdr:nvSpPr>
        <xdr:cNvPr id="9" name="Прямоугольник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>
        <a:xfrm>
          <a:off x="6097956" y="2667000"/>
          <a:ext cx="472858" cy="190500"/>
        </a:xfrm>
        <a:prstGeom prst="rect">
          <a:avLst/>
        </a:prstGeom>
        <a:solidFill>
          <a:srgbClr val="66CC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204722</xdr:colOff>
      <xdr:row>17</xdr:row>
      <xdr:rowOff>0</xdr:rowOff>
    </xdr:to>
    <xdr:sp macro="" textlink="">
      <xdr:nvSpPr>
        <xdr:cNvPr id="10" name="Прямоугольник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>
        <a:xfrm>
          <a:off x="4876800" y="3048000"/>
          <a:ext cx="204722" cy="190500"/>
        </a:xfrm>
        <a:prstGeom prst="rect">
          <a:avLst/>
        </a:prstGeom>
        <a:solidFill>
          <a:srgbClr val="FF9999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9</xdr:col>
      <xdr:colOff>69154</xdr:colOff>
      <xdr:row>16</xdr:row>
      <xdr:rowOff>0</xdr:rowOff>
    </xdr:from>
    <xdr:to>
      <xdr:col>9</xdr:col>
      <xdr:colOff>410358</xdr:colOff>
      <xdr:row>17</xdr:row>
      <xdr:rowOff>0</xdr:rowOff>
    </xdr:to>
    <xdr:sp macro="" textlink="">
      <xdr:nvSpPr>
        <xdr:cNvPr id="11" name="Прямоугольник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5555554" y="3048000"/>
          <a:ext cx="341204" cy="190500"/>
        </a:xfrm>
        <a:prstGeom prst="rect">
          <a:avLst/>
        </a:prstGeom>
        <a:solidFill>
          <a:srgbClr val="FF9999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10</xdr:col>
      <xdr:colOff>474814</xdr:colOff>
      <xdr:row>16</xdr:row>
      <xdr:rowOff>0</xdr:rowOff>
    </xdr:from>
    <xdr:to>
      <xdr:col>10</xdr:col>
      <xdr:colOff>816018</xdr:colOff>
      <xdr:row>17</xdr:row>
      <xdr:rowOff>0</xdr:rowOff>
    </xdr:to>
    <xdr:sp macro="" textlink="">
      <xdr:nvSpPr>
        <xdr:cNvPr id="12" name="Прямоугольник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6570814" y="3048000"/>
          <a:ext cx="131654" cy="190500"/>
        </a:xfrm>
        <a:prstGeom prst="rect">
          <a:avLst/>
        </a:prstGeom>
        <a:solidFill>
          <a:srgbClr val="FF9999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" rtlCol="0" anchor="t"/>
        <a:lstStyle/>
        <a:p>
          <a:pPr algn="l"/>
          <a:r>
            <a:rPr lang="ru-RU" sz="1100">
              <a:solidFill>
                <a:srgbClr val="000000"/>
              </a:solidFill>
            </a:rPr>
            <a:t>0</a:t>
          </a:r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sp macro="" textlink="">
      <xdr:nvSpPr>
        <xdr:cNvPr id="13" name="Прямоугольник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609600" y="11811000"/>
          <a:ext cx="609600" cy="190500"/>
        </a:xfrm>
        <a:prstGeom prst="rect">
          <a:avLst/>
        </a:prstGeom>
        <a:solidFill>
          <a:srgbClr val="6699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sp macro="" textlink="">
      <xdr:nvSpPr>
        <xdr:cNvPr id="14" name="Прямоугольник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>
        <a:xfrm>
          <a:off x="609600" y="12001500"/>
          <a:ext cx="609600" cy="190500"/>
        </a:xfrm>
        <a:prstGeom prst="rect">
          <a:avLst/>
        </a:prstGeom>
        <a:solidFill>
          <a:srgbClr val="0000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sp macro="" textlink="">
      <xdr:nvSpPr>
        <xdr:cNvPr id="15" name="Прямоугольник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>
        <a:xfrm>
          <a:off x="609600" y="12192000"/>
          <a:ext cx="609600" cy="190500"/>
        </a:xfrm>
        <a:prstGeom prst="rect">
          <a:avLst/>
        </a:prstGeom>
        <a:pattFill prst="pct10">
          <a:fgClr>
            <a:srgbClr val="000000"/>
          </a:fgClr>
          <a:bgClr>
            <a:srgbClr val="339966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sp macro="" textlink="">
      <xdr:nvSpPr>
        <xdr:cNvPr id="16" name="Прямоугольник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>
        <a:xfrm>
          <a:off x="609600" y="12382500"/>
          <a:ext cx="609600" cy="190500"/>
        </a:xfrm>
        <a:prstGeom prst="rect">
          <a:avLst/>
        </a:prstGeom>
        <a:pattFill prst="dkVert">
          <a:fgClr>
            <a:srgbClr val="000000"/>
          </a:fgClr>
          <a:bgClr>
            <a:srgbClr val="FFFFFF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sp macro="" textlink="">
      <xdr:nvSpPr>
        <xdr:cNvPr id="17" name="Прямоугольник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>
        <a:xfrm>
          <a:off x="609600" y="12573000"/>
          <a:ext cx="609600" cy="190500"/>
        </a:xfrm>
        <a:prstGeom prst="rect">
          <a:avLst/>
        </a:prstGeom>
        <a:pattFill prst="dkVert">
          <a:fgClr>
            <a:srgbClr val="000000"/>
          </a:fgClr>
          <a:bgClr>
            <a:srgbClr val="8B0000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sp macro="" textlink="">
      <xdr:nvSpPr>
        <xdr:cNvPr id="18" name="Прямоугольник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>
        <a:xfrm>
          <a:off x="609600" y="12763500"/>
          <a:ext cx="609600" cy="190500"/>
        </a:xfrm>
        <a:prstGeom prst="rect">
          <a:avLst/>
        </a:prstGeom>
        <a:pattFill prst="dkVert">
          <a:fgClr>
            <a:srgbClr val="000000"/>
          </a:fgClr>
          <a:bgClr>
            <a:srgbClr val="FFFFFF"/>
          </a:bgClr>
        </a:patt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sp macro="" textlink="">
      <xdr:nvSpPr>
        <xdr:cNvPr id="19" name="Прямоугольник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>
        <a:xfrm>
          <a:off x="609600" y="12954000"/>
          <a:ext cx="609600" cy="190500"/>
        </a:xfrm>
        <a:prstGeom prst="rect">
          <a:avLst/>
        </a:prstGeom>
        <a:solidFill>
          <a:srgbClr val="66CC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sp macro="" textlink="">
      <xdr:nvSpPr>
        <xdr:cNvPr id="20" name="Прямоугольник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>
        <a:xfrm>
          <a:off x="609600" y="13144500"/>
          <a:ext cx="609600" cy="190500"/>
        </a:xfrm>
        <a:prstGeom prst="rect">
          <a:avLst/>
        </a:prstGeom>
        <a:solidFill>
          <a:srgbClr val="FF9999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G83"/>
  <sheetViews>
    <sheetView tabSelected="1" zoomScaleNormal="100" workbookViewId="0"/>
  </sheetViews>
  <sheetFormatPr defaultRowHeight="15" x14ac:dyDescent="0.25"/>
  <cols>
    <col min="1" max="1" width="9.140625" style="7"/>
    <col min="2" max="2" width="20.7109375" customWidth="1"/>
    <col min="3" max="7" width="15.7109375" customWidth="1"/>
    <col min="8" max="8" width="35.7109375" customWidth="1"/>
    <col min="9" max="9" width="31.7109375" customWidth="1"/>
    <col min="10" max="10" width="28.7109375" customWidth="1"/>
    <col min="11" max="11" width="31.7109375" customWidth="1"/>
    <col min="12" max="12" width="30.7109375" customWidth="1"/>
    <col min="13" max="13" width="31.7109375" customWidth="1"/>
    <col min="14" max="14" width="30.7109375" customWidth="1"/>
    <col min="15" max="16" width="31.7109375" customWidth="1"/>
    <col min="17" max="17" width="30.7109375" customWidth="1"/>
    <col min="18" max="18" width="31.7109375" customWidth="1"/>
    <col min="19" max="19" width="30.7109375" customWidth="1"/>
    <col min="20" max="20" width="31.7109375" customWidth="1"/>
    <col min="21" max="21" width="25.7109375" customWidth="1"/>
    <col min="22" max="22" width="15.7109375" customWidth="1"/>
    <col min="23" max="33" width="9.140625" style="7"/>
  </cols>
  <sheetData>
    <row r="1" spans="2:22" s="7" customFormat="1" x14ac:dyDescent="0.25">
      <c r="G1" s="16"/>
      <c r="H1" s="9"/>
    </row>
    <row r="2" spans="2:22" s="7" customFormat="1" x14ac:dyDescent="0.25"/>
    <row r="3" spans="2:22" s="8" customFormat="1" x14ac:dyDescent="0.25">
      <c r="H3" s="18"/>
    </row>
    <row r="4" spans="2:22" s="8" customFormat="1" x14ac:dyDescent="0.25"/>
    <row r="5" spans="2:22" s="8" customFormat="1" x14ac:dyDescent="0.25"/>
    <row r="6" spans="2:22" s="8" customFormat="1" x14ac:dyDescent="0.25"/>
    <row r="7" spans="2:22" s="8" customFormat="1" x14ac:dyDescent="0.25">
      <c r="C7" s="10"/>
    </row>
    <row r="8" spans="2:22" s="8" customFormat="1" x14ac:dyDescent="0.25"/>
    <row r="9" spans="2:22" s="8" customFormat="1" x14ac:dyDescent="0.25">
      <c r="J9" s="8" t="s">
        <v>53</v>
      </c>
    </row>
    <row r="10" spans="2:22" s="8" customFormat="1" x14ac:dyDescent="0.25">
      <c r="J10" s="8" t="str">
        <f>"от "&amp;DAY(H1)&amp;"."&amp;MONTH(H1)&amp;"."&amp;YEAR(H1)</f>
        <v>от 0.1.1900</v>
      </c>
    </row>
    <row r="11" spans="2:22" s="7" customFormat="1" x14ac:dyDescent="0.25">
      <c r="B11" s="29"/>
    </row>
    <row r="12" spans="2:22" s="7" customFormat="1" x14ac:dyDescent="0.25">
      <c r="E12" s="7" t="s">
        <v>0</v>
      </c>
      <c r="J12" s="7" t="s">
        <v>1</v>
      </c>
      <c r="K12" s="12"/>
      <c r="P12" s="7" t="s">
        <v>2</v>
      </c>
      <c r="Q12" s="12"/>
    </row>
    <row r="13" spans="2:22" s="7" customFormat="1" x14ac:dyDescent="0.25"/>
    <row r="14" spans="2:22" x14ac:dyDescent="0.25">
      <c r="B14" s="7"/>
      <c r="C14" s="7"/>
      <c r="D14" s="7"/>
      <c r="E14" s="7"/>
      <c r="F14" s="7"/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30" t="s">
        <v>23</v>
      </c>
      <c r="V14" s="30"/>
    </row>
    <row r="15" spans="2:22" x14ac:dyDescent="0.25">
      <c r="B15" s="30" t="s">
        <v>3</v>
      </c>
      <c r="C15" s="30" t="s">
        <v>4</v>
      </c>
      <c r="D15" s="30" t="s">
        <v>5</v>
      </c>
      <c r="E15" s="30"/>
      <c r="F15" s="30" t="s">
        <v>7</v>
      </c>
      <c r="G15" s="30"/>
      <c r="H15" s="30" t="s">
        <v>10</v>
      </c>
      <c r="I15" s="30" t="s">
        <v>11</v>
      </c>
      <c r="J15" s="30" t="s">
        <v>12</v>
      </c>
      <c r="K15" s="30" t="s">
        <v>13</v>
      </c>
      <c r="L15" s="30" t="s">
        <v>14</v>
      </c>
      <c r="M15" s="30" t="s">
        <v>15</v>
      </c>
      <c r="N15" s="30" t="s">
        <v>16</v>
      </c>
      <c r="O15" s="30" t="s">
        <v>17</v>
      </c>
      <c r="P15" s="30" t="s">
        <v>18</v>
      </c>
      <c r="Q15" s="30" t="s">
        <v>19</v>
      </c>
      <c r="R15" s="30" t="s">
        <v>20</v>
      </c>
      <c r="S15" s="30" t="s">
        <v>21</v>
      </c>
      <c r="T15" s="30" t="s">
        <v>22</v>
      </c>
      <c r="U15" s="30" t="s">
        <v>24</v>
      </c>
      <c r="V15" s="30" t="s">
        <v>25</v>
      </c>
    </row>
    <row r="16" spans="2:22" x14ac:dyDescent="0.25">
      <c r="B16" s="30"/>
      <c r="C16" s="30"/>
      <c r="D16" s="30" t="s">
        <v>6</v>
      </c>
      <c r="E16" s="31" t="str">
        <f>"Пробурено скважин в "&amp;G1&amp;" г."</f>
        <v>Пробурено скважин в  г.</v>
      </c>
      <c r="F16" s="30" t="s">
        <v>8</v>
      </c>
      <c r="G16" s="30" t="s">
        <v>9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</row>
    <row r="17" spans="2:22" x14ac:dyDescent="0.25">
      <c r="B17" s="30"/>
      <c r="C17" s="30"/>
      <c r="D17" s="30"/>
      <c r="E17" s="31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r="18" spans="2:22" x14ac:dyDescent="0.25">
      <c r="B18" s="31" t="s">
        <v>54</v>
      </c>
      <c r="C18" s="3" t="s">
        <v>55</v>
      </c>
      <c r="D18" s="3"/>
      <c r="E18" s="3"/>
      <c r="F18" s="11"/>
      <c r="G18" s="11"/>
      <c r="H18" s="4"/>
      <c r="I18" s="2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4"/>
      <c r="V18" s="14"/>
    </row>
    <row r="19" spans="2:22" x14ac:dyDescent="0.25">
      <c r="B19" s="31"/>
      <c r="C19" s="2"/>
      <c r="D19" s="2"/>
      <c r="E19" s="2"/>
      <c r="F19" s="2"/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4"/>
      <c r="V19" s="2"/>
    </row>
    <row r="20" spans="2:22" x14ac:dyDescent="0.25">
      <c r="B20" s="31"/>
      <c r="C20" s="2"/>
      <c r="D20" s="2"/>
      <c r="E20" s="2"/>
      <c r="F20" s="2"/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4"/>
      <c r="V20" s="14"/>
    </row>
    <row r="21" spans="2:22" x14ac:dyDescent="0.25">
      <c r="B21" s="31"/>
      <c r="C21" s="2"/>
      <c r="D21" s="2"/>
      <c r="E21" s="2"/>
      <c r="F21" s="2"/>
      <c r="G21" s="2"/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4"/>
      <c r="V21" s="14"/>
    </row>
    <row r="22" spans="2:22" x14ac:dyDescent="0.25">
      <c r="B22" s="31"/>
      <c r="D22" s="2"/>
      <c r="E22" s="2"/>
      <c r="F22" s="2"/>
      <c r="G22" s="2"/>
      <c r="H22" s="4" t="s">
        <v>35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4" t="s">
        <v>35</v>
      </c>
      <c r="V22" s="14">
        <f ca="1">SUM(INDIRECT(ADDRESS(ROW(),COLUMN()-13,4)):INDIRECT(ADDRESS(ROW(),COLUMN()-2,4)))</f>
        <v>0</v>
      </c>
    </row>
    <row r="23" spans="2:22" x14ac:dyDescent="0.25">
      <c r="B23" s="31"/>
      <c r="C23" s="2"/>
      <c r="D23" s="2"/>
      <c r="E23" s="2"/>
      <c r="F23" s="2"/>
      <c r="G23" s="2"/>
      <c r="H23" s="4" t="s">
        <v>36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4" t="s">
        <v>36</v>
      </c>
      <c r="V23" s="15">
        <f ca="1">IF(SUM(INDIRECT(ADDRESS(ROW()+6,COLUMN()-13,4)):INDIRECT(ADDRESS(ROW()+6,COLUMN()-2,4)))&gt;0, SUM(INDIRECT(ADDRESS(ROW()+6,COLUMN()-13,4)):INDIRECT(ADDRESS(ROW()+6,COLUMN()-2,4)))/30,0)</f>
        <v>0</v>
      </c>
    </row>
    <row r="24" spans="2:22" x14ac:dyDescent="0.25">
      <c r="B24" s="31"/>
      <c r="C24" s="2" t="s">
        <v>29</v>
      </c>
      <c r="D24" s="15">
        <f ca="1">INDIRECT("V"&amp;(ROW()-1))</f>
        <v>0</v>
      </c>
      <c r="E24" s="2"/>
      <c r="F24" s="2"/>
      <c r="G24" s="2"/>
      <c r="H24" s="4" t="s">
        <v>37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4" t="s">
        <v>37</v>
      </c>
      <c r="V24" s="14">
        <f ca="1">SUM(INDIRECT(ADDRESS(ROW(),COLUMN()-13,4)):INDIRECT(ADDRESS(ROW(),COLUMN()-2,4)))</f>
        <v>0</v>
      </c>
    </row>
    <row r="25" spans="2:22" x14ac:dyDescent="0.25">
      <c r="B25" s="31"/>
      <c r="C25" s="2" t="s">
        <v>30</v>
      </c>
      <c r="D25" s="15">
        <f ca="1">INDIRECT("V"&amp;(ROW()+2))</f>
        <v>0</v>
      </c>
      <c r="E25" s="2"/>
      <c r="F25" s="2"/>
      <c r="G25" s="2"/>
      <c r="H25" s="4" t="s">
        <v>38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4" t="s">
        <v>38</v>
      </c>
      <c r="V25" s="14">
        <f ca="1">SUM(INDIRECT(ADDRESS(ROW(),COLUMN()-13,4)):INDIRECT(ADDRESS(ROW(),COLUMN()-2,4)))</f>
        <v>0</v>
      </c>
    </row>
    <row r="26" spans="2:22" x14ac:dyDescent="0.25">
      <c r="B26" s="31"/>
      <c r="C26" s="2"/>
      <c r="D26" s="2"/>
      <c r="E26" s="2"/>
      <c r="F26" s="2"/>
      <c r="G26" s="2"/>
      <c r="H26" s="4" t="s">
        <v>39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4" t="s">
        <v>39</v>
      </c>
      <c r="V26" s="14">
        <f ca="1">SUM(INDIRECT(ADDRESS(ROW(),COLUMN()-13,4)):INDIRECT(ADDRESS(ROW(),COLUMN()-2,4)))</f>
        <v>0</v>
      </c>
    </row>
    <row r="27" spans="2:22" x14ac:dyDescent="0.25">
      <c r="B27" s="31"/>
      <c r="C27" s="2"/>
      <c r="D27" s="2"/>
      <c r="E27" s="2"/>
      <c r="F27" s="2"/>
      <c r="G27" s="2"/>
      <c r="H27" s="4" t="s">
        <v>40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4" t="s">
        <v>45</v>
      </c>
      <c r="V27" s="15">
        <f ca="1">IF(SUM(INDIRECT(ADDRESS(ROW()+2,COLUMN()-13,4)):INDIRECT(ADDRESS(ROW()+2,COLUMN()-2,4)))&gt;0,SUM(INDIRECT(ADDRESS(ROW()-5,COLUMN()-13,4)):INDIRECT(ADDRESS(ROW()-5,COLUMN()-2,4)))/SUM(INDIRECT(ADDRESS(ROW()+2,COLUMN()-13,4)):INDIRECT(ADDRESS(ROW()+2,COLUMN()-2,4)))*30,0)</f>
        <v>0</v>
      </c>
    </row>
    <row r="28" spans="2:22" x14ac:dyDescent="0.25">
      <c r="B28" s="31"/>
      <c r="C28" s="2"/>
      <c r="D28" s="2"/>
      <c r="E28" s="2"/>
      <c r="F28" s="2"/>
      <c r="G28" s="2"/>
      <c r="H28" s="4" t="s">
        <v>41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4" t="s">
        <v>46</v>
      </c>
      <c r="V28" s="21">
        <f ca="1">IF(SUM(INDIRECT(ADDRESS(ROW()-6,COLUMN()-13,4)):INDIRECT(ADDRESS(ROW()-6,COLUMN()-2,4)))&gt;0,SUM(INDIRECT(ADDRESS(ROW()+1,COLUMN()-13,4)):INDIRECT(ADDRESS(ROW()+1,COLUMN()-2,4)))/SUM(INDIRECT(ADDRESS(ROW()-6,COLUMN()-13,4)):INDIRECT(ADDRESS(ROW()-6,COLUMN()-2,4)))*1000,0)</f>
        <v>0</v>
      </c>
    </row>
    <row r="29" spans="2:22" s="7" customFormat="1" x14ac:dyDescent="0.25">
      <c r="H29" s="13" t="s">
        <v>58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2:22" s="7" customFormat="1" x14ac:dyDescent="0.25">
      <c r="H30" s="13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2:22" s="7" customFormat="1" x14ac:dyDescent="0.25">
      <c r="B31" s="7" t="s">
        <v>57</v>
      </c>
      <c r="H31" s="13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2:22" x14ac:dyDescent="0.25">
      <c r="B32" s="32" t="s">
        <v>6</v>
      </c>
      <c r="C32" s="35"/>
      <c r="D32" s="35">
        <f>SUM(D18)</f>
        <v>0</v>
      </c>
      <c r="E32" s="35">
        <f>SUM(E18)</f>
        <v>0</v>
      </c>
      <c r="F32" s="35"/>
      <c r="G32" s="35"/>
      <c r="H32" s="4" t="s">
        <v>35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4" t="s">
        <v>35</v>
      </c>
      <c r="V32" s="14">
        <f ca="1">SUM(INDIRECT(ADDRESS(ROW(),COLUMN()-13,4)):INDIRECT(ADDRESS(ROW(),COLUMN()-2,4)))</f>
        <v>0</v>
      </c>
    </row>
    <row r="33" spans="2:22" x14ac:dyDescent="0.25">
      <c r="B33" s="33"/>
      <c r="C33" s="35"/>
      <c r="D33" s="35"/>
      <c r="E33" s="35"/>
      <c r="F33" s="35"/>
      <c r="G33" s="35"/>
      <c r="H33" s="4" t="s">
        <v>36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4" t="s">
        <v>36</v>
      </c>
      <c r="V33" s="15">
        <f ca="1">IF(SUM(INDIRECT(ADDRESS(ROW()+11,COLUMN()-13,4)):INDIRECT(ADDRESS(ROW()+11,COLUMN()-2,4)))&gt;0,SUM(INDIRECT(ADDRESS(ROW()+11,COLUMN()-13,4)):INDIRECT(ADDRESS(ROW()+11,COLUMN()-2,4)))/30,0)</f>
        <v>0</v>
      </c>
    </row>
    <row r="34" spans="2:22" x14ac:dyDescent="0.25">
      <c r="B34" s="33"/>
      <c r="C34" s="35"/>
      <c r="D34" s="35"/>
      <c r="E34" s="35"/>
      <c r="F34" s="35"/>
      <c r="G34" s="35"/>
      <c r="H34" s="4" t="s">
        <v>43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4" t="s">
        <v>43</v>
      </c>
      <c r="V34" s="14">
        <f ca="1">SUM(INDIRECT(ADDRESS(ROW(),COLUMN()-13,4)):INDIRECT(ADDRESS(ROW(),COLUMN()-2,4)))</f>
        <v>0</v>
      </c>
    </row>
    <row r="35" spans="2:22" x14ac:dyDescent="0.25">
      <c r="B35" s="33"/>
      <c r="C35" s="2" t="s">
        <v>29</v>
      </c>
      <c r="D35" s="15">
        <f ca="1">INDIRECT("V"&amp;(ROW()-2))</f>
        <v>0</v>
      </c>
      <c r="E35" s="2"/>
      <c r="F35" s="2"/>
      <c r="G35" s="2"/>
      <c r="H35" s="4" t="s">
        <v>37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4" t="s">
        <v>37</v>
      </c>
      <c r="V35" s="14">
        <f ca="1">SUM(INDIRECT(ADDRESS(ROW(),COLUMN()-13,4)):INDIRECT(ADDRESS(ROW(),COLUMN()-2,4)))</f>
        <v>0</v>
      </c>
    </row>
    <row r="36" spans="2:22" x14ac:dyDescent="0.25">
      <c r="B36" s="33"/>
      <c r="C36" s="2" t="s">
        <v>47</v>
      </c>
      <c r="D36" s="15">
        <f ca="1">INDIRECT("V"&amp;(ROW()+6))</f>
        <v>0</v>
      </c>
      <c r="E36" s="2"/>
      <c r="F36" s="2"/>
      <c r="G36" s="2"/>
      <c r="H36" s="4" t="s">
        <v>38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4" t="s">
        <v>38</v>
      </c>
      <c r="V36" s="14">
        <f ca="1">SUM(INDIRECT(ADDRESS(ROW(),COLUMN()-13,4)):INDIRECT(ADDRESS(ROW(),COLUMN()-2,4)))</f>
        <v>0</v>
      </c>
    </row>
    <row r="37" spans="2:22" x14ac:dyDescent="0.25">
      <c r="B37" s="33"/>
      <c r="C37" s="2"/>
      <c r="D37" s="2"/>
      <c r="E37" s="2"/>
      <c r="F37" s="2"/>
      <c r="G37" s="2"/>
      <c r="H37" s="4" t="s">
        <v>39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4" t="s">
        <v>39</v>
      </c>
      <c r="V37" s="14">
        <f ca="1">SUM(INDIRECT(ADDRESS(ROW(),COLUMN()-13,4)):INDIRECT(ADDRESS(ROW(),COLUMN()-2,4)))</f>
        <v>0</v>
      </c>
    </row>
    <row r="38" spans="2:22" x14ac:dyDescent="0.25">
      <c r="B38" s="33"/>
      <c r="C38" s="2"/>
      <c r="D38" s="2"/>
      <c r="E38" s="2"/>
      <c r="F38" s="2"/>
      <c r="G38" s="2"/>
      <c r="H38" s="4" t="s">
        <v>48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4" t="s">
        <v>48</v>
      </c>
      <c r="V38" s="14">
        <f ca="1">SUM(INDIRECT(ADDRESS(ROW(),COLUMN()-13,4)):INDIRECT(ADDRESS(ROW(),COLUMN()-2,4)))</f>
        <v>0</v>
      </c>
    </row>
    <row r="39" spans="2:22" x14ac:dyDescent="0.25">
      <c r="B39" s="33"/>
      <c r="C39" s="2"/>
      <c r="D39" s="2"/>
      <c r="E39" s="2"/>
      <c r="F39" s="2"/>
      <c r="G39" s="2"/>
      <c r="H39" s="4" t="s">
        <v>49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4" t="s">
        <v>49</v>
      </c>
      <c r="V39" s="15">
        <f ca="1">SUM(INDIRECT(ADDRESS(ROW(),COLUMN()-13,4)):INDIRECT(ADDRESS(ROW(),COLUMN()-2,4)))/12</f>
        <v>0</v>
      </c>
    </row>
    <row r="40" spans="2:22" x14ac:dyDescent="0.25">
      <c r="B40" s="33"/>
      <c r="C40" s="2"/>
      <c r="D40" s="2"/>
      <c r="E40" s="2"/>
      <c r="F40" s="2"/>
      <c r="G40" s="2"/>
      <c r="H40" s="4" t="s">
        <v>50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4" t="s">
        <v>50</v>
      </c>
      <c r="V40" s="15">
        <f ca="1">SUM(INDIRECT(ADDRESS(ROW(),COLUMN()-13,4)):INDIRECT(ADDRESS(ROW(),COLUMN()-2,4)))/12</f>
        <v>0</v>
      </c>
    </row>
    <row r="41" spans="2:22" x14ac:dyDescent="0.25">
      <c r="B41" s="33"/>
      <c r="C41" s="2"/>
      <c r="D41" s="2"/>
      <c r="E41" s="2"/>
      <c r="F41" s="2"/>
      <c r="G41" s="2"/>
      <c r="H41" s="4" t="s">
        <v>51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4" t="s">
        <v>51</v>
      </c>
      <c r="V41" s="15">
        <f ca="1">SUM(INDIRECT(ADDRESS(ROW(),COLUMN()-13,4)):INDIRECT(ADDRESS(ROW(),COLUMN()-2,4)))/12</f>
        <v>0</v>
      </c>
    </row>
    <row r="42" spans="2:22" x14ac:dyDescent="0.25">
      <c r="B42" s="33"/>
      <c r="C42" s="2"/>
      <c r="D42" s="2"/>
      <c r="E42" s="2"/>
      <c r="F42" s="2"/>
      <c r="G42" s="2"/>
      <c r="H42" s="4" t="s">
        <v>40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4" t="s">
        <v>52</v>
      </c>
      <c r="V42" s="15">
        <f ca="1">IF(SUM(INDIRECT(ADDRESS(ROW()+2,COLUMN()-13,4)):INDIRECT(ADDRESS(ROW()+2,COLUMN()-2,4)))&gt;0,SUM(INDIRECT(ADDRESS(ROW()-10,COLUMN()-13,4)):INDIRECT(ADDRESS(ROW()-10,COLUMN()-2,4)))/SUM(INDIRECT(ADDRESS(ROW()+2,COLUMN()-13,4)):INDIRECT(ADDRESS(ROW()+2,COLUMN()-2,4)))*30,0)</f>
        <v>0</v>
      </c>
    </row>
    <row r="43" spans="2:22" x14ac:dyDescent="0.25">
      <c r="B43" s="34"/>
      <c r="C43" s="19"/>
      <c r="D43" s="19"/>
      <c r="E43" s="19"/>
      <c r="F43" s="19"/>
      <c r="G43" s="19"/>
      <c r="H43" s="4" t="s">
        <v>41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4" t="s">
        <v>41</v>
      </c>
      <c r="V43" s="21">
        <f ca="1">IF(SUM(INDIRECT(ADDRESS(ROW()-11,COLUMN()-13,4)):INDIRECT(ADDRESS(ROW()-11,COLUMN()-2,4)))&gt;0,SUM(INDIRECT(ADDRESS(ROW()+1,COLUMN()-13,4)):INDIRECT(ADDRESS(ROW()+1,COLUMN()-2,4)))/SUM(INDIRECT(ADDRESS(ROW()-11,COLUMN()-13,4)):INDIRECT(ADDRESS(ROW()-11,COLUMN()-2,4)))*1000,0)</f>
        <v>0</v>
      </c>
    </row>
    <row r="44" spans="2:22" s="7" customFormat="1" x14ac:dyDescent="0.25">
      <c r="H44" s="13" t="s">
        <v>58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2:22" s="7" customFormat="1" x14ac:dyDescent="0.25">
      <c r="H45" s="13" t="s">
        <v>59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2:22" s="7" customFormat="1" x14ac:dyDescent="0.25">
      <c r="H46" s="13" t="s">
        <v>60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2:22" s="7" customFormat="1" x14ac:dyDescent="0.25"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2:22" s="7" customFormat="1" x14ac:dyDescent="0.25"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2:22" s="7" customFormat="1" x14ac:dyDescent="0.25">
      <c r="B49" s="7" t="s">
        <v>61</v>
      </c>
    </row>
    <row r="50" spans="2:22" x14ac:dyDescent="0.25">
      <c r="B50" s="32" t="s">
        <v>6</v>
      </c>
      <c r="C50" s="36"/>
      <c r="D50" s="35"/>
      <c r="E50" s="35"/>
      <c r="F50" s="35"/>
      <c r="G50" s="35"/>
      <c r="H50" s="4" t="s">
        <v>35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4" t="s">
        <v>35</v>
      </c>
      <c r="V50" s="14">
        <f ca="1">SUM(INDIRECT(ADDRESS(ROW(),COLUMN()-13,4)):INDIRECT(ADDRESS(ROW(),COLUMN()-2,4)))</f>
        <v>0</v>
      </c>
    </row>
    <row r="51" spans="2:22" x14ac:dyDescent="0.25">
      <c r="B51" s="33"/>
      <c r="C51" s="36"/>
      <c r="D51" s="35"/>
      <c r="E51" s="35"/>
      <c r="F51" s="35"/>
      <c r="G51" s="35"/>
      <c r="H51" s="4" t="s">
        <v>36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4" t="s">
        <v>36</v>
      </c>
      <c r="V51" s="15">
        <f ca="1">IF(SUM(INDIRECT(ADDRESS(ROW()+11,COLUMN()-13,4)):INDIRECT(ADDRESS(ROW()+11,COLUMN()-2,4)))&gt;0,SUM(INDIRECT(ADDRESS(ROW()+11,COLUMN()-13,4)):INDIRECT(ADDRESS(ROW()+11,COLUMN()-2,4)))/30,0)</f>
        <v>0</v>
      </c>
    </row>
    <row r="52" spans="2:22" x14ac:dyDescent="0.25">
      <c r="B52" s="33"/>
      <c r="C52" s="36"/>
      <c r="D52" s="35"/>
      <c r="E52" s="35"/>
      <c r="F52" s="35"/>
      <c r="G52" s="35"/>
      <c r="H52" s="4" t="s">
        <v>43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4" t="s">
        <v>43</v>
      </c>
      <c r="V52" s="14">
        <f ca="1">SUM(INDIRECT(ADDRESS(ROW(),COLUMN()-13,4)):INDIRECT(ADDRESS(ROW(),COLUMN()-2,4)))</f>
        <v>0</v>
      </c>
    </row>
    <row r="53" spans="2:22" x14ac:dyDescent="0.25">
      <c r="B53" s="33"/>
      <c r="C53" s="20" t="s">
        <v>29</v>
      </c>
      <c r="D53" s="15">
        <f ca="1">INDIRECT("V"&amp;(ROW()-2))</f>
        <v>0</v>
      </c>
      <c r="E53" s="2"/>
      <c r="F53" s="2"/>
      <c r="G53" s="2"/>
      <c r="H53" s="4" t="s">
        <v>37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4" t="s">
        <v>37</v>
      </c>
      <c r="V53" s="14">
        <f ca="1">SUM(INDIRECT(ADDRESS(ROW(),COLUMN()-13,4)):INDIRECT(ADDRESS(ROW(),COLUMN()-2,4)))</f>
        <v>0</v>
      </c>
    </row>
    <row r="54" spans="2:22" x14ac:dyDescent="0.25">
      <c r="B54" s="33"/>
      <c r="C54" s="20" t="s">
        <v>47</v>
      </c>
      <c r="D54" s="15">
        <f ca="1">INDIRECT("V"&amp;(ROW()+6))</f>
        <v>0</v>
      </c>
      <c r="E54" s="2"/>
      <c r="F54" s="2"/>
      <c r="G54" s="2"/>
      <c r="H54" s="4" t="s">
        <v>38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4" t="s">
        <v>38</v>
      </c>
      <c r="V54" s="14">
        <f ca="1">SUM(INDIRECT(ADDRESS(ROW(),COLUMN()-13,4)):INDIRECT(ADDRESS(ROW(),COLUMN()-2,4)))</f>
        <v>0</v>
      </c>
    </row>
    <row r="55" spans="2:22" x14ac:dyDescent="0.25">
      <c r="B55" s="33"/>
      <c r="C55" s="20"/>
      <c r="D55" s="2"/>
      <c r="E55" s="2"/>
      <c r="F55" s="2"/>
      <c r="G55" s="2"/>
      <c r="H55" s="4" t="s">
        <v>39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4" t="s">
        <v>39</v>
      </c>
      <c r="V55" s="14">
        <f ca="1">SUM(INDIRECT(ADDRESS(ROW(),COLUMN()-13,4)):INDIRECT(ADDRESS(ROW(),COLUMN()-2,4)))</f>
        <v>0</v>
      </c>
    </row>
    <row r="56" spans="2:22" x14ac:dyDescent="0.25">
      <c r="B56" s="33"/>
      <c r="C56" s="20"/>
      <c r="D56" s="2"/>
      <c r="E56" s="2"/>
      <c r="F56" s="2"/>
      <c r="G56" s="2"/>
      <c r="H56" s="4" t="s">
        <v>48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4" t="s">
        <v>48</v>
      </c>
      <c r="V56" s="14">
        <f ca="1">SUM(INDIRECT(ADDRESS(ROW(),COLUMN()-13,4)):INDIRECT(ADDRESS(ROW(),COLUMN()-2,4)))</f>
        <v>0</v>
      </c>
    </row>
    <row r="57" spans="2:22" x14ac:dyDescent="0.25">
      <c r="B57" s="33"/>
      <c r="C57" s="20"/>
      <c r="D57" s="2"/>
      <c r="E57" s="2"/>
      <c r="F57" s="2"/>
      <c r="G57" s="2"/>
      <c r="H57" s="4" t="s">
        <v>49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4" t="s">
        <v>49</v>
      </c>
      <c r="V57" s="15">
        <f ca="1">SUM(INDIRECT(ADDRESS(ROW(),COLUMN()-13,4)):INDIRECT(ADDRESS(ROW(),COLUMN()-2,4)))/12</f>
        <v>0</v>
      </c>
    </row>
    <row r="58" spans="2:22" x14ac:dyDescent="0.25">
      <c r="B58" s="33"/>
      <c r="C58" s="20"/>
      <c r="D58" s="2"/>
      <c r="E58" s="2"/>
      <c r="F58" s="2"/>
      <c r="G58" s="2"/>
      <c r="H58" s="4" t="s">
        <v>50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4" t="s">
        <v>50</v>
      </c>
      <c r="V58" s="15">
        <f ca="1">SUM(INDIRECT(ADDRESS(ROW(),COLUMN()-13,4)):INDIRECT(ADDRESS(ROW(),COLUMN()-2,4)))/12</f>
        <v>0</v>
      </c>
    </row>
    <row r="59" spans="2:22" x14ac:dyDescent="0.25">
      <c r="B59" s="33"/>
      <c r="C59" s="20"/>
      <c r="D59" s="2"/>
      <c r="E59" s="2"/>
      <c r="F59" s="2"/>
      <c r="G59" s="2"/>
      <c r="H59" s="4" t="s">
        <v>51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4" t="s">
        <v>51</v>
      </c>
      <c r="V59" s="15">
        <f ca="1">SUM(INDIRECT(ADDRESS(ROW(),COLUMN()-13,4)):INDIRECT(ADDRESS(ROW(),COLUMN()-2,4)))/12</f>
        <v>0</v>
      </c>
    </row>
    <row r="60" spans="2:22" x14ac:dyDescent="0.25">
      <c r="B60" s="33"/>
      <c r="C60" s="20"/>
      <c r="D60" s="2"/>
      <c r="E60" s="2"/>
      <c r="F60" s="2"/>
      <c r="G60" s="2"/>
      <c r="H60" s="4" t="s">
        <v>40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4" t="s">
        <v>52</v>
      </c>
      <c r="V60" s="15">
        <f ca="1">IF(SUM(INDIRECT(ADDRESS(ROW()+2,COLUMN()-13,4)):INDIRECT(ADDRESS(ROW()+2,COLUMN()-2,4)))&gt;0,SUM(INDIRECT(ADDRESS(ROW()-10,COLUMN()-13,4)):INDIRECT(ADDRESS(ROW()-10,COLUMN()-2,4)))/SUM(INDIRECT(ADDRESS(ROW()+2,COLUMN()-13,4)):INDIRECT(ADDRESS(ROW()+2,COLUMN()-2,4)))*30,0)</f>
        <v>0</v>
      </c>
    </row>
    <row r="61" spans="2:22" x14ac:dyDescent="0.25">
      <c r="B61" s="34"/>
      <c r="C61" s="19"/>
      <c r="D61" s="19"/>
      <c r="E61" s="19"/>
      <c r="F61" s="19"/>
      <c r="G61" s="19"/>
      <c r="H61" s="4" t="s">
        <v>41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4" t="s">
        <v>41</v>
      </c>
      <c r="V61" s="21">
        <f ca="1">IF(SUM(INDIRECT(ADDRESS(ROW()-11,COLUMN()-13,4)):INDIRECT(ADDRESS(ROW()-11,COLUMN()-2,4)))&gt;0,SUM(INDIRECT(ADDRESS(ROW()+1,COLUMN()-13,4)):INDIRECT(ADDRESS(ROW()+1,COLUMN()-2,4)))/SUM(INDIRECT(ADDRESS(ROW()-11,COLUMN()-13,4)):INDIRECT(ADDRESS(ROW()-11,COLUMN()-2,4)))*1000,0)</f>
        <v>0</v>
      </c>
    </row>
    <row r="62" spans="2:22" s="7" customFormat="1" x14ac:dyDescent="0.25">
      <c r="H62" s="13" t="s">
        <v>58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spans="2:22" s="7" customFormat="1" x14ac:dyDescent="0.25">
      <c r="H63" s="13" t="s">
        <v>59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2:22" s="7" customFormat="1" x14ac:dyDescent="0.25">
      <c r="H64" s="13" t="s">
        <v>60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5" s="7" customFormat="1" x14ac:dyDescent="0.25">
      <c r="B65" s="8" t="s">
        <v>56</v>
      </c>
    </row>
    <row r="66" spans="2:25" s="7" customFormat="1" x14ac:dyDescent="0.25">
      <c r="C66" s="8"/>
    </row>
    <row r="67" spans="2:25" s="7" customFormat="1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2:25" s="7" customFormat="1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2:25" s="7" customFormat="1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2:25" s="7" customFormat="1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2:25" s="7" customFormat="1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2:25" s="7" customFormat="1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2:25" s="7" customFormat="1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2:25" s="7" customFormat="1" x14ac:dyDescent="0.25">
      <c r="B74" s="29"/>
    </row>
    <row r="75" spans="2:25" s="7" customFormat="1" x14ac:dyDescent="0.25">
      <c r="B75" s="29"/>
    </row>
    <row r="76" spans="2:25" s="7" customFormat="1" x14ac:dyDescent="0.25">
      <c r="B76" s="29"/>
    </row>
    <row r="77" spans="2:25" s="7" customFormat="1" x14ac:dyDescent="0.25">
      <c r="B77" s="29"/>
    </row>
    <row r="78" spans="2:25" s="7" customFormat="1" x14ac:dyDescent="0.25">
      <c r="B78" s="29"/>
    </row>
    <row r="79" spans="2:25" s="7" customFormat="1" x14ac:dyDescent="0.25">
      <c r="B79" s="29"/>
    </row>
    <row r="80" spans="2:25" s="7" customFormat="1" x14ac:dyDescent="0.25">
      <c r="B80" s="29"/>
    </row>
    <row r="81" spans="2:2" s="7" customFormat="1" x14ac:dyDescent="0.25">
      <c r="B81" s="29"/>
    </row>
    <row r="82" spans="2:2" s="7" customFormat="1" x14ac:dyDescent="0.25">
      <c r="B82" s="29"/>
    </row>
    <row r="83" spans="2:2" s="7" customFormat="1" x14ac:dyDescent="0.25">
      <c r="B83" s="29"/>
    </row>
  </sheetData>
  <mergeCells count="37">
    <mergeCell ref="B32:B43"/>
    <mergeCell ref="B50:B61"/>
    <mergeCell ref="G32:G34"/>
    <mergeCell ref="C50:C52"/>
    <mergeCell ref="D50:D52"/>
    <mergeCell ref="E50:E52"/>
    <mergeCell ref="F50:F52"/>
    <mergeCell ref="G50:G52"/>
    <mergeCell ref="C32:C34"/>
    <mergeCell ref="D32:D34"/>
    <mergeCell ref="E32:E34"/>
    <mergeCell ref="F32:F34"/>
    <mergeCell ref="T15:T17"/>
    <mergeCell ref="U14:V14"/>
    <mergeCell ref="U15:U17"/>
    <mergeCell ref="V15:V17"/>
    <mergeCell ref="B18:B28"/>
    <mergeCell ref="N15:N17"/>
    <mergeCell ref="O15:O17"/>
    <mergeCell ref="P15:P17"/>
    <mergeCell ref="Q15:Q17"/>
    <mergeCell ref="R15:R17"/>
    <mergeCell ref="S15:S17"/>
    <mergeCell ref="H15:H17"/>
    <mergeCell ref="I15:I17"/>
    <mergeCell ref="J15:J17"/>
    <mergeCell ref="K15:K17"/>
    <mergeCell ref="L15:L17"/>
    <mergeCell ref="M15:M17"/>
    <mergeCell ref="B15:B17"/>
    <mergeCell ref="C15:C17"/>
    <mergeCell ref="D15:E15"/>
    <mergeCell ref="D16:D17"/>
    <mergeCell ref="E16:E17"/>
    <mergeCell ref="F15:G15"/>
    <mergeCell ref="F16:F17"/>
    <mergeCell ref="G16:G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B3:V70"/>
  <sheetViews>
    <sheetView workbookViewId="0">
      <selection activeCell="B1" sqref="B1"/>
    </sheetView>
  </sheetViews>
  <sheetFormatPr defaultRowHeight="15" x14ac:dyDescent="0.25"/>
  <cols>
    <col min="2" max="2" width="20.7109375" customWidth="1"/>
    <col min="3" max="7" width="15.7109375" customWidth="1"/>
    <col min="8" max="8" width="36.28515625" customWidth="1"/>
    <col min="9" max="9" width="31.7109375" customWidth="1"/>
    <col min="10" max="10" width="28.7109375" customWidth="1"/>
    <col min="11" max="11" width="31.7109375" customWidth="1"/>
    <col min="12" max="12" width="30.7109375" customWidth="1"/>
    <col min="13" max="13" width="31.7109375" customWidth="1"/>
    <col min="14" max="14" width="30.7109375" customWidth="1"/>
    <col min="15" max="16" width="31.7109375" customWidth="1"/>
    <col min="17" max="17" width="30.7109375" customWidth="1"/>
    <col min="18" max="18" width="31.7109375" customWidth="1"/>
    <col min="19" max="19" width="30.7109375" customWidth="1"/>
    <col min="20" max="20" width="31.7109375" customWidth="1"/>
    <col min="21" max="21" width="35.7109375" customWidth="1"/>
    <col min="22" max="22" width="15.7109375" customWidth="1"/>
  </cols>
  <sheetData>
    <row r="3" spans="2:22" x14ac:dyDescent="0.25">
      <c r="J3" t="s">
        <v>90</v>
      </c>
    </row>
    <row r="4" spans="2:22" x14ac:dyDescent="0.25">
      <c r="J4" s="28" t="s">
        <v>89</v>
      </c>
    </row>
    <row r="6" spans="2:22" x14ac:dyDescent="0.25">
      <c r="E6" t="s">
        <v>0</v>
      </c>
      <c r="G6" t="s">
        <v>88</v>
      </c>
      <c r="J6" t="s">
        <v>1</v>
      </c>
      <c r="L6" t="s">
        <v>87</v>
      </c>
      <c r="P6" t="s">
        <v>2</v>
      </c>
      <c r="R6" t="s">
        <v>87</v>
      </c>
    </row>
    <row r="8" spans="2:22" x14ac:dyDescent="0.25"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30" t="s">
        <v>23</v>
      </c>
      <c r="V8" s="30"/>
    </row>
    <row r="9" spans="2:22" x14ac:dyDescent="0.25">
      <c r="B9" s="30" t="s">
        <v>3</v>
      </c>
      <c r="C9" s="30" t="s">
        <v>4</v>
      </c>
      <c r="D9" s="30" t="s">
        <v>5</v>
      </c>
      <c r="E9" s="30"/>
      <c r="F9" s="30" t="s">
        <v>7</v>
      </c>
      <c r="G9" s="30"/>
      <c r="H9" s="30" t="s">
        <v>10</v>
      </c>
      <c r="I9" s="30" t="s">
        <v>11</v>
      </c>
      <c r="J9" s="30" t="s">
        <v>12</v>
      </c>
      <c r="K9" s="30" t="s">
        <v>13</v>
      </c>
      <c r="L9" s="30" t="s">
        <v>14</v>
      </c>
      <c r="M9" s="30" t="s">
        <v>15</v>
      </c>
      <c r="N9" s="30" t="s">
        <v>16</v>
      </c>
      <c r="O9" s="30" t="s">
        <v>17</v>
      </c>
      <c r="P9" s="30" t="s">
        <v>18</v>
      </c>
      <c r="Q9" s="30" t="s">
        <v>19</v>
      </c>
      <c r="R9" s="30" t="s">
        <v>20</v>
      </c>
      <c r="S9" s="30" t="s">
        <v>21</v>
      </c>
      <c r="T9" s="30" t="s">
        <v>22</v>
      </c>
      <c r="U9" s="30" t="s">
        <v>24</v>
      </c>
      <c r="V9" s="30" t="s">
        <v>25</v>
      </c>
    </row>
    <row r="10" spans="2:22" x14ac:dyDescent="0.25">
      <c r="B10" s="30"/>
      <c r="C10" s="30"/>
      <c r="D10" s="30" t="s">
        <v>6</v>
      </c>
      <c r="E10" s="30" t="s">
        <v>86</v>
      </c>
      <c r="F10" s="30" t="s">
        <v>8</v>
      </c>
      <c r="G10" s="30" t="s">
        <v>9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2:22" x14ac:dyDescent="0.25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r="14" spans="2:22" x14ac:dyDescent="0.25">
      <c r="B14" s="37" t="s">
        <v>85</v>
      </c>
      <c r="C14" s="23" t="s">
        <v>84</v>
      </c>
      <c r="D14" s="23" t="s">
        <v>72</v>
      </c>
      <c r="E14" s="23" t="s">
        <v>72</v>
      </c>
      <c r="F14" s="23" t="s">
        <v>83</v>
      </c>
      <c r="G14" s="23" t="s">
        <v>83</v>
      </c>
      <c r="H14" s="4" t="s">
        <v>31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4" t="s">
        <v>42</v>
      </c>
      <c r="V14" s="22">
        <v>2</v>
      </c>
    </row>
    <row r="15" spans="2:22" x14ac:dyDescent="0.25">
      <c r="B15" s="37"/>
      <c r="C15" s="22"/>
      <c r="D15" s="22"/>
      <c r="E15" s="22"/>
      <c r="F15" s="22"/>
      <c r="G15" s="22"/>
      <c r="H15" s="4" t="s">
        <v>32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4"/>
      <c r="V15" s="22"/>
    </row>
    <row r="16" spans="2:22" x14ac:dyDescent="0.25">
      <c r="B16" s="37"/>
      <c r="C16" s="22" t="s">
        <v>26</v>
      </c>
      <c r="D16" s="4" t="s">
        <v>82</v>
      </c>
      <c r="E16" s="22"/>
      <c r="F16" s="22"/>
      <c r="G16" s="22"/>
      <c r="H16" s="4" t="s">
        <v>33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4" t="s">
        <v>43</v>
      </c>
      <c r="V16" s="22">
        <v>2</v>
      </c>
    </row>
    <row r="17" spans="2:22" x14ac:dyDescent="0.25">
      <c r="B17" s="37"/>
      <c r="C17" s="22" t="s">
        <v>27</v>
      </c>
      <c r="D17" s="4" t="s">
        <v>81</v>
      </c>
      <c r="E17" s="22"/>
      <c r="F17" s="22"/>
      <c r="G17" s="22"/>
      <c r="H17" s="4" t="s">
        <v>34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4" t="s">
        <v>44</v>
      </c>
      <c r="V17" s="22">
        <v>35</v>
      </c>
    </row>
    <row r="18" spans="2:22" x14ac:dyDescent="0.25">
      <c r="B18" s="37"/>
      <c r="C18" s="22" t="s">
        <v>28</v>
      </c>
      <c r="D18" s="27" t="s">
        <v>80</v>
      </c>
      <c r="E18" s="22"/>
      <c r="F18" s="22"/>
      <c r="G18" s="22"/>
      <c r="H18" s="4" t="s">
        <v>35</v>
      </c>
      <c r="I18" s="22">
        <v>3286</v>
      </c>
      <c r="J18" s="22">
        <v>2910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4" t="s">
        <v>35</v>
      </c>
      <c r="V18" s="22">
        <v>6196</v>
      </c>
    </row>
    <row r="19" spans="2:22" x14ac:dyDescent="0.25">
      <c r="B19" s="37"/>
      <c r="C19" s="22"/>
      <c r="D19" s="22"/>
      <c r="E19" s="22"/>
      <c r="F19" s="22"/>
      <c r="G19" s="22"/>
      <c r="H19" s="4" t="s">
        <v>36</v>
      </c>
      <c r="I19" s="5">
        <v>1</v>
      </c>
      <c r="J19" s="5">
        <v>0.8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4" t="s">
        <v>36</v>
      </c>
      <c r="V19" s="5">
        <v>1.8</v>
      </c>
    </row>
    <row r="20" spans="2:22" x14ac:dyDescent="0.25">
      <c r="B20" s="37"/>
      <c r="C20" s="22" t="s">
        <v>29</v>
      </c>
      <c r="D20" s="26" t="s">
        <v>79</v>
      </c>
      <c r="E20" s="22"/>
      <c r="F20" s="22"/>
      <c r="G20" s="22"/>
      <c r="H20" s="4" t="s">
        <v>37</v>
      </c>
      <c r="I20" s="22">
        <v>1</v>
      </c>
      <c r="J20" s="22">
        <v>1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4" t="s">
        <v>37</v>
      </c>
      <c r="V20" s="22">
        <v>2</v>
      </c>
    </row>
    <row r="21" spans="2:22" x14ac:dyDescent="0.25">
      <c r="B21" s="37"/>
      <c r="C21" s="22" t="s">
        <v>30</v>
      </c>
      <c r="D21" s="26" t="s">
        <v>78</v>
      </c>
      <c r="E21" s="22"/>
      <c r="F21" s="22"/>
      <c r="G21" s="22"/>
      <c r="H21" s="4" t="s">
        <v>38</v>
      </c>
      <c r="I21" s="22">
        <v>0</v>
      </c>
      <c r="J21" s="22">
        <v>1</v>
      </c>
      <c r="K21" s="22">
        <v>1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4" t="s">
        <v>38</v>
      </c>
      <c r="V21" s="22">
        <v>2</v>
      </c>
    </row>
    <row r="22" spans="2:22" x14ac:dyDescent="0.25">
      <c r="B22" s="37"/>
      <c r="C22" s="22"/>
      <c r="D22" s="22"/>
      <c r="E22" s="22"/>
      <c r="F22" s="22"/>
      <c r="G22" s="22"/>
      <c r="H22" s="4" t="s">
        <v>39</v>
      </c>
      <c r="I22" s="22">
        <v>0</v>
      </c>
      <c r="J22" s="22">
        <v>1</v>
      </c>
      <c r="K22" s="22">
        <v>1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4" t="s">
        <v>39</v>
      </c>
      <c r="V22" s="22">
        <v>2</v>
      </c>
    </row>
    <row r="23" spans="2:22" x14ac:dyDescent="0.25">
      <c r="B23" s="37"/>
      <c r="C23" s="22"/>
      <c r="D23" s="22"/>
      <c r="E23" s="22"/>
      <c r="F23" s="22"/>
      <c r="G23" s="22"/>
      <c r="H23" s="4" t="s">
        <v>40</v>
      </c>
      <c r="I23" s="5">
        <v>3286.0012700000002</v>
      </c>
      <c r="J23" s="5">
        <v>3637.5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4" t="s">
        <v>45</v>
      </c>
      <c r="V23" s="5">
        <v>3442.2229600000001</v>
      </c>
    </row>
    <row r="24" spans="2:22" x14ac:dyDescent="0.25">
      <c r="B24" s="37"/>
      <c r="C24" s="22"/>
      <c r="D24" s="22"/>
      <c r="E24" s="22"/>
      <c r="F24" s="22"/>
      <c r="G24" s="22"/>
      <c r="H24" s="4" t="s">
        <v>41</v>
      </c>
      <c r="I24" s="25">
        <v>9.1296400000000002</v>
      </c>
      <c r="J24" s="25">
        <v>8.24742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4" t="s">
        <v>46</v>
      </c>
      <c r="V24" s="25">
        <v>8.7152999999999992</v>
      </c>
    </row>
    <row r="27" spans="2:22" x14ac:dyDescent="0.25">
      <c r="B27" t="s">
        <v>77</v>
      </c>
    </row>
    <row r="28" spans="2:22" x14ac:dyDescent="0.25">
      <c r="B28" s="35" t="s">
        <v>6</v>
      </c>
      <c r="C28" s="35"/>
      <c r="D28" s="35" t="s">
        <v>72</v>
      </c>
      <c r="E28" s="35" t="s">
        <v>72</v>
      </c>
      <c r="F28" s="35"/>
      <c r="G28" s="35"/>
      <c r="H28" s="4" t="s">
        <v>35</v>
      </c>
      <c r="I28" s="22">
        <v>3286</v>
      </c>
      <c r="J28" s="22">
        <v>2910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4" t="s">
        <v>35</v>
      </c>
      <c r="V28" s="22">
        <v>6196</v>
      </c>
    </row>
    <row r="29" spans="2:22" x14ac:dyDescent="0.25">
      <c r="B29" s="35"/>
      <c r="C29" s="35"/>
      <c r="D29" s="35"/>
      <c r="E29" s="35"/>
      <c r="F29" s="35"/>
      <c r="G29" s="35"/>
      <c r="H29" s="4" t="s">
        <v>36</v>
      </c>
      <c r="I29" s="5">
        <v>1</v>
      </c>
      <c r="J29" s="5">
        <v>0.8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4" t="s">
        <v>36</v>
      </c>
      <c r="V29" s="5">
        <v>1.8</v>
      </c>
    </row>
    <row r="30" spans="2:22" x14ac:dyDescent="0.25">
      <c r="B30" s="35"/>
      <c r="C30" s="35"/>
      <c r="D30" s="35"/>
      <c r="E30" s="35"/>
      <c r="F30" s="35"/>
      <c r="G30" s="35"/>
      <c r="H30" s="4" t="s">
        <v>43</v>
      </c>
      <c r="I30" s="22">
        <v>1</v>
      </c>
      <c r="J30" s="22">
        <v>1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4" t="s">
        <v>43</v>
      </c>
      <c r="V30" s="22">
        <v>2</v>
      </c>
    </row>
    <row r="31" spans="2:22" x14ac:dyDescent="0.25">
      <c r="B31" s="35"/>
      <c r="C31" s="22" t="s">
        <v>29</v>
      </c>
      <c r="D31" s="26" t="s">
        <v>76</v>
      </c>
      <c r="E31" s="22"/>
      <c r="F31" s="22"/>
      <c r="G31" s="22"/>
      <c r="H31" s="4" t="s">
        <v>37</v>
      </c>
      <c r="I31" s="22">
        <v>1</v>
      </c>
      <c r="J31" s="22">
        <v>1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4" t="s">
        <v>37</v>
      </c>
      <c r="V31" s="22">
        <v>2</v>
      </c>
    </row>
    <row r="32" spans="2:22" x14ac:dyDescent="0.25">
      <c r="B32" s="35"/>
      <c r="C32" s="22" t="s">
        <v>47</v>
      </c>
      <c r="D32" s="26" t="s">
        <v>75</v>
      </c>
      <c r="E32" s="22"/>
      <c r="F32" s="22"/>
      <c r="G32" s="22"/>
      <c r="H32" s="4" t="s">
        <v>38</v>
      </c>
      <c r="I32" s="22">
        <v>0</v>
      </c>
      <c r="J32" s="22">
        <v>1</v>
      </c>
      <c r="K32" s="22">
        <v>1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4" t="s">
        <v>38</v>
      </c>
      <c r="V32" s="22">
        <v>2</v>
      </c>
    </row>
    <row r="33" spans="2:22" x14ac:dyDescent="0.25">
      <c r="B33" s="35"/>
      <c r="C33" s="22"/>
      <c r="D33" s="22"/>
      <c r="E33" s="22"/>
      <c r="F33" s="22"/>
      <c r="G33" s="22"/>
      <c r="H33" s="4" t="s">
        <v>39</v>
      </c>
      <c r="I33" s="22">
        <v>0</v>
      </c>
      <c r="J33" s="22">
        <v>1</v>
      </c>
      <c r="K33" s="22">
        <v>1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4" t="s">
        <v>39</v>
      </c>
      <c r="V33" s="22">
        <v>2</v>
      </c>
    </row>
    <row r="34" spans="2:22" x14ac:dyDescent="0.25">
      <c r="B34" s="35"/>
      <c r="C34" s="22"/>
      <c r="D34" s="22"/>
      <c r="E34" s="22"/>
      <c r="F34" s="22"/>
      <c r="G34" s="22"/>
      <c r="H34" s="4" t="s">
        <v>48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35</v>
      </c>
      <c r="U34" s="4" t="s">
        <v>48</v>
      </c>
      <c r="V34" s="22">
        <v>35</v>
      </c>
    </row>
    <row r="35" spans="2:22" x14ac:dyDescent="0.25">
      <c r="B35" s="35"/>
      <c r="C35" s="22"/>
      <c r="D35" s="22"/>
      <c r="E35" s="22"/>
      <c r="F35" s="22"/>
      <c r="G35" s="22"/>
      <c r="H35" s="4" t="s">
        <v>49</v>
      </c>
      <c r="I35" s="5">
        <v>0.96774000000000004</v>
      </c>
      <c r="J35" s="5">
        <v>0.85714000000000001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4" t="s">
        <v>49</v>
      </c>
      <c r="V35" s="5">
        <v>0.15207000000000001</v>
      </c>
    </row>
    <row r="36" spans="2:22" x14ac:dyDescent="0.25">
      <c r="B36" s="35"/>
      <c r="C36" s="22"/>
      <c r="D36" s="22"/>
      <c r="E36" s="22"/>
      <c r="F36" s="22"/>
      <c r="G36" s="22"/>
      <c r="H36" s="4" t="s">
        <v>50</v>
      </c>
      <c r="I36" s="5">
        <v>0.29032000000000002</v>
      </c>
      <c r="J36" s="5">
        <v>0.14285999999999999</v>
      </c>
      <c r="K36" s="5">
        <v>0.22581000000000001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4" t="s">
        <v>50</v>
      </c>
      <c r="V36" s="5">
        <v>5.4919999999999997E-2</v>
      </c>
    </row>
    <row r="37" spans="2:22" x14ac:dyDescent="0.25">
      <c r="B37" s="35"/>
      <c r="C37" s="22"/>
      <c r="D37" s="22"/>
      <c r="E37" s="22"/>
      <c r="F37" s="22"/>
      <c r="G37" s="22"/>
      <c r="H37" s="4" t="s">
        <v>51</v>
      </c>
      <c r="I37" s="5">
        <v>0</v>
      </c>
      <c r="J37" s="5">
        <v>0</v>
      </c>
      <c r="K37" s="5">
        <v>0.45161000000000001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4" t="s">
        <v>51</v>
      </c>
      <c r="V37" s="5">
        <v>3.7629999999999997E-2</v>
      </c>
    </row>
    <row r="38" spans="2:22" x14ac:dyDescent="0.25">
      <c r="B38" s="35"/>
      <c r="C38" s="22"/>
      <c r="D38" s="22"/>
      <c r="E38" s="22"/>
      <c r="F38" s="22"/>
      <c r="G38" s="22"/>
      <c r="H38" s="4" t="s">
        <v>40</v>
      </c>
      <c r="I38" s="5">
        <v>3286.0012700000002</v>
      </c>
      <c r="J38" s="5">
        <v>3637.5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4" t="s">
        <v>52</v>
      </c>
      <c r="V38" s="5">
        <v>3442.2229600000001</v>
      </c>
    </row>
    <row r="39" spans="2:22" x14ac:dyDescent="0.25">
      <c r="B39" s="35"/>
      <c r="C39" s="22"/>
      <c r="D39" s="22"/>
      <c r="E39" s="22"/>
      <c r="F39" s="22"/>
      <c r="G39" s="22"/>
      <c r="H39" s="4" t="s">
        <v>41</v>
      </c>
      <c r="I39" s="25">
        <v>9.1296400000000002</v>
      </c>
      <c r="J39" s="25">
        <v>8.24742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4" t="s">
        <v>74</v>
      </c>
      <c r="V39" s="25">
        <v>8.7152999999999992</v>
      </c>
    </row>
    <row r="45" spans="2:22" x14ac:dyDescent="0.25">
      <c r="B45" t="s">
        <v>73</v>
      </c>
    </row>
    <row r="46" spans="2:22" x14ac:dyDescent="0.25">
      <c r="B46" s="35" t="s">
        <v>6</v>
      </c>
      <c r="C46" s="35"/>
      <c r="D46" s="35" t="s">
        <v>72</v>
      </c>
      <c r="E46" s="35" t="s">
        <v>72</v>
      </c>
      <c r="F46" s="35"/>
      <c r="G46" s="35"/>
      <c r="H46" s="4" t="s">
        <v>35</v>
      </c>
      <c r="I46" s="22">
        <v>3286</v>
      </c>
      <c r="J46" s="22">
        <v>2910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4" t="s">
        <v>35</v>
      </c>
      <c r="V46" s="22">
        <v>6196</v>
      </c>
    </row>
    <row r="47" spans="2:22" x14ac:dyDescent="0.25">
      <c r="B47" s="35"/>
      <c r="C47" s="35"/>
      <c r="D47" s="35"/>
      <c r="E47" s="35"/>
      <c r="F47" s="35"/>
      <c r="G47" s="35"/>
      <c r="H47" s="4" t="s">
        <v>36</v>
      </c>
      <c r="I47" s="5">
        <v>1</v>
      </c>
      <c r="J47" s="5">
        <v>0.8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4" t="s">
        <v>36</v>
      </c>
      <c r="V47" s="5">
        <v>1.8</v>
      </c>
    </row>
    <row r="48" spans="2:22" x14ac:dyDescent="0.25">
      <c r="B48" s="35"/>
      <c r="C48" s="35"/>
      <c r="D48" s="35"/>
      <c r="E48" s="35"/>
      <c r="F48" s="35"/>
      <c r="G48" s="35"/>
      <c r="H48" s="4" t="s">
        <v>43</v>
      </c>
      <c r="I48" s="22">
        <v>1</v>
      </c>
      <c r="J48" s="22">
        <v>1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4" t="s">
        <v>43</v>
      </c>
      <c r="V48" s="22">
        <v>2</v>
      </c>
    </row>
    <row r="49" spans="2:22" x14ac:dyDescent="0.25">
      <c r="B49" s="35"/>
      <c r="C49" s="22" t="s">
        <v>29</v>
      </c>
      <c r="D49" s="26" t="s">
        <v>71</v>
      </c>
      <c r="E49" s="22"/>
      <c r="F49" s="22"/>
      <c r="G49" s="22"/>
      <c r="H49" s="4" t="s">
        <v>37</v>
      </c>
      <c r="I49" s="22">
        <v>1</v>
      </c>
      <c r="J49" s="22">
        <v>1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4" t="s">
        <v>37</v>
      </c>
      <c r="V49" s="22">
        <v>2</v>
      </c>
    </row>
    <row r="50" spans="2:22" x14ac:dyDescent="0.25">
      <c r="B50" s="35"/>
      <c r="C50" s="22" t="s">
        <v>47</v>
      </c>
      <c r="D50" s="26" t="s">
        <v>70</v>
      </c>
      <c r="E50" s="22"/>
      <c r="F50" s="22"/>
      <c r="G50" s="22"/>
      <c r="H50" s="4" t="s">
        <v>38</v>
      </c>
      <c r="I50" s="22">
        <v>0</v>
      </c>
      <c r="J50" s="22">
        <v>1</v>
      </c>
      <c r="K50" s="22">
        <v>1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4" t="s">
        <v>38</v>
      </c>
      <c r="V50" s="22">
        <v>2</v>
      </c>
    </row>
    <row r="51" spans="2:22" x14ac:dyDescent="0.25">
      <c r="B51" s="35"/>
      <c r="C51" s="22"/>
      <c r="D51" s="22"/>
      <c r="E51" s="22"/>
      <c r="F51" s="22"/>
      <c r="G51" s="22"/>
      <c r="H51" s="4" t="s">
        <v>39</v>
      </c>
      <c r="I51" s="22">
        <v>0</v>
      </c>
      <c r="J51" s="22">
        <v>1</v>
      </c>
      <c r="K51" s="22">
        <v>1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4" t="s">
        <v>39</v>
      </c>
      <c r="V51" s="22">
        <v>2</v>
      </c>
    </row>
    <row r="52" spans="2:22" x14ac:dyDescent="0.25">
      <c r="B52" s="35"/>
      <c r="C52" s="22"/>
      <c r="D52" s="22"/>
      <c r="E52" s="22"/>
      <c r="F52" s="22"/>
      <c r="G52" s="22"/>
      <c r="H52" s="4" t="s">
        <v>48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35</v>
      </c>
      <c r="U52" s="4" t="s">
        <v>48</v>
      </c>
      <c r="V52" s="22">
        <v>35</v>
      </c>
    </row>
    <row r="53" spans="2:22" x14ac:dyDescent="0.25">
      <c r="B53" s="35"/>
      <c r="C53" s="22"/>
      <c r="D53" s="22"/>
      <c r="E53" s="22"/>
      <c r="F53" s="22"/>
      <c r="G53" s="22"/>
      <c r="H53" s="4" t="s">
        <v>49</v>
      </c>
      <c r="I53" s="5">
        <v>0.96774000000000004</v>
      </c>
      <c r="J53" s="5">
        <v>0.85714000000000001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4" t="s">
        <v>49</v>
      </c>
      <c r="V53" s="5">
        <v>0.15207000000000001</v>
      </c>
    </row>
    <row r="54" spans="2:22" x14ac:dyDescent="0.25">
      <c r="B54" s="35"/>
      <c r="C54" s="22"/>
      <c r="D54" s="22"/>
      <c r="E54" s="22"/>
      <c r="F54" s="22"/>
      <c r="G54" s="22"/>
      <c r="H54" s="4" t="s">
        <v>50</v>
      </c>
      <c r="I54" s="5">
        <v>0.29032000000000002</v>
      </c>
      <c r="J54" s="5">
        <v>0.14285999999999999</v>
      </c>
      <c r="K54" s="5">
        <v>0.22581000000000001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4" t="s">
        <v>50</v>
      </c>
      <c r="V54" s="5">
        <v>5.4919999999999997E-2</v>
      </c>
    </row>
    <row r="55" spans="2:22" x14ac:dyDescent="0.25">
      <c r="B55" s="35"/>
      <c r="C55" s="22"/>
      <c r="D55" s="22"/>
      <c r="E55" s="22"/>
      <c r="F55" s="22"/>
      <c r="G55" s="22"/>
      <c r="H55" s="4" t="s">
        <v>51</v>
      </c>
      <c r="I55" s="5">
        <v>0</v>
      </c>
      <c r="J55" s="5">
        <v>0</v>
      </c>
      <c r="K55" s="5">
        <v>0.45161000000000001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4" t="s">
        <v>51</v>
      </c>
      <c r="V55" s="5">
        <v>3.7629999999999997E-2</v>
      </c>
    </row>
    <row r="56" spans="2:22" x14ac:dyDescent="0.25">
      <c r="B56" s="35"/>
      <c r="C56" s="22"/>
      <c r="D56" s="22"/>
      <c r="E56" s="22"/>
      <c r="F56" s="22"/>
      <c r="G56" s="22"/>
      <c r="H56" s="4" t="s">
        <v>40</v>
      </c>
      <c r="I56" s="5">
        <v>3286.0012700000002</v>
      </c>
      <c r="J56" s="5">
        <v>3637.5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4" t="s">
        <v>52</v>
      </c>
      <c r="V56" s="5">
        <v>3442.2229600000001</v>
      </c>
    </row>
    <row r="57" spans="2:22" x14ac:dyDescent="0.25">
      <c r="B57" s="35"/>
      <c r="C57" s="22"/>
      <c r="D57" s="22"/>
      <c r="E57" s="22"/>
      <c r="F57" s="22"/>
      <c r="G57" s="22"/>
      <c r="H57" s="4" t="s">
        <v>41</v>
      </c>
      <c r="I57" s="25">
        <v>9.1296400000000002</v>
      </c>
      <c r="J57" s="25">
        <v>8.24742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4" t="s">
        <v>41</v>
      </c>
      <c r="V57" s="25">
        <v>8.7152999999999992</v>
      </c>
    </row>
    <row r="62" spans="2:22" x14ac:dyDescent="0.25">
      <c r="B62" s="24" t="s">
        <v>56</v>
      </c>
    </row>
    <row r="63" spans="2:22" x14ac:dyDescent="0.25">
      <c r="C63" s="24" t="s">
        <v>69</v>
      </c>
    </row>
    <row r="64" spans="2:22" x14ac:dyDescent="0.25">
      <c r="C64" s="24" t="s">
        <v>68</v>
      </c>
    </row>
    <row r="65" spans="3:3" x14ac:dyDescent="0.25">
      <c r="C65" s="24" t="s">
        <v>67</v>
      </c>
    </row>
    <row r="66" spans="3:3" x14ac:dyDescent="0.25">
      <c r="C66" s="24" t="s">
        <v>66</v>
      </c>
    </row>
    <row r="67" spans="3:3" x14ac:dyDescent="0.25">
      <c r="C67" s="24" t="s">
        <v>65</v>
      </c>
    </row>
    <row r="68" spans="3:3" x14ac:dyDescent="0.25">
      <c r="C68" s="24" t="s">
        <v>64</v>
      </c>
    </row>
    <row r="69" spans="3:3" x14ac:dyDescent="0.25">
      <c r="C69" s="24" t="s">
        <v>63</v>
      </c>
    </row>
    <row r="70" spans="3:3" x14ac:dyDescent="0.25">
      <c r="C70" s="24" t="s">
        <v>62</v>
      </c>
    </row>
  </sheetData>
  <mergeCells count="37">
    <mergeCell ref="F9:G9"/>
    <mergeCell ref="F10:F11"/>
    <mergeCell ref="G10:G11"/>
    <mergeCell ref="T9:T11"/>
    <mergeCell ref="U8:V8"/>
    <mergeCell ref="U9:U11"/>
    <mergeCell ref="V9:V11"/>
    <mergeCell ref="R9:R11"/>
    <mergeCell ref="S9:S11"/>
    <mergeCell ref="B14:B24"/>
    <mergeCell ref="N9:N11"/>
    <mergeCell ref="O9:O11"/>
    <mergeCell ref="P9:P11"/>
    <mergeCell ref="Q9:Q11"/>
    <mergeCell ref="M9:M11"/>
    <mergeCell ref="B9:B11"/>
    <mergeCell ref="C9:C11"/>
    <mergeCell ref="D9:E9"/>
    <mergeCell ref="D10:D11"/>
    <mergeCell ref="E10:E11"/>
    <mergeCell ref="H9:H11"/>
    <mergeCell ref="I9:I11"/>
    <mergeCell ref="J9:J11"/>
    <mergeCell ref="K9:K11"/>
    <mergeCell ref="L9:L11"/>
    <mergeCell ref="E28:E30"/>
    <mergeCell ref="F28:F30"/>
    <mergeCell ref="G28:G30"/>
    <mergeCell ref="B46:B57"/>
    <mergeCell ref="C46:C48"/>
    <mergeCell ref="D46:D48"/>
    <mergeCell ref="E46:E48"/>
    <mergeCell ref="F46:F48"/>
    <mergeCell ref="G46:G48"/>
    <mergeCell ref="B28:B39"/>
    <mergeCell ref="C28:C30"/>
    <mergeCell ref="D28:D30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Год</vt:lpstr>
      <vt:lpstr>Примечания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Штыкова А.В.</dc:creator>
  <cp:lastModifiedBy>first</cp:lastModifiedBy>
  <dcterms:created xsi:type="dcterms:W3CDTF">2016-02-17T11:08:01Z</dcterms:created>
  <dcterms:modified xsi:type="dcterms:W3CDTF">2017-07-28T07:16:19Z</dcterms:modified>
</cp:coreProperties>
</file>