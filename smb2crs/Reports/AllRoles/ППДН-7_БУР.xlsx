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53222"/>
  <bookViews>
    <workbookView xWindow="-15" yWindow="-15" windowWidth="14520" windowHeight="12855"/>
  </bookViews>
  <sheets>
    <sheet name="БУР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A100000">[1]История!$A$38:$IV$38</definedName>
    <definedName name="____A66000">[1]История!$A$55001</definedName>
    <definedName name="____A68000">[1]История!$A$65000</definedName>
    <definedName name="____A77000">[1]История!$A$55000</definedName>
    <definedName name="____fon1">#REF!</definedName>
    <definedName name="____fon2">#REF!</definedName>
    <definedName name="____fon3">#REF!</definedName>
    <definedName name="____fon4">#REF!</definedName>
    <definedName name="____fon5">#REF!</definedName>
    <definedName name="____fon6">#REF!</definedName>
    <definedName name="____SQL1">#REF!</definedName>
    <definedName name="____usd1">#REF!</definedName>
    <definedName name="___A100000">[1]История!$A$38:$IV$38</definedName>
    <definedName name="___A66000">[1]История!$A$55001</definedName>
    <definedName name="___A68000">[1]История!$A$65000</definedName>
    <definedName name="___A77000">[1]История!$A$55000</definedName>
    <definedName name="___fon1">#REF!</definedName>
    <definedName name="___fon2">#REF!</definedName>
    <definedName name="___fon3">#REF!</definedName>
    <definedName name="___fon4">#REF!</definedName>
    <definedName name="___fon5">#REF!</definedName>
    <definedName name="___fon6">#REF!</definedName>
    <definedName name="___SQL1">#REF!</definedName>
    <definedName name="___usd1">#REF!</definedName>
    <definedName name="__A100000">[1]История!$A$38:$IV$38</definedName>
    <definedName name="__A66000">[1]История!$A$55001</definedName>
    <definedName name="__A68000">[1]История!$A$65000</definedName>
    <definedName name="__A77000">[1]История!$A$55000</definedName>
    <definedName name="__fon1">#REF!</definedName>
    <definedName name="__fon2">#REF!</definedName>
    <definedName name="__fon3">#REF!</definedName>
    <definedName name="__fon4">#REF!</definedName>
    <definedName name="__fon5">#REF!</definedName>
    <definedName name="__fon6">#REF!</definedName>
    <definedName name="__SQL1">#REF!</definedName>
    <definedName name="__usd1">#REF!</definedName>
    <definedName name="_A100000">[1]История!$A$38:$IV$38</definedName>
    <definedName name="_A66000">[1]История!$A$55001</definedName>
    <definedName name="_A68000">[1]История!$A$65000</definedName>
    <definedName name="_A77000">[1]История!$A$55000</definedName>
    <definedName name="_fon1">#REF!</definedName>
    <definedName name="_fon2">#REF!</definedName>
    <definedName name="_fon3">#REF!</definedName>
    <definedName name="_fon4">#REF!</definedName>
    <definedName name="_fon5">#REF!</definedName>
    <definedName name="_fon6">#REF!</definedName>
    <definedName name="_Order1" hidden="1">255</definedName>
    <definedName name="_SQL1">#REF!</definedName>
    <definedName name="_usd1">#REF!</definedName>
    <definedName name="_xlnm._FilterDatabase" localSheetId="0" hidden="1">БУР!$A$7:$BD$659</definedName>
    <definedName name="_xlnm._FilterDatabase" hidden="1">#REF!</definedName>
    <definedName name="a" hidden="1">{"IASTrail",#N/A,FALSE,"IAS"}</definedName>
    <definedName name="aaa" hidden="1">{"AnalRSA",#N/A,TRUE,"PL-Anal";"AnalIAS",#N/A,TRUE,"PL-Anal"}</definedName>
    <definedName name="Access_Button" hidden="1">"КРС_98_план_NN_Таблица"</definedName>
    <definedName name="AccessDatabase" hidden="1">"C:\Мои документы\Сергунина\KPC\КРС 98 план.mdb"</definedName>
    <definedName name="Alphabet">"ABCDEFGHIJKLMNOPQRSTUVWXYZ"</definedName>
    <definedName name="Area">#REF!</definedName>
    <definedName name="asd">#REF!</definedName>
    <definedName name="asw">[2]Лист1!$AE$1:$AE$70</definedName>
    <definedName name="ATNAME1">"GRB"</definedName>
    <definedName name="ATNAME2">"OT"</definedName>
    <definedName name="ATNAME3">"Wamsutter"</definedName>
    <definedName name="B">#REF!</definedName>
    <definedName name="Bg">#REF!</definedName>
    <definedName name="Bo">#REF!</definedName>
    <definedName name="BUName">#REF!</definedName>
    <definedName name="capex">#REF!</definedName>
    <definedName name="capex_febgfo_act">#REF!</definedName>
    <definedName name="capex_plan_04oct">#REF!</definedName>
    <definedName name="casing_area">#REF!</definedName>
    <definedName name="Casing_ID">#REF!</definedName>
    <definedName name="Casing_OD">#REF!</definedName>
    <definedName name="CAT">#REF!</definedName>
    <definedName name="cc">#REF!</definedName>
    <definedName name="ccc">#REF!</definedName>
    <definedName name="ColCount">4</definedName>
    <definedName name="CompName">"WGEO31201_FULL"</definedName>
    <definedName name="Convert1">#REF!</definedName>
    <definedName name="Crit_range">#REF!</definedName>
    <definedName name="Current_Import_Duty">'[3]Input Assumptions'!$C$42</definedName>
    <definedName name="cvb">#REF!</definedName>
    <definedName name="DateLong">"31 декабря 2002 "</definedName>
    <definedName name="DateMonthYear">"Ноябрь 2002"</definedName>
    <definedName name="DateY">2002</definedName>
    <definedName name="DateYFirstM">200201</definedName>
    <definedName name="DateYM">200211</definedName>
    <definedName name="depth">#REF!</definedName>
    <definedName name="Description">#REF!</definedName>
    <definedName name="deviation1">'[4]Линейная чувствительность'!$B$5</definedName>
    <definedName name="DiscontRate">#REF!</definedName>
    <definedName name="dpdt">#REF!</definedName>
    <definedName name="dtb">#REF!</definedName>
    <definedName name="EFFECT_MER_Таблица">#REF!</definedName>
    <definedName name="Enterprise">"СНГДУ2_предприятие"</definedName>
    <definedName name="ert">#REF!</definedName>
    <definedName name="ff" hidden="1">{"AnalRSA",#N/A,TRUE,"PL-Anal";"AnalIAS",#N/A,TRUE,"PL-Anal"}</definedName>
    <definedName name="FieldCode">#REF!</definedName>
    <definedName name="FieldName">#REF!</definedName>
    <definedName name="Fin_DBSwitch">#REF!</definedName>
    <definedName name="FirstCol">1</definedName>
    <definedName name="FirstRow">10</definedName>
    <definedName name="FL">#REF!</definedName>
    <definedName name="Fluid_rate">#REF!</definedName>
    <definedName name="fond1">#REF!</definedName>
    <definedName name="fond2">#REF!</definedName>
    <definedName name="fond3">#REF!</definedName>
    <definedName name="fond4">#REF!</definedName>
    <definedName name="fond5">#REF!</definedName>
    <definedName name="fond6">#REF!</definedName>
    <definedName name="FX">[1]Input!$D$21:$BB$21</definedName>
    <definedName name="FX_Rate">#REF!</definedName>
    <definedName name="Gas_Mkr">#REF!</definedName>
    <definedName name="gg">#REF!</definedName>
    <definedName name="ghggfdf" hidden="1">{"IASTrail",#N/A,FALSE,"IAS"}</definedName>
    <definedName name="GOR">#REF!</definedName>
    <definedName name="î21">#REF!</definedName>
    <definedName name="input_by">#REF!</definedName>
    <definedName name="Input_Vector">#REF!</definedName>
    <definedName name="Interest">#REF!</definedName>
    <definedName name="iop">#REF!</definedName>
    <definedName name="j" hidden="1">{"IASTrail",#N/A,FALSE,"IAS"}</definedName>
    <definedName name="Language">#REF!</definedName>
    <definedName name="liquid_level">#REF!</definedName>
    <definedName name="lkj">'[5]DIF-6'!$BJ$8:$BJ$16</definedName>
    <definedName name="MAINSQL">#REF!</definedName>
    <definedName name="mm">'[6]фонд '!$D$2:$D$68</definedName>
    <definedName name="mnb">[2]Лист1!$AE$1:$AE$42</definedName>
    <definedName name="mnmnm">#REF!</definedName>
    <definedName name="N">#REF!</definedName>
    <definedName name="NPV">#REF!</definedName>
    <definedName name="NumDateFirstDayMonth">20021101</definedName>
    <definedName name="NumDateFirstMonth">20020101</definedName>
    <definedName name="NumericDate">20021101</definedName>
    <definedName name="OBJECTDESC">"Объект обработки:"</definedName>
    <definedName name="OBJECTROW">4</definedName>
    <definedName name="og">#REF!</definedName>
    <definedName name="Oil_Density">#REF!</definedName>
    <definedName name="Oil_Mkr">#REF!</definedName>
    <definedName name="ooo">#REF!</definedName>
    <definedName name="osg">#REF!</definedName>
    <definedName name="Output_Vector">#REF!</definedName>
    <definedName name="P">#REF!</definedName>
    <definedName name="Pcasing">#REF!</definedName>
    <definedName name="Percent_Imported_Capital">'[3]Input Assumptions'!$C$68</definedName>
    <definedName name="Perf_depth">#REF!</definedName>
    <definedName name="Pgc">#REF!</definedName>
    <definedName name="plan_04oct_growthrate">#REF!</definedName>
    <definedName name="plan_04oct_spend">#REF!</definedName>
    <definedName name="ppp">#REF!</definedName>
    <definedName name="Ppr">#REF!</definedName>
    <definedName name="Prd_CopyAll">#REF!</definedName>
    <definedName name="printing">[7]Resources!$G$1</definedName>
    <definedName name="Project">[8]обзор!$A$1</definedName>
    <definedName name="Psep">#REF!</definedName>
    <definedName name="Psurf">#REF!</definedName>
    <definedName name="pub_ASRead">[9]Control!$I$13:$I$13</definedName>
    <definedName name="pub_ASReadFlag">[9]Control!$I$42:$I$42</definedName>
    <definedName name="pub_ASReadHFCell">[9]Control!$I$39:$I$39</definedName>
    <definedName name="pub_ASReadPUCell">[9]Control!$I$41:$I$41</definedName>
    <definedName name="pub_ASReadValueFormulaCell">[9]Control!$I$40:$I$40</definedName>
    <definedName name="pub_ASReadVFCell">[9]Control!$I$38:$I$38</definedName>
    <definedName name="pub_ASSend">[9]Control!$I$14:$I$14</definedName>
    <definedName name="pub_ASSendFlag">[9]Control!$I$49:$I$49</definedName>
    <definedName name="pub_ASSendHFCell">[9]Control!$I$46:$I$46</definedName>
    <definedName name="pub_ASSendPUCell">[9]Control!$I$48:$I$48</definedName>
    <definedName name="pub_ASSendValueFormulaCell">[9]Control!$I$47:$I$47</definedName>
    <definedName name="pub_ASSendVFCell">[9]Control!$I$45:$I$45</definedName>
    <definedName name="pub_BUPUList">[9]Control!$B$13</definedName>
    <definedName name="pub_ConnCube">[9]Control!$I$55:$I$55</definedName>
    <definedName name="pub_ConnDatabase">[9]Control!$I$54:$I$54</definedName>
    <definedName name="pub_ConnLocalCube">[9]Control!$I$58:$I$58</definedName>
    <definedName name="pub_ConnNumberString">[9]Control!$I$52:$I$52</definedName>
    <definedName name="pub_ConnPromptLogin">[9]Control!$I$56:$I$56</definedName>
    <definedName name="pub_ConnProvider">[9]Control!$I$57:$I$57</definedName>
    <definedName name="pub_ConnServer">[9]Control!$I$53:$I$53</definedName>
    <definedName name="pub_Control">[9]Control!$I$9</definedName>
    <definedName name="pub_CPSVRange">[9]Control!$I$28</definedName>
    <definedName name="pub_CPSVReportFormulaColour">[9]Control!$I$29</definedName>
    <definedName name="pub_GFO">[9]Control!$C$7</definedName>
    <definedName name="pub_MasterBUCell">[9]Control!$I$20:$I$20</definedName>
    <definedName name="pub_MasterDetached">[9]Control!$I$32</definedName>
    <definedName name="pub_MasterModeCell">[9]Control!$I$31:$I$31</definedName>
    <definedName name="pub_MasterPages">[9]Control!$I$12:$K$12</definedName>
    <definedName name="pub_MasterPUCell">[9]Control!$I$21:$I$21</definedName>
    <definedName name="pub_MasterPUCell_Key">[9]Control!$I$22:$I$22</definedName>
    <definedName name="pub_Name">[9]Control!$I$4</definedName>
    <definedName name="pub_Portal">[9]Control!$I$15:$I$15</definedName>
    <definedName name="pub_PortalFormulaCell">[9]Control!$I$35:$I$35</definedName>
    <definedName name="pub_PUList">[9]Control!$C$14:$C$15</definedName>
    <definedName name="pub_ReportFormulaCell">[9]Control!$I$24:$I$24</definedName>
    <definedName name="pub_ReportFormulaColour">[9]Control!$I$27:$I$27</definedName>
    <definedName name="pub_ReportRange">[9]Control!$I$23:$I$23</definedName>
    <definedName name="pub_ReportRetrieveColour">[9]Control!$I$25:$I$25</definedName>
    <definedName name="pub_ReportWriteColour">[9]Control!$I$26:$I$26</definedName>
    <definedName name="pub_SavePath">[9]Control!$I$5</definedName>
    <definedName name="pub_SubPUEndSheet">[9]Control!$I$17:$I$17</definedName>
    <definedName name="pub_SubPUStartSheet">[9]Control!$I$16:$I$16</definedName>
    <definedName name="pub_System">[9]Control!$I$10</definedName>
    <definedName name="pub_WriteableRow">[9]Control!$I$30:$I$30</definedName>
    <definedName name="pub_Year">[9]Control!$C$8</definedName>
    <definedName name="Pump_depth">#REF!</definedName>
    <definedName name="PUName">#REF!</definedName>
    <definedName name="qas">#REF!</definedName>
    <definedName name="qg">#REF!</definedName>
    <definedName name="qqq">[10]Лист1!$A$1:$A$45</definedName>
    <definedName name="qscf_cor">#REF!</definedName>
    <definedName name="qwe">#REF!</definedName>
    <definedName name="Rate">[1]Input!$D$21:$BB$21</definedName>
    <definedName name="REPORTSHEETNAME">1</definedName>
    <definedName name="ResTime">#REF!</definedName>
    <definedName name="rew">#REF!</definedName>
    <definedName name="rng_data">#REF!</definedName>
    <definedName name="rrr">#REF!</definedName>
    <definedName name="Rs">#REF!</definedName>
    <definedName name="Scenario">#REF!</definedName>
    <definedName name="sdf">[11]Ветошкину!$BR$1:$BR$35</definedName>
    <definedName name="sgw">#REF!</definedName>
    <definedName name="sort">#REF!</definedName>
    <definedName name="ss">'[6]фонд '!$E$2:$E$78</definedName>
    <definedName name="Submission">#REF!</definedName>
    <definedName name="Summary">#REF!</definedName>
    <definedName name="sys_BuildMenu">[9]System!$B$3</definedName>
    <definedName name="sys_CUWType">[9]System!$B$4</definedName>
    <definedName name="sys_Mode">[9]System!$B$10</definedName>
    <definedName name="sys_ReadOnly">[9]System!$B$12</definedName>
    <definedName name="sys_SQLDatabase">[9]System!$B$19</definedName>
    <definedName name="sys_SQLServerName">[9]System!$B$18</definedName>
    <definedName name="sys_SubWB">[9]System!$B$14</definedName>
    <definedName name="sys_VersionNumber">[9]System!$B$22</definedName>
    <definedName name="T">#REF!</definedName>
    <definedName name="T_ave">#REF!</definedName>
    <definedName name="t_data">#REF!</definedName>
    <definedName name="T_F">#REF!</definedName>
    <definedName name="Tbh">#REF!</definedName>
    <definedName name="Tdepth">#REF!</definedName>
    <definedName name="tgrad">#REF!</definedName>
    <definedName name="Total_Capex">'[3]Input Assumptions'!$D$74:$BU$74</definedName>
    <definedName name="TotalFormat">#REF!</definedName>
    <definedName name="Tpr">#REF!</definedName>
    <definedName name="Ts">#REF!</definedName>
    <definedName name="Tubing_ID">#REF!</definedName>
    <definedName name="usd">#REF!</definedName>
    <definedName name="WC">#REF!</definedName>
    <definedName name="wert">#REF!</definedName>
    <definedName name="wg">#REF!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w_febgfo_act">#REF!</definedName>
    <definedName name="ww_plan_04oct">#REF!</definedName>
    <definedName name="www">#REF!</definedName>
    <definedName name="xcv">'[12]база общ'!$BK$10:$BK$257</definedName>
    <definedName name="Year">1999</definedName>
    <definedName name="yui">#REF!</definedName>
    <definedName name="z">#REF!</definedName>
    <definedName name="Z_772A0E09_E630_11D6_8608_0001029C9B35_.wvu.Rows" hidden="1">#REF!,#REF!,#REF!</definedName>
    <definedName name="Z_F1CE2A21_7959_4814_864C_012B7B1A049F_.wvu.Rows" hidden="1">#REF!,#REF!,#REF!,#REF!,#REF!,#REF!,#REF!,#REF!,#REF!,#REF!,#REF!,#REF!,#REF!,#REF!</definedName>
    <definedName name="zaq">#REF!</definedName>
    <definedName name="zxc">#REF!</definedName>
    <definedName name="zza">#REF!</definedName>
    <definedName name="а_сорт">#REF!</definedName>
    <definedName name="А1">#REF!</definedName>
    <definedName name="А10">#REF!</definedName>
    <definedName name="А9">#REF!</definedName>
    <definedName name="апр">#REF!</definedName>
    <definedName name="арж">#REF!</definedName>
    <definedName name="база">#REF!</definedName>
    <definedName name="_xlnm.Database">#REF!</definedName>
    <definedName name="бж">#REF!</definedName>
    <definedName name="бн">#REF!</definedName>
    <definedName name="Бурение_год">#REF!,#REF!,#REF!,#REF!,#REF!,#REF!,#REF!,#REF!,#REF!,#REF!,#REF!</definedName>
    <definedName name="Бурение_месяц">#REF!,#REF!,#REF!,#REF!,#REF!,#REF!,#REF!,#REF!,#REF!,#REF!,#REF!</definedName>
    <definedName name="в">#REF!</definedName>
    <definedName name="в1">#REF!</definedName>
    <definedName name="в11">#REF!</definedName>
    <definedName name="в12">#REF!</definedName>
    <definedName name="в133">[1]Calculation!$D$133</definedName>
    <definedName name="в2">#REF!</definedName>
    <definedName name="в21">#REF!</definedName>
    <definedName name="в22">#REF!</definedName>
    <definedName name="вапавп">#REF!</definedName>
    <definedName name="ввв">#REF!</definedName>
    <definedName name="ворд">#REF!</definedName>
    <definedName name="всего">#REF!</definedName>
    <definedName name="всего1">#REF!</definedName>
    <definedName name="всего2">#REF!</definedName>
    <definedName name="всего3">#REF!</definedName>
    <definedName name="всего4">#REF!</definedName>
    <definedName name="всего5">#REF!</definedName>
    <definedName name="г1">#REF!</definedName>
    <definedName name="г3">#REF!</definedName>
    <definedName name="газлифт">#REF!</definedName>
    <definedName name="Год">#REF!</definedName>
    <definedName name="Д102">#REF!</definedName>
    <definedName name="Д103">#REF!</definedName>
    <definedName name="Д27">#REF!</definedName>
    <definedName name="Д28">#REF!</definedName>
    <definedName name="Д38">#REF!</definedName>
    <definedName name="Д44">#REF!</definedName>
    <definedName name="Д45">#REF!</definedName>
    <definedName name="Д46">#REF!</definedName>
    <definedName name="Д52">#REF!</definedName>
    <definedName name="Д6">#REF!</definedName>
    <definedName name="Д64">#REF!</definedName>
    <definedName name="Д65">#REF!</definedName>
    <definedName name="Д66">#REF!</definedName>
    <definedName name="Д67">#REF!</definedName>
    <definedName name="Д68">#REF!</definedName>
    <definedName name="Д7">#REF!</definedName>
    <definedName name="Д71">#REF!</definedName>
    <definedName name="Д74">#REF!</definedName>
    <definedName name="Д75">#REF!</definedName>
    <definedName name="Д8">#REF!</definedName>
    <definedName name="Д81">#REF!</definedName>
    <definedName name="Д97">#REF!</definedName>
    <definedName name="Д98">#REF!</definedName>
    <definedName name="Данные">#REF!</definedName>
    <definedName name="данные_1">'[13]ОТМ май'!$A$3:$CI$256</definedName>
    <definedName name="данные_12">'[13]ОТМ май'!$A$3:$CI$262</definedName>
    <definedName name="данные_2">'[13]ОТМ май'!$A$3:$CI$256</definedName>
    <definedName name="данные11">'[13]ОТМ май'!$A$3:$CI$262</definedName>
    <definedName name="дата">#REF!</definedName>
    <definedName name="дд" hidden="1">{"IAS Mapping",#N/A,TRUE,"RSA_FS"}</definedName>
    <definedName name="дд1">#REF!</definedName>
    <definedName name="дд2">#REF!</definedName>
    <definedName name="дд3">#REF!</definedName>
    <definedName name="декабрь">[14]отказы!$T$6:$T$40</definedName>
    <definedName name="джру" hidden="1">{#N/A,#N/A,FALSE,"Infl_fact"}</definedName>
    <definedName name="дисконт">'[15]исходные данные'!$B$27</definedName>
    <definedName name="Добыча_год">[16]Добыча!$J$32:$K$34,[16]Добыча!$J$36:$K$38,[16]Добыча!$J$43:$K$47,[16]Добыча!$J$52:$K$54,[16]Добыча!$J$56:$K$57,[16]Добыча!$J$62:$K$64,[16]Добыча!$J$66:$K$67,[16]Добыча!$J$80:$K$83,[16]Добыча!$J$96:$K$99,[16]Добыча!$J$88:$K$89,[16]Добыча!$J$92:$K$93</definedName>
    <definedName name="Добыча_месяц">[16]Добыча!$F$32:$G$34,[16]Добыча!$F$36:$G$38,[16]Добыча!$F$43:$G$47,[16]Добыча!$F$52:$G$54,[16]Добыча!$F$56:$G$57,[16]Добыча!$F$62:$G$64,[16]Добыча!$F$66:$G$67,[16]Добыча!$F$80:$G$83,[16]Добыча!$F$88:$G$89,[16]Добыча!$F$92:$G$93,[16]Добыча!$F$96:$G$99</definedName>
    <definedName name="допжидкС1">#REF!</definedName>
    <definedName name="допжидкС2">#REF!</definedName>
    <definedName name="допнефтьС1">#REF!</definedName>
    <definedName name="допнефтьС2">#REF!</definedName>
    <definedName name="ееее" hidden="1">{"IASBS",#N/A,TRUE,"IAS";"IASPL",#N/A,TRUE,"IAS";"IASNotes",#N/A,TRUE,"IAS";"CFDir - expanded",#N/A,TRUE,"CF DIR"}</definedName>
    <definedName name="ЕНО_2_10_2000_Г.">#REF!</definedName>
    <definedName name="жидкость">#REF!</definedName>
    <definedName name="жидкостьплюс">#REF!</definedName>
    <definedName name="жот" hidden="1">{"IAS Mapping",#N/A,FALSE,"RSA_FS";#N/A,#N/A,FALSE,"CHECK!";#N/A,#N/A,FALSE,"Recon";#N/A,#N/A,FALSE,"NMG";#N/A,#N/A,FALSE,"Journals";"AnalRSA",#N/A,FALSE,"PL-Anal";"AnalIAS",#N/A,FALSE,"PL-Anal";#N/A,#N/A,FALSE,"COS"}</definedName>
    <definedName name="й">#REF!</definedName>
    <definedName name="и1">#REF!</definedName>
    <definedName name="й1">#REF!</definedName>
    <definedName name="и11">#REF!</definedName>
    <definedName name="и2">#REF!</definedName>
    <definedName name="и21">#REF!</definedName>
    <definedName name="и3">#REF!</definedName>
    <definedName name="и31">#REF!</definedName>
    <definedName name="и4">#REF!</definedName>
    <definedName name="и41">#REF!</definedName>
    <definedName name="и5">#REF!</definedName>
    <definedName name="и51">#REF!</definedName>
    <definedName name="и6">#REF!</definedName>
    <definedName name="и61">#REF!</definedName>
    <definedName name="_xlnm.Extract">#REF!</definedName>
    <definedName name="иии">#REF!</definedName>
    <definedName name="им">#REF!</definedName>
    <definedName name="итого">#REF!</definedName>
    <definedName name="итого1">#REF!</definedName>
    <definedName name="итого2">#REF!</definedName>
    <definedName name="итого3">#REF!</definedName>
    <definedName name="итого4">#REF!</definedName>
    <definedName name="итого5">#REF!</definedName>
    <definedName name="итого6">#REF!</definedName>
    <definedName name="кен">#REF!</definedName>
    <definedName name="КНСз">#REF!</definedName>
    <definedName name="код">[17]Лист1!$E$6:$E$385</definedName>
    <definedName name="кол">#REF!</definedName>
    <definedName name="конец">#REF!</definedName>
    <definedName name="КПЭ">#REF!</definedName>
    <definedName name="кр">'[18]Линейная чувствительность'!$B$5</definedName>
    <definedName name="_xlnm.Criteria">#REF!</definedName>
    <definedName name="КРС">#REF!,#REF!,#REF!,#REF!</definedName>
    <definedName name="КРС_98_план_NN_Таблица">#REF!</definedName>
    <definedName name="КРС_осн_количество">#REF!</definedName>
    <definedName name="м1">#REF!</definedName>
    <definedName name="м11">#REF!</definedName>
    <definedName name="м12">#REF!</definedName>
    <definedName name="м2">#REF!</definedName>
    <definedName name="м21">#REF!</definedName>
    <definedName name="м22">#REF!</definedName>
    <definedName name="м3">#REF!</definedName>
    <definedName name="м31">#REF!</definedName>
    <definedName name="м4">#REF!</definedName>
    <definedName name="м41">#REF!</definedName>
    <definedName name="м5">#REF!</definedName>
    <definedName name="м51">#REF!</definedName>
    <definedName name="м6">#REF!</definedName>
    <definedName name="м61">#REF!</definedName>
    <definedName name="мгд1">#REF!</definedName>
    <definedName name="мгд11">#REF!</definedName>
    <definedName name="мгд2">#REF!</definedName>
    <definedName name="мгд3">#REF!</definedName>
    <definedName name="мгд31">#REF!</definedName>
    <definedName name="мгд4">#REF!</definedName>
    <definedName name="мгд41">#REF!</definedName>
    <definedName name="мгд51">#REF!</definedName>
    <definedName name="МГД61">#REF!</definedName>
    <definedName name="Мощности">#REF!,#REF!,#REF!,#REF!,#REF!,#REF!</definedName>
    <definedName name="наорп">#REF!</definedName>
    <definedName name="начало">#REF!</definedName>
    <definedName name="нет">#REF!</definedName>
    <definedName name="нефть">#REF!</definedName>
    <definedName name="нефтьплюс">#REF!</definedName>
    <definedName name="новн">#REF!</definedName>
    <definedName name="НПО">[16]Добыча!$H$107:$I$110,[16]Добыча!$K$107:$M$110</definedName>
    <definedName name="_xlnm.Print_Area" localSheetId="0">БУР!$A$1:$BD$659</definedName>
    <definedName name="_xlnm.Print_Area">#REF!</definedName>
    <definedName name="Область_печати_МИ">#REF!</definedName>
    <definedName name="обор">#REF!</definedName>
    <definedName name="оборА">#REF!</definedName>
    <definedName name="оборБ">#REF!</definedName>
    <definedName name="оборудование">#REF!</definedName>
    <definedName name="один">#REF!</definedName>
    <definedName name="один3">#REF!</definedName>
    <definedName name="Орг">[19]Организации!$B$3:$C$9</definedName>
    <definedName name="Отключения">#REF!,#REF!,#REF!,#REF!</definedName>
    <definedName name="отрсутС1">#REF!</definedName>
    <definedName name="отрсутС2">#REF!</definedName>
    <definedName name="пласт">#REF!</definedName>
    <definedName name="пласт_апр">#REF!</definedName>
    <definedName name="пласт_март">#REF!</definedName>
    <definedName name="пласт_фев">#REF!</definedName>
    <definedName name="пластС1">#REF!</definedName>
    <definedName name="пластС2">#REF!</definedName>
    <definedName name="Порывы">#REF!,#REF!,#REF!,#REF!</definedName>
    <definedName name="Потери">#REF!,#REF!,#REF!,#REF!</definedName>
    <definedName name="Потери_месяц">#REF!,#REF!,#REF!,#REF!,#REF!,#REF!</definedName>
    <definedName name="ппп">#REF!</definedName>
    <definedName name="пр">#REF!</definedName>
    <definedName name="предприятие">#REF!</definedName>
    <definedName name="принт">#REF!</definedName>
    <definedName name="припж">#REF!</definedName>
    <definedName name="припн">#REF!</definedName>
    <definedName name="прирж">[17]Лист1!$AF$6:$AF$385</definedName>
    <definedName name="прирн">[17]Лист1!$AG$6:$AG$385</definedName>
    <definedName name="процент_падения">'[20]ст ГТМ'!$B$53</definedName>
    <definedName name="прро">#REF!</definedName>
    <definedName name="ПРС">#REF!,#REF!,#REF!,#REF!</definedName>
    <definedName name="птпрт">#REF!</definedName>
    <definedName name="ПУСТО">#REF!</definedName>
    <definedName name="пчр">#REF!</definedName>
    <definedName name="р1">#REF!</definedName>
    <definedName name="р11">#REF!</definedName>
    <definedName name="р12">#REF!</definedName>
    <definedName name="р2">#REF!</definedName>
    <definedName name="р21">#REF!</definedName>
    <definedName name="р22">#REF!</definedName>
    <definedName name="р3">#REF!</definedName>
    <definedName name="р31">#REF!</definedName>
    <definedName name="р4">#REF!</definedName>
    <definedName name="р41">#REF!</definedName>
    <definedName name="р5">#REF!</definedName>
    <definedName name="р51">#REF!</definedName>
    <definedName name="р6">#REF!</definedName>
    <definedName name="р61">#REF!</definedName>
    <definedName name="Рабочая_модель_оперативной_сводки_03_04_03_Лист1_Таблица">#REF!</definedName>
    <definedName name="Расчет">[19]Расчет!$E$3:$M$242</definedName>
    <definedName name="Расчет_О">[19]Расчет!$E$2:$M$2</definedName>
    <definedName name="рир6">#REF!</definedName>
    <definedName name="рир61">#REF!</definedName>
    <definedName name="ррр">#REF!</definedName>
    <definedName name="рря">#REF!</definedName>
    <definedName name="рчар">#REF!</definedName>
    <definedName name="ряч">#REF!</definedName>
    <definedName name="с3">#REF!</definedName>
    <definedName name="Север" hidden="1">{"IASTrail",#N/A,FALSE,"IAS"}</definedName>
    <definedName name="сел1">#REF!</definedName>
    <definedName name="сел11">#REF!</definedName>
    <definedName name="сел2">#REF!</definedName>
    <definedName name="сел21">#REF!</definedName>
    <definedName name="сел3">#REF!</definedName>
    <definedName name="сел31">#REF!</definedName>
    <definedName name="сел4">#REF!</definedName>
    <definedName name="сел41">#REF!</definedName>
    <definedName name="сел5">#REF!</definedName>
    <definedName name="сел51">#REF!</definedName>
    <definedName name="ск">#REF!</definedName>
    <definedName name="скв1">#REF!</definedName>
    <definedName name="скв1504">#REF!</definedName>
    <definedName name="скв152">#REF!</definedName>
    <definedName name="скв1528">#REF!</definedName>
    <definedName name="скв1529">#REF!</definedName>
    <definedName name="скв1558">#REF!</definedName>
    <definedName name="скв168">#REF!</definedName>
    <definedName name="скв2">#REF!</definedName>
    <definedName name="скв221">#REF!</definedName>
    <definedName name="скв222">#REF!</definedName>
    <definedName name="скв225">#REF!</definedName>
    <definedName name="скв262">#REF!</definedName>
    <definedName name="скв264">#REF!</definedName>
    <definedName name="скв265">#REF!</definedName>
    <definedName name="скв266">#REF!</definedName>
    <definedName name="скв267">#REF!</definedName>
    <definedName name="скв268">#REF!</definedName>
    <definedName name="скв270">#REF!</definedName>
    <definedName name="скв274">#REF!</definedName>
    <definedName name="скв275">#REF!</definedName>
    <definedName name="скв279">#REF!</definedName>
    <definedName name="скв280">#REF!</definedName>
    <definedName name="скв282">#REF!</definedName>
    <definedName name="скв283">#REF!</definedName>
    <definedName name="скв284">#REF!</definedName>
    <definedName name="скв285">#REF!</definedName>
    <definedName name="скв286">#REF!</definedName>
    <definedName name="скв290">#REF!</definedName>
    <definedName name="скв293">#REF!</definedName>
    <definedName name="скв295">#REF!</definedName>
    <definedName name="скв296">#REF!</definedName>
    <definedName name="скв297">#REF!</definedName>
    <definedName name="скв300">#REF!</definedName>
    <definedName name="скв555">#REF!</definedName>
    <definedName name="скв666">#REF!</definedName>
    <definedName name="скважина">#REF!</definedName>
    <definedName name="Скважины">#REF!</definedName>
    <definedName name="сквоил">#REF!</definedName>
    <definedName name="сквокт">#REF!</definedName>
    <definedName name="сорт">#REF!</definedName>
    <definedName name="способ">#REF!</definedName>
    <definedName name="сс">#REF!</definedName>
    <definedName name="ст">#REF!</definedName>
    <definedName name="стб">#REF!</definedName>
    <definedName name="т11">#REF!</definedName>
    <definedName name="т12">#REF!</definedName>
    <definedName name="т21">#REF!</definedName>
    <definedName name="т22">#REF!</definedName>
    <definedName name="ТИП">'[21]1'!$I$1</definedName>
    <definedName name="тод">#REF!</definedName>
    <definedName name="тод1">#REF!</definedName>
    <definedName name="три">#REF!</definedName>
    <definedName name="три3">#REF!</definedName>
    <definedName name="установка">#REF!</definedName>
    <definedName name="ф">[22]Лист3!$A$2:$A$5597</definedName>
    <definedName name="Ф1">#REF!</definedName>
    <definedName name="Ф10">#REF!</definedName>
    <definedName name="Ф11">#REF!</definedName>
    <definedName name="Ф12">#REF!</definedName>
    <definedName name="Ф13">#REF!</definedName>
    <definedName name="Ф14">#REF!</definedName>
    <definedName name="Ф15">#REF!</definedName>
    <definedName name="Ф16">#REF!</definedName>
    <definedName name="Ф17">#REF!</definedName>
    <definedName name="Ф18">#REF!</definedName>
    <definedName name="Ф19">#REF!</definedName>
    <definedName name="Ф2">#REF!</definedName>
    <definedName name="Ф20">#REF!</definedName>
    <definedName name="Ф21">#REF!</definedName>
    <definedName name="Ф22">#REF!</definedName>
    <definedName name="Ф3">#REF!</definedName>
    <definedName name="Ф4">#REF!</definedName>
    <definedName name="Ф5">#REF!</definedName>
    <definedName name="Ф6">#REF!</definedName>
    <definedName name="Ф7">#REF!</definedName>
    <definedName name="Ф8">#REF!</definedName>
    <definedName name="Ф9">#REF!</definedName>
    <definedName name="Федотов_МАЙ_ОТМ_май_Таблица">#REF!</definedName>
    <definedName name="фКЕ">#REF!</definedName>
    <definedName name="флаг">'[23]таблица руководству'!$J$1</definedName>
    <definedName name="флаг1">#REF!</definedName>
    <definedName name="флаг2">'[23]Суточная добыча за неделю'!$L$2</definedName>
    <definedName name="флаг4">"CheckBox1"</definedName>
    <definedName name="ффф">#REF!</definedName>
    <definedName name="ффф45">#REF!</definedName>
    <definedName name="фыв">#REF!</definedName>
    <definedName name="ц1">#REF!</definedName>
    <definedName name="ц2">#REF!</definedName>
    <definedName name="ц3">#REF!</definedName>
    <definedName name="ц4">#REF!</definedName>
    <definedName name="ц5">#REF!</definedName>
    <definedName name="ц6">#REF!</definedName>
    <definedName name="ццц">#REF!</definedName>
    <definedName name="ччч">#REF!</definedName>
    <definedName name="щ">#REF!</definedName>
    <definedName name="ъ">#REF!</definedName>
    <definedName name="ывва">#REF!</definedName>
    <definedName name="экр1">#REF!</definedName>
    <definedName name="экр11">#REF!</definedName>
    <definedName name="экр2">#REF!</definedName>
    <definedName name="экр21">#REF!</definedName>
    <definedName name="экр3">#REF!</definedName>
    <definedName name="экр31">#REF!</definedName>
    <definedName name="экр4">#REF!</definedName>
    <definedName name="экр41">#REF!</definedName>
    <definedName name="экр51">#REF!</definedName>
    <definedName name="эф">#REF!</definedName>
    <definedName name="эф11">#REF!</definedName>
    <definedName name="эф12">#REF!</definedName>
    <definedName name="эф21">#REF!</definedName>
    <definedName name="эф22">#REF!</definedName>
    <definedName name="эфк11">#REF!</definedName>
    <definedName name="эфк12">#REF!</definedName>
    <definedName name="эфк21">#REF!</definedName>
    <definedName name="эфк22">#REF!</definedName>
    <definedName name="эффдни">#REF!</definedName>
    <definedName name="эффж">#REF!</definedName>
    <definedName name="эффн">#REF!</definedName>
    <definedName name="эцн">#REF!</definedName>
    <definedName name="явмыячс">#REF!</definedName>
    <definedName name="ячс">#REF!</definedName>
    <definedName name="яя">#REF!</definedName>
    <definedName name="яяя">#REF!</definedName>
  </definedNames>
  <calcPr calcId="152511"/>
</workbook>
</file>

<file path=xl/calcChain.xml><?xml version="1.0" encoding="utf-8"?>
<calcChain xmlns="http://schemas.openxmlformats.org/spreadsheetml/2006/main">
  <c r="BG5" i="1" l="1"/>
  <c r="BF5" i="1" l="1"/>
  <c r="BE5" i="1"/>
  <c r="AZ7" i="1" l="1"/>
  <c r="AN7" i="1"/>
  <c r="AB7" i="1"/>
  <c r="P7" i="1"/>
  <c r="BC144" i="1" l="1"/>
  <c r="BC143" i="1"/>
  <c r="BB144" i="1"/>
  <c r="BB143" i="1"/>
  <c r="AA143" i="1" l="1"/>
  <c r="AB143" i="1"/>
  <c r="AA144" i="1"/>
  <c r="AB144" i="1"/>
  <c r="Y137" i="1"/>
  <c r="X137" i="1"/>
  <c r="AY143" i="1"/>
  <c r="AZ143" i="1"/>
  <c r="AY144" i="1"/>
  <c r="AZ144" i="1"/>
  <c r="AW137" i="1"/>
  <c r="AV137" i="1"/>
  <c r="AS137" i="1"/>
  <c r="AQ137" i="1"/>
  <c r="AM143" i="1"/>
  <c r="AN143" i="1"/>
  <c r="AM144" i="1"/>
  <c r="AN144" i="1"/>
  <c r="AK137" i="1"/>
  <c r="AJ137" i="1"/>
  <c r="AE137" i="1"/>
  <c r="AD137" i="1"/>
  <c r="BG145" i="1"/>
  <c r="BF137" i="1"/>
  <c r="BE137" i="1"/>
  <c r="AT137" i="1"/>
  <c r="AP137" i="1"/>
  <c r="AH137" i="1"/>
  <c r="AG137" i="1"/>
  <c r="V137" i="1"/>
  <c r="U137" i="1"/>
  <c r="S137" i="1"/>
  <c r="R137" i="1"/>
  <c r="M137" i="1"/>
  <c r="L137" i="1"/>
  <c r="J137" i="1"/>
  <c r="I137" i="1"/>
  <c r="G137" i="1"/>
  <c r="F137" i="1"/>
  <c r="E137" i="1"/>
  <c r="D137" i="1"/>
  <c r="BF657" i="1" l="1"/>
  <c r="BF656" i="1"/>
  <c r="BF655" i="1"/>
  <c r="BF654" i="1"/>
  <c r="BF653" i="1"/>
  <c r="BF652" i="1"/>
  <c r="BF585" i="1"/>
  <c r="BF583" i="1"/>
  <c r="BF582" i="1"/>
  <c r="BF581" i="1"/>
  <c r="BF580" i="1"/>
  <c r="BF579" i="1"/>
  <c r="BF578" i="1"/>
  <c r="BF577" i="1"/>
  <c r="BF576" i="1"/>
  <c r="BF575" i="1"/>
  <c r="BF574" i="1"/>
  <c r="BF573" i="1"/>
  <c r="BF572" i="1"/>
  <c r="BF571" i="1"/>
  <c r="BF570" i="1"/>
  <c r="BF569" i="1"/>
  <c r="BF568" i="1"/>
  <c r="BF567" i="1"/>
  <c r="BF566" i="1"/>
  <c r="BF564" i="1"/>
  <c r="BF563" i="1"/>
  <c r="BF562" i="1"/>
  <c r="BF561" i="1"/>
  <c r="BF560" i="1"/>
  <c r="BF559" i="1"/>
  <c r="BF558" i="1"/>
  <c r="BF557" i="1"/>
  <c r="BF556" i="1"/>
  <c r="BF553" i="1"/>
  <c r="BF551" i="1"/>
  <c r="BF518" i="1" s="1"/>
  <c r="BF550" i="1"/>
  <c r="BF549" i="1"/>
  <c r="BF516" i="1" s="1"/>
  <c r="BF548" i="1"/>
  <c r="BF515" i="1" s="1"/>
  <c r="BF547" i="1"/>
  <c r="BF514" i="1" s="1"/>
  <c r="BF546" i="1"/>
  <c r="BF545" i="1"/>
  <c r="BF544" i="1"/>
  <c r="BF511" i="1" s="1"/>
  <c r="BF543" i="1"/>
  <c r="BF510" i="1" s="1"/>
  <c r="BF542" i="1"/>
  <c r="BF541" i="1"/>
  <c r="BF540" i="1"/>
  <c r="BF539" i="1"/>
  <c r="BF506" i="1" s="1"/>
  <c r="BF538" i="1"/>
  <c r="BF537" i="1"/>
  <c r="BF536" i="1"/>
  <c r="BF535" i="1"/>
  <c r="BF502" i="1" s="1"/>
  <c r="BF534" i="1"/>
  <c r="BF532" i="1"/>
  <c r="BF531" i="1"/>
  <c r="BF498" i="1" s="1"/>
  <c r="BF530" i="1"/>
  <c r="BF497" i="1" s="1"/>
  <c r="BF529" i="1"/>
  <c r="BF496" i="1" s="1"/>
  <c r="BF528" i="1"/>
  <c r="BF495" i="1" s="1"/>
  <c r="BF527" i="1"/>
  <c r="BF494" i="1" s="1"/>
  <c r="BF526" i="1"/>
  <c r="BF493" i="1" s="1"/>
  <c r="BF525" i="1"/>
  <c r="BF524" i="1"/>
  <c r="BF520" i="1"/>
  <c r="BF517" i="1"/>
  <c r="BF513" i="1"/>
  <c r="BF512" i="1"/>
  <c r="BF509" i="1"/>
  <c r="BF508" i="1"/>
  <c r="BF507" i="1"/>
  <c r="BF505" i="1"/>
  <c r="BF504" i="1"/>
  <c r="BF503" i="1"/>
  <c r="BF501" i="1"/>
  <c r="BF499" i="1"/>
  <c r="BF492" i="1"/>
  <c r="BF491" i="1"/>
  <c r="BF484" i="1"/>
  <c r="BF465" i="1"/>
  <c r="BF455" i="1"/>
  <c r="BF452" i="1"/>
  <c r="BF433" i="1"/>
  <c r="BF422" i="1" s="1"/>
  <c r="BF423" i="1"/>
  <c r="BF414" i="1"/>
  <c r="BF412" i="1"/>
  <c r="BF393" i="1"/>
  <c r="BF361" i="1" s="1"/>
  <c r="BF383" i="1"/>
  <c r="BF381" i="1"/>
  <c r="BF380" i="1" s="1"/>
  <c r="BF379" i="1"/>
  <c r="BF378" i="1"/>
  <c r="BF377" i="1"/>
  <c r="BF376" i="1"/>
  <c r="BF375" i="1"/>
  <c r="BF374" i="1"/>
  <c r="BF373" i="1"/>
  <c r="BF372" i="1"/>
  <c r="BF371" i="1"/>
  <c r="BF370" i="1"/>
  <c r="BF369" i="1"/>
  <c r="BF368" i="1"/>
  <c r="BF367" i="1"/>
  <c r="BF366" i="1"/>
  <c r="BF365" i="1"/>
  <c r="BF364" i="1"/>
  <c r="BF363" i="1"/>
  <c r="BF362" i="1"/>
  <c r="BF360" i="1"/>
  <c r="BF359" i="1"/>
  <c r="BF358" i="1"/>
  <c r="BF357" i="1"/>
  <c r="BF356" i="1"/>
  <c r="BF355" i="1"/>
  <c r="BF354" i="1"/>
  <c r="BF353" i="1"/>
  <c r="BF352" i="1"/>
  <c r="BF351" i="1"/>
  <c r="BF338" i="1"/>
  <c r="BF337" i="1"/>
  <c r="BF335" i="1"/>
  <c r="BF334" i="1"/>
  <c r="BF333" i="1"/>
  <c r="BF332" i="1"/>
  <c r="BF331" i="1"/>
  <c r="BF330" i="1"/>
  <c r="BF329" i="1"/>
  <c r="BF328" i="1"/>
  <c r="BF327" i="1"/>
  <c r="BF326" i="1"/>
  <c r="BF325" i="1"/>
  <c r="BF324" i="1"/>
  <c r="BF323" i="1"/>
  <c r="BF322" i="1"/>
  <c r="BF321" i="1"/>
  <c r="BF320" i="1"/>
  <c r="BF319" i="1"/>
  <c r="BF318" i="1"/>
  <c r="BF316" i="1"/>
  <c r="BF315" i="1"/>
  <c r="BF314" i="1"/>
  <c r="BF313" i="1"/>
  <c r="BF312" i="1"/>
  <c r="BF311" i="1"/>
  <c r="BF310" i="1"/>
  <c r="BF309" i="1"/>
  <c r="BF308" i="1"/>
  <c r="BF304" i="1"/>
  <c r="BF285" i="1"/>
  <c r="BF275" i="1"/>
  <c r="BF274" i="1" s="1"/>
  <c r="BF273" i="1"/>
  <c r="BF271" i="1"/>
  <c r="BF270" i="1"/>
  <c r="BF269" i="1"/>
  <c r="BF268" i="1"/>
  <c r="BF267" i="1"/>
  <c r="BF266" i="1"/>
  <c r="BF265" i="1"/>
  <c r="BF264" i="1"/>
  <c r="BF263" i="1"/>
  <c r="BF262" i="1"/>
  <c r="BF261" i="1"/>
  <c r="BF260" i="1"/>
  <c r="BF259" i="1"/>
  <c r="BF258" i="1"/>
  <c r="BF257" i="1"/>
  <c r="BF256" i="1"/>
  <c r="BF255" i="1"/>
  <c r="BF254" i="1"/>
  <c r="BF252" i="1"/>
  <c r="BF251" i="1"/>
  <c r="BF250" i="1"/>
  <c r="BF249" i="1"/>
  <c r="BF248" i="1"/>
  <c r="BF247" i="1"/>
  <c r="BF246" i="1"/>
  <c r="BF245" i="1"/>
  <c r="BF244" i="1"/>
  <c r="BF241" i="1"/>
  <c r="BF239" i="1"/>
  <c r="BF238" i="1"/>
  <c r="BF237" i="1"/>
  <c r="BF236" i="1"/>
  <c r="BF235" i="1"/>
  <c r="BF234" i="1"/>
  <c r="BF233" i="1"/>
  <c r="BF232" i="1"/>
  <c r="BF231" i="1"/>
  <c r="BF230" i="1"/>
  <c r="BF229" i="1"/>
  <c r="BF228" i="1"/>
  <c r="BF227" i="1"/>
  <c r="BF226" i="1"/>
  <c r="BF225" i="1"/>
  <c r="BF224" i="1"/>
  <c r="BF223" i="1"/>
  <c r="BF222" i="1"/>
  <c r="BF220" i="1"/>
  <c r="BF219" i="1"/>
  <c r="BF218" i="1"/>
  <c r="BF217" i="1"/>
  <c r="BF216" i="1"/>
  <c r="BF215" i="1"/>
  <c r="BF214" i="1"/>
  <c r="BF213" i="1"/>
  <c r="BF212" i="1"/>
  <c r="BF208" i="1"/>
  <c r="BF272" i="1" s="1"/>
  <c r="BF189" i="1"/>
  <c r="BF179" i="1"/>
  <c r="BF243" i="1" s="1"/>
  <c r="BF177" i="1"/>
  <c r="BF650" i="1" s="1"/>
  <c r="BF175" i="1"/>
  <c r="BF648" i="1" s="1"/>
  <c r="BF174" i="1"/>
  <c r="BF614" i="1" s="1"/>
  <c r="BF173" i="1"/>
  <c r="BF646" i="1" s="1"/>
  <c r="BF172" i="1"/>
  <c r="BF645" i="1" s="1"/>
  <c r="BF171" i="1"/>
  <c r="BF644" i="1" s="1"/>
  <c r="BF170" i="1"/>
  <c r="BF610" i="1" s="1"/>
  <c r="BF169" i="1"/>
  <c r="BF642" i="1" s="1"/>
  <c r="BF168" i="1"/>
  <c r="BF641" i="1" s="1"/>
  <c r="BF167" i="1"/>
  <c r="BF640" i="1" s="1"/>
  <c r="BF166" i="1"/>
  <c r="BF606" i="1" s="1"/>
  <c r="BF165" i="1"/>
  <c r="BF638" i="1" s="1"/>
  <c r="BF164" i="1"/>
  <c r="BF637" i="1" s="1"/>
  <c r="BF163" i="1"/>
  <c r="BF636" i="1" s="1"/>
  <c r="BF162" i="1"/>
  <c r="BF602" i="1" s="1"/>
  <c r="BF161" i="1"/>
  <c r="BF634" i="1" s="1"/>
  <c r="BF160" i="1"/>
  <c r="BF633" i="1" s="1"/>
  <c r="BF159" i="1"/>
  <c r="BF632" i="1" s="1"/>
  <c r="BF158" i="1"/>
  <c r="BF598" i="1" s="1"/>
  <c r="BF156" i="1"/>
  <c r="BF629" i="1" s="1"/>
  <c r="BF155" i="1"/>
  <c r="BF628" i="1" s="1"/>
  <c r="BF154" i="1"/>
  <c r="BF594" i="1" s="1"/>
  <c r="BF153" i="1"/>
  <c r="BF626" i="1" s="1"/>
  <c r="BF152" i="1"/>
  <c r="BF625" i="1" s="1"/>
  <c r="BF151" i="1"/>
  <c r="BF624" i="1" s="1"/>
  <c r="BF150" i="1"/>
  <c r="BF590" i="1" s="1"/>
  <c r="BF149" i="1"/>
  <c r="BF622" i="1" s="1"/>
  <c r="BF148" i="1"/>
  <c r="BF621" i="1" s="1"/>
  <c r="BF135" i="1"/>
  <c r="BF584" i="1" s="1"/>
  <c r="BF116" i="1"/>
  <c r="BF565" i="1" s="1"/>
  <c r="BF106" i="1"/>
  <c r="BF103" i="1"/>
  <c r="BF552" i="1" s="1"/>
  <c r="BF519" i="1" s="1"/>
  <c r="BF84" i="1"/>
  <c r="BF157" i="1" s="1"/>
  <c r="BF74" i="1"/>
  <c r="BF307" i="1" s="1"/>
  <c r="BF71" i="1"/>
  <c r="BF52" i="1"/>
  <c r="BF42" i="1"/>
  <c r="BF41" i="1" s="1"/>
  <c r="BF39" i="1"/>
  <c r="BF240" i="1" s="1"/>
  <c r="BF20" i="1"/>
  <c r="BF221" i="1" s="1"/>
  <c r="BF10" i="1"/>
  <c r="BF382" i="1" l="1"/>
  <c r="BF454" i="1"/>
  <c r="BF211" i="1"/>
  <c r="BF178" i="1"/>
  <c r="BF242" i="1" s="1"/>
  <c r="BF350" i="1"/>
  <c r="BF660" i="1" s="1"/>
  <c r="BF662" i="1" s="1"/>
  <c r="BF105" i="1"/>
  <c r="BF554" i="1" s="1"/>
  <c r="BF176" i="1"/>
  <c r="BF649" i="1" s="1"/>
  <c r="BF336" i="1"/>
  <c r="BF630" i="1"/>
  <c r="BF597" i="1"/>
  <c r="BF345" i="1"/>
  <c r="BF523" i="1"/>
  <c r="BF490" i="1" s="1"/>
  <c r="BF555" i="1"/>
  <c r="BF591" i="1"/>
  <c r="BF595" i="1"/>
  <c r="BF599" i="1"/>
  <c r="BF603" i="1"/>
  <c r="BF607" i="1"/>
  <c r="BF611" i="1"/>
  <c r="BF615" i="1"/>
  <c r="BF623" i="1"/>
  <c r="BF627" i="1"/>
  <c r="BF631" i="1"/>
  <c r="BF635" i="1"/>
  <c r="BF639" i="1"/>
  <c r="BF643" i="1"/>
  <c r="BF647" i="1"/>
  <c r="BF253" i="1"/>
  <c r="BF317" i="1"/>
  <c r="BF588" i="1"/>
  <c r="BF592" i="1"/>
  <c r="BF596" i="1"/>
  <c r="BF600" i="1"/>
  <c r="BF604" i="1"/>
  <c r="BF608" i="1"/>
  <c r="BF612" i="1"/>
  <c r="BF616" i="1"/>
  <c r="BF533" i="1"/>
  <c r="BF500" i="1" s="1"/>
  <c r="BF589" i="1"/>
  <c r="BF593" i="1"/>
  <c r="BF601" i="1"/>
  <c r="BF605" i="1"/>
  <c r="BF609" i="1"/>
  <c r="BF613" i="1"/>
  <c r="BF617" i="1"/>
  <c r="BF9" i="1"/>
  <c r="BF73" i="1"/>
  <c r="BF147" i="1"/>
  <c r="E5" i="1"/>
  <c r="D5" i="1"/>
  <c r="BF210" i="1" l="1"/>
  <c r="BF620" i="1"/>
  <c r="BF587" i="1"/>
  <c r="BF522" i="1"/>
  <c r="BF489" i="1" s="1"/>
  <c r="BF521" i="1"/>
  <c r="BF306" i="1"/>
  <c r="BF146" i="1"/>
  <c r="B4" i="1"/>
  <c r="BF618" i="1" l="1"/>
  <c r="BF586" i="1"/>
  <c r="BF619" i="1"/>
  <c r="AP360" i="1"/>
  <c r="AP359" i="1"/>
  <c r="AP358" i="1"/>
  <c r="AP357" i="1"/>
  <c r="AP356" i="1"/>
  <c r="AP355" i="1"/>
  <c r="AP354" i="1"/>
  <c r="AP353" i="1"/>
  <c r="AP352" i="1"/>
  <c r="AQ360" i="1"/>
  <c r="AQ359" i="1"/>
  <c r="AQ358" i="1"/>
  <c r="AQ357" i="1"/>
  <c r="AQ356" i="1"/>
  <c r="AQ355" i="1"/>
  <c r="AQ354" i="1"/>
  <c r="AQ353" i="1"/>
  <c r="AQ352" i="1"/>
  <c r="AT360" i="1"/>
  <c r="AT359" i="1"/>
  <c r="AT358" i="1"/>
  <c r="AT357" i="1"/>
  <c r="AT356" i="1"/>
  <c r="AT355" i="1"/>
  <c r="AT354" i="1"/>
  <c r="AT353" i="1"/>
  <c r="AT352" i="1"/>
  <c r="AS360" i="1"/>
  <c r="AS359" i="1"/>
  <c r="AS358" i="1"/>
  <c r="AS357" i="1"/>
  <c r="AS356" i="1"/>
  <c r="AS355" i="1"/>
  <c r="AS354" i="1"/>
  <c r="AS353" i="1"/>
  <c r="AS352" i="1"/>
  <c r="AV360" i="1"/>
  <c r="AV359" i="1"/>
  <c r="AV358" i="1"/>
  <c r="AV357" i="1"/>
  <c r="AV356" i="1"/>
  <c r="AV355" i="1"/>
  <c r="AV354" i="1"/>
  <c r="AV353" i="1"/>
  <c r="AV352" i="1"/>
  <c r="AW360" i="1"/>
  <c r="AW359" i="1"/>
  <c r="AW358" i="1"/>
  <c r="AW357" i="1"/>
  <c r="AW356" i="1"/>
  <c r="AW355" i="1"/>
  <c r="AW354" i="1"/>
  <c r="AW353" i="1"/>
  <c r="AW352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Q379" i="1"/>
  <c r="AQ378" i="1"/>
  <c r="AQ377" i="1"/>
  <c r="AQ376" i="1"/>
  <c r="AR376" i="1" s="1"/>
  <c r="AQ375" i="1"/>
  <c r="AQ374" i="1"/>
  <c r="AQ373" i="1"/>
  <c r="AQ372" i="1"/>
  <c r="AR372" i="1" s="1"/>
  <c r="AQ371" i="1"/>
  <c r="AQ370" i="1"/>
  <c r="AQ369" i="1"/>
  <c r="AQ368" i="1"/>
  <c r="AQ367" i="1"/>
  <c r="AQ366" i="1"/>
  <c r="AQ365" i="1"/>
  <c r="AQ364" i="1"/>
  <c r="AQ363" i="1"/>
  <c r="AQ362" i="1"/>
  <c r="AT379" i="1"/>
  <c r="AT378" i="1"/>
  <c r="AT377" i="1"/>
  <c r="AT376" i="1"/>
  <c r="AT375" i="1"/>
  <c r="AT374" i="1"/>
  <c r="AT373" i="1"/>
  <c r="AT372" i="1"/>
  <c r="AT371" i="1"/>
  <c r="AT370" i="1"/>
  <c r="AT369" i="1"/>
  <c r="AT368" i="1"/>
  <c r="AT367" i="1"/>
  <c r="AT366" i="1"/>
  <c r="AT365" i="1"/>
  <c r="AT364" i="1"/>
  <c r="AT363" i="1"/>
  <c r="AT362" i="1"/>
  <c r="AS379" i="1"/>
  <c r="AS378" i="1"/>
  <c r="AS377" i="1"/>
  <c r="AS376" i="1"/>
  <c r="AS375" i="1"/>
  <c r="AS374" i="1"/>
  <c r="AS373" i="1"/>
  <c r="AS372" i="1"/>
  <c r="AS371" i="1"/>
  <c r="AS370" i="1"/>
  <c r="AS369" i="1"/>
  <c r="AS368" i="1"/>
  <c r="AS367" i="1"/>
  <c r="AS366" i="1"/>
  <c r="AS365" i="1"/>
  <c r="AS364" i="1"/>
  <c r="AS363" i="1"/>
  <c r="AS362" i="1"/>
  <c r="AV379" i="1"/>
  <c r="AV378" i="1"/>
  <c r="AV377" i="1"/>
  <c r="AV376" i="1"/>
  <c r="AV375" i="1"/>
  <c r="AV374" i="1"/>
  <c r="AV373" i="1"/>
  <c r="AV372" i="1"/>
  <c r="AV371" i="1"/>
  <c r="AV370" i="1"/>
  <c r="AV369" i="1"/>
  <c r="AV368" i="1"/>
  <c r="AV367" i="1"/>
  <c r="AV366" i="1"/>
  <c r="AV365" i="1"/>
  <c r="AV364" i="1"/>
  <c r="AV363" i="1"/>
  <c r="AV362" i="1"/>
  <c r="AW379" i="1"/>
  <c r="AW378" i="1"/>
  <c r="AW377" i="1"/>
  <c r="AW376" i="1"/>
  <c r="AW375" i="1"/>
  <c r="AW374" i="1"/>
  <c r="AW373" i="1"/>
  <c r="AW372" i="1"/>
  <c r="AW371" i="1"/>
  <c r="AW370" i="1"/>
  <c r="AW369" i="1"/>
  <c r="AW368" i="1"/>
  <c r="AW367" i="1"/>
  <c r="AW366" i="1"/>
  <c r="AW365" i="1"/>
  <c r="AW364" i="1"/>
  <c r="AW363" i="1"/>
  <c r="AW362" i="1"/>
  <c r="AP381" i="1"/>
  <c r="AQ381" i="1"/>
  <c r="AS381" i="1"/>
  <c r="AT381" i="1"/>
  <c r="AV381" i="1"/>
  <c r="AW381" i="1"/>
  <c r="BB136" i="1"/>
  <c r="BG136" i="1" s="1"/>
  <c r="BC136" i="1"/>
  <c r="AY136" i="1"/>
  <c r="AZ136" i="1"/>
  <c r="AL664" i="1"/>
  <c r="N664" i="1"/>
  <c r="AX663" i="1"/>
  <c r="Z663" i="1"/>
  <c r="AX661" i="1"/>
  <c r="Z661" i="1"/>
  <c r="AX664" i="1"/>
  <c r="Z664" i="1"/>
  <c r="AL663" i="1"/>
  <c r="N663" i="1"/>
  <c r="AL661" i="1"/>
  <c r="N661" i="1"/>
  <c r="BE484" i="1"/>
  <c r="AX485" i="1"/>
  <c r="AW484" i="1"/>
  <c r="AS484" i="1"/>
  <c r="AL485" i="1"/>
  <c r="AK484" i="1"/>
  <c r="AG484" i="1"/>
  <c r="Z485" i="1"/>
  <c r="Y484" i="1"/>
  <c r="U484" i="1"/>
  <c r="N485" i="1"/>
  <c r="M484" i="1"/>
  <c r="I484" i="1"/>
  <c r="E484" i="1"/>
  <c r="AX483" i="1"/>
  <c r="AL483" i="1"/>
  <c r="Z483" i="1"/>
  <c r="N483" i="1"/>
  <c r="AX482" i="1"/>
  <c r="AL482" i="1"/>
  <c r="Z482" i="1"/>
  <c r="N482" i="1"/>
  <c r="AX481" i="1"/>
  <c r="AL481" i="1"/>
  <c r="Z481" i="1"/>
  <c r="N481" i="1"/>
  <c r="AX480" i="1"/>
  <c r="AL480" i="1"/>
  <c r="Z480" i="1"/>
  <c r="N480" i="1"/>
  <c r="AX479" i="1"/>
  <c r="AL479" i="1"/>
  <c r="Z479" i="1"/>
  <c r="N479" i="1"/>
  <c r="AX478" i="1"/>
  <c r="AL478" i="1"/>
  <c r="Z478" i="1"/>
  <c r="N478" i="1"/>
  <c r="AX477" i="1"/>
  <c r="AL477" i="1"/>
  <c r="Z477" i="1"/>
  <c r="N477" i="1"/>
  <c r="AX476" i="1"/>
  <c r="AL476" i="1"/>
  <c r="Z476" i="1"/>
  <c r="N476" i="1"/>
  <c r="AX475" i="1"/>
  <c r="AL475" i="1"/>
  <c r="Z475" i="1"/>
  <c r="N475" i="1"/>
  <c r="AX474" i="1"/>
  <c r="AL474" i="1"/>
  <c r="Z474" i="1"/>
  <c r="N474" i="1"/>
  <c r="AX473" i="1"/>
  <c r="AL473" i="1"/>
  <c r="Z473" i="1"/>
  <c r="N473" i="1"/>
  <c r="AX472" i="1"/>
  <c r="AL472" i="1"/>
  <c r="Z472" i="1"/>
  <c r="N472" i="1"/>
  <c r="AX471" i="1"/>
  <c r="AL471" i="1"/>
  <c r="Z471" i="1"/>
  <c r="N471" i="1"/>
  <c r="AX470" i="1"/>
  <c r="AL470" i="1"/>
  <c r="Z470" i="1"/>
  <c r="N470" i="1"/>
  <c r="AX469" i="1"/>
  <c r="AL469" i="1"/>
  <c r="Z469" i="1"/>
  <c r="N469" i="1"/>
  <c r="AX468" i="1"/>
  <c r="AL468" i="1"/>
  <c r="Z468" i="1"/>
  <c r="N468" i="1"/>
  <c r="AX467" i="1"/>
  <c r="AL467" i="1"/>
  <c r="Z467" i="1"/>
  <c r="N467" i="1"/>
  <c r="BE465" i="1"/>
  <c r="AX466" i="1"/>
  <c r="AW465" i="1"/>
  <c r="AS465" i="1"/>
  <c r="AL466" i="1"/>
  <c r="AK465" i="1"/>
  <c r="AG465" i="1"/>
  <c r="Z466" i="1"/>
  <c r="Y465" i="1"/>
  <c r="U465" i="1"/>
  <c r="N466" i="1"/>
  <c r="M465" i="1"/>
  <c r="I465" i="1"/>
  <c r="E465" i="1"/>
  <c r="AX464" i="1"/>
  <c r="AL464" i="1"/>
  <c r="Z464" i="1"/>
  <c r="N464" i="1"/>
  <c r="AX463" i="1"/>
  <c r="AL463" i="1"/>
  <c r="Z463" i="1"/>
  <c r="N463" i="1"/>
  <c r="AX462" i="1"/>
  <c r="AL462" i="1"/>
  <c r="Z462" i="1"/>
  <c r="AR664" i="1"/>
  <c r="AZ664" i="1"/>
  <c r="AF664" i="1"/>
  <c r="AN664" i="1"/>
  <c r="T664" i="1"/>
  <c r="AB664" i="1"/>
  <c r="H664" i="1"/>
  <c r="P664" i="1"/>
  <c r="BC664" i="1"/>
  <c r="AR663" i="1"/>
  <c r="AZ663" i="1"/>
  <c r="AF663" i="1"/>
  <c r="AN663" i="1"/>
  <c r="T663" i="1"/>
  <c r="AB663" i="1"/>
  <c r="H663" i="1"/>
  <c r="P663" i="1"/>
  <c r="BC663" i="1"/>
  <c r="AR661" i="1"/>
  <c r="AZ661" i="1"/>
  <c r="AF661" i="1"/>
  <c r="AN661" i="1"/>
  <c r="T661" i="1"/>
  <c r="AB661" i="1"/>
  <c r="H661" i="1"/>
  <c r="P661" i="1"/>
  <c r="BC661" i="1"/>
  <c r="AR485" i="1"/>
  <c r="AZ485" i="1"/>
  <c r="AQ484" i="1"/>
  <c r="AF485" i="1"/>
  <c r="AN485" i="1"/>
  <c r="AE484" i="1"/>
  <c r="T485" i="1"/>
  <c r="AB485" i="1"/>
  <c r="S484" i="1"/>
  <c r="H485" i="1"/>
  <c r="P485" i="1"/>
  <c r="G484" i="1"/>
  <c r="BC485" i="1"/>
  <c r="AR483" i="1"/>
  <c r="AZ483" i="1"/>
  <c r="AF483" i="1"/>
  <c r="AN483" i="1"/>
  <c r="T483" i="1"/>
  <c r="AB483" i="1"/>
  <c r="H483" i="1"/>
  <c r="P483" i="1"/>
  <c r="BC483" i="1"/>
  <c r="AR482" i="1"/>
  <c r="AZ482" i="1"/>
  <c r="AF482" i="1"/>
  <c r="AN482" i="1"/>
  <c r="T482" i="1"/>
  <c r="AB482" i="1"/>
  <c r="H482" i="1"/>
  <c r="P482" i="1"/>
  <c r="BC482" i="1"/>
  <c r="AR481" i="1"/>
  <c r="AZ481" i="1"/>
  <c r="AF481" i="1"/>
  <c r="AN481" i="1"/>
  <c r="T481" i="1"/>
  <c r="AB481" i="1"/>
  <c r="H481" i="1"/>
  <c r="P481" i="1"/>
  <c r="BC481" i="1"/>
  <c r="AR480" i="1"/>
  <c r="AZ480" i="1"/>
  <c r="AF480" i="1"/>
  <c r="AN480" i="1"/>
  <c r="T480" i="1"/>
  <c r="AB480" i="1"/>
  <c r="H480" i="1"/>
  <c r="P480" i="1"/>
  <c r="BC480" i="1"/>
  <c r="AR479" i="1"/>
  <c r="AZ479" i="1"/>
  <c r="AF479" i="1"/>
  <c r="AN479" i="1"/>
  <c r="T479" i="1"/>
  <c r="AB479" i="1"/>
  <c r="H479" i="1"/>
  <c r="P479" i="1"/>
  <c r="BC479" i="1"/>
  <c r="AR478" i="1"/>
  <c r="AZ478" i="1"/>
  <c r="AF478" i="1"/>
  <c r="AN478" i="1"/>
  <c r="T478" i="1"/>
  <c r="AB478" i="1"/>
  <c r="H478" i="1"/>
  <c r="P478" i="1"/>
  <c r="BC478" i="1"/>
  <c r="AR477" i="1"/>
  <c r="AZ477" i="1"/>
  <c r="AF477" i="1"/>
  <c r="AN477" i="1"/>
  <c r="T477" i="1"/>
  <c r="AB477" i="1"/>
  <c r="H477" i="1"/>
  <c r="P477" i="1"/>
  <c r="BC477" i="1"/>
  <c r="AR476" i="1"/>
  <c r="AZ476" i="1"/>
  <c r="AF476" i="1"/>
  <c r="AN476" i="1"/>
  <c r="T476" i="1"/>
  <c r="AB476" i="1"/>
  <c r="H476" i="1"/>
  <c r="P476" i="1"/>
  <c r="BC476" i="1"/>
  <c r="AR475" i="1"/>
  <c r="AZ475" i="1"/>
  <c r="AF475" i="1"/>
  <c r="AN475" i="1"/>
  <c r="T475" i="1"/>
  <c r="AB475" i="1"/>
  <c r="H475" i="1"/>
  <c r="P475" i="1"/>
  <c r="BC475" i="1"/>
  <c r="AR474" i="1"/>
  <c r="AZ474" i="1"/>
  <c r="AF474" i="1"/>
  <c r="AN474" i="1"/>
  <c r="T474" i="1"/>
  <c r="AB474" i="1"/>
  <c r="H474" i="1"/>
  <c r="P474" i="1"/>
  <c r="BC474" i="1"/>
  <c r="AR473" i="1"/>
  <c r="AZ473" i="1"/>
  <c r="AF473" i="1"/>
  <c r="AN473" i="1"/>
  <c r="T473" i="1"/>
  <c r="AB473" i="1"/>
  <c r="H473" i="1"/>
  <c r="P473" i="1"/>
  <c r="BC473" i="1"/>
  <c r="AR472" i="1"/>
  <c r="AZ472" i="1"/>
  <c r="AF472" i="1"/>
  <c r="AN472" i="1"/>
  <c r="T472" i="1"/>
  <c r="AB472" i="1"/>
  <c r="H472" i="1"/>
  <c r="P472" i="1"/>
  <c r="BC472" i="1"/>
  <c r="AR471" i="1"/>
  <c r="AZ471" i="1"/>
  <c r="AF471" i="1"/>
  <c r="AN471" i="1"/>
  <c r="T471" i="1"/>
  <c r="AB471" i="1"/>
  <c r="H471" i="1"/>
  <c r="P471" i="1"/>
  <c r="BC471" i="1"/>
  <c r="AR470" i="1"/>
  <c r="AZ470" i="1"/>
  <c r="AF470" i="1"/>
  <c r="AN470" i="1"/>
  <c r="T470" i="1"/>
  <c r="AB470" i="1"/>
  <c r="H470" i="1"/>
  <c r="P470" i="1"/>
  <c r="BC470" i="1"/>
  <c r="AR469" i="1"/>
  <c r="AZ469" i="1"/>
  <c r="AF469" i="1"/>
  <c r="AN469" i="1"/>
  <c r="T469" i="1"/>
  <c r="AB469" i="1"/>
  <c r="H469" i="1"/>
  <c r="P469" i="1"/>
  <c r="BC469" i="1"/>
  <c r="AR468" i="1"/>
  <c r="AZ468" i="1"/>
  <c r="AF468" i="1"/>
  <c r="AN468" i="1"/>
  <c r="T468" i="1"/>
  <c r="AB468" i="1"/>
  <c r="H468" i="1"/>
  <c r="P468" i="1"/>
  <c r="BC468" i="1"/>
  <c r="AR467" i="1"/>
  <c r="AZ467" i="1"/>
  <c r="AF467" i="1"/>
  <c r="AN467" i="1"/>
  <c r="T467" i="1"/>
  <c r="AB467" i="1"/>
  <c r="H467" i="1"/>
  <c r="P467" i="1"/>
  <c r="BC467" i="1"/>
  <c r="AR466" i="1"/>
  <c r="AZ466" i="1"/>
  <c r="AQ465" i="1"/>
  <c r="AF466" i="1"/>
  <c r="AN466" i="1"/>
  <c r="AE465" i="1"/>
  <c r="T466" i="1"/>
  <c r="AB466" i="1"/>
  <c r="S465" i="1"/>
  <c r="H466" i="1"/>
  <c r="P466" i="1"/>
  <c r="G465" i="1"/>
  <c r="BC466" i="1"/>
  <c r="AR464" i="1"/>
  <c r="AZ464" i="1"/>
  <c r="AF464" i="1"/>
  <c r="AN464" i="1"/>
  <c r="T464" i="1"/>
  <c r="AB464" i="1"/>
  <c r="H464" i="1"/>
  <c r="P464" i="1"/>
  <c r="BC464" i="1"/>
  <c r="AR463" i="1"/>
  <c r="AZ463" i="1"/>
  <c r="AF463" i="1"/>
  <c r="AN463" i="1"/>
  <c r="T463" i="1"/>
  <c r="AB463" i="1"/>
  <c r="H463" i="1"/>
  <c r="P463" i="1"/>
  <c r="BC463" i="1"/>
  <c r="AR462" i="1"/>
  <c r="AZ462" i="1"/>
  <c r="AF462" i="1"/>
  <c r="AN462" i="1"/>
  <c r="T462" i="1"/>
  <c r="AB462" i="1"/>
  <c r="N429" i="1"/>
  <c r="H429" i="1"/>
  <c r="P429" i="1"/>
  <c r="BC429" i="1"/>
  <c r="AX428" i="1"/>
  <c r="AR428" i="1"/>
  <c r="AZ428" i="1"/>
  <c r="AL428" i="1"/>
  <c r="AF428" i="1"/>
  <c r="AN428" i="1"/>
  <c r="Z428" i="1"/>
  <c r="T428" i="1"/>
  <c r="AB428" i="1"/>
  <c r="N428" i="1"/>
  <c r="H428" i="1"/>
  <c r="P428" i="1"/>
  <c r="BC428" i="1"/>
  <c r="AX427" i="1"/>
  <c r="AR427" i="1"/>
  <c r="AZ427" i="1"/>
  <c r="AL427" i="1"/>
  <c r="AF427" i="1"/>
  <c r="AN427" i="1"/>
  <c r="Z427" i="1"/>
  <c r="T427" i="1"/>
  <c r="AB427" i="1"/>
  <c r="N427" i="1"/>
  <c r="H427" i="1"/>
  <c r="P427" i="1"/>
  <c r="BC427" i="1"/>
  <c r="AX426" i="1"/>
  <c r="AR426" i="1"/>
  <c r="AZ426" i="1"/>
  <c r="AL426" i="1"/>
  <c r="AF426" i="1"/>
  <c r="AN426" i="1"/>
  <c r="Z426" i="1"/>
  <c r="T426" i="1"/>
  <c r="AB426" i="1"/>
  <c r="N426" i="1"/>
  <c r="H426" i="1"/>
  <c r="P426" i="1"/>
  <c r="BC426" i="1"/>
  <c r="AX425" i="1"/>
  <c r="AR425" i="1"/>
  <c r="AZ425" i="1"/>
  <c r="AL425" i="1"/>
  <c r="AF425" i="1"/>
  <c r="AN425" i="1"/>
  <c r="Z425" i="1"/>
  <c r="T425" i="1"/>
  <c r="AB425" i="1"/>
  <c r="N425" i="1"/>
  <c r="H425" i="1"/>
  <c r="P425" i="1"/>
  <c r="BC425" i="1"/>
  <c r="BE423" i="1"/>
  <c r="AW423" i="1"/>
  <c r="AX424" i="1"/>
  <c r="AS423" i="1"/>
  <c r="AQ423" i="1"/>
  <c r="AR424" i="1"/>
  <c r="AZ424" i="1"/>
  <c r="AK423" i="1"/>
  <c r="AL424" i="1"/>
  <c r="AG423" i="1"/>
  <c r="AE423" i="1"/>
  <c r="AF424" i="1"/>
  <c r="AN424" i="1"/>
  <c r="Y423" i="1"/>
  <c r="Z424" i="1"/>
  <c r="U423" i="1"/>
  <c r="S423" i="1"/>
  <c r="T424" i="1"/>
  <c r="AB424" i="1"/>
  <c r="M423" i="1"/>
  <c r="N424" i="1"/>
  <c r="I423" i="1"/>
  <c r="G423" i="1"/>
  <c r="H424" i="1"/>
  <c r="P424" i="1"/>
  <c r="BC424" i="1"/>
  <c r="E423" i="1"/>
  <c r="AU421" i="1"/>
  <c r="AY421" i="1"/>
  <c r="AI421" i="1"/>
  <c r="AM421" i="1"/>
  <c r="W421" i="1"/>
  <c r="AA421" i="1"/>
  <c r="K421" i="1"/>
  <c r="O421" i="1"/>
  <c r="BB421" i="1"/>
  <c r="BG421" i="1" s="1"/>
  <c r="AU420" i="1"/>
  <c r="AY420" i="1"/>
  <c r="AI420" i="1"/>
  <c r="AM420" i="1"/>
  <c r="W420" i="1"/>
  <c r="AA420" i="1"/>
  <c r="K420" i="1"/>
  <c r="O420" i="1"/>
  <c r="BB420" i="1"/>
  <c r="BG420" i="1" s="1"/>
  <c r="AU419" i="1"/>
  <c r="AY419" i="1"/>
  <c r="AI419" i="1"/>
  <c r="AM419" i="1"/>
  <c r="W419" i="1"/>
  <c r="AA419" i="1"/>
  <c r="K419" i="1"/>
  <c r="O419" i="1"/>
  <c r="BB419" i="1"/>
  <c r="BG419" i="1" s="1"/>
  <c r="AU418" i="1"/>
  <c r="AY418" i="1"/>
  <c r="AI418" i="1"/>
  <c r="AM418" i="1"/>
  <c r="W418" i="1"/>
  <c r="AA418" i="1"/>
  <c r="K418" i="1"/>
  <c r="O418" i="1"/>
  <c r="BB418" i="1"/>
  <c r="BG418" i="1" s="1"/>
  <c r="AU417" i="1"/>
  <c r="AY417" i="1"/>
  <c r="AI417" i="1"/>
  <c r="AM417" i="1"/>
  <c r="W417" i="1"/>
  <c r="AA417" i="1"/>
  <c r="K417" i="1"/>
  <c r="O417" i="1"/>
  <c r="BB417" i="1"/>
  <c r="BG417" i="1" s="1"/>
  <c r="AU416" i="1"/>
  <c r="AY416" i="1"/>
  <c r="AI416" i="1"/>
  <c r="AM416" i="1"/>
  <c r="W416" i="1"/>
  <c r="AA416" i="1"/>
  <c r="K416" i="1"/>
  <c r="O416" i="1"/>
  <c r="BB416" i="1"/>
  <c r="BG416" i="1" s="1"/>
  <c r="AU415" i="1"/>
  <c r="AT414" i="1"/>
  <c r="AY415" i="1"/>
  <c r="AP414" i="1"/>
  <c r="AI415" i="1"/>
  <c r="AH414" i="1"/>
  <c r="AM415" i="1"/>
  <c r="AD414" i="1"/>
  <c r="W415" i="1"/>
  <c r="V414" i="1"/>
  <c r="AA415" i="1"/>
  <c r="R414" i="1"/>
  <c r="K415" i="1"/>
  <c r="J414" i="1"/>
  <c r="O415" i="1"/>
  <c r="F414" i="1"/>
  <c r="BB415" i="1"/>
  <c r="BG415" i="1" s="1"/>
  <c r="BG414" i="1" s="1"/>
  <c r="AU413" i="1"/>
  <c r="AT412" i="1"/>
  <c r="AY413" i="1"/>
  <c r="AP380" i="1"/>
  <c r="AP412" i="1"/>
  <c r="AI413" i="1"/>
  <c r="AH381" i="1"/>
  <c r="AH412" i="1"/>
  <c r="AM413" i="1"/>
  <c r="AD381" i="1"/>
  <c r="AD380" i="1" s="1"/>
  <c r="AD412" i="1"/>
  <c r="W413" i="1"/>
  <c r="V381" i="1"/>
  <c r="V412" i="1"/>
  <c r="AA413" i="1"/>
  <c r="R381" i="1"/>
  <c r="R380" i="1" s="1"/>
  <c r="R412" i="1"/>
  <c r="K413" i="1"/>
  <c r="J381" i="1"/>
  <c r="J412" i="1"/>
  <c r="O413" i="1"/>
  <c r="F381" i="1"/>
  <c r="F380" i="1" s="1"/>
  <c r="F412" i="1"/>
  <c r="BB413" i="1"/>
  <c r="BG413" i="1" s="1"/>
  <c r="AU411" i="1"/>
  <c r="AY411" i="1"/>
  <c r="AI411" i="1"/>
  <c r="AH379" i="1"/>
  <c r="AM411" i="1"/>
  <c r="AD379" i="1"/>
  <c r="W411" i="1"/>
  <c r="V379" i="1"/>
  <c r="AA411" i="1"/>
  <c r="R379" i="1"/>
  <c r="K411" i="1"/>
  <c r="J379" i="1"/>
  <c r="O411" i="1"/>
  <c r="F379" i="1"/>
  <c r="BB411" i="1"/>
  <c r="BG411" i="1" s="1"/>
  <c r="AU410" i="1"/>
  <c r="AY410" i="1"/>
  <c r="AI410" i="1"/>
  <c r="AH378" i="1"/>
  <c r="AM410" i="1"/>
  <c r="AD378" i="1"/>
  <c r="W410" i="1"/>
  <c r="V378" i="1"/>
  <c r="AA410" i="1"/>
  <c r="R378" i="1"/>
  <c r="K410" i="1"/>
  <c r="J378" i="1"/>
  <c r="O410" i="1"/>
  <c r="F378" i="1"/>
  <c r="BB410" i="1"/>
  <c r="BG410" i="1" s="1"/>
  <c r="AU409" i="1"/>
  <c r="AY409" i="1"/>
  <c r="AI409" i="1"/>
  <c r="AH377" i="1"/>
  <c r="AM409" i="1"/>
  <c r="AD377" i="1"/>
  <c r="W409" i="1"/>
  <c r="V377" i="1"/>
  <c r="AA409" i="1"/>
  <c r="R377" i="1"/>
  <c r="K409" i="1"/>
  <c r="J377" i="1"/>
  <c r="O409" i="1"/>
  <c r="F377" i="1"/>
  <c r="BB409" i="1"/>
  <c r="BG409" i="1" s="1"/>
  <c r="AU408" i="1"/>
  <c r="AY408" i="1"/>
  <c r="AI408" i="1"/>
  <c r="AH376" i="1"/>
  <c r="AM408" i="1"/>
  <c r="AD376" i="1"/>
  <c r="W408" i="1"/>
  <c r="V376" i="1"/>
  <c r="AA408" i="1"/>
  <c r="R376" i="1"/>
  <c r="K408" i="1"/>
  <c r="J376" i="1"/>
  <c r="O408" i="1"/>
  <c r="F376" i="1"/>
  <c r="BB408" i="1"/>
  <c r="BG408" i="1" s="1"/>
  <c r="AU407" i="1"/>
  <c r="AY407" i="1"/>
  <c r="AI407" i="1"/>
  <c r="AH375" i="1"/>
  <c r="AM407" i="1"/>
  <c r="AD375" i="1"/>
  <c r="W407" i="1"/>
  <c r="V375" i="1"/>
  <c r="AA407" i="1"/>
  <c r="R375" i="1"/>
  <c r="K407" i="1"/>
  <c r="J375" i="1"/>
  <c r="O407" i="1"/>
  <c r="F375" i="1"/>
  <c r="BB407" i="1"/>
  <c r="BG407" i="1" s="1"/>
  <c r="AU406" i="1"/>
  <c r="AY406" i="1"/>
  <c r="AI406" i="1"/>
  <c r="AH374" i="1"/>
  <c r="AM406" i="1"/>
  <c r="AD374" i="1"/>
  <c r="W406" i="1"/>
  <c r="V374" i="1"/>
  <c r="AA406" i="1"/>
  <c r="R374" i="1"/>
  <c r="K406" i="1"/>
  <c r="J374" i="1"/>
  <c r="O406" i="1"/>
  <c r="F374" i="1"/>
  <c r="BB406" i="1"/>
  <c r="BG406" i="1" s="1"/>
  <c r="AU405" i="1"/>
  <c r="AY405" i="1"/>
  <c r="AI405" i="1"/>
  <c r="AH373" i="1"/>
  <c r="AM405" i="1"/>
  <c r="AD373" i="1"/>
  <c r="W405" i="1"/>
  <c r="V373" i="1"/>
  <c r="AA405" i="1"/>
  <c r="R373" i="1"/>
  <c r="K405" i="1"/>
  <c r="J373" i="1"/>
  <c r="O405" i="1"/>
  <c r="F373" i="1"/>
  <c r="BB405" i="1"/>
  <c r="BG405" i="1" s="1"/>
  <c r="AU404" i="1"/>
  <c r="AY404" i="1"/>
  <c r="AI404" i="1"/>
  <c r="AH372" i="1"/>
  <c r="AM404" i="1"/>
  <c r="AD372" i="1"/>
  <c r="W404" i="1"/>
  <c r="V372" i="1"/>
  <c r="AA404" i="1"/>
  <c r="R372" i="1"/>
  <c r="K404" i="1"/>
  <c r="J372" i="1"/>
  <c r="O404" i="1"/>
  <c r="F372" i="1"/>
  <c r="BB404" i="1"/>
  <c r="BG404" i="1" s="1"/>
  <c r="AU403" i="1"/>
  <c r="AY403" i="1"/>
  <c r="AI403" i="1"/>
  <c r="AH371" i="1"/>
  <c r="AM403" i="1"/>
  <c r="AD371" i="1"/>
  <c r="W403" i="1"/>
  <c r="V371" i="1"/>
  <c r="AA403" i="1"/>
  <c r="R371" i="1"/>
  <c r="K403" i="1"/>
  <c r="J371" i="1"/>
  <c r="O403" i="1"/>
  <c r="F371" i="1"/>
  <c r="BB403" i="1"/>
  <c r="BG403" i="1" s="1"/>
  <c r="AU402" i="1"/>
  <c r="AY402" i="1"/>
  <c r="AI402" i="1"/>
  <c r="AH370" i="1"/>
  <c r="AM402" i="1"/>
  <c r="AD370" i="1"/>
  <c r="W402" i="1"/>
  <c r="V370" i="1"/>
  <c r="AA402" i="1"/>
  <c r="R370" i="1"/>
  <c r="K402" i="1"/>
  <c r="J370" i="1"/>
  <c r="O402" i="1"/>
  <c r="F370" i="1"/>
  <c r="BB402" i="1"/>
  <c r="BG402" i="1" s="1"/>
  <c r="AU401" i="1"/>
  <c r="AY401" i="1"/>
  <c r="AI401" i="1"/>
  <c r="AH369" i="1"/>
  <c r="AM401" i="1"/>
  <c r="AD369" i="1"/>
  <c r="W401" i="1"/>
  <c r="V369" i="1"/>
  <c r="AA401" i="1"/>
  <c r="R369" i="1"/>
  <c r="K401" i="1"/>
  <c r="J369" i="1"/>
  <c r="O401" i="1"/>
  <c r="F369" i="1"/>
  <c r="BB401" i="1"/>
  <c r="BG401" i="1" s="1"/>
  <c r="AU400" i="1"/>
  <c r="AY400" i="1"/>
  <c r="AI400" i="1"/>
  <c r="AH368" i="1"/>
  <c r="AM400" i="1"/>
  <c r="AD368" i="1"/>
  <c r="W400" i="1"/>
  <c r="V368" i="1"/>
  <c r="AA400" i="1"/>
  <c r="R368" i="1"/>
  <c r="K400" i="1"/>
  <c r="J368" i="1"/>
  <c r="O400" i="1"/>
  <c r="F368" i="1"/>
  <c r="BB400" i="1"/>
  <c r="BG400" i="1" s="1"/>
  <c r="AU399" i="1"/>
  <c r="AY399" i="1"/>
  <c r="AI399" i="1"/>
  <c r="AH367" i="1"/>
  <c r="AM399" i="1"/>
  <c r="AD367" i="1"/>
  <c r="W399" i="1"/>
  <c r="V367" i="1"/>
  <c r="AA399" i="1"/>
  <c r="R367" i="1"/>
  <c r="K399" i="1"/>
  <c r="J367" i="1"/>
  <c r="O399" i="1"/>
  <c r="F367" i="1"/>
  <c r="BB399" i="1"/>
  <c r="BG399" i="1" s="1"/>
  <c r="AU398" i="1"/>
  <c r="AY398" i="1"/>
  <c r="AI398" i="1"/>
  <c r="AH366" i="1"/>
  <c r="AM398" i="1"/>
  <c r="AD366" i="1"/>
  <c r="W398" i="1"/>
  <c r="V366" i="1"/>
  <c r="AA398" i="1"/>
  <c r="R366" i="1"/>
  <c r="K398" i="1"/>
  <c r="J366" i="1"/>
  <c r="O398" i="1"/>
  <c r="F366" i="1"/>
  <c r="BB398" i="1"/>
  <c r="BG398" i="1" s="1"/>
  <c r="AU397" i="1"/>
  <c r="AY397" i="1"/>
  <c r="N462" i="1"/>
  <c r="H462" i="1"/>
  <c r="P462" i="1"/>
  <c r="BC462" i="1"/>
  <c r="AX461" i="1"/>
  <c r="AR461" i="1"/>
  <c r="AZ461" i="1"/>
  <c r="AL461" i="1"/>
  <c r="AF461" i="1"/>
  <c r="AN461" i="1"/>
  <c r="Z461" i="1"/>
  <c r="T461" i="1"/>
  <c r="AB461" i="1"/>
  <c r="N461" i="1"/>
  <c r="H461" i="1"/>
  <c r="P461" i="1"/>
  <c r="BC461" i="1"/>
  <c r="AX460" i="1"/>
  <c r="AR460" i="1"/>
  <c r="AZ460" i="1"/>
  <c r="AL460" i="1"/>
  <c r="AF460" i="1"/>
  <c r="AN460" i="1"/>
  <c r="Z460" i="1"/>
  <c r="T460" i="1"/>
  <c r="AB460" i="1"/>
  <c r="N460" i="1"/>
  <c r="H460" i="1"/>
  <c r="P460" i="1"/>
  <c r="BC460" i="1"/>
  <c r="AX459" i="1"/>
  <c r="AR459" i="1"/>
  <c r="AZ459" i="1"/>
  <c r="AL459" i="1"/>
  <c r="AF459" i="1"/>
  <c r="AN459" i="1"/>
  <c r="Z459" i="1"/>
  <c r="T459" i="1"/>
  <c r="AB459" i="1"/>
  <c r="N459" i="1"/>
  <c r="H459" i="1"/>
  <c r="P459" i="1"/>
  <c r="BC459" i="1"/>
  <c r="AX458" i="1"/>
  <c r="AR458" i="1"/>
  <c r="AZ458" i="1"/>
  <c r="AL458" i="1"/>
  <c r="AF458" i="1"/>
  <c r="AN458" i="1"/>
  <c r="Z458" i="1"/>
  <c r="T458" i="1"/>
  <c r="AB458" i="1"/>
  <c r="N458" i="1"/>
  <c r="H458" i="1"/>
  <c r="P458" i="1"/>
  <c r="BC458" i="1"/>
  <c r="AX457" i="1"/>
  <c r="AR457" i="1"/>
  <c r="AZ457" i="1"/>
  <c r="AL457" i="1"/>
  <c r="AF457" i="1"/>
  <c r="AN457" i="1"/>
  <c r="Z457" i="1"/>
  <c r="T457" i="1"/>
  <c r="AB457" i="1"/>
  <c r="N457" i="1"/>
  <c r="H457" i="1"/>
  <c r="P457" i="1"/>
  <c r="BC457" i="1"/>
  <c r="BE455" i="1"/>
  <c r="AX456" i="1"/>
  <c r="AW455" i="1"/>
  <c r="AS455" i="1"/>
  <c r="AR456" i="1"/>
  <c r="AZ456" i="1"/>
  <c r="AQ455" i="1"/>
  <c r="AL456" i="1"/>
  <c r="AK455" i="1"/>
  <c r="AG455" i="1"/>
  <c r="AG454" i="1" s="1"/>
  <c r="AF456" i="1"/>
  <c r="AN456" i="1"/>
  <c r="AE455" i="1"/>
  <c r="Z456" i="1"/>
  <c r="Y455" i="1"/>
  <c r="U455" i="1"/>
  <c r="T456" i="1"/>
  <c r="AB456" i="1"/>
  <c r="S455" i="1"/>
  <c r="N456" i="1"/>
  <c r="M455" i="1"/>
  <c r="I455" i="1"/>
  <c r="I454" i="1" s="1"/>
  <c r="H456" i="1"/>
  <c r="P456" i="1"/>
  <c r="G455" i="1"/>
  <c r="BC456" i="1"/>
  <c r="E455" i="1"/>
  <c r="BE452" i="1"/>
  <c r="AX453" i="1"/>
  <c r="AW452" i="1"/>
  <c r="AS452" i="1"/>
  <c r="AR453" i="1"/>
  <c r="AZ453" i="1"/>
  <c r="AQ452" i="1"/>
  <c r="AL453" i="1"/>
  <c r="AK452" i="1"/>
  <c r="AG452" i="1"/>
  <c r="AF453" i="1"/>
  <c r="AN453" i="1"/>
  <c r="AE452" i="1"/>
  <c r="Z453" i="1"/>
  <c r="Y452" i="1"/>
  <c r="U452" i="1"/>
  <c r="T453" i="1"/>
  <c r="AB453" i="1"/>
  <c r="S452" i="1"/>
  <c r="N453" i="1"/>
  <c r="M452" i="1"/>
  <c r="I452" i="1"/>
  <c r="H453" i="1"/>
  <c r="P453" i="1"/>
  <c r="G452" i="1"/>
  <c r="BC453" i="1"/>
  <c r="E452" i="1"/>
  <c r="AX451" i="1"/>
  <c r="AR451" i="1"/>
  <c r="AZ451" i="1"/>
  <c r="AL451" i="1"/>
  <c r="AF451" i="1"/>
  <c r="AN451" i="1"/>
  <c r="Z451" i="1"/>
  <c r="T451" i="1"/>
  <c r="AB451" i="1"/>
  <c r="N451" i="1"/>
  <c r="H451" i="1"/>
  <c r="P451" i="1"/>
  <c r="BC451" i="1"/>
  <c r="AX450" i="1"/>
  <c r="AR450" i="1"/>
  <c r="AZ450" i="1"/>
  <c r="AL450" i="1"/>
  <c r="AF450" i="1"/>
  <c r="AN450" i="1"/>
  <c r="Z450" i="1"/>
  <c r="T450" i="1"/>
  <c r="AB450" i="1"/>
  <c r="N450" i="1"/>
  <c r="H450" i="1"/>
  <c r="P450" i="1"/>
  <c r="BC450" i="1"/>
  <c r="AX449" i="1"/>
  <c r="AR449" i="1"/>
  <c r="AZ449" i="1"/>
  <c r="AL449" i="1"/>
  <c r="AF449" i="1"/>
  <c r="AN449" i="1"/>
  <c r="Z449" i="1"/>
  <c r="T449" i="1"/>
  <c r="AB449" i="1"/>
  <c r="N449" i="1"/>
  <c r="H449" i="1"/>
  <c r="P449" i="1"/>
  <c r="BC449" i="1"/>
  <c r="AX448" i="1"/>
  <c r="AR448" i="1"/>
  <c r="AZ448" i="1"/>
  <c r="AL448" i="1"/>
  <c r="AF448" i="1"/>
  <c r="AN448" i="1"/>
  <c r="Z448" i="1"/>
  <c r="T448" i="1"/>
  <c r="AB448" i="1"/>
  <c r="N448" i="1"/>
  <c r="H448" i="1"/>
  <c r="P448" i="1"/>
  <c r="BC448" i="1"/>
  <c r="AX447" i="1"/>
  <c r="AR447" i="1"/>
  <c r="AZ447" i="1"/>
  <c r="AL447" i="1"/>
  <c r="AF447" i="1"/>
  <c r="AN447" i="1"/>
  <c r="Z447" i="1"/>
  <c r="T447" i="1"/>
  <c r="AB447" i="1"/>
  <c r="N447" i="1"/>
  <c r="H447" i="1"/>
  <c r="P447" i="1"/>
  <c r="BC447" i="1"/>
  <c r="AX446" i="1"/>
  <c r="AR446" i="1"/>
  <c r="AZ446" i="1"/>
  <c r="AL446" i="1"/>
  <c r="AF446" i="1"/>
  <c r="AN446" i="1"/>
  <c r="Z446" i="1"/>
  <c r="T446" i="1"/>
  <c r="AB446" i="1"/>
  <c r="N446" i="1"/>
  <c r="H446" i="1"/>
  <c r="P446" i="1"/>
  <c r="BC446" i="1"/>
  <c r="AX445" i="1"/>
  <c r="AR445" i="1"/>
  <c r="AZ445" i="1"/>
  <c r="AL445" i="1"/>
  <c r="AF445" i="1"/>
  <c r="AN445" i="1"/>
  <c r="Z445" i="1"/>
  <c r="T445" i="1"/>
  <c r="AB445" i="1"/>
  <c r="N445" i="1"/>
  <c r="H445" i="1"/>
  <c r="P445" i="1"/>
  <c r="BC445" i="1"/>
  <c r="AX444" i="1"/>
  <c r="AR444" i="1"/>
  <c r="AZ444" i="1"/>
  <c r="AL444" i="1"/>
  <c r="AF444" i="1"/>
  <c r="AN444" i="1"/>
  <c r="Z444" i="1"/>
  <c r="T444" i="1"/>
  <c r="AB444" i="1"/>
  <c r="N444" i="1"/>
  <c r="H444" i="1"/>
  <c r="P444" i="1"/>
  <c r="BC444" i="1"/>
  <c r="AX443" i="1"/>
  <c r="AR443" i="1"/>
  <c r="AZ443" i="1"/>
  <c r="AL443" i="1"/>
  <c r="AF443" i="1"/>
  <c r="AN443" i="1"/>
  <c r="Z443" i="1"/>
  <c r="T443" i="1"/>
  <c r="AB443" i="1"/>
  <c r="N443" i="1"/>
  <c r="H443" i="1"/>
  <c r="P443" i="1"/>
  <c r="BC443" i="1"/>
  <c r="AX442" i="1"/>
  <c r="AR442" i="1"/>
  <c r="AZ442" i="1"/>
  <c r="AL442" i="1"/>
  <c r="AF442" i="1"/>
  <c r="AN442" i="1"/>
  <c r="Z442" i="1"/>
  <c r="T442" i="1"/>
  <c r="AB442" i="1"/>
  <c r="N442" i="1"/>
  <c r="H442" i="1"/>
  <c r="P442" i="1"/>
  <c r="BC442" i="1"/>
  <c r="AX441" i="1"/>
  <c r="AR441" i="1"/>
  <c r="AZ441" i="1"/>
  <c r="AL441" i="1"/>
  <c r="AF441" i="1"/>
  <c r="AN441" i="1"/>
  <c r="Z441" i="1"/>
  <c r="T441" i="1"/>
  <c r="AB441" i="1"/>
  <c r="N441" i="1"/>
  <c r="H441" i="1"/>
  <c r="P441" i="1"/>
  <c r="BC441" i="1"/>
  <c r="AX440" i="1"/>
  <c r="AR440" i="1"/>
  <c r="AZ440" i="1"/>
  <c r="AL440" i="1"/>
  <c r="AF440" i="1"/>
  <c r="AN440" i="1"/>
  <c r="Z440" i="1"/>
  <c r="T440" i="1"/>
  <c r="AB440" i="1"/>
  <c r="N440" i="1"/>
  <c r="H440" i="1"/>
  <c r="P440" i="1"/>
  <c r="BC440" i="1"/>
  <c r="AX439" i="1"/>
  <c r="AR439" i="1"/>
  <c r="AZ439" i="1"/>
  <c r="AL439" i="1"/>
  <c r="AF439" i="1"/>
  <c r="AN439" i="1"/>
  <c r="Z439" i="1"/>
  <c r="T439" i="1"/>
  <c r="AB439" i="1"/>
  <c r="N439" i="1"/>
  <c r="H439" i="1"/>
  <c r="P439" i="1"/>
  <c r="BC439" i="1"/>
  <c r="AX438" i="1"/>
  <c r="AR438" i="1"/>
  <c r="AZ438" i="1"/>
  <c r="AL438" i="1"/>
  <c r="AF438" i="1"/>
  <c r="AN438" i="1"/>
  <c r="Z438" i="1"/>
  <c r="T438" i="1"/>
  <c r="AB438" i="1"/>
  <c r="N438" i="1"/>
  <c r="H438" i="1"/>
  <c r="P438" i="1"/>
  <c r="BC438" i="1"/>
  <c r="AX437" i="1"/>
  <c r="AR437" i="1"/>
  <c r="AZ437" i="1"/>
  <c r="AL437" i="1"/>
  <c r="AF437" i="1"/>
  <c r="AN437" i="1"/>
  <c r="Z437" i="1"/>
  <c r="T437" i="1"/>
  <c r="AB437" i="1"/>
  <c r="N437" i="1"/>
  <c r="H437" i="1"/>
  <c r="P437" i="1"/>
  <c r="BC437" i="1"/>
  <c r="AX436" i="1"/>
  <c r="AR436" i="1"/>
  <c r="AZ436" i="1"/>
  <c r="AL436" i="1"/>
  <c r="AF436" i="1"/>
  <c r="AN436" i="1"/>
  <c r="Z436" i="1"/>
  <c r="T436" i="1"/>
  <c r="AB436" i="1"/>
  <c r="N436" i="1"/>
  <c r="H436" i="1"/>
  <c r="P436" i="1"/>
  <c r="BC436" i="1"/>
  <c r="AX435" i="1"/>
  <c r="AR435" i="1"/>
  <c r="AZ435" i="1"/>
  <c r="AL435" i="1"/>
  <c r="AF435" i="1"/>
  <c r="AN435" i="1"/>
  <c r="Z435" i="1"/>
  <c r="T435" i="1"/>
  <c r="AB435" i="1"/>
  <c r="N435" i="1"/>
  <c r="H435" i="1"/>
  <c r="P435" i="1"/>
  <c r="BC435" i="1"/>
  <c r="BE433" i="1"/>
  <c r="AX434" i="1"/>
  <c r="AW433" i="1"/>
  <c r="AS433" i="1"/>
  <c r="AR434" i="1"/>
  <c r="AZ434" i="1"/>
  <c r="AQ433" i="1"/>
  <c r="AL434" i="1"/>
  <c r="AK433" i="1"/>
  <c r="AG433" i="1"/>
  <c r="AF434" i="1"/>
  <c r="AN434" i="1"/>
  <c r="AE433" i="1"/>
  <c r="Z434" i="1"/>
  <c r="Y433" i="1"/>
  <c r="U433" i="1"/>
  <c r="T434" i="1"/>
  <c r="AB434" i="1"/>
  <c r="S433" i="1"/>
  <c r="N434" i="1"/>
  <c r="M433" i="1"/>
  <c r="I433" i="1"/>
  <c r="H434" i="1"/>
  <c r="P434" i="1"/>
  <c r="G433" i="1"/>
  <c r="BC434" i="1"/>
  <c r="E433" i="1"/>
  <c r="AX432" i="1"/>
  <c r="AR432" i="1"/>
  <c r="AZ432" i="1"/>
  <c r="AL432" i="1"/>
  <c r="AF432" i="1"/>
  <c r="AN432" i="1"/>
  <c r="Z432" i="1"/>
  <c r="T432" i="1"/>
  <c r="AB432" i="1"/>
  <c r="N432" i="1"/>
  <c r="H432" i="1"/>
  <c r="P432" i="1"/>
  <c r="BC432" i="1"/>
  <c r="AX431" i="1"/>
  <c r="AR431" i="1"/>
  <c r="AZ431" i="1"/>
  <c r="AL431" i="1"/>
  <c r="AF431" i="1"/>
  <c r="AN431" i="1"/>
  <c r="Z431" i="1"/>
  <c r="T431" i="1"/>
  <c r="AB431" i="1"/>
  <c r="N431" i="1"/>
  <c r="H431" i="1"/>
  <c r="P431" i="1"/>
  <c r="BC431" i="1"/>
  <c r="AX430" i="1"/>
  <c r="AR430" i="1"/>
  <c r="AZ430" i="1"/>
  <c r="AL430" i="1"/>
  <c r="AF430" i="1"/>
  <c r="AN430" i="1"/>
  <c r="Z430" i="1"/>
  <c r="T430" i="1"/>
  <c r="AB430" i="1"/>
  <c r="N430" i="1"/>
  <c r="H430" i="1"/>
  <c r="P430" i="1"/>
  <c r="BC430" i="1"/>
  <c r="AX429" i="1"/>
  <c r="AR429" i="1"/>
  <c r="AZ429" i="1"/>
  <c r="AL429" i="1"/>
  <c r="AF429" i="1"/>
  <c r="AN429" i="1"/>
  <c r="Z429" i="1"/>
  <c r="T429" i="1"/>
  <c r="AB429" i="1"/>
  <c r="AU664" i="1"/>
  <c r="AY664" i="1"/>
  <c r="AI664" i="1"/>
  <c r="AM664" i="1"/>
  <c r="W664" i="1"/>
  <c r="AA664" i="1"/>
  <c r="K664" i="1"/>
  <c r="BB664" i="1"/>
  <c r="BG664" i="1" s="1"/>
  <c r="O664" i="1"/>
  <c r="AU663" i="1"/>
  <c r="AY663" i="1"/>
  <c r="AI663" i="1"/>
  <c r="AM663" i="1"/>
  <c r="W663" i="1"/>
  <c r="AA663" i="1"/>
  <c r="K663" i="1"/>
  <c r="BB663" i="1"/>
  <c r="BG663" i="1" s="1"/>
  <c r="O663" i="1"/>
  <c r="AU661" i="1"/>
  <c r="AY661" i="1"/>
  <c r="AI661" i="1"/>
  <c r="AM661" i="1"/>
  <c r="W661" i="1"/>
  <c r="AA661" i="1"/>
  <c r="K661" i="1"/>
  <c r="BB661" i="1"/>
  <c r="BG661" i="1" s="1"/>
  <c r="O661" i="1"/>
  <c r="AV484" i="1"/>
  <c r="AT484" i="1"/>
  <c r="AU485" i="1"/>
  <c r="AP484" i="1"/>
  <c r="AY485" i="1"/>
  <c r="AY484" i="1" s="1"/>
  <c r="AJ484" i="1"/>
  <c r="AH484" i="1"/>
  <c r="AI484" i="1" s="1"/>
  <c r="AI485" i="1"/>
  <c r="AD484" i="1"/>
  <c r="AM485" i="1"/>
  <c r="AM484" i="1" s="1"/>
  <c r="X484" i="1"/>
  <c r="V484" i="1"/>
  <c r="W485" i="1"/>
  <c r="R484" i="1"/>
  <c r="AA485" i="1"/>
  <c r="AA484" i="1" s="1"/>
  <c r="L484" i="1"/>
  <c r="J484" i="1"/>
  <c r="K484" i="1" s="1"/>
  <c r="K485" i="1"/>
  <c r="F484" i="1"/>
  <c r="BB485" i="1"/>
  <c r="BG485" i="1" s="1"/>
  <c r="BG484" i="1" s="1"/>
  <c r="O485" i="1"/>
  <c r="O484" i="1" s="1"/>
  <c r="D484" i="1"/>
  <c r="AU483" i="1"/>
  <c r="AY483" i="1"/>
  <c r="AI483" i="1"/>
  <c r="AM483" i="1"/>
  <c r="W483" i="1"/>
  <c r="AA483" i="1"/>
  <c r="K483" i="1"/>
  <c r="BB483" i="1"/>
  <c r="BG483" i="1" s="1"/>
  <c r="O483" i="1"/>
  <c r="AU482" i="1"/>
  <c r="AY482" i="1"/>
  <c r="AI482" i="1"/>
  <c r="AM482" i="1"/>
  <c r="W482" i="1"/>
  <c r="AA482" i="1"/>
  <c r="K482" i="1"/>
  <c r="BB482" i="1"/>
  <c r="BG482" i="1" s="1"/>
  <c r="O482" i="1"/>
  <c r="AU481" i="1"/>
  <c r="AY481" i="1"/>
  <c r="AI481" i="1"/>
  <c r="AM481" i="1"/>
  <c r="W481" i="1"/>
  <c r="AA481" i="1"/>
  <c r="K481" i="1"/>
  <c r="BB481" i="1"/>
  <c r="BG481" i="1" s="1"/>
  <c r="O481" i="1"/>
  <c r="AU480" i="1"/>
  <c r="AY480" i="1"/>
  <c r="AI480" i="1"/>
  <c r="AM480" i="1"/>
  <c r="W480" i="1"/>
  <c r="AA480" i="1"/>
  <c r="K480" i="1"/>
  <c r="BB480" i="1"/>
  <c r="BG480" i="1" s="1"/>
  <c r="O480" i="1"/>
  <c r="AU479" i="1"/>
  <c r="AY479" i="1"/>
  <c r="AI479" i="1"/>
  <c r="AM479" i="1"/>
  <c r="W479" i="1"/>
  <c r="AA479" i="1"/>
  <c r="K479" i="1"/>
  <c r="BB479" i="1"/>
  <c r="BG479" i="1" s="1"/>
  <c r="O479" i="1"/>
  <c r="AU478" i="1"/>
  <c r="AY478" i="1"/>
  <c r="AI478" i="1"/>
  <c r="AM478" i="1"/>
  <c r="W478" i="1"/>
  <c r="AA478" i="1"/>
  <c r="K478" i="1"/>
  <c r="BB478" i="1"/>
  <c r="BG478" i="1" s="1"/>
  <c r="O478" i="1"/>
  <c r="AU477" i="1"/>
  <c r="AY477" i="1"/>
  <c r="AI477" i="1"/>
  <c r="AM477" i="1"/>
  <c r="W477" i="1"/>
  <c r="AA477" i="1"/>
  <c r="K477" i="1"/>
  <c r="BB477" i="1"/>
  <c r="BG477" i="1" s="1"/>
  <c r="O477" i="1"/>
  <c r="AU476" i="1"/>
  <c r="AY476" i="1"/>
  <c r="AI476" i="1"/>
  <c r="AM476" i="1"/>
  <c r="W476" i="1"/>
  <c r="AA476" i="1"/>
  <c r="K476" i="1"/>
  <c r="BB476" i="1"/>
  <c r="BG476" i="1" s="1"/>
  <c r="O476" i="1"/>
  <c r="AU475" i="1"/>
  <c r="AY475" i="1"/>
  <c r="AI475" i="1"/>
  <c r="AM475" i="1"/>
  <c r="W475" i="1"/>
  <c r="AA475" i="1"/>
  <c r="K475" i="1"/>
  <c r="BB475" i="1"/>
  <c r="BG475" i="1" s="1"/>
  <c r="O475" i="1"/>
  <c r="AU474" i="1"/>
  <c r="AY474" i="1"/>
  <c r="AI474" i="1"/>
  <c r="AM474" i="1"/>
  <c r="W474" i="1"/>
  <c r="AA474" i="1"/>
  <c r="K474" i="1"/>
  <c r="BB474" i="1"/>
  <c r="BG474" i="1" s="1"/>
  <c r="O474" i="1"/>
  <c r="AU473" i="1"/>
  <c r="AY473" i="1"/>
  <c r="AI473" i="1"/>
  <c r="AM473" i="1"/>
  <c r="W473" i="1"/>
  <c r="AA473" i="1"/>
  <c r="K473" i="1"/>
  <c r="BB473" i="1"/>
  <c r="BG473" i="1" s="1"/>
  <c r="O473" i="1"/>
  <c r="AU472" i="1"/>
  <c r="AY472" i="1"/>
  <c r="AI472" i="1"/>
  <c r="AM472" i="1"/>
  <c r="W472" i="1"/>
  <c r="AA472" i="1"/>
  <c r="K472" i="1"/>
  <c r="BB472" i="1"/>
  <c r="BG472" i="1" s="1"/>
  <c r="O472" i="1"/>
  <c r="AU471" i="1"/>
  <c r="AY471" i="1"/>
  <c r="AI471" i="1"/>
  <c r="AM471" i="1"/>
  <c r="W471" i="1"/>
  <c r="AA471" i="1"/>
  <c r="K471" i="1"/>
  <c r="BB471" i="1"/>
  <c r="BG471" i="1" s="1"/>
  <c r="O471" i="1"/>
  <c r="AU470" i="1"/>
  <c r="AY470" i="1"/>
  <c r="AI470" i="1"/>
  <c r="AM470" i="1"/>
  <c r="W470" i="1"/>
  <c r="AA470" i="1"/>
  <c r="K470" i="1"/>
  <c r="BB470" i="1"/>
  <c r="BG470" i="1" s="1"/>
  <c r="O470" i="1"/>
  <c r="AU469" i="1"/>
  <c r="AY469" i="1"/>
  <c r="AI469" i="1"/>
  <c r="AM469" i="1"/>
  <c r="W469" i="1"/>
  <c r="AA469" i="1"/>
  <c r="K469" i="1"/>
  <c r="BB469" i="1"/>
  <c r="BG469" i="1" s="1"/>
  <c r="O469" i="1"/>
  <c r="AU468" i="1"/>
  <c r="AY468" i="1"/>
  <c r="AI468" i="1"/>
  <c r="AM468" i="1"/>
  <c r="W468" i="1"/>
  <c r="AA468" i="1"/>
  <c r="K468" i="1"/>
  <c r="BB468" i="1"/>
  <c r="BG468" i="1" s="1"/>
  <c r="O468" i="1"/>
  <c r="AU467" i="1"/>
  <c r="AY467" i="1"/>
  <c r="AI467" i="1"/>
  <c r="AM467" i="1"/>
  <c r="W467" i="1"/>
  <c r="AA467" i="1"/>
  <c r="K467" i="1"/>
  <c r="BB467" i="1"/>
  <c r="BG467" i="1" s="1"/>
  <c r="O467" i="1"/>
  <c r="AV465" i="1"/>
  <c r="AT465" i="1"/>
  <c r="AU466" i="1"/>
  <c r="AP465" i="1"/>
  <c r="AY466" i="1"/>
  <c r="AJ465" i="1"/>
  <c r="AH465" i="1"/>
  <c r="AI466" i="1"/>
  <c r="AD465" i="1"/>
  <c r="AM466" i="1"/>
  <c r="AM465" i="1" s="1"/>
  <c r="X465" i="1"/>
  <c r="V465" i="1"/>
  <c r="W466" i="1"/>
  <c r="R465" i="1"/>
  <c r="AA466" i="1"/>
  <c r="L465" i="1"/>
  <c r="J465" i="1"/>
  <c r="K466" i="1"/>
  <c r="F465" i="1"/>
  <c r="BB466" i="1"/>
  <c r="BG466" i="1" s="1"/>
  <c r="BG465" i="1" s="1"/>
  <c r="O466" i="1"/>
  <c r="D465" i="1"/>
  <c r="AU464" i="1"/>
  <c r="AY464" i="1"/>
  <c r="AI464" i="1"/>
  <c r="AM464" i="1"/>
  <c r="W464" i="1"/>
  <c r="AA464" i="1"/>
  <c r="K464" i="1"/>
  <c r="BB464" i="1"/>
  <c r="BG464" i="1" s="1"/>
  <c r="O464" i="1"/>
  <c r="AU463" i="1"/>
  <c r="AY463" i="1"/>
  <c r="AI463" i="1"/>
  <c r="AM463" i="1"/>
  <c r="W463" i="1"/>
  <c r="AA463" i="1"/>
  <c r="K463" i="1"/>
  <c r="BB463" i="1"/>
  <c r="BG463" i="1" s="1"/>
  <c r="O463" i="1"/>
  <c r="AU462" i="1"/>
  <c r="AY462" i="1"/>
  <c r="AI462" i="1"/>
  <c r="AM462" i="1"/>
  <c r="W462" i="1"/>
  <c r="AA462" i="1"/>
  <c r="K462" i="1"/>
  <c r="BB462" i="1"/>
  <c r="BG462" i="1" s="1"/>
  <c r="O462" i="1"/>
  <c r="AU461" i="1"/>
  <c r="AY461" i="1"/>
  <c r="AI461" i="1"/>
  <c r="AM461" i="1"/>
  <c r="W461" i="1"/>
  <c r="AA461" i="1"/>
  <c r="K461" i="1"/>
  <c r="BB461" i="1"/>
  <c r="BG461" i="1" s="1"/>
  <c r="O461" i="1"/>
  <c r="AU460" i="1"/>
  <c r="AY460" i="1"/>
  <c r="AI460" i="1"/>
  <c r="AM460" i="1"/>
  <c r="W460" i="1"/>
  <c r="AA460" i="1"/>
  <c r="K460" i="1"/>
  <c r="BB460" i="1"/>
  <c r="BG460" i="1" s="1"/>
  <c r="O460" i="1"/>
  <c r="AU459" i="1"/>
  <c r="AY459" i="1"/>
  <c r="AI459" i="1"/>
  <c r="AM459" i="1"/>
  <c r="W459" i="1"/>
  <c r="AA459" i="1"/>
  <c r="K459" i="1"/>
  <c r="BB459" i="1"/>
  <c r="BG459" i="1" s="1"/>
  <c r="O459" i="1"/>
  <c r="AU458" i="1"/>
  <c r="AY458" i="1"/>
  <c r="AI458" i="1"/>
  <c r="AM458" i="1"/>
  <c r="W458" i="1"/>
  <c r="AA458" i="1"/>
  <c r="K458" i="1"/>
  <c r="BB458" i="1"/>
  <c r="BG458" i="1" s="1"/>
  <c r="O458" i="1"/>
  <c r="AU457" i="1"/>
  <c r="AY457" i="1"/>
  <c r="AI457" i="1"/>
  <c r="AM457" i="1"/>
  <c r="W457" i="1"/>
  <c r="AA457" i="1"/>
  <c r="K457" i="1"/>
  <c r="BB457" i="1"/>
  <c r="BG457" i="1" s="1"/>
  <c r="O457" i="1"/>
  <c r="AV455" i="1"/>
  <c r="AT455" i="1"/>
  <c r="AU456" i="1"/>
  <c r="AP455" i="1"/>
  <c r="AY456" i="1"/>
  <c r="AJ455" i="1"/>
  <c r="AH455" i="1"/>
  <c r="AI456" i="1"/>
  <c r="AD455" i="1"/>
  <c r="AM456" i="1"/>
  <c r="AM455" i="1" s="1"/>
  <c r="X455" i="1"/>
  <c r="V455" i="1"/>
  <c r="W456" i="1"/>
  <c r="R455" i="1"/>
  <c r="AA456" i="1"/>
  <c r="L455" i="1"/>
  <c r="J455" i="1"/>
  <c r="K456" i="1"/>
  <c r="F455" i="1"/>
  <c r="BB456" i="1"/>
  <c r="BG456" i="1" s="1"/>
  <c r="O456" i="1"/>
  <c r="D455" i="1"/>
  <c r="AV452" i="1"/>
  <c r="AT452" i="1"/>
  <c r="AU453" i="1"/>
  <c r="AP452" i="1"/>
  <c r="AY453" i="1"/>
  <c r="AY452" i="1" s="1"/>
  <c r="AJ452" i="1"/>
  <c r="AH452" i="1"/>
  <c r="AI452" i="1" s="1"/>
  <c r="AI453" i="1"/>
  <c r="AD452" i="1"/>
  <c r="AM453" i="1"/>
  <c r="AM452" i="1" s="1"/>
  <c r="X452" i="1"/>
  <c r="V452" i="1"/>
  <c r="W453" i="1"/>
  <c r="R452" i="1"/>
  <c r="AA453" i="1"/>
  <c r="AA452" i="1" s="1"/>
  <c r="L452" i="1"/>
  <c r="J452" i="1"/>
  <c r="K452" i="1" s="1"/>
  <c r="K453" i="1"/>
  <c r="F452" i="1"/>
  <c r="BB453" i="1"/>
  <c r="BG453" i="1" s="1"/>
  <c r="BG452" i="1" s="1"/>
  <c r="O453" i="1"/>
  <c r="O452" i="1" s="1"/>
  <c r="D452" i="1"/>
  <c r="AU451" i="1"/>
  <c r="AY451" i="1"/>
  <c r="AI451" i="1"/>
  <c r="AM451" i="1"/>
  <c r="W451" i="1"/>
  <c r="AA451" i="1"/>
  <c r="K451" i="1"/>
  <c r="BB451" i="1"/>
  <c r="BG451" i="1" s="1"/>
  <c r="O451" i="1"/>
  <c r="AU450" i="1"/>
  <c r="AY450" i="1"/>
  <c r="AI450" i="1"/>
  <c r="AM450" i="1"/>
  <c r="W450" i="1"/>
  <c r="AA450" i="1"/>
  <c r="K450" i="1"/>
  <c r="BB450" i="1"/>
  <c r="BG450" i="1" s="1"/>
  <c r="O450" i="1"/>
  <c r="AU449" i="1"/>
  <c r="AY449" i="1"/>
  <c r="AI449" i="1"/>
  <c r="AM449" i="1"/>
  <c r="W449" i="1"/>
  <c r="AA449" i="1"/>
  <c r="K449" i="1"/>
  <c r="BB449" i="1"/>
  <c r="BG449" i="1" s="1"/>
  <c r="O449" i="1"/>
  <c r="AU448" i="1"/>
  <c r="AY448" i="1"/>
  <c r="AI448" i="1"/>
  <c r="AM448" i="1"/>
  <c r="W448" i="1"/>
  <c r="AA448" i="1"/>
  <c r="K448" i="1"/>
  <c r="BB448" i="1"/>
  <c r="BG448" i="1" s="1"/>
  <c r="BG376" i="1" s="1"/>
  <c r="O448" i="1"/>
  <c r="AU447" i="1"/>
  <c r="AY447" i="1"/>
  <c r="AI447" i="1"/>
  <c r="AM447" i="1"/>
  <c r="W447" i="1"/>
  <c r="AA447" i="1"/>
  <c r="K447" i="1"/>
  <c r="BB447" i="1"/>
  <c r="BG447" i="1" s="1"/>
  <c r="O447" i="1"/>
  <c r="AU446" i="1"/>
  <c r="AY446" i="1"/>
  <c r="AI446" i="1"/>
  <c r="AM446" i="1"/>
  <c r="W446" i="1"/>
  <c r="AA446" i="1"/>
  <c r="K446" i="1"/>
  <c r="BB446" i="1"/>
  <c r="BG446" i="1" s="1"/>
  <c r="O446" i="1"/>
  <c r="AU445" i="1"/>
  <c r="AY445" i="1"/>
  <c r="AI445" i="1"/>
  <c r="AM445" i="1"/>
  <c r="W445" i="1"/>
  <c r="AA445" i="1"/>
  <c r="K445" i="1"/>
  <c r="BB445" i="1"/>
  <c r="BG445" i="1" s="1"/>
  <c r="BG373" i="1" s="1"/>
  <c r="O445" i="1"/>
  <c r="AU444" i="1"/>
  <c r="AY444" i="1"/>
  <c r="AI444" i="1"/>
  <c r="AM444" i="1"/>
  <c r="W444" i="1"/>
  <c r="AA444" i="1"/>
  <c r="K444" i="1"/>
  <c r="BB444" i="1"/>
  <c r="BG444" i="1" s="1"/>
  <c r="O444" i="1"/>
  <c r="AU443" i="1"/>
  <c r="AY443" i="1"/>
  <c r="AI443" i="1"/>
  <c r="AM443" i="1"/>
  <c r="W443" i="1"/>
  <c r="AA443" i="1"/>
  <c r="K443" i="1"/>
  <c r="BB443" i="1"/>
  <c r="BG443" i="1" s="1"/>
  <c r="O443" i="1"/>
  <c r="AU442" i="1"/>
  <c r="AY442" i="1"/>
  <c r="AI442" i="1"/>
  <c r="AM442" i="1"/>
  <c r="W442" i="1"/>
  <c r="AA442" i="1"/>
  <c r="K442" i="1"/>
  <c r="BB442" i="1"/>
  <c r="BG442" i="1" s="1"/>
  <c r="O442" i="1"/>
  <c r="AU441" i="1"/>
  <c r="AY441" i="1"/>
  <c r="AI441" i="1"/>
  <c r="AM441" i="1"/>
  <c r="W441" i="1"/>
  <c r="AA441" i="1"/>
  <c r="K441" i="1"/>
  <c r="BB441" i="1"/>
  <c r="BG441" i="1" s="1"/>
  <c r="BG369" i="1" s="1"/>
  <c r="O441" i="1"/>
  <c r="AU440" i="1"/>
  <c r="AY440" i="1"/>
  <c r="AI440" i="1"/>
  <c r="AM440" i="1"/>
  <c r="W440" i="1"/>
  <c r="AA440" i="1"/>
  <c r="K440" i="1"/>
  <c r="BB440" i="1"/>
  <c r="BG440" i="1" s="1"/>
  <c r="O440" i="1"/>
  <c r="AU439" i="1"/>
  <c r="AY439" i="1"/>
  <c r="AI439" i="1"/>
  <c r="AM439" i="1"/>
  <c r="W439" i="1"/>
  <c r="AA439" i="1"/>
  <c r="K439" i="1"/>
  <c r="BB439" i="1"/>
  <c r="BG439" i="1" s="1"/>
  <c r="O439" i="1"/>
  <c r="AU438" i="1"/>
  <c r="AY438" i="1"/>
  <c r="AI438" i="1"/>
  <c r="AM438" i="1"/>
  <c r="W438" i="1"/>
  <c r="AA438" i="1"/>
  <c r="K438" i="1"/>
  <c r="BB438" i="1"/>
  <c r="BG438" i="1" s="1"/>
  <c r="O438" i="1"/>
  <c r="AU437" i="1"/>
  <c r="AY437" i="1"/>
  <c r="AI437" i="1"/>
  <c r="AM437" i="1"/>
  <c r="W437" i="1"/>
  <c r="AA437" i="1"/>
  <c r="K437" i="1"/>
  <c r="BB437" i="1"/>
  <c r="BG437" i="1" s="1"/>
  <c r="O437" i="1"/>
  <c r="AU436" i="1"/>
  <c r="AY436" i="1"/>
  <c r="AI436" i="1"/>
  <c r="AM436" i="1"/>
  <c r="W436" i="1"/>
  <c r="AA436" i="1"/>
  <c r="K436" i="1"/>
  <c r="BB436" i="1"/>
  <c r="BG436" i="1" s="1"/>
  <c r="O436" i="1"/>
  <c r="AU435" i="1"/>
  <c r="AY435" i="1"/>
  <c r="AI435" i="1"/>
  <c r="AM435" i="1"/>
  <c r="W435" i="1"/>
  <c r="AA435" i="1"/>
  <c r="K435" i="1"/>
  <c r="BB435" i="1"/>
  <c r="BG435" i="1" s="1"/>
  <c r="O435" i="1"/>
  <c r="AV433" i="1"/>
  <c r="AT433" i="1"/>
  <c r="AU433" i="1" s="1"/>
  <c r="AU434" i="1"/>
  <c r="AP433" i="1"/>
  <c r="AY434" i="1"/>
  <c r="AY433" i="1" s="1"/>
  <c r="AJ433" i="1"/>
  <c r="AH433" i="1"/>
  <c r="AI434" i="1"/>
  <c r="AD433" i="1"/>
  <c r="AM434" i="1"/>
  <c r="X433" i="1"/>
  <c r="V433" i="1"/>
  <c r="W433" i="1" s="1"/>
  <c r="W434" i="1"/>
  <c r="R433" i="1"/>
  <c r="AA434" i="1"/>
  <c r="L433" i="1"/>
  <c r="J433" i="1"/>
  <c r="K434" i="1"/>
  <c r="F433" i="1"/>
  <c r="BB434" i="1"/>
  <c r="BG434" i="1" s="1"/>
  <c r="BG433" i="1" s="1"/>
  <c r="O434" i="1"/>
  <c r="O433" i="1" s="1"/>
  <c r="D433" i="1"/>
  <c r="AU432" i="1"/>
  <c r="AY432" i="1"/>
  <c r="AI432" i="1"/>
  <c r="AM432" i="1"/>
  <c r="W432" i="1"/>
  <c r="AA432" i="1"/>
  <c r="K432" i="1"/>
  <c r="BB432" i="1"/>
  <c r="BG432" i="1" s="1"/>
  <c r="O432" i="1"/>
  <c r="AU431" i="1"/>
  <c r="AY431" i="1"/>
  <c r="AI431" i="1"/>
  <c r="AM431" i="1"/>
  <c r="W431" i="1"/>
  <c r="AA431" i="1"/>
  <c r="K431" i="1"/>
  <c r="BB431" i="1"/>
  <c r="BG431" i="1" s="1"/>
  <c r="O431" i="1"/>
  <c r="AU430" i="1"/>
  <c r="AY430" i="1"/>
  <c r="AI430" i="1"/>
  <c r="AM430" i="1"/>
  <c r="W430" i="1"/>
  <c r="AA430" i="1"/>
  <c r="K430" i="1"/>
  <c r="BB430" i="1"/>
  <c r="BG430" i="1" s="1"/>
  <c r="O430" i="1"/>
  <c r="AU429" i="1"/>
  <c r="AY429" i="1"/>
  <c r="AI429" i="1"/>
  <c r="AM429" i="1"/>
  <c r="W429" i="1"/>
  <c r="AA429" i="1"/>
  <c r="K429" i="1"/>
  <c r="BB429" i="1"/>
  <c r="BG429" i="1" s="1"/>
  <c r="O429" i="1"/>
  <c r="AU428" i="1"/>
  <c r="AY428" i="1"/>
  <c r="AI428" i="1"/>
  <c r="AM428" i="1"/>
  <c r="W428" i="1"/>
  <c r="AA428" i="1"/>
  <c r="K428" i="1"/>
  <c r="BB428" i="1"/>
  <c r="BG428" i="1" s="1"/>
  <c r="O428" i="1"/>
  <c r="AU427" i="1"/>
  <c r="AY427" i="1"/>
  <c r="AI427" i="1"/>
  <c r="AM427" i="1"/>
  <c r="W427" i="1"/>
  <c r="AA427" i="1"/>
  <c r="K427" i="1"/>
  <c r="BB427" i="1"/>
  <c r="BG427" i="1" s="1"/>
  <c r="O427" i="1"/>
  <c r="AU426" i="1"/>
  <c r="AY426" i="1"/>
  <c r="AI426" i="1"/>
  <c r="AM426" i="1"/>
  <c r="W426" i="1"/>
  <c r="AA426" i="1"/>
  <c r="K426" i="1"/>
  <c r="BB426" i="1"/>
  <c r="BG426" i="1" s="1"/>
  <c r="O426" i="1"/>
  <c r="AU425" i="1"/>
  <c r="AY425" i="1"/>
  <c r="AI425" i="1"/>
  <c r="AM425" i="1"/>
  <c r="W425" i="1"/>
  <c r="AA425" i="1"/>
  <c r="K425" i="1"/>
  <c r="BB425" i="1"/>
  <c r="BG425" i="1" s="1"/>
  <c r="O425" i="1"/>
  <c r="AV423" i="1"/>
  <c r="AT423" i="1"/>
  <c r="AU424" i="1"/>
  <c r="AP423" i="1"/>
  <c r="AY424" i="1"/>
  <c r="AJ423" i="1"/>
  <c r="AH423" i="1"/>
  <c r="AI424" i="1"/>
  <c r="AD423" i="1"/>
  <c r="AM424" i="1"/>
  <c r="X423" i="1"/>
  <c r="V423" i="1"/>
  <c r="W424" i="1"/>
  <c r="R423" i="1"/>
  <c r="AA424" i="1"/>
  <c r="AA423" i="1" s="1"/>
  <c r="L423" i="1"/>
  <c r="J423" i="1"/>
  <c r="K424" i="1"/>
  <c r="BB424" i="1"/>
  <c r="BG424" i="1" s="1"/>
  <c r="BG423" i="1" s="1"/>
  <c r="F423" i="1"/>
  <c r="O424" i="1"/>
  <c r="D423" i="1"/>
  <c r="AV414" i="1"/>
  <c r="AJ414" i="1"/>
  <c r="X414" i="1"/>
  <c r="L414" i="1"/>
  <c r="D414" i="1"/>
  <c r="AV380" i="1"/>
  <c r="AV412" i="1"/>
  <c r="AJ381" i="1"/>
  <c r="AJ380" i="1" s="1"/>
  <c r="AJ412" i="1"/>
  <c r="X381" i="1"/>
  <c r="X380" i="1" s="1"/>
  <c r="X412" i="1"/>
  <c r="L381" i="1"/>
  <c r="L380" i="1" s="1"/>
  <c r="L412" i="1"/>
  <c r="D381" i="1"/>
  <c r="D380" i="1" s="1"/>
  <c r="D412" i="1"/>
  <c r="AJ379" i="1"/>
  <c r="X379" i="1"/>
  <c r="L379" i="1"/>
  <c r="D379" i="1"/>
  <c r="AJ378" i="1"/>
  <c r="X378" i="1"/>
  <c r="L378" i="1"/>
  <c r="D378" i="1"/>
  <c r="AJ377" i="1"/>
  <c r="X377" i="1"/>
  <c r="L377" i="1"/>
  <c r="D377" i="1"/>
  <c r="AJ376" i="1"/>
  <c r="X376" i="1"/>
  <c r="L376" i="1"/>
  <c r="D376" i="1"/>
  <c r="AJ375" i="1"/>
  <c r="X375" i="1"/>
  <c r="L375" i="1"/>
  <c r="D375" i="1"/>
  <c r="AJ374" i="1"/>
  <c r="X374" i="1"/>
  <c r="L374" i="1"/>
  <c r="D374" i="1"/>
  <c r="AJ373" i="1"/>
  <c r="X373" i="1"/>
  <c r="L373" i="1"/>
  <c r="D373" i="1"/>
  <c r="AJ372" i="1"/>
  <c r="X372" i="1"/>
  <c r="L372" i="1"/>
  <c r="D372" i="1"/>
  <c r="AJ371" i="1"/>
  <c r="X371" i="1"/>
  <c r="L371" i="1"/>
  <c r="D371" i="1"/>
  <c r="AJ370" i="1"/>
  <c r="X370" i="1"/>
  <c r="L370" i="1"/>
  <c r="D370" i="1"/>
  <c r="AJ369" i="1"/>
  <c r="X369" i="1"/>
  <c r="L369" i="1"/>
  <c r="D369" i="1"/>
  <c r="AJ368" i="1"/>
  <c r="X368" i="1"/>
  <c r="L368" i="1"/>
  <c r="D368" i="1"/>
  <c r="AJ367" i="1"/>
  <c r="X367" i="1"/>
  <c r="L367" i="1"/>
  <c r="D367" i="1"/>
  <c r="AJ366" i="1"/>
  <c r="X366" i="1"/>
  <c r="L366" i="1"/>
  <c r="D366" i="1"/>
  <c r="AJ365" i="1"/>
  <c r="AI397" i="1"/>
  <c r="AH365" i="1"/>
  <c r="AM397" i="1"/>
  <c r="AD365" i="1"/>
  <c r="X365" i="1"/>
  <c r="W397" i="1"/>
  <c r="V365" i="1"/>
  <c r="AA397" i="1"/>
  <c r="R365" i="1"/>
  <c r="L365" i="1"/>
  <c r="K397" i="1"/>
  <c r="J365" i="1"/>
  <c r="O397" i="1"/>
  <c r="F365" i="1"/>
  <c r="BB397" i="1"/>
  <c r="BG397" i="1" s="1"/>
  <c r="D365" i="1"/>
  <c r="AU396" i="1"/>
  <c r="AY396" i="1"/>
  <c r="AJ364" i="1"/>
  <c r="AI396" i="1"/>
  <c r="AH364" i="1"/>
  <c r="AM396" i="1"/>
  <c r="AD364" i="1"/>
  <c r="X364" i="1"/>
  <c r="W396" i="1"/>
  <c r="V364" i="1"/>
  <c r="AA396" i="1"/>
  <c r="R364" i="1"/>
  <c r="L364" i="1"/>
  <c r="K396" i="1"/>
  <c r="J364" i="1"/>
  <c r="O396" i="1"/>
  <c r="F364" i="1"/>
  <c r="BB396" i="1"/>
  <c r="BG396" i="1" s="1"/>
  <c r="BG364" i="1" s="1"/>
  <c r="D364" i="1"/>
  <c r="AU395" i="1"/>
  <c r="AY395" i="1"/>
  <c r="AJ363" i="1"/>
  <c r="AI395" i="1"/>
  <c r="AH363" i="1"/>
  <c r="AM395" i="1"/>
  <c r="AD363" i="1"/>
  <c r="X363" i="1"/>
  <c r="W395" i="1"/>
  <c r="V363" i="1"/>
  <c r="AA395" i="1"/>
  <c r="R363" i="1"/>
  <c r="L363" i="1"/>
  <c r="K395" i="1"/>
  <c r="J363" i="1"/>
  <c r="O395" i="1"/>
  <c r="F363" i="1"/>
  <c r="BB395" i="1"/>
  <c r="BG395" i="1" s="1"/>
  <c r="BG363" i="1" s="1"/>
  <c r="D363" i="1"/>
  <c r="AV393" i="1"/>
  <c r="AU394" i="1"/>
  <c r="AT393" i="1"/>
  <c r="AY394" i="1"/>
  <c r="AP393" i="1"/>
  <c r="AJ362" i="1"/>
  <c r="AJ393" i="1"/>
  <c r="AI394" i="1"/>
  <c r="AH362" i="1"/>
  <c r="AH393" i="1"/>
  <c r="AM394" i="1"/>
  <c r="AD362" i="1"/>
  <c r="AD393" i="1"/>
  <c r="X362" i="1"/>
  <c r="X393" i="1"/>
  <c r="W394" i="1"/>
  <c r="V362" i="1"/>
  <c r="V393" i="1"/>
  <c r="AA394" i="1"/>
  <c r="R362" i="1"/>
  <c r="R393" i="1"/>
  <c r="L362" i="1"/>
  <c r="L393" i="1"/>
  <c r="K394" i="1"/>
  <c r="J362" i="1"/>
  <c r="J393" i="1"/>
  <c r="O394" i="1"/>
  <c r="F362" i="1"/>
  <c r="F393" i="1"/>
  <c r="BB394" i="1"/>
  <c r="BG394" i="1" s="1"/>
  <c r="BG362" i="1" s="1"/>
  <c r="D362" i="1"/>
  <c r="D393" i="1"/>
  <c r="AU392" i="1"/>
  <c r="AY392" i="1"/>
  <c r="AJ360" i="1"/>
  <c r="AI392" i="1"/>
  <c r="AH360" i="1"/>
  <c r="AM392" i="1"/>
  <c r="AD360" i="1"/>
  <c r="X360" i="1"/>
  <c r="W392" i="1"/>
  <c r="V360" i="1"/>
  <c r="AA392" i="1"/>
  <c r="R360" i="1"/>
  <c r="L360" i="1"/>
  <c r="K392" i="1"/>
  <c r="J360" i="1"/>
  <c r="O392" i="1"/>
  <c r="F360" i="1"/>
  <c r="BB392" i="1"/>
  <c r="BG392" i="1" s="1"/>
  <c r="BG360" i="1" s="1"/>
  <c r="D360" i="1"/>
  <c r="AU391" i="1"/>
  <c r="AY391" i="1"/>
  <c r="AJ359" i="1"/>
  <c r="AI391" i="1"/>
  <c r="AH359" i="1"/>
  <c r="AM391" i="1"/>
  <c r="AD359" i="1"/>
  <c r="X359" i="1"/>
  <c r="W391" i="1"/>
  <c r="V359" i="1"/>
  <c r="AA391" i="1"/>
  <c r="R359" i="1"/>
  <c r="L359" i="1"/>
  <c r="K391" i="1"/>
  <c r="J359" i="1"/>
  <c r="O391" i="1"/>
  <c r="F359" i="1"/>
  <c r="BB391" i="1"/>
  <c r="BG391" i="1" s="1"/>
  <c r="D359" i="1"/>
  <c r="AU390" i="1"/>
  <c r="AY390" i="1"/>
  <c r="AJ358" i="1"/>
  <c r="AI390" i="1"/>
  <c r="AH358" i="1"/>
  <c r="AM390" i="1"/>
  <c r="AD358" i="1"/>
  <c r="X358" i="1"/>
  <c r="W390" i="1"/>
  <c r="V358" i="1"/>
  <c r="AA390" i="1"/>
  <c r="R358" i="1"/>
  <c r="L358" i="1"/>
  <c r="K390" i="1"/>
  <c r="J358" i="1"/>
  <c r="O390" i="1"/>
  <c r="F358" i="1"/>
  <c r="BB390" i="1"/>
  <c r="BG390" i="1" s="1"/>
  <c r="D358" i="1"/>
  <c r="AU389" i="1"/>
  <c r="AY389" i="1"/>
  <c r="AJ357" i="1"/>
  <c r="AI389" i="1"/>
  <c r="AH357" i="1"/>
  <c r="AM389" i="1"/>
  <c r="AD357" i="1"/>
  <c r="X357" i="1"/>
  <c r="W389" i="1"/>
  <c r="V357" i="1"/>
  <c r="AA389" i="1"/>
  <c r="R357" i="1"/>
  <c r="L357" i="1"/>
  <c r="K389" i="1"/>
  <c r="J357" i="1"/>
  <c r="O389" i="1"/>
  <c r="F357" i="1"/>
  <c r="BB389" i="1"/>
  <c r="BG389" i="1" s="1"/>
  <c r="BG357" i="1" s="1"/>
  <c r="D357" i="1"/>
  <c r="AU388" i="1"/>
  <c r="AY388" i="1"/>
  <c r="AJ356" i="1"/>
  <c r="AI388" i="1"/>
  <c r="AH356" i="1"/>
  <c r="AM388" i="1"/>
  <c r="AD356" i="1"/>
  <c r="X356" i="1"/>
  <c r="W388" i="1"/>
  <c r="V356" i="1"/>
  <c r="AA388" i="1"/>
  <c r="R356" i="1"/>
  <c r="L356" i="1"/>
  <c r="K388" i="1"/>
  <c r="J356" i="1"/>
  <c r="O388" i="1"/>
  <c r="F356" i="1"/>
  <c r="BB388" i="1"/>
  <c r="BG388" i="1" s="1"/>
  <c r="D356" i="1"/>
  <c r="AU387" i="1"/>
  <c r="AY387" i="1"/>
  <c r="AJ355" i="1"/>
  <c r="AI387" i="1"/>
  <c r="AH355" i="1"/>
  <c r="AM387" i="1"/>
  <c r="AD355" i="1"/>
  <c r="X355" i="1"/>
  <c r="W387" i="1"/>
  <c r="V355" i="1"/>
  <c r="AA387" i="1"/>
  <c r="R355" i="1"/>
  <c r="L355" i="1"/>
  <c r="K387" i="1"/>
  <c r="J355" i="1"/>
  <c r="O387" i="1"/>
  <c r="F355" i="1"/>
  <c r="BB387" i="1"/>
  <c r="BG387" i="1" s="1"/>
  <c r="D355" i="1"/>
  <c r="AU386" i="1"/>
  <c r="AY386" i="1"/>
  <c r="AJ354" i="1"/>
  <c r="AI386" i="1"/>
  <c r="AH354" i="1"/>
  <c r="AM386" i="1"/>
  <c r="AD354" i="1"/>
  <c r="X354" i="1"/>
  <c r="W386" i="1"/>
  <c r="V354" i="1"/>
  <c r="AA386" i="1"/>
  <c r="R354" i="1"/>
  <c r="L354" i="1"/>
  <c r="K386" i="1"/>
  <c r="J354" i="1"/>
  <c r="O386" i="1"/>
  <c r="F354" i="1"/>
  <c r="BB386" i="1"/>
  <c r="BG386" i="1" s="1"/>
  <c r="BG354" i="1" s="1"/>
  <c r="D354" i="1"/>
  <c r="AU385" i="1"/>
  <c r="AY385" i="1"/>
  <c r="AJ353" i="1"/>
  <c r="AI385" i="1"/>
  <c r="AH353" i="1"/>
  <c r="AM385" i="1"/>
  <c r="AD353" i="1"/>
  <c r="X353" i="1"/>
  <c r="W385" i="1"/>
  <c r="V353" i="1"/>
  <c r="AA385" i="1"/>
  <c r="R353" i="1"/>
  <c r="L353" i="1"/>
  <c r="K385" i="1"/>
  <c r="J353" i="1"/>
  <c r="O385" i="1"/>
  <c r="F353" i="1"/>
  <c r="BB385" i="1"/>
  <c r="BG385" i="1" s="1"/>
  <c r="BG353" i="1" s="1"/>
  <c r="D353" i="1"/>
  <c r="AV383" i="1"/>
  <c r="AU384" i="1"/>
  <c r="AT383" i="1"/>
  <c r="AY384" i="1"/>
  <c r="AP383" i="1"/>
  <c r="AJ352" i="1"/>
  <c r="AJ383" i="1"/>
  <c r="AI384" i="1"/>
  <c r="AH352" i="1"/>
  <c r="AH383" i="1"/>
  <c r="AM384" i="1"/>
  <c r="AD352" i="1"/>
  <c r="AD383" i="1"/>
  <c r="X352" i="1"/>
  <c r="X383" i="1"/>
  <c r="W384" i="1"/>
  <c r="V352" i="1"/>
  <c r="V383" i="1"/>
  <c r="AA384" i="1"/>
  <c r="R352" i="1"/>
  <c r="R383" i="1"/>
  <c r="L352" i="1"/>
  <c r="L383" i="1"/>
  <c r="K384" i="1"/>
  <c r="J352" i="1"/>
  <c r="J383" i="1"/>
  <c r="O384" i="1"/>
  <c r="F352" i="1"/>
  <c r="F383" i="1"/>
  <c r="BB384" i="1"/>
  <c r="BG384" i="1" s="1"/>
  <c r="BG352" i="1" s="1"/>
  <c r="D352" i="1"/>
  <c r="D383" i="1"/>
  <c r="AV657" i="1"/>
  <c r="AU344" i="1"/>
  <c r="AT657" i="1"/>
  <c r="AY344" i="1"/>
  <c r="AY657" i="1" s="1"/>
  <c r="AP657" i="1"/>
  <c r="AJ657" i="1"/>
  <c r="AI344" i="1"/>
  <c r="AH657" i="1"/>
  <c r="AM344" i="1"/>
  <c r="AM657" i="1" s="1"/>
  <c r="AD657" i="1"/>
  <c r="X657" i="1"/>
  <c r="W344" i="1"/>
  <c r="V657" i="1"/>
  <c r="AA344" i="1"/>
  <c r="AA657" i="1" s="1"/>
  <c r="R657" i="1"/>
  <c r="L657" i="1"/>
  <c r="K344" i="1"/>
  <c r="J657" i="1"/>
  <c r="O344" i="1"/>
  <c r="O657" i="1" s="1"/>
  <c r="BB344" i="1"/>
  <c r="BG344" i="1" s="1"/>
  <c r="BG657" i="1" s="1"/>
  <c r="F657" i="1"/>
  <c r="D657" i="1"/>
  <c r="AV656" i="1"/>
  <c r="AU343" i="1"/>
  <c r="AT656" i="1"/>
  <c r="AY343" i="1"/>
  <c r="AY656" i="1" s="1"/>
  <c r="AP656" i="1"/>
  <c r="AJ656" i="1"/>
  <c r="AI343" i="1"/>
  <c r="AH656" i="1"/>
  <c r="AM343" i="1"/>
  <c r="AM656" i="1" s="1"/>
  <c r="AD656" i="1"/>
  <c r="X656" i="1"/>
  <c r="W343" i="1"/>
  <c r="V656" i="1"/>
  <c r="AA343" i="1"/>
  <c r="AA656" i="1" s="1"/>
  <c r="R656" i="1"/>
  <c r="L656" i="1"/>
  <c r="K343" i="1"/>
  <c r="J656" i="1"/>
  <c r="O343" i="1"/>
  <c r="O656" i="1" s="1"/>
  <c r="BB343" i="1"/>
  <c r="BG343" i="1" s="1"/>
  <c r="BG656" i="1" s="1"/>
  <c r="F656" i="1"/>
  <c r="D656" i="1"/>
  <c r="AV655" i="1"/>
  <c r="AU342" i="1"/>
  <c r="AT655" i="1"/>
  <c r="AY342" i="1"/>
  <c r="AY655" i="1" s="1"/>
  <c r="AP655" i="1"/>
  <c r="AJ655" i="1"/>
  <c r="AI342" i="1"/>
  <c r="AH655" i="1"/>
  <c r="AM342" i="1"/>
  <c r="AM655" i="1" s="1"/>
  <c r="AD655" i="1"/>
  <c r="X655" i="1"/>
  <c r="W342" i="1"/>
  <c r="V655" i="1"/>
  <c r="AA342" i="1"/>
  <c r="AA655" i="1" s="1"/>
  <c r="R655" i="1"/>
  <c r="L655" i="1"/>
  <c r="K342" i="1"/>
  <c r="J655" i="1"/>
  <c r="O342" i="1"/>
  <c r="O655" i="1" s="1"/>
  <c r="BB342" i="1"/>
  <c r="BG342" i="1" s="1"/>
  <c r="BG655" i="1" s="1"/>
  <c r="F655" i="1"/>
  <c r="D655" i="1"/>
  <c r="AV654" i="1"/>
  <c r="AU341" i="1"/>
  <c r="AT654" i="1"/>
  <c r="AY341" i="1"/>
  <c r="AY654" i="1" s="1"/>
  <c r="AP654" i="1"/>
  <c r="AJ654" i="1"/>
  <c r="AI341" i="1"/>
  <c r="AH654" i="1"/>
  <c r="AM341" i="1"/>
  <c r="AM654" i="1" s="1"/>
  <c r="AD654" i="1"/>
  <c r="X654" i="1"/>
  <c r="W341" i="1"/>
  <c r="V654" i="1"/>
  <c r="AA341" i="1"/>
  <c r="AA654" i="1" s="1"/>
  <c r="R654" i="1"/>
  <c r="L654" i="1"/>
  <c r="K341" i="1"/>
  <c r="J654" i="1"/>
  <c r="O341" i="1"/>
  <c r="O654" i="1" s="1"/>
  <c r="BB341" i="1"/>
  <c r="BG341" i="1" s="1"/>
  <c r="BG654" i="1" s="1"/>
  <c r="F654" i="1"/>
  <c r="D654" i="1"/>
  <c r="AV653" i="1"/>
  <c r="AU340" i="1"/>
  <c r="AT653" i="1"/>
  <c r="AY340" i="1"/>
  <c r="AY653" i="1" s="1"/>
  <c r="AP653" i="1"/>
  <c r="AJ653" i="1"/>
  <c r="AI340" i="1"/>
  <c r="AH653" i="1"/>
  <c r="AM340" i="1"/>
  <c r="AM653" i="1" s="1"/>
  <c r="AD653" i="1"/>
  <c r="X653" i="1"/>
  <c r="W340" i="1"/>
  <c r="V653" i="1"/>
  <c r="AA340" i="1"/>
  <c r="AA653" i="1" s="1"/>
  <c r="R653" i="1"/>
  <c r="L653" i="1"/>
  <c r="K340" i="1"/>
  <c r="J653" i="1"/>
  <c r="O340" i="1"/>
  <c r="O653" i="1" s="1"/>
  <c r="BB340" i="1"/>
  <c r="BG340" i="1" s="1"/>
  <c r="BG653" i="1" s="1"/>
  <c r="F653" i="1"/>
  <c r="D653" i="1"/>
  <c r="AV338" i="1"/>
  <c r="AV652" i="1"/>
  <c r="AU339" i="1"/>
  <c r="AT338" i="1"/>
  <c r="AT652" i="1"/>
  <c r="AY339" i="1"/>
  <c r="AP338" i="1"/>
  <c r="AP652" i="1"/>
  <c r="AJ338" i="1"/>
  <c r="AJ652" i="1"/>
  <c r="AI339" i="1"/>
  <c r="AH338" i="1"/>
  <c r="AH652" i="1"/>
  <c r="AM339" i="1"/>
  <c r="AD338" i="1"/>
  <c r="AD652" i="1"/>
  <c r="X338" i="1"/>
  <c r="X652" i="1"/>
  <c r="W339" i="1"/>
  <c r="V338" i="1"/>
  <c r="V652" i="1"/>
  <c r="AA339" i="1"/>
  <c r="R338" i="1"/>
  <c r="R652" i="1"/>
  <c r="L338" i="1"/>
  <c r="L652" i="1"/>
  <c r="K339" i="1"/>
  <c r="J338" i="1"/>
  <c r="J652" i="1"/>
  <c r="O339" i="1"/>
  <c r="F338" i="1"/>
  <c r="BB339" i="1"/>
  <c r="BG339" i="1" s="1"/>
  <c r="F652" i="1"/>
  <c r="D338" i="1"/>
  <c r="D652" i="1"/>
  <c r="AV304" i="1"/>
  <c r="AU305" i="1"/>
  <c r="AT304" i="1"/>
  <c r="AY305" i="1"/>
  <c r="AY304" i="1" s="1"/>
  <c r="AP304" i="1"/>
  <c r="AJ304" i="1"/>
  <c r="AI305" i="1"/>
  <c r="AH304" i="1"/>
  <c r="AM305" i="1"/>
  <c r="AM304" i="1" s="1"/>
  <c r="AD304" i="1"/>
  <c r="X304" i="1"/>
  <c r="W305" i="1"/>
  <c r="V304" i="1"/>
  <c r="AA305" i="1"/>
  <c r="AA304" i="1" s="1"/>
  <c r="R304" i="1"/>
  <c r="L304" i="1"/>
  <c r="K305" i="1"/>
  <c r="J304" i="1"/>
  <c r="O305" i="1"/>
  <c r="O304" i="1" s="1"/>
  <c r="F304" i="1"/>
  <c r="BB305" i="1"/>
  <c r="BG305" i="1" s="1"/>
  <c r="BG304" i="1" s="1"/>
  <c r="D304" i="1"/>
  <c r="AU303" i="1"/>
  <c r="AY303" i="1"/>
  <c r="AI303" i="1"/>
  <c r="AM303" i="1"/>
  <c r="W303" i="1"/>
  <c r="AA303" i="1"/>
  <c r="K303" i="1"/>
  <c r="O303" i="1"/>
  <c r="BB303" i="1"/>
  <c r="BG303" i="1" s="1"/>
  <c r="AU302" i="1"/>
  <c r="AY302" i="1"/>
  <c r="AI302" i="1"/>
  <c r="AM302" i="1"/>
  <c r="W302" i="1"/>
  <c r="AA302" i="1"/>
  <c r="K302" i="1"/>
  <c r="O302" i="1"/>
  <c r="BB302" i="1"/>
  <c r="BG302" i="1" s="1"/>
  <c r="AU301" i="1"/>
  <c r="AY301" i="1"/>
  <c r="AI301" i="1"/>
  <c r="AM301" i="1"/>
  <c r="W301" i="1"/>
  <c r="AA301" i="1"/>
  <c r="K301" i="1"/>
  <c r="O301" i="1"/>
  <c r="BB301" i="1"/>
  <c r="BG301" i="1" s="1"/>
  <c r="AU300" i="1"/>
  <c r="AY300" i="1"/>
  <c r="AI300" i="1"/>
  <c r="AM300" i="1"/>
  <c r="W300" i="1"/>
  <c r="AA300" i="1"/>
  <c r="K300" i="1"/>
  <c r="O300" i="1"/>
  <c r="BB300" i="1"/>
  <c r="BG300" i="1" s="1"/>
  <c r="AU299" i="1"/>
  <c r="AY299" i="1"/>
  <c r="AI299" i="1"/>
  <c r="AM299" i="1"/>
  <c r="W299" i="1"/>
  <c r="AA299" i="1"/>
  <c r="K299" i="1"/>
  <c r="O299" i="1"/>
  <c r="BB299" i="1"/>
  <c r="BG299" i="1" s="1"/>
  <c r="AU298" i="1"/>
  <c r="AY298" i="1"/>
  <c r="AI298" i="1"/>
  <c r="AM298" i="1"/>
  <c r="W298" i="1"/>
  <c r="AA298" i="1"/>
  <c r="K298" i="1"/>
  <c r="O298" i="1"/>
  <c r="BB298" i="1"/>
  <c r="BG298" i="1" s="1"/>
  <c r="AU297" i="1"/>
  <c r="AY297" i="1"/>
  <c r="AI297" i="1"/>
  <c r="AM297" i="1"/>
  <c r="W297" i="1"/>
  <c r="AA297" i="1"/>
  <c r="K297" i="1"/>
  <c r="O297" i="1"/>
  <c r="BB297" i="1"/>
  <c r="BG297" i="1" s="1"/>
  <c r="AU296" i="1"/>
  <c r="AY296" i="1"/>
  <c r="AI296" i="1"/>
  <c r="AM296" i="1"/>
  <c r="W296" i="1"/>
  <c r="AA296" i="1"/>
  <c r="K296" i="1"/>
  <c r="O296" i="1"/>
  <c r="BB296" i="1"/>
  <c r="BG296" i="1" s="1"/>
  <c r="AU295" i="1"/>
  <c r="AY295" i="1"/>
  <c r="AI295" i="1"/>
  <c r="AM295" i="1"/>
  <c r="W295" i="1"/>
  <c r="AA295" i="1"/>
  <c r="K295" i="1"/>
  <c r="O295" i="1"/>
  <c r="BB295" i="1"/>
  <c r="BG295" i="1" s="1"/>
  <c r="AU294" i="1"/>
  <c r="AY294" i="1"/>
  <c r="AI294" i="1"/>
  <c r="AM294" i="1"/>
  <c r="W294" i="1"/>
  <c r="AA294" i="1"/>
  <c r="K294" i="1"/>
  <c r="O294" i="1"/>
  <c r="BB294" i="1"/>
  <c r="BG294" i="1" s="1"/>
  <c r="AU293" i="1"/>
  <c r="AY293" i="1"/>
  <c r="AI293" i="1"/>
  <c r="AM293" i="1"/>
  <c r="W293" i="1"/>
  <c r="AA293" i="1"/>
  <c r="K293" i="1"/>
  <c r="O293" i="1"/>
  <c r="BB293" i="1"/>
  <c r="BG293" i="1" s="1"/>
  <c r="AU292" i="1"/>
  <c r="AY292" i="1"/>
  <c r="AI292" i="1"/>
  <c r="AM292" i="1"/>
  <c r="W292" i="1"/>
  <c r="AA292" i="1"/>
  <c r="K292" i="1"/>
  <c r="O292" i="1"/>
  <c r="BB292" i="1"/>
  <c r="BG292" i="1" s="1"/>
  <c r="AU291" i="1"/>
  <c r="AY291" i="1"/>
  <c r="AI291" i="1"/>
  <c r="AM291" i="1"/>
  <c r="W291" i="1"/>
  <c r="AA291" i="1"/>
  <c r="K291" i="1"/>
  <c r="O291" i="1"/>
  <c r="BB291" i="1"/>
  <c r="BG291" i="1" s="1"/>
  <c r="AU290" i="1"/>
  <c r="AY290" i="1"/>
  <c r="AI290" i="1"/>
  <c r="AM290" i="1"/>
  <c r="W290" i="1"/>
  <c r="AA290" i="1"/>
  <c r="K290" i="1"/>
  <c r="O290" i="1"/>
  <c r="BB290" i="1"/>
  <c r="BG290" i="1" s="1"/>
  <c r="AU289" i="1"/>
  <c r="AY289" i="1"/>
  <c r="AI289" i="1"/>
  <c r="AM289" i="1"/>
  <c r="W289" i="1"/>
  <c r="AA289" i="1"/>
  <c r="K289" i="1"/>
  <c r="O289" i="1"/>
  <c r="BB289" i="1"/>
  <c r="BG289" i="1" s="1"/>
  <c r="AU288" i="1"/>
  <c r="AY288" i="1"/>
  <c r="AI288" i="1"/>
  <c r="AM288" i="1"/>
  <c r="W288" i="1"/>
  <c r="AA288" i="1"/>
  <c r="K288" i="1"/>
  <c r="O288" i="1"/>
  <c r="BB288" i="1"/>
  <c r="BG288" i="1" s="1"/>
  <c r="AU287" i="1"/>
  <c r="AY287" i="1"/>
  <c r="AI287" i="1"/>
  <c r="AM287" i="1"/>
  <c r="W287" i="1"/>
  <c r="AA287" i="1"/>
  <c r="K287" i="1"/>
  <c r="O287" i="1"/>
  <c r="BB287" i="1"/>
  <c r="BG287" i="1" s="1"/>
  <c r="AV285" i="1"/>
  <c r="AU286" i="1"/>
  <c r="AT285" i="1"/>
  <c r="AY286" i="1"/>
  <c r="AP285" i="1"/>
  <c r="AJ285" i="1"/>
  <c r="AI286" i="1"/>
  <c r="AH285" i="1"/>
  <c r="AM286" i="1"/>
  <c r="AM285" i="1" s="1"/>
  <c r="AD285" i="1"/>
  <c r="X285" i="1"/>
  <c r="W286" i="1"/>
  <c r="V285" i="1"/>
  <c r="AA286" i="1"/>
  <c r="R285" i="1"/>
  <c r="L285" i="1"/>
  <c r="K286" i="1"/>
  <c r="J285" i="1"/>
  <c r="O286" i="1"/>
  <c r="F285" i="1"/>
  <c r="BB286" i="1"/>
  <c r="BG286" i="1" s="1"/>
  <c r="D285" i="1"/>
  <c r="AU284" i="1"/>
  <c r="AY284" i="1"/>
  <c r="AI284" i="1"/>
  <c r="AM284" i="1"/>
  <c r="W284" i="1"/>
  <c r="AA284" i="1"/>
  <c r="K284" i="1"/>
  <c r="O284" i="1"/>
  <c r="BB284" i="1"/>
  <c r="BG284" i="1" s="1"/>
  <c r="AU283" i="1"/>
  <c r="AY283" i="1"/>
  <c r="AI283" i="1"/>
  <c r="AM283" i="1"/>
  <c r="W283" i="1"/>
  <c r="AA283" i="1"/>
  <c r="K283" i="1"/>
  <c r="O283" i="1"/>
  <c r="BB283" i="1"/>
  <c r="BG283" i="1" s="1"/>
  <c r="AU282" i="1"/>
  <c r="AY282" i="1"/>
  <c r="AI282" i="1"/>
  <c r="AM282" i="1"/>
  <c r="W282" i="1"/>
  <c r="AA282" i="1"/>
  <c r="K282" i="1"/>
  <c r="O282" i="1"/>
  <c r="BB282" i="1"/>
  <c r="BG282" i="1" s="1"/>
  <c r="AU281" i="1"/>
  <c r="AY281" i="1"/>
  <c r="AI281" i="1"/>
  <c r="AM281" i="1"/>
  <c r="W281" i="1"/>
  <c r="AA281" i="1"/>
  <c r="K281" i="1"/>
  <c r="O281" i="1"/>
  <c r="BB281" i="1"/>
  <c r="BG281" i="1" s="1"/>
  <c r="AU280" i="1"/>
  <c r="AY280" i="1"/>
  <c r="AI280" i="1"/>
  <c r="AM280" i="1"/>
  <c r="W280" i="1"/>
  <c r="AA280" i="1"/>
  <c r="K280" i="1"/>
  <c r="O280" i="1"/>
  <c r="BB280" i="1"/>
  <c r="BG280" i="1" s="1"/>
  <c r="AU279" i="1"/>
  <c r="AY279" i="1"/>
  <c r="AI279" i="1"/>
  <c r="AM279" i="1"/>
  <c r="W279" i="1"/>
  <c r="AA279" i="1"/>
  <c r="K279" i="1"/>
  <c r="O279" i="1"/>
  <c r="BB279" i="1"/>
  <c r="BG279" i="1" s="1"/>
  <c r="AU278" i="1"/>
  <c r="AY278" i="1"/>
  <c r="AI278" i="1"/>
  <c r="AM278" i="1"/>
  <c r="W278" i="1"/>
  <c r="AA278" i="1"/>
  <c r="K278" i="1"/>
  <c r="O278" i="1"/>
  <c r="BB278" i="1"/>
  <c r="BG278" i="1" s="1"/>
  <c r="AU277" i="1"/>
  <c r="AY277" i="1"/>
  <c r="AI277" i="1"/>
  <c r="AM277" i="1"/>
  <c r="W277" i="1"/>
  <c r="AA277" i="1"/>
  <c r="K277" i="1"/>
  <c r="O277" i="1"/>
  <c r="BB277" i="1"/>
  <c r="BG277" i="1" s="1"/>
  <c r="AV275" i="1"/>
  <c r="AT275" i="1"/>
  <c r="AU276" i="1"/>
  <c r="AP275" i="1"/>
  <c r="AY276" i="1"/>
  <c r="AJ275" i="1"/>
  <c r="AH275" i="1"/>
  <c r="AI276" i="1"/>
  <c r="AD275" i="1"/>
  <c r="AM276" i="1"/>
  <c r="X275" i="1"/>
  <c r="V275" i="1"/>
  <c r="W276" i="1"/>
  <c r="R275" i="1"/>
  <c r="AA276" i="1"/>
  <c r="AA275" i="1" s="1"/>
  <c r="L275" i="1"/>
  <c r="J275" i="1"/>
  <c r="K276" i="1"/>
  <c r="F275" i="1"/>
  <c r="O276" i="1"/>
  <c r="BB276" i="1"/>
  <c r="BG276" i="1" s="1"/>
  <c r="D275" i="1"/>
  <c r="AX421" i="1"/>
  <c r="AR421" i="1"/>
  <c r="AZ421" i="1"/>
  <c r="AL421" i="1"/>
  <c r="AF421" i="1"/>
  <c r="AN421" i="1"/>
  <c r="Z421" i="1"/>
  <c r="T421" i="1"/>
  <c r="AB421" i="1"/>
  <c r="AC421" i="1" s="1"/>
  <c r="N421" i="1"/>
  <c r="BC421" i="1"/>
  <c r="H421" i="1"/>
  <c r="P421" i="1"/>
  <c r="Q421" i="1" s="1"/>
  <c r="AX420" i="1"/>
  <c r="AR420" i="1"/>
  <c r="AZ420" i="1"/>
  <c r="AL420" i="1"/>
  <c r="AF420" i="1"/>
  <c r="AN420" i="1"/>
  <c r="Z420" i="1"/>
  <c r="T420" i="1"/>
  <c r="AB420" i="1"/>
  <c r="AC420" i="1" s="1"/>
  <c r="N420" i="1"/>
  <c r="BC420" i="1"/>
  <c r="H420" i="1"/>
  <c r="P420" i="1"/>
  <c r="Q420" i="1" s="1"/>
  <c r="AX419" i="1"/>
  <c r="AR419" i="1"/>
  <c r="AZ419" i="1"/>
  <c r="AL419" i="1"/>
  <c r="AF419" i="1"/>
  <c r="AN419" i="1"/>
  <c r="Z419" i="1"/>
  <c r="T419" i="1"/>
  <c r="AB419" i="1"/>
  <c r="AC419" i="1" s="1"/>
  <c r="N419" i="1"/>
  <c r="BC419" i="1"/>
  <c r="H419" i="1"/>
  <c r="P419" i="1"/>
  <c r="Q419" i="1" s="1"/>
  <c r="AX418" i="1"/>
  <c r="AR418" i="1"/>
  <c r="AZ418" i="1"/>
  <c r="AL418" i="1"/>
  <c r="AF418" i="1"/>
  <c r="AN418" i="1"/>
  <c r="Z418" i="1"/>
  <c r="T418" i="1"/>
  <c r="AB418" i="1"/>
  <c r="AC418" i="1" s="1"/>
  <c r="N418" i="1"/>
  <c r="BC418" i="1"/>
  <c r="H418" i="1"/>
  <c r="P418" i="1"/>
  <c r="Q418" i="1" s="1"/>
  <c r="AX417" i="1"/>
  <c r="AR417" i="1"/>
  <c r="AZ417" i="1"/>
  <c r="AL417" i="1"/>
  <c r="AF417" i="1"/>
  <c r="AN417" i="1"/>
  <c r="Z417" i="1"/>
  <c r="T417" i="1"/>
  <c r="AB417" i="1"/>
  <c r="AC417" i="1" s="1"/>
  <c r="N417" i="1"/>
  <c r="BC417" i="1"/>
  <c r="H417" i="1"/>
  <c r="P417" i="1"/>
  <c r="Q417" i="1" s="1"/>
  <c r="AX416" i="1"/>
  <c r="AR416" i="1"/>
  <c r="AZ416" i="1"/>
  <c r="AL416" i="1"/>
  <c r="AF416" i="1"/>
  <c r="AN416" i="1"/>
  <c r="Z416" i="1"/>
  <c r="T416" i="1"/>
  <c r="AB416" i="1"/>
  <c r="AC416" i="1" s="1"/>
  <c r="N416" i="1"/>
  <c r="BC416" i="1"/>
  <c r="H416" i="1"/>
  <c r="P416" i="1"/>
  <c r="Q416" i="1" s="1"/>
  <c r="BE414" i="1"/>
  <c r="AW414" i="1"/>
  <c r="AX415" i="1"/>
  <c r="AX414" i="1" s="1"/>
  <c r="AS414" i="1"/>
  <c r="AQ414" i="1"/>
  <c r="AR415" i="1"/>
  <c r="AZ415" i="1"/>
  <c r="AK414" i="1"/>
  <c r="AL415" i="1"/>
  <c r="AG414" i="1"/>
  <c r="AE414" i="1"/>
  <c r="AF415" i="1"/>
  <c r="AN415" i="1"/>
  <c r="Y414" i="1"/>
  <c r="Z415" i="1"/>
  <c r="U414" i="1"/>
  <c r="S414" i="1"/>
  <c r="T415" i="1"/>
  <c r="AB415" i="1"/>
  <c r="M414" i="1"/>
  <c r="N415" i="1"/>
  <c r="I414" i="1"/>
  <c r="G414" i="1"/>
  <c r="BC415" i="1"/>
  <c r="H415" i="1"/>
  <c r="P415" i="1"/>
  <c r="E414" i="1"/>
  <c r="BE381" i="1"/>
  <c r="BE380" i="1" s="1"/>
  <c r="BE412" i="1"/>
  <c r="AW412" i="1"/>
  <c r="AX413" i="1"/>
  <c r="AS380" i="1"/>
  <c r="AS412" i="1"/>
  <c r="AQ412" i="1"/>
  <c r="AR413" i="1"/>
  <c r="AZ413" i="1"/>
  <c r="AK381" i="1"/>
  <c r="AK412" i="1"/>
  <c r="AL413" i="1"/>
  <c r="AG381" i="1"/>
  <c r="AG380" i="1" s="1"/>
  <c r="AG412" i="1"/>
  <c r="AE381" i="1"/>
  <c r="AE412" i="1"/>
  <c r="AF413" i="1"/>
  <c r="AN413" i="1"/>
  <c r="Y381" i="1"/>
  <c r="Y412" i="1"/>
  <c r="Z413" i="1"/>
  <c r="U381" i="1"/>
  <c r="U380" i="1" s="1"/>
  <c r="U412" i="1"/>
  <c r="S381" i="1"/>
  <c r="S412" i="1"/>
  <c r="T413" i="1"/>
  <c r="AB413" i="1"/>
  <c r="M381" i="1"/>
  <c r="M412" i="1"/>
  <c r="N413" i="1"/>
  <c r="I381" i="1"/>
  <c r="I380" i="1" s="1"/>
  <c r="I412" i="1"/>
  <c r="G381" i="1"/>
  <c r="G412" i="1"/>
  <c r="BC413" i="1"/>
  <c r="H413" i="1"/>
  <c r="P413" i="1"/>
  <c r="E381" i="1"/>
  <c r="E380" i="1" s="1"/>
  <c r="E412" i="1"/>
  <c r="BE379" i="1"/>
  <c r="AX411" i="1"/>
  <c r="AR411" i="1"/>
  <c r="AZ411" i="1"/>
  <c r="AK379" i="1"/>
  <c r="AL379" i="1" s="1"/>
  <c r="AL411" i="1"/>
  <c r="AG379" i="1"/>
  <c r="AE379" i="1"/>
  <c r="AF379" i="1" s="1"/>
  <c r="AF411" i="1"/>
  <c r="AN411" i="1"/>
  <c r="Y379" i="1"/>
  <c r="Z411" i="1"/>
  <c r="U379" i="1"/>
  <c r="S379" i="1"/>
  <c r="T379" i="1" s="1"/>
  <c r="T411" i="1"/>
  <c r="AB411" i="1"/>
  <c r="M379" i="1"/>
  <c r="N379" i="1" s="1"/>
  <c r="N411" i="1"/>
  <c r="I379" i="1"/>
  <c r="G379" i="1"/>
  <c r="H379" i="1" s="1"/>
  <c r="BC411" i="1"/>
  <c r="H411" i="1"/>
  <c r="P411" i="1"/>
  <c r="E379" i="1"/>
  <c r="BE378" i="1"/>
  <c r="AX410" i="1"/>
  <c r="AR378" i="1"/>
  <c r="AR410" i="1"/>
  <c r="AZ410" i="1"/>
  <c r="AK378" i="1"/>
  <c r="AL410" i="1"/>
  <c r="AG378" i="1"/>
  <c r="AE378" i="1"/>
  <c r="AF378" i="1" s="1"/>
  <c r="AF410" i="1"/>
  <c r="AN410" i="1"/>
  <c r="Y378" i="1"/>
  <c r="Z410" i="1"/>
  <c r="U378" i="1"/>
  <c r="S378" i="1"/>
  <c r="T378" i="1" s="1"/>
  <c r="T410" i="1"/>
  <c r="AB410" i="1"/>
  <c r="M378" i="1"/>
  <c r="N410" i="1"/>
  <c r="I378" i="1"/>
  <c r="G378" i="1"/>
  <c r="H378" i="1" s="1"/>
  <c r="BC410" i="1"/>
  <c r="H410" i="1"/>
  <c r="P410" i="1"/>
  <c r="E378" i="1"/>
  <c r="BE377" i="1"/>
  <c r="AX409" i="1"/>
  <c r="AR409" i="1"/>
  <c r="AZ409" i="1"/>
  <c r="AK377" i="1"/>
  <c r="AL377" i="1" s="1"/>
  <c r="AL409" i="1"/>
  <c r="AG377" i="1"/>
  <c r="AE377" i="1"/>
  <c r="AF377" i="1" s="1"/>
  <c r="AF409" i="1"/>
  <c r="AN409" i="1"/>
  <c r="Y377" i="1"/>
  <c r="Z409" i="1"/>
  <c r="U377" i="1"/>
  <c r="S377" i="1"/>
  <c r="T377" i="1" s="1"/>
  <c r="T409" i="1"/>
  <c r="AB409" i="1"/>
  <c r="M377" i="1"/>
  <c r="N377" i="1" s="1"/>
  <c r="N409" i="1"/>
  <c r="I377" i="1"/>
  <c r="G377" i="1"/>
  <c r="H377" i="1" s="1"/>
  <c r="BC409" i="1"/>
  <c r="H409" i="1"/>
  <c r="P409" i="1"/>
  <c r="E377" i="1"/>
  <c r="BE376" i="1"/>
  <c r="AX408" i="1"/>
  <c r="AR408" i="1"/>
  <c r="AZ408" i="1"/>
  <c r="AK376" i="1"/>
  <c r="AL408" i="1"/>
  <c r="AG376" i="1"/>
  <c r="AE376" i="1"/>
  <c r="AF376" i="1" s="1"/>
  <c r="AF408" i="1"/>
  <c r="AN408" i="1"/>
  <c r="Y376" i="1"/>
  <c r="Z408" i="1"/>
  <c r="U376" i="1"/>
  <c r="S376" i="1"/>
  <c r="T376" i="1" s="1"/>
  <c r="T408" i="1"/>
  <c r="AB408" i="1"/>
  <c r="M376" i="1"/>
  <c r="N408" i="1"/>
  <c r="I376" i="1"/>
  <c r="G376" i="1"/>
  <c r="H376" i="1" s="1"/>
  <c r="BC408" i="1"/>
  <c r="H408" i="1"/>
  <c r="P408" i="1"/>
  <c r="E376" i="1"/>
  <c r="BE375" i="1"/>
  <c r="AX407" i="1"/>
  <c r="AR407" i="1"/>
  <c r="AZ407" i="1"/>
  <c r="AK375" i="1"/>
  <c r="AL375" i="1" s="1"/>
  <c r="AL407" i="1"/>
  <c r="AG375" i="1"/>
  <c r="AE375" i="1"/>
  <c r="AF375" i="1" s="1"/>
  <c r="AF407" i="1"/>
  <c r="AN407" i="1"/>
  <c r="Y375" i="1"/>
  <c r="Z407" i="1"/>
  <c r="U375" i="1"/>
  <c r="S375" i="1"/>
  <c r="T375" i="1" s="1"/>
  <c r="T407" i="1"/>
  <c r="AB407" i="1"/>
  <c r="M375" i="1"/>
  <c r="N375" i="1" s="1"/>
  <c r="N407" i="1"/>
  <c r="I375" i="1"/>
  <c r="G375" i="1"/>
  <c r="H375" i="1" s="1"/>
  <c r="BC407" i="1"/>
  <c r="H407" i="1"/>
  <c r="P407" i="1"/>
  <c r="E375" i="1"/>
  <c r="BE374" i="1"/>
  <c r="AX406" i="1"/>
  <c r="AR406" i="1"/>
  <c r="AZ406" i="1"/>
  <c r="AK374" i="1"/>
  <c r="AL406" i="1"/>
  <c r="AG374" i="1"/>
  <c r="AE374" i="1"/>
  <c r="AF374" i="1" s="1"/>
  <c r="AF406" i="1"/>
  <c r="AN406" i="1"/>
  <c r="Y374" i="1"/>
  <c r="Z406" i="1"/>
  <c r="U374" i="1"/>
  <c r="S374" i="1"/>
  <c r="T374" i="1" s="1"/>
  <c r="T406" i="1"/>
  <c r="AB406" i="1"/>
  <c r="M374" i="1"/>
  <c r="N406" i="1"/>
  <c r="I374" i="1"/>
  <c r="G374" i="1"/>
  <c r="H374" i="1" s="1"/>
  <c r="BC406" i="1"/>
  <c r="H406" i="1"/>
  <c r="P406" i="1"/>
  <c r="E374" i="1"/>
  <c r="BE373" i="1"/>
  <c r="AX405" i="1"/>
  <c r="AR405" i="1"/>
  <c r="AZ405" i="1"/>
  <c r="AK373" i="1"/>
  <c r="AL373" i="1" s="1"/>
  <c r="AL405" i="1"/>
  <c r="AG373" i="1"/>
  <c r="AE373" i="1"/>
  <c r="AF373" i="1" s="1"/>
  <c r="AF405" i="1"/>
  <c r="AN405" i="1"/>
  <c r="Y373" i="1"/>
  <c r="Z405" i="1"/>
  <c r="U373" i="1"/>
  <c r="S373" i="1"/>
  <c r="T373" i="1" s="1"/>
  <c r="T405" i="1"/>
  <c r="AB405" i="1"/>
  <c r="M373" i="1"/>
  <c r="N373" i="1" s="1"/>
  <c r="N405" i="1"/>
  <c r="I373" i="1"/>
  <c r="G373" i="1"/>
  <c r="H373" i="1" s="1"/>
  <c r="BC405" i="1"/>
  <c r="H405" i="1"/>
  <c r="P405" i="1"/>
  <c r="E373" i="1"/>
  <c r="BE372" i="1"/>
  <c r="AX404" i="1"/>
  <c r="AR404" i="1"/>
  <c r="AZ404" i="1"/>
  <c r="AK372" i="1"/>
  <c r="AL404" i="1"/>
  <c r="AG372" i="1"/>
  <c r="AE372" i="1"/>
  <c r="AF372" i="1" s="1"/>
  <c r="AF404" i="1"/>
  <c r="AN404" i="1"/>
  <c r="Y372" i="1"/>
  <c r="Z404" i="1"/>
  <c r="U372" i="1"/>
  <c r="S372" i="1"/>
  <c r="T372" i="1" s="1"/>
  <c r="T404" i="1"/>
  <c r="AB404" i="1"/>
  <c r="M372" i="1"/>
  <c r="N404" i="1"/>
  <c r="I372" i="1"/>
  <c r="G372" i="1"/>
  <c r="H372" i="1" s="1"/>
  <c r="BC404" i="1"/>
  <c r="H404" i="1"/>
  <c r="P404" i="1"/>
  <c r="E372" i="1"/>
  <c r="BE371" i="1"/>
  <c r="AX403" i="1"/>
  <c r="AR403" i="1"/>
  <c r="AZ403" i="1"/>
  <c r="AK371" i="1"/>
  <c r="AL371" i="1" s="1"/>
  <c r="AL403" i="1"/>
  <c r="AG371" i="1"/>
  <c r="AE371" i="1"/>
  <c r="AF371" i="1" s="1"/>
  <c r="AF403" i="1"/>
  <c r="AN403" i="1"/>
  <c r="Y371" i="1"/>
  <c r="Z403" i="1"/>
  <c r="U371" i="1"/>
  <c r="S371" i="1"/>
  <c r="T371" i="1" s="1"/>
  <c r="T403" i="1"/>
  <c r="AB403" i="1"/>
  <c r="M371" i="1"/>
  <c r="N371" i="1" s="1"/>
  <c r="N403" i="1"/>
  <c r="I371" i="1"/>
  <c r="G371" i="1"/>
  <c r="H371" i="1" s="1"/>
  <c r="BC403" i="1"/>
  <c r="H403" i="1"/>
  <c r="P403" i="1"/>
  <c r="E371" i="1"/>
  <c r="BE370" i="1"/>
  <c r="AX402" i="1"/>
  <c r="AR402" i="1"/>
  <c r="AZ402" i="1"/>
  <c r="AK370" i="1"/>
  <c r="AL402" i="1"/>
  <c r="AG370" i="1"/>
  <c r="AE370" i="1"/>
  <c r="AF370" i="1" s="1"/>
  <c r="AF402" i="1"/>
  <c r="AN402" i="1"/>
  <c r="Y370" i="1"/>
  <c r="Z402" i="1"/>
  <c r="U370" i="1"/>
  <c r="S370" i="1"/>
  <c r="T370" i="1" s="1"/>
  <c r="T402" i="1"/>
  <c r="AB402" i="1"/>
  <c r="M370" i="1"/>
  <c r="N402" i="1"/>
  <c r="I370" i="1"/>
  <c r="G370" i="1"/>
  <c r="H370" i="1" s="1"/>
  <c r="BC402" i="1"/>
  <c r="H402" i="1"/>
  <c r="P402" i="1"/>
  <c r="E370" i="1"/>
  <c r="BE369" i="1"/>
  <c r="AX401" i="1"/>
  <c r="AR401" i="1"/>
  <c r="AZ401" i="1"/>
  <c r="AK369" i="1"/>
  <c r="AL369" i="1" s="1"/>
  <c r="AL401" i="1"/>
  <c r="AG369" i="1"/>
  <c r="AE369" i="1"/>
  <c r="AF369" i="1" s="1"/>
  <c r="AF401" i="1"/>
  <c r="AN401" i="1"/>
  <c r="Y369" i="1"/>
  <c r="Z401" i="1"/>
  <c r="U369" i="1"/>
  <c r="S369" i="1"/>
  <c r="T369" i="1" s="1"/>
  <c r="T401" i="1"/>
  <c r="AB401" i="1"/>
  <c r="M369" i="1"/>
  <c r="N369" i="1" s="1"/>
  <c r="N401" i="1"/>
  <c r="I369" i="1"/>
  <c r="G369" i="1"/>
  <c r="H369" i="1" s="1"/>
  <c r="BC401" i="1"/>
  <c r="H401" i="1"/>
  <c r="P401" i="1"/>
  <c r="E369" i="1"/>
  <c r="BE368" i="1"/>
  <c r="AX400" i="1"/>
  <c r="AR400" i="1"/>
  <c r="AZ400" i="1"/>
  <c r="AK368" i="1"/>
  <c r="AL400" i="1"/>
  <c r="AG368" i="1"/>
  <c r="AE368" i="1"/>
  <c r="AF368" i="1" s="1"/>
  <c r="AF400" i="1"/>
  <c r="AN400" i="1"/>
  <c r="Y368" i="1"/>
  <c r="Z400" i="1"/>
  <c r="U368" i="1"/>
  <c r="S368" i="1"/>
  <c r="T368" i="1" s="1"/>
  <c r="T400" i="1"/>
  <c r="AB400" i="1"/>
  <c r="M368" i="1"/>
  <c r="N400" i="1"/>
  <c r="I368" i="1"/>
  <c r="G368" i="1"/>
  <c r="H368" i="1" s="1"/>
  <c r="BC400" i="1"/>
  <c r="H400" i="1"/>
  <c r="P400" i="1"/>
  <c r="E368" i="1"/>
  <c r="BE367" i="1"/>
  <c r="AX399" i="1"/>
  <c r="AR399" i="1"/>
  <c r="AZ399" i="1"/>
  <c r="AK367" i="1"/>
  <c r="AL367" i="1" s="1"/>
  <c r="AL399" i="1"/>
  <c r="AG367" i="1"/>
  <c r="AE367" i="1"/>
  <c r="AF367" i="1" s="1"/>
  <c r="AF399" i="1"/>
  <c r="AN399" i="1"/>
  <c r="Y367" i="1"/>
  <c r="Z399" i="1"/>
  <c r="U367" i="1"/>
  <c r="S367" i="1"/>
  <c r="T367" i="1" s="1"/>
  <c r="T399" i="1"/>
  <c r="AB399" i="1"/>
  <c r="M367" i="1"/>
  <c r="N367" i="1" s="1"/>
  <c r="N399" i="1"/>
  <c r="I367" i="1"/>
  <c r="G367" i="1"/>
  <c r="H367" i="1" s="1"/>
  <c r="BC399" i="1"/>
  <c r="H399" i="1"/>
  <c r="P399" i="1"/>
  <c r="E367" i="1"/>
  <c r="BE366" i="1"/>
  <c r="AX398" i="1"/>
  <c r="AR398" i="1"/>
  <c r="AZ398" i="1"/>
  <c r="AK366" i="1"/>
  <c r="AL398" i="1"/>
  <c r="AG366" i="1"/>
  <c r="AE366" i="1"/>
  <c r="AF366" i="1" s="1"/>
  <c r="AF398" i="1"/>
  <c r="AN398" i="1"/>
  <c r="Y366" i="1"/>
  <c r="Z398" i="1"/>
  <c r="U366" i="1"/>
  <c r="S366" i="1"/>
  <c r="T366" i="1" s="1"/>
  <c r="T398" i="1"/>
  <c r="AB398" i="1"/>
  <c r="M366" i="1"/>
  <c r="N398" i="1"/>
  <c r="I366" i="1"/>
  <c r="G366" i="1"/>
  <c r="H366" i="1" s="1"/>
  <c r="BC398" i="1"/>
  <c r="H398" i="1"/>
  <c r="P398" i="1"/>
  <c r="E366" i="1"/>
  <c r="BE365" i="1"/>
  <c r="AX397" i="1"/>
  <c r="AR397" i="1"/>
  <c r="AZ397" i="1"/>
  <c r="AK365" i="1"/>
  <c r="AL365" i="1" s="1"/>
  <c r="AL397" i="1"/>
  <c r="AG365" i="1"/>
  <c r="AE365" i="1"/>
  <c r="AF397" i="1"/>
  <c r="AN397" i="1"/>
  <c r="Y365" i="1"/>
  <c r="Z397" i="1"/>
  <c r="U365" i="1"/>
  <c r="S365" i="1"/>
  <c r="T365" i="1" s="1"/>
  <c r="T397" i="1"/>
  <c r="AB397" i="1"/>
  <c r="M365" i="1"/>
  <c r="N365" i="1" s="1"/>
  <c r="N397" i="1"/>
  <c r="I365" i="1"/>
  <c r="G365" i="1"/>
  <c r="BC397" i="1"/>
  <c r="H397" i="1"/>
  <c r="P397" i="1"/>
  <c r="E365" i="1"/>
  <c r="BE364" i="1"/>
  <c r="AX396" i="1"/>
  <c r="AR396" i="1"/>
  <c r="AZ396" i="1"/>
  <c r="AK364" i="1"/>
  <c r="AL396" i="1"/>
  <c r="AG364" i="1"/>
  <c r="AE364" i="1"/>
  <c r="AF364" i="1" s="1"/>
  <c r="AF396" i="1"/>
  <c r="AN396" i="1"/>
  <c r="Y364" i="1"/>
  <c r="Z364" i="1" s="1"/>
  <c r="Z396" i="1"/>
  <c r="U364" i="1"/>
  <c r="S364" i="1"/>
  <c r="T396" i="1"/>
  <c r="AB396" i="1"/>
  <c r="M364" i="1"/>
  <c r="N396" i="1"/>
  <c r="I364" i="1"/>
  <c r="G364" i="1"/>
  <c r="H364" i="1" s="1"/>
  <c r="BC396" i="1"/>
  <c r="H396" i="1"/>
  <c r="P396" i="1"/>
  <c r="E364" i="1"/>
  <c r="BE363" i="1"/>
  <c r="AX395" i="1"/>
  <c r="AR395" i="1"/>
  <c r="AZ395" i="1"/>
  <c r="AK363" i="1"/>
  <c r="AL363" i="1" s="1"/>
  <c r="AL395" i="1"/>
  <c r="AG363" i="1"/>
  <c r="AE363" i="1"/>
  <c r="AF395" i="1"/>
  <c r="AN395" i="1"/>
  <c r="Y363" i="1"/>
  <c r="Z395" i="1"/>
  <c r="U363" i="1"/>
  <c r="S363" i="1"/>
  <c r="T363" i="1" s="1"/>
  <c r="T395" i="1"/>
  <c r="AB395" i="1"/>
  <c r="M363" i="1"/>
  <c r="N363" i="1" s="1"/>
  <c r="N395" i="1"/>
  <c r="I363" i="1"/>
  <c r="G363" i="1"/>
  <c r="BC395" i="1"/>
  <c r="H395" i="1"/>
  <c r="P395" i="1"/>
  <c r="E363" i="1"/>
  <c r="BE362" i="1"/>
  <c r="BE393" i="1"/>
  <c r="AW393" i="1"/>
  <c r="AX394" i="1"/>
  <c r="AS393" i="1"/>
  <c r="AQ393" i="1"/>
  <c r="AR394" i="1"/>
  <c r="AZ394" i="1"/>
  <c r="AK362" i="1"/>
  <c r="AL362" i="1" s="1"/>
  <c r="AK393" i="1"/>
  <c r="AL394" i="1"/>
  <c r="AG362" i="1"/>
  <c r="AG393" i="1"/>
  <c r="AE362" i="1"/>
  <c r="AE393" i="1"/>
  <c r="AF394" i="1"/>
  <c r="AN394" i="1"/>
  <c r="Y362" i="1"/>
  <c r="Y393" i="1"/>
  <c r="Z394" i="1"/>
  <c r="U362" i="1"/>
  <c r="U393" i="1"/>
  <c r="S362" i="1"/>
  <c r="T362" i="1" s="1"/>
  <c r="S393" i="1"/>
  <c r="T394" i="1"/>
  <c r="AB394" i="1"/>
  <c r="M362" i="1"/>
  <c r="N362" i="1" s="1"/>
  <c r="M393" i="1"/>
  <c r="N394" i="1"/>
  <c r="I362" i="1"/>
  <c r="I393" i="1"/>
  <c r="G362" i="1"/>
  <c r="G393" i="1"/>
  <c r="BC394" i="1"/>
  <c r="H394" i="1"/>
  <c r="P394" i="1"/>
  <c r="E362" i="1"/>
  <c r="E393" i="1"/>
  <c r="BE360" i="1"/>
  <c r="AX392" i="1"/>
  <c r="AR392" i="1"/>
  <c r="AZ392" i="1"/>
  <c r="AK360" i="1"/>
  <c r="AL392" i="1"/>
  <c r="AG360" i="1"/>
  <c r="AE360" i="1"/>
  <c r="AF360" i="1" s="1"/>
  <c r="AF392" i="1"/>
  <c r="AN392" i="1"/>
  <c r="Y360" i="1"/>
  <c r="Z360" i="1" s="1"/>
  <c r="Z392" i="1"/>
  <c r="U360" i="1"/>
  <c r="S360" i="1"/>
  <c r="T392" i="1"/>
  <c r="AB392" i="1"/>
  <c r="M360" i="1"/>
  <c r="N392" i="1"/>
  <c r="I360" i="1"/>
  <c r="G360" i="1"/>
  <c r="H360" i="1" s="1"/>
  <c r="BC392" i="1"/>
  <c r="H392" i="1"/>
  <c r="P392" i="1"/>
  <c r="E360" i="1"/>
  <c r="BE359" i="1"/>
  <c r="AX391" i="1"/>
  <c r="AR391" i="1"/>
  <c r="AZ391" i="1"/>
  <c r="AK359" i="1"/>
  <c r="AL359" i="1" s="1"/>
  <c r="AL391" i="1"/>
  <c r="AG359" i="1"/>
  <c r="AE359" i="1"/>
  <c r="AF391" i="1"/>
  <c r="AN391" i="1"/>
  <c r="Y359" i="1"/>
  <c r="Z391" i="1"/>
  <c r="U359" i="1"/>
  <c r="S359" i="1"/>
  <c r="T359" i="1" s="1"/>
  <c r="T391" i="1"/>
  <c r="AB391" i="1"/>
  <c r="M359" i="1"/>
  <c r="N359" i="1" s="1"/>
  <c r="N391" i="1"/>
  <c r="I359" i="1"/>
  <c r="G359" i="1"/>
  <c r="BC391" i="1"/>
  <c r="H391" i="1"/>
  <c r="P391" i="1"/>
  <c r="E359" i="1"/>
  <c r="BE358" i="1"/>
  <c r="AX390" i="1"/>
  <c r="AR390" i="1"/>
  <c r="AZ390" i="1"/>
  <c r="AK358" i="1"/>
  <c r="AL390" i="1"/>
  <c r="AG358" i="1"/>
  <c r="AE358" i="1"/>
  <c r="AF358" i="1" s="1"/>
  <c r="AF390" i="1"/>
  <c r="AN390" i="1"/>
  <c r="Y358" i="1"/>
  <c r="Z390" i="1"/>
  <c r="U358" i="1"/>
  <c r="S358" i="1"/>
  <c r="T390" i="1"/>
  <c r="AB390" i="1"/>
  <c r="M358" i="1"/>
  <c r="N390" i="1"/>
  <c r="I358" i="1"/>
  <c r="G358" i="1"/>
  <c r="H358" i="1" s="1"/>
  <c r="BC390" i="1"/>
  <c r="H390" i="1"/>
  <c r="P390" i="1"/>
  <c r="E358" i="1"/>
  <c r="BE357" i="1"/>
  <c r="AX389" i="1"/>
  <c r="AR389" i="1"/>
  <c r="AZ389" i="1"/>
  <c r="AK357" i="1"/>
  <c r="AL357" i="1" s="1"/>
  <c r="AL389" i="1"/>
  <c r="AG357" i="1"/>
  <c r="AE357" i="1"/>
  <c r="AF389" i="1"/>
  <c r="AN389" i="1"/>
  <c r="Y357" i="1"/>
  <c r="Z389" i="1"/>
  <c r="U357" i="1"/>
  <c r="S357" i="1"/>
  <c r="T357" i="1" s="1"/>
  <c r="T389" i="1"/>
  <c r="AB389" i="1"/>
  <c r="M357" i="1"/>
  <c r="N357" i="1" s="1"/>
  <c r="N389" i="1"/>
  <c r="I357" i="1"/>
  <c r="G357" i="1"/>
  <c r="BC389" i="1"/>
  <c r="H389" i="1"/>
  <c r="P389" i="1"/>
  <c r="E357" i="1"/>
  <c r="BE356" i="1"/>
  <c r="AX388" i="1"/>
  <c r="AR388" i="1"/>
  <c r="AZ388" i="1"/>
  <c r="AK356" i="1"/>
  <c r="AL388" i="1"/>
  <c r="AG356" i="1"/>
  <c r="AE356" i="1"/>
  <c r="AF356" i="1" s="1"/>
  <c r="AF388" i="1"/>
  <c r="AN388" i="1"/>
  <c r="Y356" i="1"/>
  <c r="Z356" i="1" s="1"/>
  <c r="Z388" i="1"/>
  <c r="U356" i="1"/>
  <c r="S356" i="1"/>
  <c r="T388" i="1"/>
  <c r="AB388" i="1"/>
  <c r="M356" i="1"/>
  <c r="N388" i="1"/>
  <c r="I356" i="1"/>
  <c r="G356" i="1"/>
  <c r="H356" i="1" s="1"/>
  <c r="BC388" i="1"/>
  <c r="H388" i="1"/>
  <c r="P388" i="1"/>
  <c r="E356" i="1"/>
  <c r="BE355" i="1"/>
  <c r="AX387" i="1"/>
  <c r="AR387" i="1"/>
  <c r="AZ387" i="1"/>
  <c r="AK355" i="1"/>
  <c r="AL355" i="1" s="1"/>
  <c r="AL387" i="1"/>
  <c r="AG355" i="1"/>
  <c r="AE355" i="1"/>
  <c r="AF387" i="1"/>
  <c r="AN387" i="1"/>
  <c r="Y355" i="1"/>
  <c r="Z387" i="1"/>
  <c r="U355" i="1"/>
  <c r="S355" i="1"/>
  <c r="T355" i="1" s="1"/>
  <c r="T387" i="1"/>
  <c r="AB387" i="1"/>
  <c r="M355" i="1"/>
  <c r="N355" i="1" s="1"/>
  <c r="N387" i="1"/>
  <c r="I355" i="1"/>
  <c r="G355" i="1"/>
  <c r="BC387" i="1"/>
  <c r="H387" i="1"/>
  <c r="P387" i="1"/>
  <c r="E355" i="1"/>
  <c r="BE354" i="1"/>
  <c r="AX386" i="1"/>
  <c r="AR386" i="1"/>
  <c r="AZ386" i="1"/>
  <c r="AK354" i="1"/>
  <c r="AL386" i="1"/>
  <c r="AG354" i="1"/>
  <c r="AE354" i="1"/>
  <c r="AF386" i="1"/>
  <c r="AN386" i="1"/>
  <c r="Y354" i="1"/>
  <c r="Z354" i="1" s="1"/>
  <c r="Z386" i="1"/>
  <c r="U354" i="1"/>
  <c r="S354" i="1"/>
  <c r="T386" i="1"/>
  <c r="AB386" i="1"/>
  <c r="M354" i="1"/>
  <c r="N386" i="1"/>
  <c r="I354" i="1"/>
  <c r="G354" i="1"/>
  <c r="H354" i="1" s="1"/>
  <c r="BC386" i="1"/>
  <c r="H386" i="1"/>
  <c r="P386" i="1"/>
  <c r="E354" i="1"/>
  <c r="BE353" i="1"/>
  <c r="AX385" i="1"/>
  <c r="AR385" i="1"/>
  <c r="AZ385" i="1"/>
  <c r="AK353" i="1"/>
  <c r="AL353" i="1" s="1"/>
  <c r="AL385" i="1"/>
  <c r="AG353" i="1"/>
  <c r="AE353" i="1"/>
  <c r="AF385" i="1"/>
  <c r="AN385" i="1"/>
  <c r="Y353" i="1"/>
  <c r="Z385" i="1"/>
  <c r="U353" i="1"/>
  <c r="S353" i="1"/>
  <c r="T353" i="1" s="1"/>
  <c r="T385" i="1"/>
  <c r="AB385" i="1"/>
  <c r="M353" i="1"/>
  <c r="N353" i="1" s="1"/>
  <c r="N385" i="1"/>
  <c r="I353" i="1"/>
  <c r="G353" i="1"/>
  <c r="BC385" i="1"/>
  <c r="H385" i="1"/>
  <c r="P385" i="1"/>
  <c r="E353" i="1"/>
  <c r="BE352" i="1"/>
  <c r="BE383" i="1"/>
  <c r="AW383" i="1"/>
  <c r="AX384" i="1"/>
  <c r="AS383" i="1"/>
  <c r="AQ383" i="1"/>
  <c r="AR384" i="1"/>
  <c r="AZ384" i="1"/>
  <c r="AK352" i="1"/>
  <c r="AK383" i="1"/>
  <c r="AL384" i="1"/>
  <c r="AG352" i="1"/>
  <c r="AG383" i="1"/>
  <c r="AE352" i="1"/>
  <c r="AE383" i="1"/>
  <c r="AF384" i="1"/>
  <c r="AN384" i="1"/>
  <c r="Y352" i="1"/>
  <c r="Y383" i="1"/>
  <c r="Z384" i="1"/>
  <c r="U352" i="1"/>
  <c r="U383" i="1"/>
  <c r="S352" i="1"/>
  <c r="T352" i="1" s="1"/>
  <c r="S383" i="1"/>
  <c r="T384" i="1"/>
  <c r="AB384" i="1"/>
  <c r="M352" i="1"/>
  <c r="N352" i="1" s="1"/>
  <c r="M383" i="1"/>
  <c r="N384" i="1"/>
  <c r="I352" i="1"/>
  <c r="I383" i="1"/>
  <c r="G352" i="1"/>
  <c r="G383" i="1"/>
  <c r="BC384" i="1"/>
  <c r="H384" i="1"/>
  <c r="P384" i="1"/>
  <c r="E352" i="1"/>
  <c r="E383" i="1"/>
  <c r="BE657" i="1"/>
  <c r="AX344" i="1"/>
  <c r="AW657" i="1"/>
  <c r="AX657" i="1" s="1"/>
  <c r="AS657" i="1"/>
  <c r="AR344" i="1"/>
  <c r="AZ344" i="1"/>
  <c r="AQ657" i="1"/>
  <c r="AR657" i="1" s="1"/>
  <c r="AL344" i="1"/>
  <c r="AK657" i="1"/>
  <c r="AG657" i="1"/>
  <c r="AF344" i="1"/>
  <c r="AN344" i="1"/>
  <c r="AE657" i="1"/>
  <c r="Z344" i="1"/>
  <c r="Y657" i="1"/>
  <c r="U657" i="1"/>
  <c r="T344" i="1"/>
  <c r="AB344" i="1"/>
  <c r="S657" i="1"/>
  <c r="N344" i="1"/>
  <c r="M657" i="1"/>
  <c r="I657" i="1"/>
  <c r="BC344" i="1"/>
  <c r="H344" i="1"/>
  <c r="P344" i="1"/>
  <c r="G657" i="1"/>
  <c r="E657" i="1"/>
  <c r="BE656" i="1"/>
  <c r="AX343" i="1"/>
  <c r="AW656" i="1"/>
  <c r="AS656" i="1"/>
  <c r="AR343" i="1"/>
  <c r="AZ343" i="1"/>
  <c r="AQ656" i="1"/>
  <c r="AL343" i="1"/>
  <c r="AK656" i="1"/>
  <c r="AL656" i="1" s="1"/>
  <c r="AG656" i="1"/>
  <c r="AF343" i="1"/>
  <c r="AN343" i="1"/>
  <c r="AE656" i="1"/>
  <c r="AF656" i="1" s="1"/>
  <c r="Z343" i="1"/>
  <c r="Y656" i="1"/>
  <c r="U656" i="1"/>
  <c r="T343" i="1"/>
  <c r="AB343" i="1"/>
  <c r="S656" i="1"/>
  <c r="N343" i="1"/>
  <c r="M656" i="1"/>
  <c r="I656" i="1"/>
  <c r="BC343" i="1"/>
  <c r="H343" i="1"/>
  <c r="P343" i="1"/>
  <c r="G656" i="1"/>
  <c r="E656" i="1"/>
  <c r="BE655" i="1"/>
  <c r="AX342" i="1"/>
  <c r="AW655" i="1"/>
  <c r="AX655" i="1" s="1"/>
  <c r="AS655" i="1"/>
  <c r="AR342" i="1"/>
  <c r="AZ342" i="1"/>
  <c r="AQ655" i="1"/>
  <c r="AR655" i="1" s="1"/>
  <c r="AL342" i="1"/>
  <c r="AK655" i="1"/>
  <c r="AG655" i="1"/>
  <c r="AF342" i="1"/>
  <c r="AN342" i="1"/>
  <c r="AE655" i="1"/>
  <c r="Z342" i="1"/>
  <c r="Y655" i="1"/>
  <c r="U655" i="1"/>
  <c r="T342" i="1"/>
  <c r="AB342" i="1"/>
  <c r="S655" i="1"/>
  <c r="N342" i="1"/>
  <c r="M655" i="1"/>
  <c r="I655" i="1"/>
  <c r="BC342" i="1"/>
  <c r="H342" i="1"/>
  <c r="P342" i="1"/>
  <c r="G655" i="1"/>
  <c r="E655" i="1"/>
  <c r="BE654" i="1"/>
  <c r="AX341" i="1"/>
  <c r="AW654" i="1"/>
  <c r="AS654" i="1"/>
  <c r="AR341" i="1"/>
  <c r="AZ341" i="1"/>
  <c r="AQ654" i="1"/>
  <c r="AL341" i="1"/>
  <c r="AK654" i="1"/>
  <c r="AL654" i="1" s="1"/>
  <c r="AG654" i="1"/>
  <c r="AF341" i="1"/>
  <c r="AN341" i="1"/>
  <c r="AE654" i="1"/>
  <c r="AF654" i="1" s="1"/>
  <c r="Z341" i="1"/>
  <c r="Y654" i="1"/>
  <c r="U654" i="1"/>
  <c r="T341" i="1"/>
  <c r="AB341" i="1"/>
  <c r="S654" i="1"/>
  <c r="N341" i="1"/>
  <c r="M654" i="1"/>
  <c r="N654" i="1" s="1"/>
  <c r="I654" i="1"/>
  <c r="BC341" i="1"/>
  <c r="H341" i="1"/>
  <c r="P341" i="1"/>
  <c r="G654" i="1"/>
  <c r="E654" i="1"/>
  <c r="BE653" i="1"/>
  <c r="AX340" i="1"/>
  <c r="AW653" i="1"/>
  <c r="AX653" i="1" s="1"/>
  <c r="AS653" i="1"/>
  <c r="AR340" i="1"/>
  <c r="AZ340" i="1"/>
  <c r="AQ653" i="1"/>
  <c r="AR653" i="1" s="1"/>
  <c r="AL340" i="1"/>
  <c r="AK653" i="1"/>
  <c r="AG653" i="1"/>
  <c r="AF340" i="1"/>
  <c r="AN340" i="1"/>
  <c r="AE653" i="1"/>
  <c r="Z340" i="1"/>
  <c r="Y653" i="1"/>
  <c r="U653" i="1"/>
  <c r="T340" i="1"/>
  <c r="AB340" i="1"/>
  <c r="S653" i="1"/>
  <c r="N340" i="1"/>
  <c r="M653" i="1"/>
  <c r="I653" i="1"/>
  <c r="BC340" i="1"/>
  <c r="H340" i="1"/>
  <c r="P340" i="1"/>
  <c r="G653" i="1"/>
  <c r="E653" i="1"/>
  <c r="BE338" i="1"/>
  <c r="BE652" i="1"/>
  <c r="AW338" i="1"/>
  <c r="AX339" i="1"/>
  <c r="AW652" i="1"/>
  <c r="AX652" i="1" s="1"/>
  <c r="AS338" i="1"/>
  <c r="AS652" i="1"/>
  <c r="AQ338" i="1"/>
  <c r="AR338" i="1" s="1"/>
  <c r="AR339" i="1"/>
  <c r="AZ339" i="1"/>
  <c r="AQ652" i="1"/>
  <c r="AR652" i="1" s="1"/>
  <c r="AK338" i="1"/>
  <c r="AL339" i="1"/>
  <c r="AK652" i="1"/>
  <c r="AG338" i="1"/>
  <c r="AG652" i="1"/>
  <c r="AE338" i="1"/>
  <c r="AF339" i="1"/>
  <c r="AN339" i="1"/>
  <c r="AE652" i="1"/>
  <c r="Y338" i="1"/>
  <c r="Z339" i="1"/>
  <c r="Y652" i="1"/>
  <c r="Z652" i="1" s="1"/>
  <c r="U338" i="1"/>
  <c r="U652" i="1"/>
  <c r="S338" i="1"/>
  <c r="T338" i="1" s="1"/>
  <c r="T339" i="1"/>
  <c r="AB339" i="1"/>
  <c r="S652" i="1"/>
  <c r="M338" i="1"/>
  <c r="N339" i="1"/>
  <c r="M652" i="1"/>
  <c r="I338" i="1"/>
  <c r="I652" i="1"/>
  <c r="G338" i="1"/>
  <c r="BC339" i="1"/>
  <c r="H339" i="1"/>
  <c r="P339" i="1"/>
  <c r="G652" i="1"/>
  <c r="E338" i="1"/>
  <c r="E652" i="1"/>
  <c r="BE304" i="1"/>
  <c r="AW304" i="1"/>
  <c r="AX304" i="1" s="1"/>
  <c r="AX305" i="1"/>
  <c r="AS304" i="1"/>
  <c r="AQ304" i="1"/>
  <c r="AR305" i="1"/>
  <c r="AZ305" i="1"/>
  <c r="AK304" i="1"/>
  <c r="AL305" i="1"/>
  <c r="AG304" i="1"/>
  <c r="AE304" i="1"/>
  <c r="AF304" i="1" s="1"/>
  <c r="AF305" i="1"/>
  <c r="AN305" i="1"/>
  <c r="Y304" i="1"/>
  <c r="Z304" i="1" s="1"/>
  <c r="Z305" i="1"/>
  <c r="U304" i="1"/>
  <c r="S304" i="1"/>
  <c r="T305" i="1"/>
  <c r="AB305" i="1"/>
  <c r="M304" i="1"/>
  <c r="N305" i="1"/>
  <c r="I304" i="1"/>
  <c r="G304" i="1"/>
  <c r="H304" i="1" s="1"/>
  <c r="BC305" i="1"/>
  <c r="H305" i="1"/>
  <c r="P305" i="1"/>
  <c r="E304" i="1"/>
  <c r="AX303" i="1"/>
  <c r="AR303" i="1"/>
  <c r="AZ303" i="1"/>
  <c r="AL303" i="1"/>
  <c r="AF303" i="1"/>
  <c r="AN303" i="1"/>
  <c r="AO303" i="1" s="1"/>
  <c r="Z303" i="1"/>
  <c r="T303" i="1"/>
  <c r="AB303" i="1"/>
  <c r="N303" i="1"/>
  <c r="BC303" i="1"/>
  <c r="BD303" i="1" s="1"/>
  <c r="H303" i="1"/>
  <c r="P303" i="1"/>
  <c r="AX302" i="1"/>
  <c r="AR302" i="1"/>
  <c r="AZ302" i="1"/>
  <c r="AL302" i="1"/>
  <c r="AF302" i="1"/>
  <c r="AN302" i="1"/>
  <c r="AO302" i="1" s="1"/>
  <c r="Z302" i="1"/>
  <c r="T302" i="1"/>
  <c r="AB302" i="1"/>
  <c r="N302" i="1"/>
  <c r="BC302" i="1"/>
  <c r="BD302" i="1" s="1"/>
  <c r="H302" i="1"/>
  <c r="P302" i="1"/>
  <c r="AX301" i="1"/>
  <c r="AR301" i="1"/>
  <c r="AZ301" i="1"/>
  <c r="AL301" i="1"/>
  <c r="AF301" i="1"/>
  <c r="AN301" i="1"/>
  <c r="AO301" i="1" s="1"/>
  <c r="Z301" i="1"/>
  <c r="T301" i="1"/>
  <c r="AB301" i="1"/>
  <c r="N301" i="1"/>
  <c r="BC301" i="1"/>
  <c r="BD301" i="1" s="1"/>
  <c r="H301" i="1"/>
  <c r="P301" i="1"/>
  <c r="AX300" i="1"/>
  <c r="AR300" i="1"/>
  <c r="AZ300" i="1"/>
  <c r="AL300" i="1"/>
  <c r="AF300" i="1"/>
  <c r="AN300" i="1"/>
  <c r="AO300" i="1" s="1"/>
  <c r="Z300" i="1"/>
  <c r="T300" i="1"/>
  <c r="AB300" i="1"/>
  <c r="N300" i="1"/>
  <c r="BC300" i="1"/>
  <c r="BD300" i="1" s="1"/>
  <c r="H300" i="1"/>
  <c r="P300" i="1"/>
  <c r="AX299" i="1"/>
  <c r="AR299" i="1"/>
  <c r="AZ299" i="1"/>
  <c r="AL299" i="1"/>
  <c r="AF299" i="1"/>
  <c r="AN299" i="1"/>
  <c r="AO299" i="1" s="1"/>
  <c r="Z299" i="1"/>
  <c r="T299" i="1"/>
  <c r="AB299" i="1"/>
  <c r="N299" i="1"/>
  <c r="BC299" i="1"/>
  <c r="BD299" i="1" s="1"/>
  <c r="H299" i="1"/>
  <c r="P299" i="1"/>
  <c r="AX298" i="1"/>
  <c r="AR298" i="1"/>
  <c r="AZ298" i="1"/>
  <c r="AL298" i="1"/>
  <c r="AF298" i="1"/>
  <c r="AN298" i="1"/>
  <c r="AO298" i="1" s="1"/>
  <c r="Z298" i="1"/>
  <c r="T298" i="1"/>
  <c r="AB298" i="1"/>
  <c r="N298" i="1"/>
  <c r="BC298" i="1"/>
  <c r="BD298" i="1" s="1"/>
  <c r="H298" i="1"/>
  <c r="P298" i="1"/>
  <c r="AX297" i="1"/>
  <c r="AR297" i="1"/>
  <c r="AZ297" i="1"/>
  <c r="AL297" i="1"/>
  <c r="AF297" i="1"/>
  <c r="AN297" i="1"/>
  <c r="AO297" i="1" s="1"/>
  <c r="Z297" i="1"/>
  <c r="T297" i="1"/>
  <c r="AB297" i="1"/>
  <c r="N297" i="1"/>
  <c r="BC297" i="1"/>
  <c r="BD297" i="1" s="1"/>
  <c r="H297" i="1"/>
  <c r="P297" i="1"/>
  <c r="AX296" i="1"/>
  <c r="AR296" i="1"/>
  <c r="AZ296" i="1"/>
  <c r="AL296" i="1"/>
  <c r="AF296" i="1"/>
  <c r="AN296" i="1"/>
  <c r="AO296" i="1" s="1"/>
  <c r="Z296" i="1"/>
  <c r="T296" i="1"/>
  <c r="AB296" i="1"/>
  <c r="N296" i="1"/>
  <c r="BC296" i="1"/>
  <c r="BD296" i="1" s="1"/>
  <c r="H296" i="1"/>
  <c r="P296" i="1"/>
  <c r="AX295" i="1"/>
  <c r="AR295" i="1"/>
  <c r="AZ295" i="1"/>
  <c r="AL295" i="1"/>
  <c r="AF295" i="1"/>
  <c r="AN295" i="1"/>
  <c r="AO295" i="1" s="1"/>
  <c r="Z295" i="1"/>
  <c r="T295" i="1"/>
  <c r="AB295" i="1"/>
  <c r="N295" i="1"/>
  <c r="BC295" i="1"/>
  <c r="BD295" i="1" s="1"/>
  <c r="H295" i="1"/>
  <c r="P295" i="1"/>
  <c r="AX294" i="1"/>
  <c r="AR294" i="1"/>
  <c r="AZ294" i="1"/>
  <c r="AL294" i="1"/>
  <c r="AF294" i="1"/>
  <c r="AN294" i="1"/>
  <c r="AO294" i="1" s="1"/>
  <c r="Z294" i="1"/>
  <c r="T294" i="1"/>
  <c r="AB294" i="1"/>
  <c r="N294" i="1"/>
  <c r="BC294" i="1"/>
  <c r="BD294" i="1" s="1"/>
  <c r="H294" i="1"/>
  <c r="P294" i="1"/>
  <c r="AX293" i="1"/>
  <c r="AR293" i="1"/>
  <c r="AZ293" i="1"/>
  <c r="AL293" i="1"/>
  <c r="AF293" i="1"/>
  <c r="AN293" i="1"/>
  <c r="AO293" i="1" s="1"/>
  <c r="Z293" i="1"/>
  <c r="T293" i="1"/>
  <c r="AB293" i="1"/>
  <c r="N293" i="1"/>
  <c r="BC293" i="1"/>
  <c r="BD293" i="1" s="1"/>
  <c r="H293" i="1"/>
  <c r="P293" i="1"/>
  <c r="AX292" i="1"/>
  <c r="AR292" i="1"/>
  <c r="AZ292" i="1"/>
  <c r="AL292" i="1"/>
  <c r="AF292" i="1"/>
  <c r="AN292" i="1"/>
  <c r="AO292" i="1" s="1"/>
  <c r="Z292" i="1"/>
  <c r="T292" i="1"/>
  <c r="AB292" i="1"/>
  <c r="N292" i="1"/>
  <c r="BC292" i="1"/>
  <c r="BD292" i="1" s="1"/>
  <c r="H292" i="1"/>
  <c r="P292" i="1"/>
  <c r="AX291" i="1"/>
  <c r="AR291" i="1"/>
  <c r="AZ291" i="1"/>
  <c r="AL291" i="1"/>
  <c r="AF291" i="1"/>
  <c r="AN291" i="1"/>
  <c r="AO291" i="1" s="1"/>
  <c r="Z291" i="1"/>
  <c r="T291" i="1"/>
  <c r="AB291" i="1"/>
  <c r="N291" i="1"/>
  <c r="BC291" i="1"/>
  <c r="BD291" i="1" s="1"/>
  <c r="H291" i="1"/>
  <c r="P291" i="1"/>
  <c r="AX290" i="1"/>
  <c r="AR290" i="1"/>
  <c r="AZ290" i="1"/>
  <c r="AL290" i="1"/>
  <c r="AF290" i="1"/>
  <c r="AN290" i="1"/>
  <c r="AO290" i="1" s="1"/>
  <c r="Z290" i="1"/>
  <c r="T290" i="1"/>
  <c r="AB290" i="1"/>
  <c r="N290" i="1"/>
  <c r="BC290" i="1"/>
  <c r="BD290" i="1" s="1"/>
  <c r="H290" i="1"/>
  <c r="P290" i="1"/>
  <c r="AX289" i="1"/>
  <c r="AR289" i="1"/>
  <c r="AZ289" i="1"/>
  <c r="AL289" i="1"/>
  <c r="AF289" i="1"/>
  <c r="AN289" i="1"/>
  <c r="AO289" i="1" s="1"/>
  <c r="Z289" i="1"/>
  <c r="T289" i="1"/>
  <c r="AB289" i="1"/>
  <c r="N289" i="1"/>
  <c r="BC289" i="1"/>
  <c r="BD289" i="1" s="1"/>
  <c r="H289" i="1"/>
  <c r="P289" i="1"/>
  <c r="AX288" i="1"/>
  <c r="AR288" i="1"/>
  <c r="AZ288" i="1"/>
  <c r="AL288" i="1"/>
  <c r="AF288" i="1"/>
  <c r="AN288" i="1"/>
  <c r="AO288" i="1" s="1"/>
  <c r="Z288" i="1"/>
  <c r="T288" i="1"/>
  <c r="AB288" i="1"/>
  <c r="N288" i="1"/>
  <c r="BC288" i="1"/>
  <c r="BD288" i="1" s="1"/>
  <c r="H288" i="1"/>
  <c r="P288" i="1"/>
  <c r="AX287" i="1"/>
  <c r="AR287" i="1"/>
  <c r="AZ287" i="1"/>
  <c r="AL287" i="1"/>
  <c r="AF287" i="1"/>
  <c r="AN287" i="1"/>
  <c r="AO287" i="1" s="1"/>
  <c r="Z287" i="1"/>
  <c r="T287" i="1"/>
  <c r="AB287" i="1"/>
  <c r="N287" i="1"/>
  <c r="BC287" i="1"/>
  <c r="BD287" i="1" s="1"/>
  <c r="H287" i="1"/>
  <c r="P287" i="1"/>
  <c r="BE285" i="1"/>
  <c r="AW285" i="1"/>
  <c r="AX286" i="1"/>
  <c r="AS285" i="1"/>
  <c r="AQ285" i="1"/>
  <c r="AR285" i="1" s="1"/>
  <c r="AR286" i="1"/>
  <c r="AZ286" i="1"/>
  <c r="AK285" i="1"/>
  <c r="AL285" i="1" s="1"/>
  <c r="AL286" i="1"/>
  <c r="AG285" i="1"/>
  <c r="AE285" i="1"/>
  <c r="AF286" i="1"/>
  <c r="AN286" i="1"/>
  <c r="Y285" i="1"/>
  <c r="Z286" i="1"/>
  <c r="U285" i="1"/>
  <c r="S285" i="1"/>
  <c r="T285" i="1" s="1"/>
  <c r="T286" i="1"/>
  <c r="AB286" i="1"/>
  <c r="M285" i="1"/>
  <c r="N285" i="1" s="1"/>
  <c r="N286" i="1"/>
  <c r="I285" i="1"/>
  <c r="G285" i="1"/>
  <c r="BC286" i="1"/>
  <c r="H286" i="1"/>
  <c r="P286" i="1"/>
  <c r="E285" i="1"/>
  <c r="AX284" i="1"/>
  <c r="AR284" i="1"/>
  <c r="AZ284" i="1"/>
  <c r="BA284" i="1" s="1"/>
  <c r="AL284" i="1"/>
  <c r="AF284" i="1"/>
  <c r="AN284" i="1"/>
  <c r="Z284" i="1"/>
  <c r="T284" i="1"/>
  <c r="AB284" i="1"/>
  <c r="AC284" i="1" s="1"/>
  <c r="N284" i="1"/>
  <c r="BC284" i="1"/>
  <c r="H284" i="1"/>
  <c r="P284" i="1"/>
  <c r="Q284" i="1" s="1"/>
  <c r="AX283" i="1"/>
  <c r="AR283" i="1"/>
  <c r="AZ283" i="1"/>
  <c r="BA283" i="1" s="1"/>
  <c r="AL283" i="1"/>
  <c r="AF283" i="1"/>
  <c r="AN283" i="1"/>
  <c r="Z283" i="1"/>
  <c r="T283" i="1"/>
  <c r="AB283" i="1"/>
  <c r="AC283" i="1" s="1"/>
  <c r="N283" i="1"/>
  <c r="BC283" i="1"/>
  <c r="H283" i="1"/>
  <c r="P283" i="1"/>
  <c r="Q283" i="1" s="1"/>
  <c r="AX282" i="1"/>
  <c r="AR282" i="1"/>
  <c r="AZ282" i="1"/>
  <c r="BA282" i="1" s="1"/>
  <c r="AL282" i="1"/>
  <c r="AF282" i="1"/>
  <c r="AN282" i="1"/>
  <c r="Z282" i="1"/>
  <c r="T282" i="1"/>
  <c r="AB282" i="1"/>
  <c r="AC282" i="1" s="1"/>
  <c r="N282" i="1"/>
  <c r="BC282" i="1"/>
  <c r="H282" i="1"/>
  <c r="P282" i="1"/>
  <c r="Q282" i="1" s="1"/>
  <c r="AX281" i="1"/>
  <c r="AR281" i="1"/>
  <c r="AZ281" i="1"/>
  <c r="BA281" i="1" s="1"/>
  <c r="AL281" i="1"/>
  <c r="AF281" i="1"/>
  <c r="AN281" i="1"/>
  <c r="Z281" i="1"/>
  <c r="T281" i="1"/>
  <c r="AB281" i="1"/>
  <c r="AC281" i="1" s="1"/>
  <c r="N281" i="1"/>
  <c r="BC281" i="1"/>
  <c r="H281" i="1"/>
  <c r="P281" i="1"/>
  <c r="Q281" i="1" s="1"/>
  <c r="AX280" i="1"/>
  <c r="AR280" i="1"/>
  <c r="AZ280" i="1"/>
  <c r="AL280" i="1"/>
  <c r="AF280" i="1"/>
  <c r="AN280" i="1"/>
  <c r="Z280" i="1"/>
  <c r="T280" i="1"/>
  <c r="AB280" i="1"/>
  <c r="AC280" i="1" s="1"/>
  <c r="N280" i="1"/>
  <c r="BC280" i="1"/>
  <c r="H280" i="1"/>
  <c r="P280" i="1"/>
  <c r="Q280" i="1" s="1"/>
  <c r="AX279" i="1"/>
  <c r="AR279" i="1"/>
  <c r="AZ279" i="1"/>
  <c r="BA279" i="1" s="1"/>
  <c r="AL279" i="1"/>
  <c r="AF279" i="1"/>
  <c r="AN279" i="1"/>
  <c r="Z279" i="1"/>
  <c r="T279" i="1"/>
  <c r="AB279" i="1"/>
  <c r="AC279" i="1" s="1"/>
  <c r="N279" i="1"/>
  <c r="BC279" i="1"/>
  <c r="H279" i="1"/>
  <c r="P279" i="1"/>
  <c r="Q279" i="1" s="1"/>
  <c r="AX278" i="1"/>
  <c r="AR278" i="1"/>
  <c r="AZ278" i="1"/>
  <c r="BA278" i="1" s="1"/>
  <c r="AL278" i="1"/>
  <c r="AF278" i="1"/>
  <c r="AN278" i="1"/>
  <c r="Z278" i="1"/>
  <c r="T278" i="1"/>
  <c r="AB278" i="1"/>
  <c r="AC278" i="1" s="1"/>
  <c r="N278" i="1"/>
  <c r="BC278" i="1"/>
  <c r="H278" i="1"/>
  <c r="P278" i="1"/>
  <c r="Q278" i="1" s="1"/>
  <c r="AX277" i="1"/>
  <c r="AR277" i="1"/>
  <c r="AZ277" i="1"/>
  <c r="BA277" i="1" s="1"/>
  <c r="AL277" i="1"/>
  <c r="AF277" i="1"/>
  <c r="AN277" i="1"/>
  <c r="Z277" i="1"/>
  <c r="T277" i="1"/>
  <c r="AB277" i="1"/>
  <c r="AC277" i="1" s="1"/>
  <c r="N277" i="1"/>
  <c r="BC277" i="1"/>
  <c r="H277" i="1"/>
  <c r="P277" i="1"/>
  <c r="Q277" i="1" s="1"/>
  <c r="BE275" i="1"/>
  <c r="AW275" i="1"/>
  <c r="AX276" i="1"/>
  <c r="AS275" i="1"/>
  <c r="AQ275" i="1"/>
  <c r="AR276" i="1"/>
  <c r="AZ276" i="1"/>
  <c r="AK275" i="1"/>
  <c r="AL276" i="1"/>
  <c r="AG275" i="1"/>
  <c r="AE275" i="1"/>
  <c r="AF276" i="1"/>
  <c r="AN276" i="1"/>
  <c r="Y275" i="1"/>
  <c r="Z276" i="1"/>
  <c r="U275" i="1"/>
  <c r="S275" i="1"/>
  <c r="T276" i="1"/>
  <c r="AB276" i="1"/>
  <c r="M275" i="1"/>
  <c r="N276" i="1"/>
  <c r="I275" i="1"/>
  <c r="G275" i="1"/>
  <c r="BC276" i="1"/>
  <c r="H276" i="1"/>
  <c r="P276" i="1"/>
  <c r="E275" i="1"/>
  <c r="BE208" i="1"/>
  <c r="BE272" i="1" s="1"/>
  <c r="BE273" i="1"/>
  <c r="AX209" i="1"/>
  <c r="AW208" i="1"/>
  <c r="AW273" i="1"/>
  <c r="AS208" i="1"/>
  <c r="AS272" i="1" s="1"/>
  <c r="AS273" i="1"/>
  <c r="AR209" i="1"/>
  <c r="AZ209" i="1"/>
  <c r="AQ208" i="1"/>
  <c r="AQ273" i="1"/>
  <c r="AL209" i="1"/>
  <c r="AK208" i="1"/>
  <c r="AK273" i="1"/>
  <c r="AG208" i="1"/>
  <c r="AG272" i="1" s="1"/>
  <c r="AG273" i="1"/>
  <c r="AF209" i="1"/>
  <c r="AN209" i="1"/>
  <c r="AE208" i="1"/>
  <c r="AE273" i="1"/>
  <c r="Z209" i="1"/>
  <c r="Y208" i="1"/>
  <c r="Y273" i="1"/>
  <c r="U208" i="1"/>
  <c r="U272" i="1" s="1"/>
  <c r="U273" i="1"/>
  <c r="T209" i="1"/>
  <c r="AB209" i="1"/>
  <c r="S208" i="1"/>
  <c r="S273" i="1"/>
  <c r="N209" i="1"/>
  <c r="M208" i="1"/>
  <c r="M273" i="1"/>
  <c r="I208" i="1"/>
  <c r="I272" i="1" s="1"/>
  <c r="I273" i="1"/>
  <c r="H209" i="1"/>
  <c r="P209" i="1"/>
  <c r="G208" i="1"/>
  <c r="BC209" i="1"/>
  <c r="G273" i="1"/>
  <c r="E208" i="1"/>
  <c r="E272" i="1" s="1"/>
  <c r="E273" i="1"/>
  <c r="BE271" i="1"/>
  <c r="AX207" i="1"/>
  <c r="AW271" i="1"/>
  <c r="AS271" i="1"/>
  <c r="AR207" i="1"/>
  <c r="AZ207" i="1"/>
  <c r="AQ271" i="1"/>
  <c r="AL207" i="1"/>
  <c r="AK271" i="1"/>
  <c r="AG271" i="1"/>
  <c r="AF207" i="1"/>
  <c r="AN207" i="1"/>
  <c r="AE271" i="1"/>
  <c r="Z207" i="1"/>
  <c r="Y271" i="1"/>
  <c r="U271" i="1"/>
  <c r="T207" i="1"/>
  <c r="AB207" i="1"/>
  <c r="S271" i="1"/>
  <c r="N207" i="1"/>
  <c r="M271" i="1"/>
  <c r="I271" i="1"/>
  <c r="H207" i="1"/>
  <c r="P207" i="1"/>
  <c r="BC207" i="1"/>
  <c r="G271" i="1"/>
  <c r="E271" i="1"/>
  <c r="BE270" i="1"/>
  <c r="AX206" i="1"/>
  <c r="AW270" i="1"/>
  <c r="AS270" i="1"/>
  <c r="AR206" i="1"/>
  <c r="AZ206" i="1"/>
  <c r="AQ270" i="1"/>
  <c r="AL206" i="1"/>
  <c r="AK270" i="1"/>
  <c r="AG270" i="1"/>
  <c r="AF206" i="1"/>
  <c r="AN206" i="1"/>
  <c r="AE270" i="1"/>
  <c r="Z206" i="1"/>
  <c r="Y270" i="1"/>
  <c r="U270" i="1"/>
  <c r="T206" i="1"/>
  <c r="AB206" i="1"/>
  <c r="S270" i="1"/>
  <c r="N206" i="1"/>
  <c r="M270" i="1"/>
  <c r="I270" i="1"/>
  <c r="H206" i="1"/>
  <c r="P206" i="1"/>
  <c r="BC206" i="1"/>
  <c r="G270" i="1"/>
  <c r="E270" i="1"/>
  <c r="BE269" i="1"/>
  <c r="AX205" i="1"/>
  <c r="AW269" i="1"/>
  <c r="AS269" i="1"/>
  <c r="AR205" i="1"/>
  <c r="AZ205" i="1"/>
  <c r="AQ269" i="1"/>
  <c r="AL205" i="1"/>
  <c r="AK269" i="1"/>
  <c r="AG269" i="1"/>
  <c r="AF205" i="1"/>
  <c r="AN205" i="1"/>
  <c r="AE269" i="1"/>
  <c r="Z205" i="1"/>
  <c r="Y269" i="1"/>
  <c r="U269" i="1"/>
  <c r="T205" i="1"/>
  <c r="AB205" i="1"/>
  <c r="S269" i="1"/>
  <c r="N205" i="1"/>
  <c r="M269" i="1"/>
  <c r="I269" i="1"/>
  <c r="H205" i="1"/>
  <c r="P205" i="1"/>
  <c r="BC205" i="1"/>
  <c r="G269" i="1"/>
  <c r="E269" i="1"/>
  <c r="BE268" i="1"/>
  <c r="AX204" i="1"/>
  <c r="AW268" i="1"/>
  <c r="AS268" i="1"/>
  <c r="AR204" i="1"/>
  <c r="AZ204" i="1"/>
  <c r="AQ268" i="1"/>
  <c r="AL204" i="1"/>
  <c r="AK268" i="1"/>
  <c r="AG268" i="1"/>
  <c r="AF204" i="1"/>
  <c r="AN204" i="1"/>
  <c r="AE268" i="1"/>
  <c r="Z204" i="1"/>
  <c r="Y268" i="1"/>
  <c r="U268" i="1"/>
  <c r="T204" i="1"/>
  <c r="AB204" i="1"/>
  <c r="S268" i="1"/>
  <c r="N204" i="1"/>
  <c r="M268" i="1"/>
  <c r="I268" i="1"/>
  <c r="H204" i="1"/>
  <c r="P204" i="1"/>
  <c r="BC204" i="1"/>
  <c r="G268" i="1"/>
  <c r="E268" i="1"/>
  <c r="BE267" i="1"/>
  <c r="AX203" i="1"/>
  <c r="AW267" i="1"/>
  <c r="AS267" i="1"/>
  <c r="AR203" i="1"/>
  <c r="AZ203" i="1"/>
  <c r="AQ267" i="1"/>
  <c r="AL203" i="1"/>
  <c r="AK267" i="1"/>
  <c r="AG267" i="1"/>
  <c r="AF203" i="1"/>
  <c r="AN203" i="1"/>
  <c r="AE267" i="1"/>
  <c r="Z203" i="1"/>
  <c r="Y267" i="1"/>
  <c r="U267" i="1"/>
  <c r="T203" i="1"/>
  <c r="AB203" i="1"/>
  <c r="S267" i="1"/>
  <c r="N203" i="1"/>
  <c r="M267" i="1"/>
  <c r="I267" i="1"/>
  <c r="H203" i="1"/>
  <c r="P203" i="1"/>
  <c r="BC203" i="1"/>
  <c r="G267" i="1"/>
  <c r="E267" i="1"/>
  <c r="BE266" i="1"/>
  <c r="AX202" i="1"/>
  <c r="AW266" i="1"/>
  <c r="AS266" i="1"/>
  <c r="AR202" i="1"/>
  <c r="AZ202" i="1"/>
  <c r="AQ266" i="1"/>
  <c r="AL202" i="1"/>
  <c r="AK266" i="1"/>
  <c r="AG266" i="1"/>
  <c r="AF202" i="1"/>
  <c r="AN202" i="1"/>
  <c r="AE266" i="1"/>
  <c r="Z202" i="1"/>
  <c r="Y266" i="1"/>
  <c r="U266" i="1"/>
  <c r="T202" i="1"/>
  <c r="AB202" i="1"/>
  <c r="S266" i="1"/>
  <c r="N202" i="1"/>
  <c r="M266" i="1"/>
  <c r="I266" i="1"/>
  <c r="H202" i="1"/>
  <c r="P202" i="1"/>
  <c r="BC202" i="1"/>
  <c r="G266" i="1"/>
  <c r="E266" i="1"/>
  <c r="BE265" i="1"/>
  <c r="AX201" i="1"/>
  <c r="AW265" i="1"/>
  <c r="AS265" i="1"/>
  <c r="AR201" i="1"/>
  <c r="AZ201" i="1"/>
  <c r="AQ265" i="1"/>
  <c r="AL201" i="1"/>
  <c r="AK265" i="1"/>
  <c r="AG265" i="1"/>
  <c r="AF201" i="1"/>
  <c r="AN201" i="1"/>
  <c r="AE265" i="1"/>
  <c r="Z201" i="1"/>
  <c r="Y265" i="1"/>
  <c r="U265" i="1"/>
  <c r="T201" i="1"/>
  <c r="AB201" i="1"/>
  <c r="S265" i="1"/>
  <c r="N201" i="1"/>
  <c r="M265" i="1"/>
  <c r="I265" i="1"/>
  <c r="H201" i="1"/>
  <c r="P201" i="1"/>
  <c r="BC201" i="1"/>
  <c r="G265" i="1"/>
  <c r="E265" i="1"/>
  <c r="BE264" i="1"/>
  <c r="AX200" i="1"/>
  <c r="AW264" i="1"/>
  <c r="AS264" i="1"/>
  <c r="AR200" i="1"/>
  <c r="AZ200" i="1"/>
  <c r="AQ264" i="1"/>
  <c r="AL200" i="1"/>
  <c r="AK264" i="1"/>
  <c r="AG264" i="1"/>
  <c r="AF200" i="1"/>
  <c r="AN200" i="1"/>
  <c r="AE264" i="1"/>
  <c r="Z200" i="1"/>
  <c r="Y264" i="1"/>
  <c r="U264" i="1"/>
  <c r="T200" i="1"/>
  <c r="AB200" i="1"/>
  <c r="S264" i="1"/>
  <c r="N200" i="1"/>
  <c r="M264" i="1"/>
  <c r="I264" i="1"/>
  <c r="H200" i="1"/>
  <c r="P200" i="1"/>
  <c r="BC200" i="1"/>
  <c r="G264" i="1"/>
  <c r="E264" i="1"/>
  <c r="BE263" i="1"/>
  <c r="AX199" i="1"/>
  <c r="AW263" i="1"/>
  <c r="AS263" i="1"/>
  <c r="AR199" i="1"/>
  <c r="AZ199" i="1"/>
  <c r="AQ263" i="1"/>
  <c r="AL199" i="1"/>
  <c r="AK263" i="1"/>
  <c r="AG263" i="1"/>
  <c r="AF199" i="1"/>
  <c r="AN199" i="1"/>
  <c r="AE263" i="1"/>
  <c r="Z199" i="1"/>
  <c r="Y263" i="1"/>
  <c r="U263" i="1"/>
  <c r="T199" i="1"/>
  <c r="AB199" i="1"/>
  <c r="S263" i="1"/>
  <c r="N199" i="1"/>
  <c r="M263" i="1"/>
  <c r="I263" i="1"/>
  <c r="H199" i="1"/>
  <c r="P199" i="1"/>
  <c r="BC199" i="1"/>
  <c r="G263" i="1"/>
  <c r="E263" i="1"/>
  <c r="BE262" i="1"/>
  <c r="AX198" i="1"/>
  <c r="AW262" i="1"/>
  <c r="AS262" i="1"/>
  <c r="AR198" i="1"/>
  <c r="AZ198" i="1"/>
  <c r="AQ262" i="1"/>
  <c r="AL198" i="1"/>
  <c r="AK262" i="1"/>
  <c r="AG262" i="1"/>
  <c r="AF198" i="1"/>
  <c r="AN198" i="1"/>
  <c r="AE262" i="1"/>
  <c r="Z198" i="1"/>
  <c r="Y262" i="1"/>
  <c r="U262" i="1"/>
  <c r="T198" i="1"/>
  <c r="AB198" i="1"/>
  <c r="S262" i="1"/>
  <c r="N198" i="1"/>
  <c r="M262" i="1"/>
  <c r="I262" i="1"/>
  <c r="H198" i="1"/>
  <c r="P198" i="1"/>
  <c r="BC198" i="1"/>
  <c r="G262" i="1"/>
  <c r="E262" i="1"/>
  <c r="BE261" i="1"/>
  <c r="AX197" i="1"/>
  <c r="AW261" i="1"/>
  <c r="AS261" i="1"/>
  <c r="AR197" i="1"/>
  <c r="AZ197" i="1"/>
  <c r="AQ261" i="1"/>
  <c r="AL197" i="1"/>
  <c r="AK261" i="1"/>
  <c r="AG261" i="1"/>
  <c r="AF197" i="1"/>
  <c r="AN197" i="1"/>
  <c r="AE261" i="1"/>
  <c r="Z197" i="1"/>
  <c r="Y261" i="1"/>
  <c r="U261" i="1"/>
  <c r="T197" i="1"/>
  <c r="AB197" i="1"/>
  <c r="S261" i="1"/>
  <c r="N197" i="1"/>
  <c r="M261" i="1"/>
  <c r="I261" i="1"/>
  <c r="H197" i="1"/>
  <c r="P197" i="1"/>
  <c r="BC197" i="1"/>
  <c r="G261" i="1"/>
  <c r="E261" i="1"/>
  <c r="BE260" i="1"/>
  <c r="AX196" i="1"/>
  <c r="AW260" i="1"/>
  <c r="AS260" i="1"/>
  <c r="AR196" i="1"/>
  <c r="AZ196" i="1"/>
  <c r="AQ260" i="1"/>
  <c r="AL196" i="1"/>
  <c r="AK260" i="1"/>
  <c r="AG260" i="1"/>
  <c r="AF196" i="1"/>
  <c r="AN196" i="1"/>
  <c r="AE260" i="1"/>
  <c r="Z196" i="1"/>
  <c r="Y260" i="1"/>
  <c r="U260" i="1"/>
  <c r="T196" i="1"/>
  <c r="AB196" i="1"/>
  <c r="S260" i="1"/>
  <c r="N196" i="1"/>
  <c r="M260" i="1"/>
  <c r="I260" i="1"/>
  <c r="H196" i="1"/>
  <c r="P196" i="1"/>
  <c r="BC196" i="1"/>
  <c r="G260" i="1"/>
  <c r="E260" i="1"/>
  <c r="BE259" i="1"/>
  <c r="AX195" i="1"/>
  <c r="AW259" i="1"/>
  <c r="AS259" i="1"/>
  <c r="AR195" i="1"/>
  <c r="AZ195" i="1"/>
  <c r="AQ259" i="1"/>
  <c r="AL195" i="1"/>
  <c r="AK259" i="1"/>
  <c r="AG259" i="1"/>
  <c r="AF195" i="1"/>
  <c r="AN195" i="1"/>
  <c r="AE259" i="1"/>
  <c r="Z195" i="1"/>
  <c r="Y259" i="1"/>
  <c r="U259" i="1"/>
  <c r="T195" i="1"/>
  <c r="AB195" i="1"/>
  <c r="S259" i="1"/>
  <c r="N195" i="1"/>
  <c r="M259" i="1"/>
  <c r="I259" i="1"/>
  <c r="H195" i="1"/>
  <c r="P195" i="1"/>
  <c r="BC195" i="1"/>
  <c r="G259" i="1"/>
  <c r="E259" i="1"/>
  <c r="BE258" i="1"/>
  <c r="AX194" i="1"/>
  <c r="AW258" i="1"/>
  <c r="AS258" i="1"/>
  <c r="AR194" i="1"/>
  <c r="AZ194" i="1"/>
  <c r="AQ258" i="1"/>
  <c r="AL194" i="1"/>
  <c r="AK258" i="1"/>
  <c r="AG258" i="1"/>
  <c r="AF194" i="1"/>
  <c r="AN194" i="1"/>
  <c r="AE258" i="1"/>
  <c r="Z194" i="1"/>
  <c r="Y258" i="1"/>
  <c r="U258" i="1"/>
  <c r="T194" i="1"/>
  <c r="AB194" i="1"/>
  <c r="S258" i="1"/>
  <c r="N194" i="1"/>
  <c r="M258" i="1"/>
  <c r="I258" i="1"/>
  <c r="H194" i="1"/>
  <c r="P194" i="1"/>
  <c r="BC194" i="1"/>
  <c r="G258" i="1"/>
  <c r="E258" i="1"/>
  <c r="BE257" i="1"/>
  <c r="AX193" i="1"/>
  <c r="AW257" i="1"/>
  <c r="AS257" i="1"/>
  <c r="AR193" i="1"/>
  <c r="AZ193" i="1"/>
  <c r="AQ257" i="1"/>
  <c r="AL193" i="1"/>
  <c r="AK257" i="1"/>
  <c r="AG257" i="1"/>
  <c r="AF193" i="1"/>
  <c r="AN193" i="1"/>
  <c r="AE257" i="1"/>
  <c r="Z193" i="1"/>
  <c r="Y257" i="1"/>
  <c r="U257" i="1"/>
  <c r="T193" i="1"/>
  <c r="AB193" i="1"/>
  <c r="S257" i="1"/>
  <c r="N193" i="1"/>
  <c r="M257" i="1"/>
  <c r="I257" i="1"/>
  <c r="H193" i="1"/>
  <c r="P193" i="1"/>
  <c r="BC193" i="1"/>
  <c r="G257" i="1"/>
  <c r="E257" i="1"/>
  <c r="BE256" i="1"/>
  <c r="AX192" i="1"/>
  <c r="AW256" i="1"/>
  <c r="AS256" i="1"/>
  <c r="AR192" i="1"/>
  <c r="AZ192" i="1"/>
  <c r="AQ256" i="1"/>
  <c r="AL192" i="1"/>
  <c r="AK256" i="1"/>
  <c r="AG256" i="1"/>
  <c r="AF192" i="1"/>
  <c r="AN192" i="1"/>
  <c r="AE256" i="1"/>
  <c r="Z192" i="1"/>
  <c r="Y256" i="1"/>
  <c r="U256" i="1"/>
  <c r="T192" i="1"/>
  <c r="AB192" i="1"/>
  <c r="S256" i="1"/>
  <c r="N192" i="1"/>
  <c r="M256" i="1"/>
  <c r="I256" i="1"/>
  <c r="H192" i="1"/>
  <c r="P192" i="1"/>
  <c r="BC192" i="1"/>
  <c r="G256" i="1"/>
  <c r="E256" i="1"/>
  <c r="BE255" i="1"/>
  <c r="AX191" i="1"/>
  <c r="AW255" i="1"/>
  <c r="AS255" i="1"/>
  <c r="AR191" i="1"/>
  <c r="AZ191" i="1"/>
  <c r="AQ255" i="1"/>
  <c r="AL191" i="1"/>
  <c r="AK255" i="1"/>
  <c r="AG255" i="1"/>
  <c r="AF191" i="1"/>
  <c r="AN191" i="1"/>
  <c r="AE255" i="1"/>
  <c r="Z191" i="1"/>
  <c r="Y255" i="1"/>
  <c r="U255" i="1"/>
  <c r="T191" i="1"/>
  <c r="AB191" i="1"/>
  <c r="S255" i="1"/>
  <c r="N191" i="1"/>
  <c r="M255" i="1"/>
  <c r="I255" i="1"/>
  <c r="H191" i="1"/>
  <c r="P191" i="1"/>
  <c r="BC191" i="1"/>
  <c r="G255" i="1"/>
  <c r="E255" i="1"/>
  <c r="BE189" i="1"/>
  <c r="BE253" i="1" s="1"/>
  <c r="BE254" i="1"/>
  <c r="AX190" i="1"/>
  <c r="AW189" i="1"/>
  <c r="AW254" i="1"/>
  <c r="AS189" i="1"/>
  <c r="AS253" i="1" s="1"/>
  <c r="AS254" i="1"/>
  <c r="AR190" i="1"/>
  <c r="AZ190" i="1"/>
  <c r="AQ189" i="1"/>
  <c r="AQ254" i="1"/>
  <c r="AL190" i="1"/>
  <c r="AK189" i="1"/>
  <c r="AK254" i="1"/>
  <c r="AG189" i="1"/>
  <c r="AG253" i="1" s="1"/>
  <c r="AG254" i="1"/>
  <c r="AF190" i="1"/>
  <c r="AN190" i="1"/>
  <c r="AE189" i="1"/>
  <c r="AE254" i="1"/>
  <c r="Z190" i="1"/>
  <c r="Y189" i="1"/>
  <c r="Y254" i="1"/>
  <c r="U189" i="1"/>
  <c r="U253" i="1" s="1"/>
  <c r="U254" i="1"/>
  <c r="T190" i="1"/>
  <c r="AB190" i="1"/>
  <c r="S189" i="1"/>
  <c r="S254" i="1"/>
  <c r="N190" i="1"/>
  <c r="M189" i="1"/>
  <c r="M254" i="1"/>
  <c r="I189" i="1"/>
  <c r="I253" i="1" s="1"/>
  <c r="I254" i="1"/>
  <c r="H190" i="1"/>
  <c r="P190" i="1"/>
  <c r="G189" i="1"/>
  <c r="BC190" i="1"/>
  <c r="G254" i="1"/>
  <c r="E189" i="1"/>
  <c r="E253" i="1" s="1"/>
  <c r="E254" i="1"/>
  <c r="BE252" i="1"/>
  <c r="AX188" i="1"/>
  <c r="AW252" i="1"/>
  <c r="AS252" i="1"/>
  <c r="AR188" i="1"/>
  <c r="AZ188" i="1"/>
  <c r="AQ252" i="1"/>
  <c r="AL188" i="1"/>
  <c r="AK252" i="1"/>
  <c r="AG252" i="1"/>
  <c r="AF188" i="1"/>
  <c r="AN188" i="1"/>
  <c r="AE252" i="1"/>
  <c r="Z188" i="1"/>
  <c r="Y252" i="1"/>
  <c r="U252" i="1"/>
  <c r="T188" i="1"/>
  <c r="AB188" i="1"/>
  <c r="S252" i="1"/>
  <c r="N188" i="1"/>
  <c r="M252" i="1"/>
  <c r="I252" i="1"/>
  <c r="H188" i="1"/>
  <c r="P188" i="1"/>
  <c r="BC188" i="1"/>
  <c r="G252" i="1"/>
  <c r="E252" i="1"/>
  <c r="BE251" i="1"/>
  <c r="AX187" i="1"/>
  <c r="AW251" i="1"/>
  <c r="AS251" i="1"/>
  <c r="AR187" i="1"/>
  <c r="AZ187" i="1"/>
  <c r="AQ251" i="1"/>
  <c r="AL187" i="1"/>
  <c r="AK251" i="1"/>
  <c r="AG251" i="1"/>
  <c r="AF187" i="1"/>
  <c r="AN187" i="1"/>
  <c r="AE251" i="1"/>
  <c r="Z187" i="1"/>
  <c r="Y251" i="1"/>
  <c r="U251" i="1"/>
  <c r="T187" i="1"/>
  <c r="AB187" i="1"/>
  <c r="S251" i="1"/>
  <c r="N187" i="1"/>
  <c r="M251" i="1"/>
  <c r="I251" i="1"/>
  <c r="H187" i="1"/>
  <c r="P187" i="1"/>
  <c r="BC187" i="1"/>
  <c r="G251" i="1"/>
  <c r="E251" i="1"/>
  <c r="BE250" i="1"/>
  <c r="AX186" i="1"/>
  <c r="AW250" i="1"/>
  <c r="AS250" i="1"/>
  <c r="AR186" i="1"/>
  <c r="AZ186" i="1"/>
  <c r="AQ250" i="1"/>
  <c r="AL186" i="1"/>
  <c r="AK250" i="1"/>
  <c r="AG250" i="1"/>
  <c r="AF186" i="1"/>
  <c r="AN186" i="1"/>
  <c r="AE250" i="1"/>
  <c r="Z186" i="1"/>
  <c r="Y250" i="1"/>
  <c r="U250" i="1"/>
  <c r="T186" i="1"/>
  <c r="AB186" i="1"/>
  <c r="S250" i="1"/>
  <c r="N186" i="1"/>
  <c r="M250" i="1"/>
  <c r="I250" i="1"/>
  <c r="H186" i="1"/>
  <c r="P186" i="1"/>
  <c r="BC186" i="1"/>
  <c r="G250" i="1"/>
  <c r="E250" i="1"/>
  <c r="BE249" i="1"/>
  <c r="AX185" i="1"/>
  <c r="AW249" i="1"/>
  <c r="AS249" i="1"/>
  <c r="AR185" i="1"/>
  <c r="AZ185" i="1"/>
  <c r="AQ249" i="1"/>
  <c r="AL185" i="1"/>
  <c r="AK249" i="1"/>
  <c r="AG249" i="1"/>
  <c r="AF185" i="1"/>
  <c r="AN185" i="1"/>
  <c r="AE249" i="1"/>
  <c r="Z185" i="1"/>
  <c r="Y249" i="1"/>
  <c r="U249" i="1"/>
  <c r="T185" i="1"/>
  <c r="AB185" i="1"/>
  <c r="S249" i="1"/>
  <c r="N185" i="1"/>
  <c r="M249" i="1"/>
  <c r="I249" i="1"/>
  <c r="H185" i="1"/>
  <c r="P185" i="1"/>
  <c r="BC185" i="1"/>
  <c r="G249" i="1"/>
  <c r="E249" i="1"/>
  <c r="BE248" i="1"/>
  <c r="AX184" i="1"/>
  <c r="AW248" i="1"/>
  <c r="AS248" i="1"/>
  <c r="AR184" i="1"/>
  <c r="AZ184" i="1"/>
  <c r="AQ248" i="1"/>
  <c r="AL184" i="1"/>
  <c r="AK248" i="1"/>
  <c r="AG248" i="1"/>
  <c r="AF184" i="1"/>
  <c r="AN184" i="1"/>
  <c r="AE248" i="1"/>
  <c r="Z184" i="1"/>
  <c r="Y248" i="1"/>
  <c r="U248" i="1"/>
  <c r="T184" i="1"/>
  <c r="AB184" i="1"/>
  <c r="S248" i="1"/>
  <c r="N184" i="1"/>
  <c r="M248" i="1"/>
  <c r="I248" i="1"/>
  <c r="H184" i="1"/>
  <c r="P184" i="1"/>
  <c r="BC184" i="1"/>
  <c r="G248" i="1"/>
  <c r="E248" i="1"/>
  <c r="BE247" i="1"/>
  <c r="AX183" i="1"/>
  <c r="AW247" i="1"/>
  <c r="AS247" i="1"/>
  <c r="AR183" i="1"/>
  <c r="AZ183" i="1"/>
  <c r="AQ247" i="1"/>
  <c r="AL183" i="1"/>
  <c r="AK247" i="1"/>
  <c r="AG247" i="1"/>
  <c r="AF183" i="1"/>
  <c r="AN183" i="1"/>
  <c r="AE247" i="1"/>
  <c r="Z183" i="1"/>
  <c r="Y247" i="1"/>
  <c r="U247" i="1"/>
  <c r="T183" i="1"/>
  <c r="AB183" i="1"/>
  <c r="S247" i="1"/>
  <c r="N183" i="1"/>
  <c r="M247" i="1"/>
  <c r="I247" i="1"/>
  <c r="H183" i="1"/>
  <c r="P183" i="1"/>
  <c r="BC183" i="1"/>
  <c r="G247" i="1"/>
  <c r="E247" i="1"/>
  <c r="BE246" i="1"/>
  <c r="AX182" i="1"/>
  <c r="AW246" i="1"/>
  <c r="AS246" i="1"/>
  <c r="AR182" i="1"/>
  <c r="AZ182" i="1"/>
  <c r="AQ246" i="1"/>
  <c r="AL182" i="1"/>
  <c r="AK246" i="1"/>
  <c r="AG246" i="1"/>
  <c r="AF182" i="1"/>
  <c r="AN182" i="1"/>
  <c r="AE246" i="1"/>
  <c r="Z182" i="1"/>
  <c r="Y246" i="1"/>
  <c r="U246" i="1"/>
  <c r="T182" i="1"/>
  <c r="AB182" i="1"/>
  <c r="S246" i="1"/>
  <c r="N182" i="1"/>
  <c r="M246" i="1"/>
  <c r="I246" i="1"/>
  <c r="H182" i="1"/>
  <c r="P182" i="1"/>
  <c r="BC182" i="1"/>
  <c r="G246" i="1"/>
  <c r="E246" i="1"/>
  <c r="BE245" i="1"/>
  <c r="AX181" i="1"/>
  <c r="AW245" i="1"/>
  <c r="AS245" i="1"/>
  <c r="AR181" i="1"/>
  <c r="AZ181" i="1"/>
  <c r="AQ245" i="1"/>
  <c r="AL181" i="1"/>
  <c r="AK245" i="1"/>
  <c r="AG245" i="1"/>
  <c r="AF181" i="1"/>
  <c r="AN181" i="1"/>
  <c r="AE245" i="1"/>
  <c r="Z181" i="1"/>
  <c r="Y245" i="1"/>
  <c r="U245" i="1"/>
  <c r="T181" i="1"/>
  <c r="AB181" i="1"/>
  <c r="S245" i="1"/>
  <c r="N181" i="1"/>
  <c r="M245" i="1"/>
  <c r="I245" i="1"/>
  <c r="H181" i="1"/>
  <c r="P181" i="1"/>
  <c r="BC181" i="1"/>
  <c r="G245" i="1"/>
  <c r="E245" i="1"/>
  <c r="BE179" i="1"/>
  <c r="BE244" i="1"/>
  <c r="AX180" i="1"/>
  <c r="AW179" i="1"/>
  <c r="AW244" i="1"/>
  <c r="AS179" i="1"/>
  <c r="AS244" i="1"/>
  <c r="AR180" i="1"/>
  <c r="AZ180" i="1"/>
  <c r="AQ179" i="1"/>
  <c r="AQ244" i="1"/>
  <c r="AL180" i="1"/>
  <c r="AK179" i="1"/>
  <c r="AK244" i="1"/>
  <c r="AG179" i="1"/>
  <c r="AG244" i="1"/>
  <c r="AF180" i="1"/>
  <c r="AN180" i="1"/>
  <c r="AE179" i="1"/>
  <c r="AE244" i="1"/>
  <c r="Z180" i="1"/>
  <c r="Y179" i="1"/>
  <c r="Y244" i="1"/>
  <c r="U179" i="1"/>
  <c r="U244" i="1"/>
  <c r="T180" i="1"/>
  <c r="AB180" i="1"/>
  <c r="S179" i="1"/>
  <c r="S244" i="1"/>
  <c r="N180" i="1"/>
  <c r="M179" i="1"/>
  <c r="M244" i="1"/>
  <c r="I179" i="1"/>
  <c r="I244" i="1"/>
  <c r="H180" i="1"/>
  <c r="P180" i="1"/>
  <c r="G179" i="1"/>
  <c r="BC180" i="1"/>
  <c r="G244" i="1"/>
  <c r="E179" i="1"/>
  <c r="E244" i="1"/>
  <c r="AX141" i="1"/>
  <c r="AR141" i="1"/>
  <c r="AZ141" i="1"/>
  <c r="AL141" i="1"/>
  <c r="AF141" i="1"/>
  <c r="AN141" i="1"/>
  <c r="Z141" i="1"/>
  <c r="T141" i="1"/>
  <c r="AB141" i="1"/>
  <c r="N141" i="1"/>
  <c r="H141" i="1"/>
  <c r="P141" i="1"/>
  <c r="BC141" i="1"/>
  <c r="AX140" i="1"/>
  <c r="AR140" i="1"/>
  <c r="AZ140" i="1"/>
  <c r="AL140" i="1"/>
  <c r="AF140" i="1"/>
  <c r="AN140" i="1"/>
  <c r="Z140" i="1"/>
  <c r="T140" i="1"/>
  <c r="AB140" i="1"/>
  <c r="N140" i="1"/>
  <c r="H140" i="1"/>
  <c r="P140" i="1"/>
  <c r="BC140" i="1"/>
  <c r="AX139" i="1"/>
  <c r="AR139" i="1"/>
  <c r="AZ139" i="1"/>
  <c r="AL139" i="1"/>
  <c r="AF139" i="1"/>
  <c r="AN139" i="1"/>
  <c r="Z139" i="1"/>
  <c r="T139" i="1"/>
  <c r="AB139" i="1"/>
  <c r="N139" i="1"/>
  <c r="H139" i="1"/>
  <c r="P139" i="1"/>
  <c r="BC139" i="1"/>
  <c r="AX138" i="1"/>
  <c r="AR138" i="1"/>
  <c r="AZ138" i="1"/>
  <c r="AZ137" i="1" s="1"/>
  <c r="AL138" i="1"/>
  <c r="AF138" i="1"/>
  <c r="AN138" i="1"/>
  <c r="Z138" i="1"/>
  <c r="T138" i="1"/>
  <c r="AB138" i="1"/>
  <c r="AB137" i="1" s="1"/>
  <c r="N138" i="1"/>
  <c r="H138" i="1"/>
  <c r="P138" i="1"/>
  <c r="BC138" i="1"/>
  <c r="BC137" i="1" s="1"/>
  <c r="BE135" i="1"/>
  <c r="BE584" i="1" s="1"/>
  <c r="BE585" i="1"/>
  <c r="AW135" i="1"/>
  <c r="AX136" i="1"/>
  <c r="AW585" i="1"/>
  <c r="AV208" i="1"/>
  <c r="AV272" i="1" s="1"/>
  <c r="AV273" i="1"/>
  <c r="AT208" i="1"/>
  <c r="AU209" i="1"/>
  <c r="AT273" i="1"/>
  <c r="AP208" i="1"/>
  <c r="AP272" i="1" s="1"/>
  <c r="AY209" i="1"/>
  <c r="AP273" i="1"/>
  <c r="AJ208" i="1"/>
  <c r="AJ272" i="1" s="1"/>
  <c r="AJ273" i="1"/>
  <c r="AH208" i="1"/>
  <c r="AI209" i="1"/>
  <c r="AH273" i="1"/>
  <c r="AI273" i="1" s="1"/>
  <c r="AD208" i="1"/>
  <c r="AD272" i="1" s="1"/>
  <c r="AM209" i="1"/>
  <c r="AD273" i="1"/>
  <c r="X208" i="1"/>
  <c r="X272" i="1" s="1"/>
  <c r="X273" i="1"/>
  <c r="V208" i="1"/>
  <c r="W209" i="1"/>
  <c r="V273" i="1"/>
  <c r="R208" i="1"/>
  <c r="R272" i="1" s="1"/>
  <c r="AA209" i="1"/>
  <c r="R273" i="1"/>
  <c r="L208" i="1"/>
  <c r="L272" i="1" s="1"/>
  <c r="L273" i="1"/>
  <c r="J208" i="1"/>
  <c r="K209" i="1"/>
  <c r="J273" i="1"/>
  <c r="K273" i="1" s="1"/>
  <c r="F208" i="1"/>
  <c r="F272" i="1" s="1"/>
  <c r="BB209" i="1"/>
  <c r="BG209" i="1" s="1"/>
  <c r="O209" i="1"/>
  <c r="F273" i="1"/>
  <c r="D208" i="1"/>
  <c r="D272" i="1" s="1"/>
  <c r="D273" i="1"/>
  <c r="AV271" i="1"/>
  <c r="AU207" i="1"/>
  <c r="AT271" i="1"/>
  <c r="AU271" i="1" s="1"/>
  <c r="AY207" i="1"/>
  <c r="AY271" i="1" s="1"/>
  <c r="AP271" i="1"/>
  <c r="AJ271" i="1"/>
  <c r="AI207" i="1"/>
  <c r="AH271" i="1"/>
  <c r="AM207" i="1"/>
  <c r="AM271" i="1" s="1"/>
  <c r="AD271" i="1"/>
  <c r="X271" i="1"/>
  <c r="W207" i="1"/>
  <c r="V271" i="1"/>
  <c r="W271" i="1" s="1"/>
  <c r="AA207" i="1"/>
  <c r="AA271" i="1" s="1"/>
  <c r="R271" i="1"/>
  <c r="L271" i="1"/>
  <c r="K207" i="1"/>
  <c r="J271" i="1"/>
  <c r="BB207" i="1"/>
  <c r="BG207" i="1" s="1"/>
  <c r="BG271" i="1" s="1"/>
  <c r="O207" i="1"/>
  <c r="O271" i="1" s="1"/>
  <c r="F271" i="1"/>
  <c r="D271" i="1"/>
  <c r="AV270" i="1"/>
  <c r="AU206" i="1"/>
  <c r="AT270" i="1"/>
  <c r="AY206" i="1"/>
  <c r="AY270" i="1" s="1"/>
  <c r="AP270" i="1"/>
  <c r="AJ270" i="1"/>
  <c r="AI206" i="1"/>
  <c r="AH270" i="1"/>
  <c r="AI270" i="1" s="1"/>
  <c r="AM206" i="1"/>
  <c r="AM270" i="1" s="1"/>
  <c r="AD270" i="1"/>
  <c r="X270" i="1"/>
  <c r="W206" i="1"/>
  <c r="V270" i="1"/>
  <c r="AA206" i="1"/>
  <c r="AA270" i="1" s="1"/>
  <c r="R270" i="1"/>
  <c r="L270" i="1"/>
  <c r="K206" i="1"/>
  <c r="J270" i="1"/>
  <c r="K270" i="1" s="1"/>
  <c r="BB206" i="1"/>
  <c r="BG206" i="1" s="1"/>
  <c r="BG270" i="1" s="1"/>
  <c r="O206" i="1"/>
  <c r="O270" i="1" s="1"/>
  <c r="F270" i="1"/>
  <c r="D270" i="1"/>
  <c r="AV269" i="1"/>
  <c r="AU205" i="1"/>
  <c r="AT269" i="1"/>
  <c r="AU269" i="1" s="1"/>
  <c r="AY205" i="1"/>
  <c r="AY269" i="1" s="1"/>
  <c r="AP269" i="1"/>
  <c r="AJ269" i="1"/>
  <c r="AI205" i="1"/>
  <c r="AH269" i="1"/>
  <c r="AM205" i="1"/>
  <c r="AM269" i="1" s="1"/>
  <c r="AD269" i="1"/>
  <c r="X269" i="1"/>
  <c r="W205" i="1"/>
  <c r="V269" i="1"/>
  <c r="AA205" i="1"/>
  <c r="AA269" i="1" s="1"/>
  <c r="R269" i="1"/>
  <c r="L269" i="1"/>
  <c r="K205" i="1"/>
  <c r="J269" i="1"/>
  <c r="BB205" i="1"/>
  <c r="BG205" i="1" s="1"/>
  <c r="O205" i="1"/>
  <c r="O269" i="1" s="1"/>
  <c r="F269" i="1"/>
  <c r="D269" i="1"/>
  <c r="AV268" i="1"/>
  <c r="AU204" i="1"/>
  <c r="AT268" i="1"/>
  <c r="AY204" i="1"/>
  <c r="AY268" i="1" s="1"/>
  <c r="AP268" i="1"/>
  <c r="AJ268" i="1"/>
  <c r="AI204" i="1"/>
  <c r="AH268" i="1"/>
  <c r="AI268" i="1" s="1"/>
  <c r="AM204" i="1"/>
  <c r="AM268" i="1" s="1"/>
  <c r="AD268" i="1"/>
  <c r="X268" i="1"/>
  <c r="W204" i="1"/>
  <c r="V268" i="1"/>
  <c r="AA204" i="1"/>
  <c r="AA268" i="1" s="1"/>
  <c r="R268" i="1"/>
  <c r="L268" i="1"/>
  <c r="K204" i="1"/>
  <c r="J268" i="1"/>
  <c r="K268" i="1" s="1"/>
  <c r="BB204" i="1"/>
  <c r="BG204" i="1" s="1"/>
  <c r="BG268" i="1" s="1"/>
  <c r="O204" i="1"/>
  <c r="O268" i="1" s="1"/>
  <c r="F268" i="1"/>
  <c r="D268" i="1"/>
  <c r="AV267" i="1"/>
  <c r="AU203" i="1"/>
  <c r="AT267" i="1"/>
  <c r="AU267" i="1" s="1"/>
  <c r="AY203" i="1"/>
  <c r="AY267" i="1" s="1"/>
  <c r="AP267" i="1"/>
  <c r="AJ267" i="1"/>
  <c r="AI203" i="1"/>
  <c r="AH267" i="1"/>
  <c r="AM203" i="1"/>
  <c r="AM267" i="1" s="1"/>
  <c r="AD267" i="1"/>
  <c r="X267" i="1"/>
  <c r="W203" i="1"/>
  <c r="V267" i="1"/>
  <c r="W267" i="1" s="1"/>
  <c r="AA203" i="1"/>
  <c r="AA267" i="1" s="1"/>
  <c r="R267" i="1"/>
  <c r="L267" i="1"/>
  <c r="K203" i="1"/>
  <c r="J267" i="1"/>
  <c r="BB203" i="1"/>
  <c r="BG203" i="1" s="1"/>
  <c r="BG267" i="1" s="1"/>
  <c r="O203" i="1"/>
  <c r="O267" i="1" s="1"/>
  <c r="F267" i="1"/>
  <c r="D267" i="1"/>
  <c r="AV266" i="1"/>
  <c r="AU202" i="1"/>
  <c r="AT266" i="1"/>
  <c r="AY202" i="1"/>
  <c r="AY266" i="1" s="1"/>
  <c r="AP266" i="1"/>
  <c r="AJ266" i="1"/>
  <c r="AI202" i="1"/>
  <c r="AH266" i="1"/>
  <c r="AI266" i="1" s="1"/>
  <c r="AM202" i="1"/>
  <c r="AM266" i="1" s="1"/>
  <c r="AD266" i="1"/>
  <c r="X266" i="1"/>
  <c r="W202" i="1"/>
  <c r="V266" i="1"/>
  <c r="AA202" i="1"/>
  <c r="AA266" i="1" s="1"/>
  <c r="R266" i="1"/>
  <c r="L266" i="1"/>
  <c r="K202" i="1"/>
  <c r="J266" i="1"/>
  <c r="K266" i="1" s="1"/>
  <c r="BB202" i="1"/>
  <c r="BG202" i="1" s="1"/>
  <c r="BG266" i="1" s="1"/>
  <c r="O202" i="1"/>
  <c r="O266" i="1" s="1"/>
  <c r="F266" i="1"/>
  <c r="D266" i="1"/>
  <c r="AV265" i="1"/>
  <c r="AU201" i="1"/>
  <c r="AT265" i="1"/>
  <c r="AU265" i="1" s="1"/>
  <c r="AY201" i="1"/>
  <c r="AY265" i="1" s="1"/>
  <c r="AP265" i="1"/>
  <c r="AJ265" i="1"/>
  <c r="AI201" i="1"/>
  <c r="AH265" i="1"/>
  <c r="AM201" i="1"/>
  <c r="AM265" i="1" s="1"/>
  <c r="AD265" i="1"/>
  <c r="X265" i="1"/>
  <c r="W201" i="1"/>
  <c r="V265" i="1"/>
  <c r="AA201" i="1"/>
  <c r="AA265" i="1" s="1"/>
  <c r="R265" i="1"/>
  <c r="L265" i="1"/>
  <c r="K201" i="1"/>
  <c r="J265" i="1"/>
  <c r="BB201" i="1"/>
  <c r="BG201" i="1" s="1"/>
  <c r="O201" i="1"/>
  <c r="O265" i="1" s="1"/>
  <c r="F265" i="1"/>
  <c r="D265" i="1"/>
  <c r="AV264" i="1"/>
  <c r="AU200" i="1"/>
  <c r="AT264" i="1"/>
  <c r="AY200" i="1"/>
  <c r="AY264" i="1" s="1"/>
  <c r="AP264" i="1"/>
  <c r="AJ264" i="1"/>
  <c r="AI200" i="1"/>
  <c r="AH264" i="1"/>
  <c r="AI264" i="1" s="1"/>
  <c r="AM200" i="1"/>
  <c r="AM264" i="1" s="1"/>
  <c r="AD264" i="1"/>
  <c r="X264" i="1"/>
  <c r="W200" i="1"/>
  <c r="V264" i="1"/>
  <c r="AA200" i="1"/>
  <c r="AA264" i="1" s="1"/>
  <c r="R264" i="1"/>
  <c r="L264" i="1"/>
  <c r="K200" i="1"/>
  <c r="J264" i="1"/>
  <c r="K264" i="1" s="1"/>
  <c r="BB200" i="1"/>
  <c r="BG200" i="1" s="1"/>
  <c r="BG264" i="1" s="1"/>
  <c r="O200" i="1"/>
  <c r="O264" i="1" s="1"/>
  <c r="F264" i="1"/>
  <c r="D264" i="1"/>
  <c r="AV263" i="1"/>
  <c r="AU199" i="1"/>
  <c r="AT263" i="1"/>
  <c r="AU263" i="1" s="1"/>
  <c r="AY199" i="1"/>
  <c r="AY263" i="1" s="1"/>
  <c r="AP263" i="1"/>
  <c r="AJ263" i="1"/>
  <c r="AI199" i="1"/>
  <c r="AH263" i="1"/>
  <c r="AM199" i="1"/>
  <c r="AM263" i="1" s="1"/>
  <c r="AD263" i="1"/>
  <c r="X263" i="1"/>
  <c r="W199" i="1"/>
  <c r="V263" i="1"/>
  <c r="W263" i="1" s="1"/>
  <c r="AA199" i="1"/>
  <c r="AA263" i="1" s="1"/>
  <c r="R263" i="1"/>
  <c r="L263" i="1"/>
  <c r="K199" i="1"/>
  <c r="J263" i="1"/>
  <c r="BB199" i="1"/>
  <c r="BG199" i="1" s="1"/>
  <c r="BG263" i="1" s="1"/>
  <c r="O199" i="1"/>
  <c r="O263" i="1" s="1"/>
  <c r="F263" i="1"/>
  <c r="D263" i="1"/>
  <c r="AV262" i="1"/>
  <c r="AU198" i="1"/>
  <c r="AT262" i="1"/>
  <c r="AY198" i="1"/>
  <c r="AY262" i="1" s="1"/>
  <c r="AP262" i="1"/>
  <c r="AJ262" i="1"/>
  <c r="AI198" i="1"/>
  <c r="AH262" i="1"/>
  <c r="AM198" i="1"/>
  <c r="AM262" i="1" s="1"/>
  <c r="AD262" i="1"/>
  <c r="X262" i="1"/>
  <c r="W198" i="1"/>
  <c r="V262" i="1"/>
  <c r="AA198" i="1"/>
  <c r="AA262" i="1" s="1"/>
  <c r="R262" i="1"/>
  <c r="L262" i="1"/>
  <c r="K198" i="1"/>
  <c r="J262" i="1"/>
  <c r="K262" i="1" s="1"/>
  <c r="BB198" i="1"/>
  <c r="BG198" i="1" s="1"/>
  <c r="BG262" i="1" s="1"/>
  <c r="O198" i="1"/>
  <c r="O262" i="1" s="1"/>
  <c r="F262" i="1"/>
  <c r="D262" i="1"/>
  <c r="AV261" i="1"/>
  <c r="AU197" i="1"/>
  <c r="AT261" i="1"/>
  <c r="AU261" i="1" s="1"/>
  <c r="AY197" i="1"/>
  <c r="AY261" i="1" s="1"/>
  <c r="AP261" i="1"/>
  <c r="AJ261" i="1"/>
  <c r="AI197" i="1"/>
  <c r="AH261" i="1"/>
  <c r="AM197" i="1"/>
  <c r="AM261" i="1" s="1"/>
  <c r="AD261" i="1"/>
  <c r="X261" i="1"/>
  <c r="W197" i="1"/>
  <c r="V261" i="1"/>
  <c r="AA197" i="1"/>
  <c r="AA261" i="1" s="1"/>
  <c r="R261" i="1"/>
  <c r="L261" i="1"/>
  <c r="K197" i="1"/>
  <c r="J261" i="1"/>
  <c r="BB197" i="1"/>
  <c r="BG197" i="1" s="1"/>
  <c r="O197" i="1"/>
  <c r="O261" i="1" s="1"/>
  <c r="F261" i="1"/>
  <c r="D261" i="1"/>
  <c r="AV260" i="1"/>
  <c r="AU196" i="1"/>
  <c r="AT260" i="1"/>
  <c r="AY196" i="1"/>
  <c r="AY260" i="1" s="1"/>
  <c r="AP260" i="1"/>
  <c r="AJ260" i="1"/>
  <c r="AI196" i="1"/>
  <c r="AH260" i="1"/>
  <c r="AI260" i="1" s="1"/>
  <c r="AM196" i="1"/>
  <c r="AM260" i="1" s="1"/>
  <c r="AD260" i="1"/>
  <c r="X260" i="1"/>
  <c r="W196" i="1"/>
  <c r="V260" i="1"/>
  <c r="AA196" i="1"/>
  <c r="AA260" i="1" s="1"/>
  <c r="R260" i="1"/>
  <c r="L260" i="1"/>
  <c r="K196" i="1"/>
  <c r="J260" i="1"/>
  <c r="K260" i="1" s="1"/>
  <c r="BB196" i="1"/>
  <c r="BG196" i="1" s="1"/>
  <c r="BG260" i="1" s="1"/>
  <c r="O196" i="1"/>
  <c r="O260" i="1" s="1"/>
  <c r="F260" i="1"/>
  <c r="D260" i="1"/>
  <c r="AV259" i="1"/>
  <c r="AU195" i="1"/>
  <c r="AT259" i="1"/>
  <c r="AU259" i="1" s="1"/>
  <c r="AY195" i="1"/>
  <c r="AY259" i="1" s="1"/>
  <c r="AP259" i="1"/>
  <c r="AJ259" i="1"/>
  <c r="AI195" i="1"/>
  <c r="AH259" i="1"/>
  <c r="AM195" i="1"/>
  <c r="AM259" i="1" s="1"/>
  <c r="AD259" i="1"/>
  <c r="X259" i="1"/>
  <c r="W195" i="1"/>
  <c r="V259" i="1"/>
  <c r="W259" i="1" s="1"/>
  <c r="AA195" i="1"/>
  <c r="AA259" i="1" s="1"/>
  <c r="R259" i="1"/>
  <c r="L259" i="1"/>
  <c r="K195" i="1"/>
  <c r="J259" i="1"/>
  <c r="BB195" i="1"/>
  <c r="BG195" i="1" s="1"/>
  <c r="BG259" i="1" s="1"/>
  <c r="O195" i="1"/>
  <c r="O259" i="1" s="1"/>
  <c r="F259" i="1"/>
  <c r="D259" i="1"/>
  <c r="AV258" i="1"/>
  <c r="AU194" i="1"/>
  <c r="AT258" i="1"/>
  <c r="AY194" i="1"/>
  <c r="AY258" i="1" s="1"/>
  <c r="AP258" i="1"/>
  <c r="AJ258" i="1"/>
  <c r="AI194" i="1"/>
  <c r="AH258" i="1"/>
  <c r="AI258" i="1" s="1"/>
  <c r="AM194" i="1"/>
  <c r="AM258" i="1" s="1"/>
  <c r="AD258" i="1"/>
  <c r="X258" i="1"/>
  <c r="W194" i="1"/>
  <c r="V258" i="1"/>
  <c r="AA194" i="1"/>
  <c r="AA258" i="1" s="1"/>
  <c r="R258" i="1"/>
  <c r="L258" i="1"/>
  <c r="K194" i="1"/>
  <c r="J258" i="1"/>
  <c r="K258" i="1" s="1"/>
  <c r="BB194" i="1"/>
  <c r="BG194" i="1" s="1"/>
  <c r="BG258" i="1" s="1"/>
  <c r="O194" i="1"/>
  <c r="O258" i="1" s="1"/>
  <c r="F258" i="1"/>
  <c r="D258" i="1"/>
  <c r="AV257" i="1"/>
  <c r="AU193" i="1"/>
  <c r="AT257" i="1"/>
  <c r="AU257" i="1" s="1"/>
  <c r="AY193" i="1"/>
  <c r="AY257" i="1" s="1"/>
  <c r="AP257" i="1"/>
  <c r="AJ257" i="1"/>
  <c r="AI193" i="1"/>
  <c r="AH257" i="1"/>
  <c r="AM193" i="1"/>
  <c r="AM257" i="1" s="1"/>
  <c r="AD257" i="1"/>
  <c r="X257" i="1"/>
  <c r="W193" i="1"/>
  <c r="V257" i="1"/>
  <c r="AA193" i="1"/>
  <c r="AA257" i="1" s="1"/>
  <c r="R257" i="1"/>
  <c r="L257" i="1"/>
  <c r="K193" i="1"/>
  <c r="J257" i="1"/>
  <c r="BB193" i="1"/>
  <c r="BG193" i="1" s="1"/>
  <c r="O193" i="1"/>
  <c r="O257" i="1" s="1"/>
  <c r="F257" i="1"/>
  <c r="D257" i="1"/>
  <c r="AV256" i="1"/>
  <c r="AU192" i="1"/>
  <c r="AT256" i="1"/>
  <c r="AY192" i="1"/>
  <c r="AY256" i="1" s="1"/>
  <c r="AP256" i="1"/>
  <c r="AJ256" i="1"/>
  <c r="AI192" i="1"/>
  <c r="AH256" i="1"/>
  <c r="AI256" i="1" s="1"/>
  <c r="AM192" i="1"/>
  <c r="AM256" i="1" s="1"/>
  <c r="AD256" i="1"/>
  <c r="X256" i="1"/>
  <c r="W192" i="1"/>
  <c r="V256" i="1"/>
  <c r="AA192" i="1"/>
  <c r="AA256" i="1" s="1"/>
  <c r="R256" i="1"/>
  <c r="L256" i="1"/>
  <c r="K192" i="1"/>
  <c r="J256" i="1"/>
  <c r="K256" i="1" s="1"/>
  <c r="BB192" i="1"/>
  <c r="BG192" i="1" s="1"/>
  <c r="O192" i="1"/>
  <c r="O256" i="1" s="1"/>
  <c r="F256" i="1"/>
  <c r="D256" i="1"/>
  <c r="AV255" i="1"/>
  <c r="AU191" i="1"/>
  <c r="AT255" i="1"/>
  <c r="AU255" i="1" s="1"/>
  <c r="AY191" i="1"/>
  <c r="AY255" i="1" s="1"/>
  <c r="AP255" i="1"/>
  <c r="AJ255" i="1"/>
  <c r="AI191" i="1"/>
  <c r="AH255" i="1"/>
  <c r="AM191" i="1"/>
  <c r="AM255" i="1" s="1"/>
  <c r="AD255" i="1"/>
  <c r="X255" i="1"/>
  <c r="W191" i="1"/>
  <c r="V255" i="1"/>
  <c r="AA191" i="1"/>
  <c r="AA255" i="1" s="1"/>
  <c r="R255" i="1"/>
  <c r="L255" i="1"/>
  <c r="K191" i="1"/>
  <c r="J255" i="1"/>
  <c r="BB191" i="1"/>
  <c r="BG191" i="1" s="1"/>
  <c r="BG255" i="1" s="1"/>
  <c r="O191" i="1"/>
  <c r="O255" i="1" s="1"/>
  <c r="F255" i="1"/>
  <c r="D255" i="1"/>
  <c r="AV189" i="1"/>
  <c r="AV253" i="1" s="1"/>
  <c r="AV254" i="1"/>
  <c r="AT189" i="1"/>
  <c r="AU190" i="1"/>
  <c r="AT254" i="1"/>
  <c r="AU254" i="1" s="1"/>
  <c r="AP189" i="1"/>
  <c r="AP253" i="1" s="1"/>
  <c r="AY190" i="1"/>
  <c r="AP254" i="1"/>
  <c r="AJ189" i="1"/>
  <c r="AJ253" i="1" s="1"/>
  <c r="AJ254" i="1"/>
  <c r="AH189" i="1"/>
  <c r="AI190" i="1"/>
  <c r="AH254" i="1"/>
  <c r="AD189" i="1"/>
  <c r="AD253" i="1" s="1"/>
  <c r="AM190" i="1"/>
  <c r="AD254" i="1"/>
  <c r="X189" i="1"/>
  <c r="X253" i="1" s="1"/>
  <c r="X254" i="1"/>
  <c r="V189" i="1"/>
  <c r="W190" i="1"/>
  <c r="V254" i="1"/>
  <c r="W254" i="1" s="1"/>
  <c r="R189" i="1"/>
  <c r="R253" i="1" s="1"/>
  <c r="AA190" i="1"/>
  <c r="R254" i="1"/>
  <c r="L189" i="1"/>
  <c r="L253" i="1" s="1"/>
  <c r="L254" i="1"/>
  <c r="J189" i="1"/>
  <c r="K190" i="1"/>
  <c r="J254" i="1"/>
  <c r="F189" i="1"/>
  <c r="F253" i="1" s="1"/>
  <c r="BB190" i="1"/>
  <c r="BG190" i="1" s="1"/>
  <c r="BG254" i="1" s="1"/>
  <c r="O190" i="1"/>
  <c r="F254" i="1"/>
  <c r="D189" i="1"/>
  <c r="D253" i="1" s="1"/>
  <c r="D254" i="1"/>
  <c r="AV252" i="1"/>
  <c r="AU188" i="1"/>
  <c r="AT252" i="1"/>
  <c r="AY188" i="1"/>
  <c r="AY252" i="1" s="1"/>
  <c r="AP252" i="1"/>
  <c r="AJ252" i="1"/>
  <c r="AI188" i="1"/>
  <c r="AH252" i="1"/>
  <c r="AM188" i="1"/>
  <c r="AM252" i="1" s="1"/>
  <c r="AD252" i="1"/>
  <c r="X252" i="1"/>
  <c r="W188" i="1"/>
  <c r="V252" i="1"/>
  <c r="AA188" i="1"/>
  <c r="AA252" i="1" s="1"/>
  <c r="R252" i="1"/>
  <c r="L252" i="1"/>
  <c r="K188" i="1"/>
  <c r="J252" i="1"/>
  <c r="K252" i="1" s="1"/>
  <c r="BB188" i="1"/>
  <c r="BG188" i="1" s="1"/>
  <c r="BG252" i="1" s="1"/>
  <c r="O188" i="1"/>
  <c r="O252" i="1" s="1"/>
  <c r="F252" i="1"/>
  <c r="D252" i="1"/>
  <c r="AV251" i="1"/>
  <c r="AU187" i="1"/>
  <c r="AT251" i="1"/>
  <c r="AY187" i="1"/>
  <c r="AY251" i="1" s="1"/>
  <c r="AP251" i="1"/>
  <c r="AJ251" i="1"/>
  <c r="AI187" i="1"/>
  <c r="AH251" i="1"/>
  <c r="AM187" i="1"/>
  <c r="AM251" i="1" s="1"/>
  <c r="AD251" i="1"/>
  <c r="X251" i="1"/>
  <c r="W187" i="1"/>
  <c r="V251" i="1"/>
  <c r="W251" i="1" s="1"/>
  <c r="AA187" i="1"/>
  <c r="AA251" i="1" s="1"/>
  <c r="R251" i="1"/>
  <c r="L251" i="1"/>
  <c r="K187" i="1"/>
  <c r="J251" i="1"/>
  <c r="BB187" i="1"/>
  <c r="BG187" i="1" s="1"/>
  <c r="BG251" i="1" s="1"/>
  <c r="O187" i="1"/>
  <c r="O251" i="1" s="1"/>
  <c r="F251" i="1"/>
  <c r="D251" i="1"/>
  <c r="AV250" i="1"/>
  <c r="AU186" i="1"/>
  <c r="AT250" i="1"/>
  <c r="AY186" i="1"/>
  <c r="AY250" i="1" s="1"/>
  <c r="AP250" i="1"/>
  <c r="AJ250" i="1"/>
  <c r="AI186" i="1"/>
  <c r="AH250" i="1"/>
  <c r="AI250" i="1" s="1"/>
  <c r="AM186" i="1"/>
  <c r="AM250" i="1" s="1"/>
  <c r="AD250" i="1"/>
  <c r="X250" i="1"/>
  <c r="W186" i="1"/>
  <c r="V250" i="1"/>
  <c r="AA186" i="1"/>
  <c r="AA250" i="1" s="1"/>
  <c r="R250" i="1"/>
  <c r="L250" i="1"/>
  <c r="K186" i="1"/>
  <c r="J250" i="1"/>
  <c r="BB186" i="1"/>
  <c r="BG186" i="1" s="1"/>
  <c r="BG250" i="1" s="1"/>
  <c r="O186" i="1"/>
  <c r="O250" i="1" s="1"/>
  <c r="F250" i="1"/>
  <c r="D250" i="1"/>
  <c r="AV249" i="1"/>
  <c r="AU185" i="1"/>
  <c r="AT249" i="1"/>
  <c r="AU249" i="1" s="1"/>
  <c r="AY185" i="1"/>
  <c r="AY249" i="1" s="1"/>
  <c r="AP249" i="1"/>
  <c r="AJ249" i="1"/>
  <c r="AI185" i="1"/>
  <c r="AH249" i="1"/>
  <c r="AM185" i="1"/>
  <c r="AM249" i="1" s="1"/>
  <c r="AD249" i="1"/>
  <c r="X249" i="1"/>
  <c r="W185" i="1"/>
  <c r="V249" i="1"/>
  <c r="W249" i="1" s="1"/>
  <c r="AA185" i="1"/>
  <c r="AA249" i="1" s="1"/>
  <c r="R249" i="1"/>
  <c r="L249" i="1"/>
  <c r="K185" i="1"/>
  <c r="J249" i="1"/>
  <c r="BB185" i="1"/>
  <c r="BG185" i="1" s="1"/>
  <c r="BG249" i="1" s="1"/>
  <c r="O185" i="1"/>
  <c r="O249" i="1" s="1"/>
  <c r="F249" i="1"/>
  <c r="D249" i="1"/>
  <c r="AV248" i="1"/>
  <c r="AU184" i="1"/>
  <c r="AT248" i="1"/>
  <c r="AY184" i="1"/>
  <c r="AY248" i="1" s="1"/>
  <c r="AP248" i="1"/>
  <c r="AJ248" i="1"/>
  <c r="AI184" i="1"/>
  <c r="AH248" i="1"/>
  <c r="AM184" i="1"/>
  <c r="AM248" i="1" s="1"/>
  <c r="AD248" i="1"/>
  <c r="X248" i="1"/>
  <c r="W184" i="1"/>
  <c r="V248" i="1"/>
  <c r="AA184" i="1"/>
  <c r="AA248" i="1" s="1"/>
  <c r="R248" i="1"/>
  <c r="L248" i="1"/>
  <c r="K184" i="1"/>
  <c r="J248" i="1"/>
  <c r="K248" i="1" s="1"/>
  <c r="BB184" i="1"/>
  <c r="BG184" i="1" s="1"/>
  <c r="BG248" i="1" s="1"/>
  <c r="O184" i="1"/>
  <c r="O248" i="1" s="1"/>
  <c r="F248" i="1"/>
  <c r="D248" i="1"/>
  <c r="AV247" i="1"/>
  <c r="AU183" i="1"/>
  <c r="AT247" i="1"/>
  <c r="AY183" i="1"/>
  <c r="AY247" i="1" s="1"/>
  <c r="AP247" i="1"/>
  <c r="AJ247" i="1"/>
  <c r="AI183" i="1"/>
  <c r="AH247" i="1"/>
  <c r="AM183" i="1"/>
  <c r="AM247" i="1" s="1"/>
  <c r="AD247" i="1"/>
  <c r="X247" i="1"/>
  <c r="W183" i="1"/>
  <c r="V247" i="1"/>
  <c r="W247" i="1" s="1"/>
  <c r="AA183" i="1"/>
  <c r="AA247" i="1" s="1"/>
  <c r="R247" i="1"/>
  <c r="L247" i="1"/>
  <c r="K183" i="1"/>
  <c r="J247" i="1"/>
  <c r="BB183" i="1"/>
  <c r="BG183" i="1" s="1"/>
  <c r="BG247" i="1" s="1"/>
  <c r="O183" i="1"/>
  <c r="O247" i="1" s="1"/>
  <c r="F247" i="1"/>
  <c r="D247" i="1"/>
  <c r="AV246" i="1"/>
  <c r="AU182" i="1"/>
  <c r="AT246" i="1"/>
  <c r="AY182" i="1"/>
  <c r="AY246" i="1" s="1"/>
  <c r="AP246" i="1"/>
  <c r="AJ246" i="1"/>
  <c r="AI182" i="1"/>
  <c r="AH246" i="1"/>
  <c r="AI246" i="1" s="1"/>
  <c r="AM182" i="1"/>
  <c r="AM246" i="1" s="1"/>
  <c r="AD246" i="1"/>
  <c r="X246" i="1"/>
  <c r="W182" i="1"/>
  <c r="V246" i="1"/>
  <c r="AA182" i="1"/>
  <c r="AA246" i="1" s="1"/>
  <c r="R246" i="1"/>
  <c r="L246" i="1"/>
  <c r="K182" i="1"/>
  <c r="J246" i="1"/>
  <c r="BB182" i="1"/>
  <c r="BG182" i="1" s="1"/>
  <c r="BG246" i="1" s="1"/>
  <c r="O182" i="1"/>
  <c r="O246" i="1" s="1"/>
  <c r="F246" i="1"/>
  <c r="D246" i="1"/>
  <c r="AV245" i="1"/>
  <c r="AU181" i="1"/>
  <c r="AT245" i="1"/>
  <c r="AY181" i="1"/>
  <c r="AY245" i="1" s="1"/>
  <c r="AP245" i="1"/>
  <c r="AJ245" i="1"/>
  <c r="AI181" i="1"/>
  <c r="AH245" i="1"/>
  <c r="AM181" i="1"/>
  <c r="AM245" i="1" s="1"/>
  <c r="AD245" i="1"/>
  <c r="X245" i="1"/>
  <c r="W181" i="1"/>
  <c r="V245" i="1"/>
  <c r="W245" i="1" s="1"/>
  <c r="AA181" i="1"/>
  <c r="AA245" i="1" s="1"/>
  <c r="R245" i="1"/>
  <c r="L245" i="1"/>
  <c r="K181" i="1"/>
  <c r="J245" i="1"/>
  <c r="BB181" i="1"/>
  <c r="BG181" i="1" s="1"/>
  <c r="BG245" i="1" s="1"/>
  <c r="O181" i="1"/>
  <c r="O245" i="1" s="1"/>
  <c r="F245" i="1"/>
  <c r="D245" i="1"/>
  <c r="AV179" i="1"/>
  <c r="AV244" i="1"/>
  <c r="AT179" i="1"/>
  <c r="AU180" i="1"/>
  <c r="AT244" i="1"/>
  <c r="AP179" i="1"/>
  <c r="AY180" i="1"/>
  <c r="AP244" i="1"/>
  <c r="AJ179" i="1"/>
  <c r="AJ244" i="1"/>
  <c r="AH179" i="1"/>
  <c r="AI180" i="1"/>
  <c r="AH244" i="1"/>
  <c r="AD179" i="1"/>
  <c r="AM180" i="1"/>
  <c r="AD244" i="1"/>
  <c r="X179" i="1"/>
  <c r="X244" i="1"/>
  <c r="V179" i="1"/>
  <c r="W180" i="1"/>
  <c r="V244" i="1"/>
  <c r="W244" i="1" s="1"/>
  <c r="R179" i="1"/>
  <c r="AA180" i="1"/>
  <c r="R244" i="1"/>
  <c r="L179" i="1"/>
  <c r="L244" i="1"/>
  <c r="J179" i="1"/>
  <c r="K180" i="1"/>
  <c r="J244" i="1"/>
  <c r="F179" i="1"/>
  <c r="BB180" i="1"/>
  <c r="BG180" i="1" s="1"/>
  <c r="O180" i="1"/>
  <c r="F244" i="1"/>
  <c r="D179" i="1"/>
  <c r="D244" i="1"/>
  <c r="AU141" i="1"/>
  <c r="AY141" i="1"/>
  <c r="AI141" i="1"/>
  <c r="AM141" i="1"/>
  <c r="W141" i="1"/>
  <c r="AA141" i="1"/>
  <c r="K141" i="1"/>
  <c r="BB141" i="1"/>
  <c r="BG141" i="1" s="1"/>
  <c r="O141" i="1"/>
  <c r="AU140" i="1"/>
  <c r="AY140" i="1"/>
  <c r="AI140" i="1"/>
  <c r="AM140" i="1"/>
  <c r="W140" i="1"/>
  <c r="AA140" i="1"/>
  <c r="K140" i="1"/>
  <c r="BB140" i="1"/>
  <c r="BG140" i="1" s="1"/>
  <c r="O140" i="1"/>
  <c r="AU139" i="1"/>
  <c r="AY139" i="1"/>
  <c r="AI139" i="1"/>
  <c r="AM139" i="1"/>
  <c r="W139" i="1"/>
  <c r="AA139" i="1"/>
  <c r="K139" i="1"/>
  <c r="BB139" i="1"/>
  <c r="BG139" i="1" s="1"/>
  <c r="O139" i="1"/>
  <c r="AU138" i="1"/>
  <c r="AY138" i="1"/>
  <c r="AI138" i="1"/>
  <c r="AM138" i="1"/>
  <c r="AM137" i="1" s="1"/>
  <c r="W138" i="1"/>
  <c r="AA138" i="1"/>
  <c r="K138" i="1"/>
  <c r="BB138" i="1"/>
  <c r="BG138" i="1" s="1"/>
  <c r="O138" i="1"/>
  <c r="AV135" i="1"/>
  <c r="AV584" i="1" s="1"/>
  <c r="AV585" i="1"/>
  <c r="AT135" i="1"/>
  <c r="AU136" i="1"/>
  <c r="AT585" i="1"/>
  <c r="AP135" i="1"/>
  <c r="AP584" i="1" s="1"/>
  <c r="AP585" i="1"/>
  <c r="AJ135" i="1"/>
  <c r="AJ584" i="1" s="1"/>
  <c r="AJ585" i="1"/>
  <c r="AI136" i="1"/>
  <c r="AH135" i="1"/>
  <c r="AH585" i="1"/>
  <c r="AM136" i="1"/>
  <c r="AD135" i="1"/>
  <c r="AD584" i="1" s="1"/>
  <c r="AD585" i="1"/>
  <c r="X135" i="1"/>
  <c r="X584" i="1" s="1"/>
  <c r="X585" i="1"/>
  <c r="W136" i="1"/>
  <c r="V135" i="1"/>
  <c r="V585" i="1"/>
  <c r="AA136" i="1"/>
  <c r="R135" i="1"/>
  <c r="R584" i="1" s="1"/>
  <c r="R585" i="1"/>
  <c r="L135" i="1"/>
  <c r="L584" i="1" s="1"/>
  <c r="L585" i="1"/>
  <c r="K136" i="1"/>
  <c r="J135" i="1"/>
  <c r="J585" i="1"/>
  <c r="O136" i="1"/>
  <c r="F135" i="1"/>
  <c r="F584" i="1" s="1"/>
  <c r="F585" i="1"/>
  <c r="D135" i="1"/>
  <c r="D584" i="1" s="1"/>
  <c r="D585" i="1"/>
  <c r="AV583" i="1"/>
  <c r="AU134" i="1"/>
  <c r="AT583" i="1"/>
  <c r="AY134" i="1"/>
  <c r="AY583" i="1" s="1"/>
  <c r="AP583" i="1"/>
  <c r="AJ583" i="1"/>
  <c r="AI134" i="1"/>
  <c r="AH583" i="1"/>
  <c r="AM134" i="1"/>
  <c r="AM583" i="1" s="1"/>
  <c r="AD583" i="1"/>
  <c r="X583" i="1"/>
  <c r="W134" i="1"/>
  <c r="V583" i="1"/>
  <c r="AA134" i="1"/>
  <c r="AA583" i="1" s="1"/>
  <c r="R583" i="1"/>
  <c r="L583" i="1"/>
  <c r="K134" i="1"/>
  <c r="J583" i="1"/>
  <c r="O134" i="1"/>
  <c r="O583" i="1" s="1"/>
  <c r="BB134" i="1"/>
  <c r="BG134" i="1" s="1"/>
  <c r="BG583" i="1" s="1"/>
  <c r="F583" i="1"/>
  <c r="D583" i="1"/>
  <c r="AV582" i="1"/>
  <c r="AU133" i="1"/>
  <c r="AT582" i="1"/>
  <c r="AY133" i="1"/>
  <c r="AY582" i="1" s="1"/>
  <c r="AP582" i="1"/>
  <c r="AJ582" i="1"/>
  <c r="AI133" i="1"/>
  <c r="AH582" i="1"/>
  <c r="AM133" i="1"/>
  <c r="AM582" i="1" s="1"/>
  <c r="AD582" i="1"/>
  <c r="X582" i="1"/>
  <c r="W133" i="1"/>
  <c r="V582" i="1"/>
  <c r="AA133" i="1"/>
  <c r="AA582" i="1" s="1"/>
  <c r="R582" i="1"/>
  <c r="L582" i="1"/>
  <c r="K133" i="1"/>
  <c r="J582" i="1"/>
  <c r="O133" i="1"/>
  <c r="O582" i="1" s="1"/>
  <c r="BB133" i="1"/>
  <c r="BG133" i="1" s="1"/>
  <c r="BG582" i="1" s="1"/>
  <c r="F582" i="1"/>
  <c r="D582" i="1"/>
  <c r="AV581" i="1"/>
  <c r="AU132" i="1"/>
  <c r="AT581" i="1"/>
  <c r="AY132" i="1"/>
  <c r="AY581" i="1" s="1"/>
  <c r="AP581" i="1"/>
  <c r="AJ581" i="1"/>
  <c r="AI132" i="1"/>
  <c r="AH581" i="1"/>
  <c r="AM132" i="1"/>
  <c r="AM581" i="1" s="1"/>
  <c r="AD581" i="1"/>
  <c r="X581" i="1"/>
  <c r="W132" i="1"/>
  <c r="V581" i="1"/>
  <c r="AA132" i="1"/>
  <c r="AA581" i="1" s="1"/>
  <c r="R581" i="1"/>
  <c r="L581" i="1"/>
  <c r="K132" i="1"/>
  <c r="J581" i="1"/>
  <c r="O132" i="1"/>
  <c r="O581" i="1" s="1"/>
  <c r="BB132" i="1"/>
  <c r="BG132" i="1" s="1"/>
  <c r="BG581" i="1" s="1"/>
  <c r="F581" i="1"/>
  <c r="D581" i="1"/>
  <c r="AV580" i="1"/>
  <c r="AU131" i="1"/>
  <c r="AT580" i="1"/>
  <c r="AY131" i="1"/>
  <c r="AY580" i="1" s="1"/>
  <c r="AP580" i="1"/>
  <c r="AJ580" i="1"/>
  <c r="AI131" i="1"/>
  <c r="AH580" i="1"/>
  <c r="AM131" i="1"/>
  <c r="AM580" i="1" s="1"/>
  <c r="AD580" i="1"/>
  <c r="X580" i="1"/>
  <c r="W131" i="1"/>
  <c r="V580" i="1"/>
  <c r="AA131" i="1"/>
  <c r="AA580" i="1" s="1"/>
  <c r="R580" i="1"/>
  <c r="L580" i="1"/>
  <c r="K131" i="1"/>
  <c r="J580" i="1"/>
  <c r="O131" i="1"/>
  <c r="O580" i="1" s="1"/>
  <c r="BB131" i="1"/>
  <c r="BG131" i="1" s="1"/>
  <c r="BG580" i="1" s="1"/>
  <c r="F580" i="1"/>
  <c r="D580" i="1"/>
  <c r="AV579" i="1"/>
  <c r="AU130" i="1"/>
  <c r="AT579" i="1"/>
  <c r="AY130" i="1"/>
  <c r="AY579" i="1" s="1"/>
  <c r="AP579" i="1"/>
  <c r="AJ579" i="1"/>
  <c r="AI130" i="1"/>
  <c r="AH579" i="1"/>
  <c r="AM130" i="1"/>
  <c r="AM579" i="1" s="1"/>
  <c r="AD579" i="1"/>
  <c r="X579" i="1"/>
  <c r="W130" i="1"/>
  <c r="V579" i="1"/>
  <c r="AA130" i="1"/>
  <c r="AA579" i="1" s="1"/>
  <c r="R579" i="1"/>
  <c r="L579" i="1"/>
  <c r="K130" i="1"/>
  <c r="J579" i="1"/>
  <c r="O130" i="1"/>
  <c r="O579" i="1" s="1"/>
  <c r="BB130" i="1"/>
  <c r="BG130" i="1" s="1"/>
  <c r="BG579" i="1" s="1"/>
  <c r="F579" i="1"/>
  <c r="D579" i="1"/>
  <c r="AV578" i="1"/>
  <c r="AU129" i="1"/>
  <c r="AT578" i="1"/>
  <c r="AY129" i="1"/>
  <c r="AY578" i="1" s="1"/>
  <c r="AP578" i="1"/>
  <c r="AJ578" i="1"/>
  <c r="AI129" i="1"/>
  <c r="AH578" i="1"/>
  <c r="AM129" i="1"/>
  <c r="AM578" i="1" s="1"/>
  <c r="AD578" i="1"/>
  <c r="X578" i="1"/>
  <c r="W129" i="1"/>
  <c r="V578" i="1"/>
  <c r="AA129" i="1"/>
  <c r="AA578" i="1" s="1"/>
  <c r="R578" i="1"/>
  <c r="L578" i="1"/>
  <c r="K129" i="1"/>
  <c r="J578" i="1"/>
  <c r="O129" i="1"/>
  <c r="O578" i="1" s="1"/>
  <c r="BB129" i="1"/>
  <c r="BG129" i="1" s="1"/>
  <c r="BG578" i="1" s="1"/>
  <c r="F578" i="1"/>
  <c r="D578" i="1"/>
  <c r="AV577" i="1"/>
  <c r="AU128" i="1"/>
  <c r="AT577" i="1"/>
  <c r="AY128" i="1"/>
  <c r="AY577" i="1" s="1"/>
  <c r="AP577" i="1"/>
  <c r="AJ577" i="1"/>
  <c r="AI128" i="1"/>
  <c r="AH577" i="1"/>
  <c r="AM128" i="1"/>
  <c r="AM577" i="1" s="1"/>
  <c r="AD577" i="1"/>
  <c r="X577" i="1"/>
  <c r="W128" i="1"/>
  <c r="V577" i="1"/>
  <c r="AA128" i="1"/>
  <c r="AA577" i="1" s="1"/>
  <c r="R577" i="1"/>
  <c r="L577" i="1"/>
  <c r="K128" i="1"/>
  <c r="J577" i="1"/>
  <c r="O128" i="1"/>
  <c r="O577" i="1" s="1"/>
  <c r="BB128" i="1"/>
  <c r="BG128" i="1" s="1"/>
  <c r="BG577" i="1" s="1"/>
  <c r="F577" i="1"/>
  <c r="D577" i="1"/>
  <c r="AV576" i="1"/>
  <c r="AU127" i="1"/>
  <c r="AT576" i="1"/>
  <c r="AY127" i="1"/>
  <c r="AY576" i="1" s="1"/>
  <c r="AP576" i="1"/>
  <c r="AJ576" i="1"/>
  <c r="AI127" i="1"/>
  <c r="AH576" i="1"/>
  <c r="AM127" i="1"/>
  <c r="AM576" i="1" s="1"/>
  <c r="AD576" i="1"/>
  <c r="X576" i="1"/>
  <c r="W127" i="1"/>
  <c r="V576" i="1"/>
  <c r="AA127" i="1"/>
  <c r="AA576" i="1" s="1"/>
  <c r="R576" i="1"/>
  <c r="L576" i="1"/>
  <c r="K127" i="1"/>
  <c r="J576" i="1"/>
  <c r="O127" i="1"/>
  <c r="O576" i="1" s="1"/>
  <c r="BB127" i="1"/>
  <c r="BG127" i="1" s="1"/>
  <c r="BG576" i="1" s="1"/>
  <c r="F576" i="1"/>
  <c r="D576" i="1"/>
  <c r="AV575" i="1"/>
  <c r="AU126" i="1"/>
  <c r="AT575" i="1"/>
  <c r="AY126" i="1"/>
  <c r="AY575" i="1" s="1"/>
  <c r="AP575" i="1"/>
  <c r="AJ575" i="1"/>
  <c r="AI126" i="1"/>
  <c r="AH575" i="1"/>
  <c r="AM126" i="1"/>
  <c r="AM575" i="1" s="1"/>
  <c r="AD575" i="1"/>
  <c r="X575" i="1"/>
  <c r="W126" i="1"/>
  <c r="V575" i="1"/>
  <c r="AA126" i="1"/>
  <c r="AA575" i="1" s="1"/>
  <c r="R575" i="1"/>
  <c r="L575" i="1"/>
  <c r="K126" i="1"/>
  <c r="J575" i="1"/>
  <c r="O126" i="1"/>
  <c r="O575" i="1" s="1"/>
  <c r="BB126" i="1"/>
  <c r="BG126" i="1" s="1"/>
  <c r="BG575" i="1" s="1"/>
  <c r="F575" i="1"/>
  <c r="D575" i="1"/>
  <c r="AV574" i="1"/>
  <c r="AU125" i="1"/>
  <c r="AT574" i="1"/>
  <c r="AY125" i="1"/>
  <c r="AY574" i="1" s="1"/>
  <c r="AP574" i="1"/>
  <c r="AJ574" i="1"/>
  <c r="AI125" i="1"/>
  <c r="AH574" i="1"/>
  <c r="AM125" i="1"/>
  <c r="AM574" i="1" s="1"/>
  <c r="AD574" i="1"/>
  <c r="X574" i="1"/>
  <c r="W125" i="1"/>
  <c r="V574" i="1"/>
  <c r="AA125" i="1"/>
  <c r="AA574" i="1" s="1"/>
  <c r="R574" i="1"/>
  <c r="L574" i="1"/>
  <c r="K125" i="1"/>
  <c r="J574" i="1"/>
  <c r="O125" i="1"/>
  <c r="O574" i="1" s="1"/>
  <c r="BB125" i="1"/>
  <c r="BG125" i="1" s="1"/>
  <c r="BG574" i="1" s="1"/>
  <c r="F574" i="1"/>
  <c r="D574" i="1"/>
  <c r="AV573" i="1"/>
  <c r="AU124" i="1"/>
  <c r="AT573" i="1"/>
  <c r="AY124" i="1"/>
  <c r="AY573" i="1" s="1"/>
  <c r="AP573" i="1"/>
  <c r="AJ573" i="1"/>
  <c r="AI124" i="1"/>
  <c r="AH573" i="1"/>
  <c r="AM124" i="1"/>
  <c r="AM573" i="1" s="1"/>
  <c r="AD573" i="1"/>
  <c r="X573" i="1"/>
  <c r="W124" i="1"/>
  <c r="V573" i="1"/>
  <c r="AA124" i="1"/>
  <c r="AA573" i="1" s="1"/>
  <c r="R573" i="1"/>
  <c r="L573" i="1"/>
  <c r="K124" i="1"/>
  <c r="J573" i="1"/>
  <c r="O124" i="1"/>
  <c r="O573" i="1" s="1"/>
  <c r="BB124" i="1"/>
  <c r="BG124" i="1" s="1"/>
  <c r="BG573" i="1" s="1"/>
  <c r="F573" i="1"/>
  <c r="D573" i="1"/>
  <c r="AV572" i="1"/>
  <c r="AU123" i="1"/>
  <c r="AT572" i="1"/>
  <c r="AY123" i="1"/>
  <c r="AY572" i="1" s="1"/>
  <c r="AP572" i="1"/>
  <c r="AJ572" i="1"/>
  <c r="AI123" i="1"/>
  <c r="AH572" i="1"/>
  <c r="AM123" i="1"/>
  <c r="AM572" i="1" s="1"/>
  <c r="AD572" i="1"/>
  <c r="X572" i="1"/>
  <c r="W123" i="1"/>
  <c r="V572" i="1"/>
  <c r="AA123" i="1"/>
  <c r="AA572" i="1" s="1"/>
  <c r="R572" i="1"/>
  <c r="L572" i="1"/>
  <c r="K123" i="1"/>
  <c r="J572" i="1"/>
  <c r="O123" i="1"/>
  <c r="O572" i="1" s="1"/>
  <c r="BB123" i="1"/>
  <c r="BG123" i="1" s="1"/>
  <c r="BG572" i="1" s="1"/>
  <c r="F572" i="1"/>
  <c r="D572" i="1"/>
  <c r="AV571" i="1"/>
  <c r="AU122" i="1"/>
  <c r="AT571" i="1"/>
  <c r="AY122" i="1"/>
  <c r="AY571" i="1" s="1"/>
  <c r="AP571" i="1"/>
  <c r="AJ571" i="1"/>
  <c r="AI122" i="1"/>
  <c r="AH571" i="1"/>
  <c r="AM122" i="1"/>
  <c r="AM571" i="1" s="1"/>
  <c r="AD571" i="1"/>
  <c r="X571" i="1"/>
  <c r="W122" i="1"/>
  <c r="V571" i="1"/>
  <c r="AA122" i="1"/>
  <c r="AA571" i="1" s="1"/>
  <c r="R571" i="1"/>
  <c r="L571" i="1"/>
  <c r="K122" i="1"/>
  <c r="J571" i="1"/>
  <c r="O122" i="1"/>
  <c r="O571" i="1" s="1"/>
  <c r="BB122" i="1"/>
  <c r="BG122" i="1" s="1"/>
  <c r="BG571" i="1" s="1"/>
  <c r="F571" i="1"/>
  <c r="D571" i="1"/>
  <c r="AV570" i="1"/>
  <c r="AU121" i="1"/>
  <c r="AT570" i="1"/>
  <c r="AY121" i="1"/>
  <c r="AY570" i="1" s="1"/>
  <c r="AP570" i="1"/>
  <c r="AJ570" i="1"/>
  <c r="AI121" i="1"/>
  <c r="AH570" i="1"/>
  <c r="AM121" i="1"/>
  <c r="AM570" i="1" s="1"/>
  <c r="AD570" i="1"/>
  <c r="X570" i="1"/>
  <c r="W121" i="1"/>
  <c r="V570" i="1"/>
  <c r="AA121" i="1"/>
  <c r="AA570" i="1" s="1"/>
  <c r="R570" i="1"/>
  <c r="L570" i="1"/>
  <c r="K121" i="1"/>
  <c r="J570" i="1"/>
  <c r="O121" i="1"/>
  <c r="O570" i="1" s="1"/>
  <c r="BB121" i="1"/>
  <c r="BG121" i="1" s="1"/>
  <c r="BG570" i="1" s="1"/>
  <c r="F570" i="1"/>
  <c r="D570" i="1"/>
  <c r="AV569" i="1"/>
  <c r="AU120" i="1"/>
  <c r="AT569" i="1"/>
  <c r="AY120" i="1"/>
  <c r="AY569" i="1" s="1"/>
  <c r="AP569" i="1"/>
  <c r="AJ569" i="1"/>
  <c r="AI120" i="1"/>
  <c r="AH569" i="1"/>
  <c r="AM120" i="1"/>
  <c r="AM569" i="1" s="1"/>
  <c r="AD569" i="1"/>
  <c r="X569" i="1"/>
  <c r="W120" i="1"/>
  <c r="V569" i="1"/>
  <c r="AA120" i="1"/>
  <c r="AA569" i="1" s="1"/>
  <c r="R569" i="1"/>
  <c r="L569" i="1"/>
  <c r="K120" i="1"/>
  <c r="J569" i="1"/>
  <c r="O120" i="1"/>
  <c r="O569" i="1" s="1"/>
  <c r="BB120" i="1"/>
  <c r="BG120" i="1" s="1"/>
  <c r="BG569" i="1" s="1"/>
  <c r="F569" i="1"/>
  <c r="D569" i="1"/>
  <c r="AV568" i="1"/>
  <c r="AU119" i="1"/>
  <c r="AT568" i="1"/>
  <c r="AY119" i="1"/>
  <c r="AY568" i="1" s="1"/>
  <c r="AP568" i="1"/>
  <c r="AJ568" i="1"/>
  <c r="AI119" i="1"/>
  <c r="AH568" i="1"/>
  <c r="AM119" i="1"/>
  <c r="AM568" i="1" s="1"/>
  <c r="AD568" i="1"/>
  <c r="X568" i="1"/>
  <c r="W119" i="1"/>
  <c r="V568" i="1"/>
  <c r="AA119" i="1"/>
  <c r="AA568" i="1" s="1"/>
  <c r="R568" i="1"/>
  <c r="L568" i="1"/>
  <c r="K119" i="1"/>
  <c r="J568" i="1"/>
  <c r="O119" i="1"/>
  <c r="O568" i="1" s="1"/>
  <c r="BB119" i="1"/>
  <c r="BG119" i="1" s="1"/>
  <c r="BG568" i="1" s="1"/>
  <c r="F568" i="1"/>
  <c r="D568" i="1"/>
  <c r="AV567" i="1"/>
  <c r="AU118" i="1"/>
  <c r="AT567" i="1"/>
  <c r="AY118" i="1"/>
  <c r="AY567" i="1" s="1"/>
  <c r="AP567" i="1"/>
  <c r="AJ567" i="1"/>
  <c r="AI118" i="1"/>
  <c r="AH567" i="1"/>
  <c r="AM118" i="1"/>
  <c r="AM567" i="1" s="1"/>
  <c r="AD567" i="1"/>
  <c r="X567" i="1"/>
  <c r="W118" i="1"/>
  <c r="V567" i="1"/>
  <c r="AA118" i="1"/>
  <c r="AA567" i="1" s="1"/>
  <c r="R567" i="1"/>
  <c r="L567" i="1"/>
  <c r="K118" i="1"/>
  <c r="J567" i="1"/>
  <c r="O118" i="1"/>
  <c r="O567" i="1" s="1"/>
  <c r="BB118" i="1"/>
  <c r="BG118" i="1" s="1"/>
  <c r="BG567" i="1" s="1"/>
  <c r="F567" i="1"/>
  <c r="D567" i="1"/>
  <c r="AV116" i="1"/>
  <c r="AV565" i="1" s="1"/>
  <c r="AV566" i="1"/>
  <c r="AU117" i="1"/>
  <c r="AT116" i="1"/>
  <c r="AT566" i="1"/>
  <c r="AY117" i="1"/>
  <c r="AP116" i="1"/>
  <c r="AP565" i="1" s="1"/>
  <c r="AP566" i="1"/>
  <c r="AJ116" i="1"/>
  <c r="AJ565" i="1" s="1"/>
  <c r="AJ566" i="1"/>
  <c r="AI117" i="1"/>
  <c r="AH116" i="1"/>
  <c r="AH566" i="1"/>
  <c r="AM117" i="1"/>
  <c r="AD116" i="1"/>
  <c r="AD565" i="1" s="1"/>
  <c r="AD566" i="1"/>
  <c r="X116" i="1"/>
  <c r="X565" i="1" s="1"/>
  <c r="X566" i="1"/>
  <c r="W117" i="1"/>
  <c r="V116" i="1"/>
  <c r="V566" i="1"/>
  <c r="AA117" i="1"/>
  <c r="R116" i="1"/>
  <c r="R565" i="1" s="1"/>
  <c r="R566" i="1"/>
  <c r="L116" i="1"/>
  <c r="L565" i="1" s="1"/>
  <c r="L566" i="1"/>
  <c r="K117" i="1"/>
  <c r="J116" i="1"/>
  <c r="J566" i="1"/>
  <c r="O117" i="1"/>
  <c r="F116" i="1"/>
  <c r="F565" i="1" s="1"/>
  <c r="BB117" i="1"/>
  <c r="BG117" i="1" s="1"/>
  <c r="F566" i="1"/>
  <c r="D116" i="1"/>
  <c r="D565" i="1" s="1"/>
  <c r="D566" i="1"/>
  <c r="AV564" i="1"/>
  <c r="AU115" i="1"/>
  <c r="AT564" i="1"/>
  <c r="AY115" i="1"/>
  <c r="AY564" i="1" s="1"/>
  <c r="AP564" i="1"/>
  <c r="AJ564" i="1"/>
  <c r="AI115" i="1"/>
  <c r="AH564" i="1"/>
  <c r="AM115" i="1"/>
  <c r="AM564" i="1" s="1"/>
  <c r="AD564" i="1"/>
  <c r="X564" i="1"/>
  <c r="W115" i="1"/>
  <c r="V564" i="1"/>
  <c r="AA115" i="1"/>
  <c r="AA564" i="1" s="1"/>
  <c r="R564" i="1"/>
  <c r="L564" i="1"/>
  <c r="K115" i="1"/>
  <c r="J564" i="1"/>
  <c r="O115" i="1"/>
  <c r="O564" i="1" s="1"/>
  <c r="BB115" i="1"/>
  <c r="BG115" i="1" s="1"/>
  <c r="BG564" i="1" s="1"/>
  <c r="F564" i="1"/>
  <c r="D564" i="1"/>
  <c r="AV563" i="1"/>
  <c r="AU114" i="1"/>
  <c r="AT563" i="1"/>
  <c r="AY114" i="1"/>
  <c r="AY563" i="1" s="1"/>
  <c r="AP563" i="1"/>
  <c r="AJ563" i="1"/>
  <c r="AI114" i="1"/>
  <c r="AH563" i="1"/>
  <c r="AM114" i="1"/>
  <c r="AM563" i="1" s="1"/>
  <c r="AD563" i="1"/>
  <c r="X563" i="1"/>
  <c r="W114" i="1"/>
  <c r="V563" i="1"/>
  <c r="AA114" i="1"/>
  <c r="AA563" i="1" s="1"/>
  <c r="R563" i="1"/>
  <c r="L563" i="1"/>
  <c r="K114" i="1"/>
  <c r="J563" i="1"/>
  <c r="O114" i="1"/>
  <c r="O563" i="1" s="1"/>
  <c r="BB114" i="1"/>
  <c r="BG114" i="1" s="1"/>
  <c r="BG563" i="1" s="1"/>
  <c r="F563" i="1"/>
  <c r="D563" i="1"/>
  <c r="AV562" i="1"/>
  <c r="AU113" i="1"/>
  <c r="AT562" i="1"/>
  <c r="AY113" i="1"/>
  <c r="AY562" i="1" s="1"/>
  <c r="AP562" i="1"/>
  <c r="AJ562" i="1"/>
  <c r="AI113" i="1"/>
  <c r="AH562" i="1"/>
  <c r="AM113" i="1"/>
  <c r="AM562" i="1" s="1"/>
  <c r="AD562" i="1"/>
  <c r="X562" i="1"/>
  <c r="W113" i="1"/>
  <c r="V562" i="1"/>
  <c r="AA113" i="1"/>
  <c r="AA562" i="1" s="1"/>
  <c r="R562" i="1"/>
  <c r="L562" i="1"/>
  <c r="K113" i="1"/>
  <c r="J562" i="1"/>
  <c r="O113" i="1"/>
  <c r="O562" i="1" s="1"/>
  <c r="BB113" i="1"/>
  <c r="BG113" i="1" s="1"/>
  <c r="BG562" i="1" s="1"/>
  <c r="F562" i="1"/>
  <c r="D562" i="1"/>
  <c r="AV561" i="1"/>
  <c r="AU112" i="1"/>
  <c r="AT561" i="1"/>
  <c r="AY112" i="1"/>
  <c r="AY561" i="1" s="1"/>
  <c r="AP561" i="1"/>
  <c r="AJ561" i="1"/>
  <c r="AI112" i="1"/>
  <c r="AH561" i="1"/>
  <c r="AM112" i="1"/>
  <c r="AM561" i="1" s="1"/>
  <c r="AD561" i="1"/>
  <c r="X561" i="1"/>
  <c r="W112" i="1"/>
  <c r="V561" i="1"/>
  <c r="AA112" i="1"/>
  <c r="AA561" i="1" s="1"/>
  <c r="R561" i="1"/>
  <c r="L561" i="1"/>
  <c r="K112" i="1"/>
  <c r="J561" i="1"/>
  <c r="O112" i="1"/>
  <c r="O561" i="1" s="1"/>
  <c r="BB112" i="1"/>
  <c r="BG112" i="1" s="1"/>
  <c r="BG561" i="1" s="1"/>
  <c r="F561" i="1"/>
  <c r="D561" i="1"/>
  <c r="AV560" i="1"/>
  <c r="AU111" i="1"/>
  <c r="AT560" i="1"/>
  <c r="AY111" i="1"/>
  <c r="AY560" i="1" s="1"/>
  <c r="AP560" i="1"/>
  <c r="AJ560" i="1"/>
  <c r="AI111" i="1"/>
  <c r="AH560" i="1"/>
  <c r="AM111" i="1"/>
  <c r="AM560" i="1" s="1"/>
  <c r="AD560" i="1"/>
  <c r="X560" i="1"/>
  <c r="W111" i="1"/>
  <c r="V560" i="1"/>
  <c r="AA111" i="1"/>
  <c r="AA560" i="1" s="1"/>
  <c r="R560" i="1"/>
  <c r="L560" i="1"/>
  <c r="K111" i="1"/>
  <c r="J560" i="1"/>
  <c r="O111" i="1"/>
  <c r="O560" i="1" s="1"/>
  <c r="BB111" i="1"/>
  <c r="BG111" i="1" s="1"/>
  <c r="BG560" i="1" s="1"/>
  <c r="F560" i="1"/>
  <c r="D560" i="1"/>
  <c r="AV559" i="1"/>
  <c r="AU110" i="1"/>
  <c r="AT559" i="1"/>
  <c r="AY110" i="1"/>
  <c r="AY559" i="1" s="1"/>
  <c r="AP559" i="1"/>
  <c r="AJ559" i="1"/>
  <c r="AI110" i="1"/>
  <c r="AH559" i="1"/>
  <c r="AM110" i="1"/>
  <c r="AM559" i="1" s="1"/>
  <c r="AD559" i="1"/>
  <c r="X559" i="1"/>
  <c r="W110" i="1"/>
  <c r="V559" i="1"/>
  <c r="AA110" i="1"/>
  <c r="AA559" i="1" s="1"/>
  <c r="R559" i="1"/>
  <c r="L559" i="1"/>
  <c r="K110" i="1"/>
  <c r="J559" i="1"/>
  <c r="O110" i="1"/>
  <c r="O559" i="1" s="1"/>
  <c r="BB110" i="1"/>
  <c r="BG110" i="1" s="1"/>
  <c r="BG559" i="1" s="1"/>
  <c r="F559" i="1"/>
  <c r="D559" i="1"/>
  <c r="AV558" i="1"/>
  <c r="AU109" i="1"/>
  <c r="AT558" i="1"/>
  <c r="AY109" i="1"/>
  <c r="AY558" i="1" s="1"/>
  <c r="AP558" i="1"/>
  <c r="AJ558" i="1"/>
  <c r="AI109" i="1"/>
  <c r="AH558" i="1"/>
  <c r="AM109" i="1"/>
  <c r="AM558" i="1" s="1"/>
  <c r="AD558" i="1"/>
  <c r="X558" i="1"/>
  <c r="W109" i="1"/>
  <c r="V558" i="1"/>
  <c r="AA109" i="1"/>
  <c r="AA558" i="1" s="1"/>
  <c r="R558" i="1"/>
  <c r="L558" i="1"/>
  <c r="K109" i="1"/>
  <c r="J558" i="1"/>
  <c r="O109" i="1"/>
  <c r="O558" i="1" s="1"/>
  <c r="BB109" i="1"/>
  <c r="BG109" i="1" s="1"/>
  <c r="BG558" i="1" s="1"/>
  <c r="F558" i="1"/>
  <c r="D558" i="1"/>
  <c r="AV557" i="1"/>
  <c r="AU108" i="1"/>
  <c r="AT557" i="1"/>
  <c r="AY108" i="1"/>
  <c r="AY557" i="1" s="1"/>
  <c r="AP557" i="1"/>
  <c r="AJ557" i="1"/>
  <c r="AI108" i="1"/>
  <c r="AH557" i="1"/>
  <c r="AM108" i="1"/>
  <c r="AM557" i="1" s="1"/>
  <c r="AD557" i="1"/>
  <c r="X557" i="1"/>
  <c r="W108" i="1"/>
  <c r="V557" i="1"/>
  <c r="AA108" i="1"/>
  <c r="AA557" i="1" s="1"/>
  <c r="R557" i="1"/>
  <c r="L557" i="1"/>
  <c r="K108" i="1"/>
  <c r="J557" i="1"/>
  <c r="O108" i="1"/>
  <c r="O557" i="1" s="1"/>
  <c r="BB108" i="1"/>
  <c r="BG108" i="1" s="1"/>
  <c r="BG557" i="1" s="1"/>
  <c r="F557" i="1"/>
  <c r="D557" i="1"/>
  <c r="AV106" i="1"/>
  <c r="AV556" i="1"/>
  <c r="AU107" i="1"/>
  <c r="AT106" i="1"/>
  <c r="AT556" i="1"/>
  <c r="AY107" i="1"/>
  <c r="AP106" i="1"/>
  <c r="AP556" i="1"/>
  <c r="AJ106" i="1"/>
  <c r="AJ556" i="1"/>
  <c r="AI107" i="1"/>
  <c r="AH106" i="1"/>
  <c r="AH556" i="1"/>
  <c r="AM107" i="1"/>
  <c r="AD106" i="1"/>
  <c r="AD556" i="1"/>
  <c r="X106" i="1"/>
  <c r="X556" i="1"/>
  <c r="W107" i="1"/>
  <c r="V106" i="1"/>
  <c r="V556" i="1"/>
  <c r="AA107" i="1"/>
  <c r="R106" i="1"/>
  <c r="R556" i="1"/>
  <c r="L106" i="1"/>
  <c r="L556" i="1"/>
  <c r="K107" i="1"/>
  <c r="J106" i="1"/>
  <c r="J556" i="1"/>
  <c r="O107" i="1"/>
  <c r="F106" i="1"/>
  <c r="BB107" i="1"/>
  <c r="BG107" i="1" s="1"/>
  <c r="F556" i="1"/>
  <c r="D106" i="1"/>
  <c r="D556" i="1"/>
  <c r="AV103" i="1"/>
  <c r="AV177" i="1"/>
  <c r="AV337" i="1"/>
  <c r="AV553" i="1"/>
  <c r="AV520" i="1" s="1"/>
  <c r="AU104" i="1"/>
  <c r="AT103" i="1"/>
  <c r="AT177" i="1"/>
  <c r="AT337" i="1"/>
  <c r="AT553" i="1"/>
  <c r="AY104" i="1"/>
  <c r="AP103" i="1"/>
  <c r="AP177" i="1"/>
  <c r="AP337" i="1"/>
  <c r="AP553" i="1"/>
  <c r="AP520" i="1" s="1"/>
  <c r="AJ103" i="1"/>
  <c r="AJ177" i="1"/>
  <c r="AJ337" i="1"/>
  <c r="AJ553" i="1"/>
  <c r="AJ520" i="1" s="1"/>
  <c r="AI104" i="1"/>
  <c r="AH103" i="1"/>
  <c r="AH177" i="1"/>
  <c r="AH337" i="1"/>
  <c r="AH553" i="1"/>
  <c r="AM104" i="1"/>
  <c r="AD103" i="1"/>
  <c r="AD177" i="1"/>
  <c r="AD337" i="1"/>
  <c r="AD553" i="1"/>
  <c r="AD520" i="1" s="1"/>
  <c r="X103" i="1"/>
  <c r="X177" i="1"/>
  <c r="X337" i="1"/>
  <c r="X553" i="1"/>
  <c r="X520" i="1" s="1"/>
  <c r="W104" i="1"/>
  <c r="V103" i="1"/>
  <c r="V177" i="1"/>
  <c r="V337" i="1"/>
  <c r="V553" i="1"/>
  <c r="AA104" i="1"/>
  <c r="R103" i="1"/>
  <c r="R177" i="1"/>
  <c r="R337" i="1"/>
  <c r="R553" i="1"/>
  <c r="R520" i="1" s="1"/>
  <c r="L103" i="1"/>
  <c r="L177" i="1"/>
  <c r="L337" i="1"/>
  <c r="L553" i="1"/>
  <c r="L520" i="1" s="1"/>
  <c r="K104" i="1"/>
  <c r="J103" i="1"/>
  <c r="J177" i="1"/>
  <c r="J337" i="1"/>
  <c r="J553" i="1"/>
  <c r="O104" i="1"/>
  <c r="F103" i="1"/>
  <c r="BB104" i="1"/>
  <c r="BG104" i="1" s="1"/>
  <c r="F177" i="1"/>
  <c r="F337" i="1"/>
  <c r="F553" i="1"/>
  <c r="F520" i="1" s="1"/>
  <c r="D103" i="1"/>
  <c r="D177" i="1"/>
  <c r="D337" i="1"/>
  <c r="D553" i="1"/>
  <c r="D520" i="1" s="1"/>
  <c r="AV175" i="1"/>
  <c r="AV335" i="1"/>
  <c r="AV551" i="1"/>
  <c r="AV518" i="1" s="1"/>
  <c r="AU102" i="1"/>
  <c r="AT175" i="1"/>
  <c r="AT335" i="1"/>
  <c r="AT551" i="1"/>
  <c r="AY102" i="1"/>
  <c r="AP175" i="1"/>
  <c r="AP335" i="1"/>
  <c r="AP551" i="1"/>
  <c r="AP518" i="1" s="1"/>
  <c r="AJ175" i="1"/>
  <c r="AJ335" i="1"/>
  <c r="AJ551" i="1"/>
  <c r="AJ518" i="1" s="1"/>
  <c r="AI102" i="1"/>
  <c r="AH175" i="1"/>
  <c r="AH335" i="1"/>
  <c r="AH551" i="1"/>
  <c r="AM102" i="1"/>
  <c r="AD175" i="1"/>
  <c r="AD335" i="1"/>
  <c r="AD551" i="1"/>
  <c r="AD518" i="1" s="1"/>
  <c r="X175" i="1"/>
  <c r="X335" i="1"/>
  <c r="X551" i="1"/>
  <c r="X518" i="1" s="1"/>
  <c r="W102" i="1"/>
  <c r="V175" i="1"/>
  <c r="V335" i="1"/>
  <c r="V551" i="1"/>
  <c r="AA102" i="1"/>
  <c r="R175" i="1"/>
  <c r="R335" i="1"/>
  <c r="R551" i="1"/>
  <c r="R518" i="1" s="1"/>
  <c r="L175" i="1"/>
  <c r="L335" i="1"/>
  <c r="L551" i="1"/>
  <c r="L518" i="1" s="1"/>
  <c r="K102" i="1"/>
  <c r="J175" i="1"/>
  <c r="J335" i="1"/>
  <c r="J551" i="1"/>
  <c r="O102" i="1"/>
  <c r="BB102" i="1"/>
  <c r="BG102" i="1" s="1"/>
  <c r="F175" i="1"/>
  <c r="F335" i="1"/>
  <c r="F551" i="1"/>
  <c r="F518" i="1" s="1"/>
  <c r="D175" i="1"/>
  <c r="D335" i="1"/>
  <c r="D551" i="1"/>
  <c r="D518" i="1" s="1"/>
  <c r="AV174" i="1"/>
  <c r="AV334" i="1"/>
  <c r="AV550" i="1"/>
  <c r="AV517" i="1" s="1"/>
  <c r="AU101" i="1"/>
  <c r="AT174" i="1"/>
  <c r="AT334" i="1"/>
  <c r="AT550" i="1"/>
  <c r="AY101" i="1"/>
  <c r="AP174" i="1"/>
  <c r="AP334" i="1"/>
  <c r="AP550" i="1"/>
  <c r="AP517" i="1" s="1"/>
  <c r="AJ174" i="1"/>
  <c r="AJ334" i="1"/>
  <c r="AJ550" i="1"/>
  <c r="AJ517" i="1" s="1"/>
  <c r="AI101" i="1"/>
  <c r="AH174" i="1"/>
  <c r="AH334" i="1"/>
  <c r="AH550" i="1"/>
  <c r="AM101" i="1"/>
  <c r="AD174" i="1"/>
  <c r="AD334" i="1"/>
  <c r="AD550" i="1"/>
  <c r="AD517" i="1" s="1"/>
  <c r="X174" i="1"/>
  <c r="X334" i="1"/>
  <c r="X550" i="1"/>
  <c r="X517" i="1" s="1"/>
  <c r="W101" i="1"/>
  <c r="V174" i="1"/>
  <c r="V334" i="1"/>
  <c r="V550" i="1"/>
  <c r="AA101" i="1"/>
  <c r="R174" i="1"/>
  <c r="R334" i="1"/>
  <c r="R550" i="1"/>
  <c r="R517" i="1" s="1"/>
  <c r="L174" i="1"/>
  <c r="L334" i="1"/>
  <c r="L550" i="1"/>
  <c r="L517" i="1" s="1"/>
  <c r="K101" i="1"/>
  <c r="J174" i="1"/>
  <c r="J334" i="1"/>
  <c r="J550" i="1"/>
  <c r="O101" i="1"/>
  <c r="BB101" i="1"/>
  <c r="BG101" i="1" s="1"/>
  <c r="F174" i="1"/>
  <c r="F334" i="1"/>
  <c r="F550" i="1"/>
  <c r="F517" i="1" s="1"/>
  <c r="D174" i="1"/>
  <c r="D334" i="1"/>
  <c r="D550" i="1"/>
  <c r="D517" i="1" s="1"/>
  <c r="AV173" i="1"/>
  <c r="AV333" i="1"/>
  <c r="AV549" i="1"/>
  <c r="AV516" i="1" s="1"/>
  <c r="AU100" i="1"/>
  <c r="AT173" i="1"/>
  <c r="AT333" i="1"/>
  <c r="AT549" i="1"/>
  <c r="AY100" i="1"/>
  <c r="AP173" i="1"/>
  <c r="AP333" i="1"/>
  <c r="AP549" i="1"/>
  <c r="AP516" i="1" s="1"/>
  <c r="AJ173" i="1"/>
  <c r="AJ333" i="1"/>
  <c r="AJ549" i="1"/>
  <c r="AJ516" i="1" s="1"/>
  <c r="AI100" i="1"/>
  <c r="AH173" i="1"/>
  <c r="AH333" i="1"/>
  <c r="AH549" i="1"/>
  <c r="AM100" i="1"/>
  <c r="AD173" i="1"/>
  <c r="AD333" i="1"/>
  <c r="AD549" i="1"/>
  <c r="AD516" i="1" s="1"/>
  <c r="X173" i="1"/>
  <c r="X333" i="1"/>
  <c r="X549" i="1"/>
  <c r="X516" i="1" s="1"/>
  <c r="W100" i="1"/>
  <c r="V173" i="1"/>
  <c r="V333" i="1"/>
  <c r="V549" i="1"/>
  <c r="AA100" i="1"/>
  <c r="R173" i="1"/>
  <c r="R333" i="1"/>
  <c r="R549" i="1"/>
  <c r="R516" i="1" s="1"/>
  <c r="L173" i="1"/>
  <c r="L333" i="1"/>
  <c r="L549" i="1"/>
  <c r="L516" i="1" s="1"/>
  <c r="K100" i="1"/>
  <c r="J173" i="1"/>
  <c r="J333" i="1"/>
  <c r="J549" i="1"/>
  <c r="O100" i="1"/>
  <c r="BB100" i="1"/>
  <c r="BG100" i="1" s="1"/>
  <c r="F173" i="1"/>
  <c r="F333" i="1"/>
  <c r="F549" i="1"/>
  <c r="F516" i="1" s="1"/>
  <c r="D173" i="1"/>
  <c r="D333" i="1"/>
  <c r="D549" i="1"/>
  <c r="D516" i="1" s="1"/>
  <c r="AV172" i="1"/>
  <c r="AV332" i="1"/>
  <c r="AV548" i="1"/>
  <c r="AV515" i="1" s="1"/>
  <c r="AU99" i="1"/>
  <c r="AT172" i="1"/>
  <c r="AT332" i="1"/>
  <c r="AT548" i="1"/>
  <c r="AY99" i="1"/>
  <c r="AP172" i="1"/>
  <c r="AP332" i="1"/>
  <c r="AP548" i="1"/>
  <c r="AP515" i="1" s="1"/>
  <c r="AJ172" i="1"/>
  <c r="AJ332" i="1"/>
  <c r="AJ548" i="1"/>
  <c r="AJ515" i="1" s="1"/>
  <c r="AI99" i="1"/>
  <c r="AH172" i="1"/>
  <c r="AH332" i="1"/>
  <c r="AH548" i="1"/>
  <c r="AM99" i="1"/>
  <c r="AD172" i="1"/>
  <c r="AD332" i="1"/>
  <c r="AD548" i="1"/>
  <c r="AD515" i="1" s="1"/>
  <c r="X172" i="1"/>
  <c r="X332" i="1"/>
  <c r="X548" i="1"/>
  <c r="X515" i="1" s="1"/>
  <c r="W99" i="1"/>
  <c r="V172" i="1"/>
  <c r="V332" i="1"/>
  <c r="V548" i="1"/>
  <c r="AA99" i="1"/>
  <c r="R172" i="1"/>
  <c r="R332" i="1"/>
  <c r="R548" i="1"/>
  <c r="R515" i="1" s="1"/>
  <c r="L172" i="1"/>
  <c r="L332" i="1"/>
  <c r="L548" i="1"/>
  <c r="L515" i="1" s="1"/>
  <c r="K99" i="1"/>
  <c r="J172" i="1"/>
  <c r="J332" i="1"/>
  <c r="J548" i="1"/>
  <c r="O99" i="1"/>
  <c r="BB99" i="1"/>
  <c r="BG99" i="1" s="1"/>
  <c r="F172" i="1"/>
  <c r="F332" i="1"/>
  <c r="F548" i="1"/>
  <c r="F515" i="1" s="1"/>
  <c r="D172" i="1"/>
  <c r="D332" i="1"/>
  <c r="D548" i="1"/>
  <c r="D515" i="1" s="1"/>
  <c r="AV171" i="1"/>
  <c r="AV331" i="1"/>
  <c r="AV547" i="1"/>
  <c r="AV514" i="1" s="1"/>
  <c r="AU98" i="1"/>
  <c r="AT171" i="1"/>
  <c r="AT331" i="1"/>
  <c r="AT547" i="1"/>
  <c r="AY98" i="1"/>
  <c r="AP171" i="1"/>
  <c r="AP331" i="1"/>
  <c r="AP547" i="1"/>
  <c r="AP514" i="1" s="1"/>
  <c r="AJ171" i="1"/>
  <c r="AJ331" i="1"/>
  <c r="AJ547" i="1"/>
  <c r="AJ514" i="1" s="1"/>
  <c r="AI98" i="1"/>
  <c r="AH171" i="1"/>
  <c r="AH331" i="1"/>
  <c r="AH547" i="1"/>
  <c r="AM98" i="1"/>
  <c r="AD171" i="1"/>
  <c r="AD331" i="1"/>
  <c r="AD547" i="1"/>
  <c r="AD514" i="1" s="1"/>
  <c r="X171" i="1"/>
  <c r="X331" i="1"/>
  <c r="X547" i="1"/>
  <c r="X514" i="1" s="1"/>
  <c r="W98" i="1"/>
  <c r="V171" i="1"/>
  <c r="V331" i="1"/>
  <c r="V547" i="1"/>
  <c r="AA98" i="1"/>
  <c r="R171" i="1"/>
  <c r="R331" i="1"/>
  <c r="R547" i="1"/>
  <c r="R514" i="1" s="1"/>
  <c r="L171" i="1"/>
  <c r="L331" i="1"/>
  <c r="L547" i="1"/>
  <c r="L514" i="1" s="1"/>
  <c r="K98" i="1"/>
  <c r="J171" i="1"/>
  <c r="J331" i="1"/>
  <c r="J547" i="1"/>
  <c r="O98" i="1"/>
  <c r="BB98" i="1"/>
  <c r="BG98" i="1" s="1"/>
  <c r="F171" i="1"/>
  <c r="F331" i="1"/>
  <c r="F547" i="1"/>
  <c r="F514" i="1" s="1"/>
  <c r="D171" i="1"/>
  <c r="D331" i="1"/>
  <c r="D547" i="1"/>
  <c r="D514" i="1" s="1"/>
  <c r="AV170" i="1"/>
  <c r="AV330" i="1"/>
  <c r="AV546" i="1"/>
  <c r="AV513" i="1" s="1"/>
  <c r="AU97" i="1"/>
  <c r="AT170" i="1"/>
  <c r="AT330" i="1"/>
  <c r="AT546" i="1"/>
  <c r="AY97" i="1"/>
  <c r="AP170" i="1"/>
  <c r="AP330" i="1"/>
  <c r="AP546" i="1"/>
  <c r="AP513" i="1" s="1"/>
  <c r="AJ170" i="1"/>
  <c r="AJ330" i="1"/>
  <c r="AJ546" i="1"/>
  <c r="AJ513" i="1" s="1"/>
  <c r="AI97" i="1"/>
  <c r="AH170" i="1"/>
  <c r="AH330" i="1"/>
  <c r="AH546" i="1"/>
  <c r="AM97" i="1"/>
  <c r="AD170" i="1"/>
  <c r="AD330" i="1"/>
  <c r="AD546" i="1"/>
  <c r="AD513" i="1" s="1"/>
  <c r="X170" i="1"/>
  <c r="X330" i="1"/>
  <c r="X546" i="1"/>
  <c r="X513" i="1" s="1"/>
  <c r="W97" i="1"/>
  <c r="V170" i="1"/>
  <c r="V330" i="1"/>
  <c r="V546" i="1"/>
  <c r="AA97" i="1"/>
  <c r="R170" i="1"/>
  <c r="R330" i="1"/>
  <c r="R546" i="1"/>
  <c r="R513" i="1" s="1"/>
  <c r="L170" i="1"/>
  <c r="L330" i="1"/>
  <c r="L546" i="1"/>
  <c r="L513" i="1" s="1"/>
  <c r="K97" i="1"/>
  <c r="J170" i="1"/>
  <c r="J330" i="1"/>
  <c r="J546" i="1"/>
  <c r="O97" i="1"/>
  <c r="BB97" i="1"/>
  <c r="BG97" i="1" s="1"/>
  <c r="F170" i="1"/>
  <c r="F330" i="1"/>
  <c r="F546" i="1"/>
  <c r="F513" i="1" s="1"/>
  <c r="D170" i="1"/>
  <c r="D330" i="1"/>
  <c r="D546" i="1"/>
  <c r="D513" i="1" s="1"/>
  <c r="AR96" i="1"/>
  <c r="AZ96" i="1"/>
  <c r="AQ169" i="1"/>
  <c r="AQ329" i="1"/>
  <c r="AQ545" i="1"/>
  <c r="AF96" i="1"/>
  <c r="AN96" i="1"/>
  <c r="AE169" i="1"/>
  <c r="AE329" i="1"/>
  <c r="AE545" i="1"/>
  <c r="AS135" i="1"/>
  <c r="AS584" i="1" s="1"/>
  <c r="AS585" i="1"/>
  <c r="AQ135" i="1"/>
  <c r="AR136" i="1"/>
  <c r="AQ585" i="1"/>
  <c r="AK135" i="1"/>
  <c r="AL136" i="1"/>
  <c r="AK585" i="1"/>
  <c r="AL585" i="1" s="1"/>
  <c r="AG135" i="1"/>
  <c r="AG584" i="1" s="1"/>
  <c r="AG585" i="1"/>
  <c r="AE135" i="1"/>
  <c r="AF136" i="1"/>
  <c r="AN136" i="1"/>
  <c r="AE585" i="1"/>
  <c r="AF585" i="1" s="1"/>
  <c r="Y135" i="1"/>
  <c r="Z136" i="1"/>
  <c r="Y585" i="1"/>
  <c r="U135" i="1"/>
  <c r="U584" i="1" s="1"/>
  <c r="U585" i="1"/>
  <c r="S135" i="1"/>
  <c r="T136" i="1"/>
  <c r="AB136" i="1"/>
  <c r="S585" i="1"/>
  <c r="M135" i="1"/>
  <c r="N136" i="1"/>
  <c r="N144" i="1"/>
  <c r="M585" i="1"/>
  <c r="I135" i="1"/>
  <c r="I584" i="1" s="1"/>
  <c r="I585" i="1"/>
  <c r="G135" i="1"/>
  <c r="H136" i="1"/>
  <c r="P136" i="1"/>
  <c r="G585" i="1"/>
  <c r="E135" i="1"/>
  <c r="E584" i="1" s="1"/>
  <c r="E585" i="1"/>
  <c r="BE583" i="1"/>
  <c r="AX134" i="1"/>
  <c r="AW583" i="1"/>
  <c r="AX583" i="1" s="1"/>
  <c r="AS583" i="1"/>
  <c r="AR134" i="1"/>
  <c r="AZ134" i="1"/>
  <c r="AQ583" i="1"/>
  <c r="AR583" i="1" s="1"/>
  <c r="AL134" i="1"/>
  <c r="AK583" i="1"/>
  <c r="AG583" i="1"/>
  <c r="AF134" i="1"/>
  <c r="AN134" i="1"/>
  <c r="AE583" i="1"/>
  <c r="Z134" i="1"/>
  <c r="Y583" i="1"/>
  <c r="Z583" i="1" s="1"/>
  <c r="U583" i="1"/>
  <c r="T134" i="1"/>
  <c r="AB134" i="1"/>
  <c r="S583" i="1"/>
  <c r="T583" i="1" s="1"/>
  <c r="N134" i="1"/>
  <c r="M583" i="1"/>
  <c r="I583" i="1"/>
  <c r="BC134" i="1"/>
  <c r="H134" i="1"/>
  <c r="P134" i="1"/>
  <c r="G583" i="1"/>
  <c r="E583" i="1"/>
  <c r="BE582" i="1"/>
  <c r="AX133" i="1"/>
  <c r="AW582" i="1"/>
  <c r="AS582" i="1"/>
  <c r="AR133" i="1"/>
  <c r="AZ133" i="1"/>
  <c r="AQ582" i="1"/>
  <c r="AL133" i="1"/>
  <c r="AK582" i="1"/>
  <c r="AL582" i="1" s="1"/>
  <c r="AG582" i="1"/>
  <c r="AF133" i="1"/>
  <c r="AN133" i="1"/>
  <c r="AE582" i="1"/>
  <c r="AF582" i="1" s="1"/>
  <c r="Z133" i="1"/>
  <c r="Y582" i="1"/>
  <c r="U582" i="1"/>
  <c r="T133" i="1"/>
  <c r="AB133" i="1"/>
  <c r="S582" i="1"/>
  <c r="N133" i="1"/>
  <c r="M582" i="1"/>
  <c r="N582" i="1" s="1"/>
  <c r="I582" i="1"/>
  <c r="BC133" i="1"/>
  <c r="H133" i="1"/>
  <c r="P133" i="1"/>
  <c r="G582" i="1"/>
  <c r="H582" i="1" s="1"/>
  <c r="E582" i="1"/>
  <c r="BE581" i="1"/>
  <c r="AX132" i="1"/>
  <c r="AW581" i="1"/>
  <c r="AS581" i="1"/>
  <c r="AR132" i="1"/>
  <c r="AZ132" i="1"/>
  <c r="AQ581" i="1"/>
  <c r="AL132" i="1"/>
  <c r="AK581" i="1"/>
  <c r="AG581" i="1"/>
  <c r="AF132" i="1"/>
  <c r="AN132" i="1"/>
  <c r="AE581" i="1"/>
  <c r="Z132" i="1"/>
  <c r="Y581" i="1"/>
  <c r="Z581" i="1" s="1"/>
  <c r="U581" i="1"/>
  <c r="T132" i="1"/>
  <c r="AB132" i="1"/>
  <c r="S581" i="1"/>
  <c r="T581" i="1" s="1"/>
  <c r="N132" i="1"/>
  <c r="M581" i="1"/>
  <c r="I581" i="1"/>
  <c r="BC132" i="1"/>
  <c r="H132" i="1"/>
  <c r="P132" i="1"/>
  <c r="G581" i="1"/>
  <c r="E581" i="1"/>
  <c r="BE580" i="1"/>
  <c r="AX131" i="1"/>
  <c r="AW580" i="1"/>
  <c r="AS580" i="1"/>
  <c r="AR131" i="1"/>
  <c r="AZ131" i="1"/>
  <c r="AQ580" i="1"/>
  <c r="AL131" i="1"/>
  <c r="AK580" i="1"/>
  <c r="AL580" i="1" s="1"/>
  <c r="AG580" i="1"/>
  <c r="AF131" i="1"/>
  <c r="AN131" i="1"/>
  <c r="AE580" i="1"/>
  <c r="AF580" i="1" s="1"/>
  <c r="Z131" i="1"/>
  <c r="Y580" i="1"/>
  <c r="U580" i="1"/>
  <c r="T131" i="1"/>
  <c r="AB131" i="1"/>
  <c r="S580" i="1"/>
  <c r="N131" i="1"/>
  <c r="M580" i="1"/>
  <c r="N580" i="1" s="1"/>
  <c r="I580" i="1"/>
  <c r="BC131" i="1"/>
  <c r="H131" i="1"/>
  <c r="P131" i="1"/>
  <c r="G580" i="1"/>
  <c r="H580" i="1" s="1"/>
  <c r="E580" i="1"/>
  <c r="BE579" i="1"/>
  <c r="AX130" i="1"/>
  <c r="AW579" i="1"/>
  <c r="AX579" i="1" s="1"/>
  <c r="AS579" i="1"/>
  <c r="AR130" i="1"/>
  <c r="AZ130" i="1"/>
  <c r="AQ579" i="1"/>
  <c r="AR579" i="1" s="1"/>
  <c r="AL130" i="1"/>
  <c r="AK579" i="1"/>
  <c r="AG579" i="1"/>
  <c r="AF130" i="1"/>
  <c r="AN130" i="1"/>
  <c r="AE579" i="1"/>
  <c r="Z130" i="1"/>
  <c r="Y579" i="1"/>
  <c r="Z579" i="1" s="1"/>
  <c r="U579" i="1"/>
  <c r="T130" i="1"/>
  <c r="AB130" i="1"/>
  <c r="S579" i="1"/>
  <c r="T579" i="1" s="1"/>
  <c r="N130" i="1"/>
  <c r="M579" i="1"/>
  <c r="I579" i="1"/>
  <c r="BC130" i="1"/>
  <c r="H130" i="1"/>
  <c r="P130" i="1"/>
  <c r="G579" i="1"/>
  <c r="E579" i="1"/>
  <c r="BE578" i="1"/>
  <c r="AX129" i="1"/>
  <c r="AW578" i="1"/>
  <c r="AS578" i="1"/>
  <c r="AR129" i="1"/>
  <c r="AZ129" i="1"/>
  <c r="AQ578" i="1"/>
  <c r="AL129" i="1"/>
  <c r="AK578" i="1"/>
  <c r="AL578" i="1" s="1"/>
  <c r="AG578" i="1"/>
  <c r="AF129" i="1"/>
  <c r="AN129" i="1"/>
  <c r="AE578" i="1"/>
  <c r="AF578" i="1" s="1"/>
  <c r="Z129" i="1"/>
  <c r="Y578" i="1"/>
  <c r="U578" i="1"/>
  <c r="T129" i="1"/>
  <c r="AB129" i="1"/>
  <c r="S578" i="1"/>
  <c r="N129" i="1"/>
  <c r="M578" i="1"/>
  <c r="N578" i="1" s="1"/>
  <c r="I578" i="1"/>
  <c r="BC129" i="1"/>
  <c r="H129" i="1"/>
  <c r="P129" i="1"/>
  <c r="G578" i="1"/>
  <c r="H578" i="1" s="1"/>
  <c r="E578" i="1"/>
  <c r="BE577" i="1"/>
  <c r="AX128" i="1"/>
  <c r="AW577" i="1"/>
  <c r="AS577" i="1"/>
  <c r="AR128" i="1"/>
  <c r="AZ128" i="1"/>
  <c r="AQ577" i="1"/>
  <c r="AL128" i="1"/>
  <c r="AK577" i="1"/>
  <c r="AG577" i="1"/>
  <c r="AF128" i="1"/>
  <c r="AN128" i="1"/>
  <c r="AE577" i="1"/>
  <c r="Z128" i="1"/>
  <c r="Y577" i="1"/>
  <c r="Z577" i="1" s="1"/>
  <c r="U577" i="1"/>
  <c r="T128" i="1"/>
  <c r="AB128" i="1"/>
  <c r="S577" i="1"/>
  <c r="T577" i="1" s="1"/>
  <c r="N128" i="1"/>
  <c r="M577" i="1"/>
  <c r="I577" i="1"/>
  <c r="BC128" i="1"/>
  <c r="H128" i="1"/>
  <c r="P128" i="1"/>
  <c r="G577" i="1"/>
  <c r="E577" i="1"/>
  <c r="BE576" i="1"/>
  <c r="AX127" i="1"/>
  <c r="AW576" i="1"/>
  <c r="AS576" i="1"/>
  <c r="AR127" i="1"/>
  <c r="AZ127" i="1"/>
  <c r="AQ576" i="1"/>
  <c r="AL127" i="1"/>
  <c r="AK576" i="1"/>
  <c r="AL576" i="1" s="1"/>
  <c r="AG576" i="1"/>
  <c r="AF127" i="1"/>
  <c r="AN127" i="1"/>
  <c r="AE576" i="1"/>
  <c r="AF576" i="1" s="1"/>
  <c r="Z127" i="1"/>
  <c r="Y576" i="1"/>
  <c r="U576" i="1"/>
  <c r="T127" i="1"/>
  <c r="AB127" i="1"/>
  <c r="S576" i="1"/>
  <c r="N127" i="1"/>
  <c r="M576" i="1"/>
  <c r="N576" i="1" s="1"/>
  <c r="I576" i="1"/>
  <c r="BC127" i="1"/>
  <c r="H127" i="1"/>
  <c r="P127" i="1"/>
  <c r="G576" i="1"/>
  <c r="H576" i="1" s="1"/>
  <c r="E576" i="1"/>
  <c r="BE575" i="1"/>
  <c r="AX126" i="1"/>
  <c r="AW575" i="1"/>
  <c r="AX575" i="1" s="1"/>
  <c r="AS575" i="1"/>
  <c r="AR126" i="1"/>
  <c r="AZ126" i="1"/>
  <c r="AQ575" i="1"/>
  <c r="AR575" i="1" s="1"/>
  <c r="AL126" i="1"/>
  <c r="AK575" i="1"/>
  <c r="AG575" i="1"/>
  <c r="AF126" i="1"/>
  <c r="AN126" i="1"/>
  <c r="AE575" i="1"/>
  <c r="Z126" i="1"/>
  <c r="Y575" i="1"/>
  <c r="Z575" i="1" s="1"/>
  <c r="U575" i="1"/>
  <c r="T126" i="1"/>
  <c r="AB126" i="1"/>
  <c r="S575" i="1"/>
  <c r="N126" i="1"/>
  <c r="M575" i="1"/>
  <c r="I575" i="1"/>
  <c r="BC126" i="1"/>
  <c r="H126" i="1"/>
  <c r="P126" i="1"/>
  <c r="G575" i="1"/>
  <c r="E575" i="1"/>
  <c r="BE574" i="1"/>
  <c r="AX125" i="1"/>
  <c r="AW574" i="1"/>
  <c r="AS574" i="1"/>
  <c r="AR125" i="1"/>
  <c r="AZ125" i="1"/>
  <c r="AQ574" i="1"/>
  <c r="AL125" i="1"/>
  <c r="AK574" i="1"/>
  <c r="AL574" i="1" s="1"/>
  <c r="AG574" i="1"/>
  <c r="AF125" i="1"/>
  <c r="AN125" i="1"/>
  <c r="AE574" i="1"/>
  <c r="AF574" i="1" s="1"/>
  <c r="Z125" i="1"/>
  <c r="Y574" i="1"/>
  <c r="U574" i="1"/>
  <c r="T125" i="1"/>
  <c r="AB125" i="1"/>
  <c r="S574" i="1"/>
  <c r="N125" i="1"/>
  <c r="M574" i="1"/>
  <c r="N574" i="1" s="1"/>
  <c r="I574" i="1"/>
  <c r="BC125" i="1"/>
  <c r="H125" i="1"/>
  <c r="P125" i="1"/>
  <c r="G574" i="1"/>
  <c r="H574" i="1" s="1"/>
  <c r="E574" i="1"/>
  <c r="BE573" i="1"/>
  <c r="AX124" i="1"/>
  <c r="AW573" i="1"/>
  <c r="AS573" i="1"/>
  <c r="AR124" i="1"/>
  <c r="AZ124" i="1"/>
  <c r="AQ573" i="1"/>
  <c r="AL124" i="1"/>
  <c r="AK573" i="1"/>
  <c r="AG573" i="1"/>
  <c r="AF124" i="1"/>
  <c r="AN124" i="1"/>
  <c r="AE573" i="1"/>
  <c r="Z124" i="1"/>
  <c r="Y573" i="1"/>
  <c r="Z573" i="1" s="1"/>
  <c r="U573" i="1"/>
  <c r="T124" i="1"/>
  <c r="AB124" i="1"/>
  <c r="S573" i="1"/>
  <c r="T573" i="1" s="1"/>
  <c r="N124" i="1"/>
  <c r="M573" i="1"/>
  <c r="I573" i="1"/>
  <c r="BC124" i="1"/>
  <c r="H124" i="1"/>
  <c r="P124" i="1"/>
  <c r="G573" i="1"/>
  <c r="E573" i="1"/>
  <c r="BE572" i="1"/>
  <c r="AX123" i="1"/>
  <c r="AW572" i="1"/>
  <c r="AS572" i="1"/>
  <c r="AR123" i="1"/>
  <c r="AZ123" i="1"/>
  <c r="AQ572" i="1"/>
  <c r="AL123" i="1"/>
  <c r="AK572" i="1"/>
  <c r="AL572" i="1" s="1"/>
  <c r="AG572" i="1"/>
  <c r="AF123" i="1"/>
  <c r="AN123" i="1"/>
  <c r="AE572" i="1"/>
  <c r="AF572" i="1" s="1"/>
  <c r="Z123" i="1"/>
  <c r="Y572" i="1"/>
  <c r="U572" i="1"/>
  <c r="T123" i="1"/>
  <c r="AB123" i="1"/>
  <c r="S572" i="1"/>
  <c r="N123" i="1"/>
  <c r="M572" i="1"/>
  <c r="N572" i="1" s="1"/>
  <c r="I572" i="1"/>
  <c r="BC123" i="1"/>
  <c r="H123" i="1"/>
  <c r="P123" i="1"/>
  <c r="G572" i="1"/>
  <c r="H572" i="1" s="1"/>
  <c r="E572" i="1"/>
  <c r="BE571" i="1"/>
  <c r="AX122" i="1"/>
  <c r="AW571" i="1"/>
  <c r="AX571" i="1" s="1"/>
  <c r="AS571" i="1"/>
  <c r="AR122" i="1"/>
  <c r="AZ122" i="1"/>
  <c r="AQ571" i="1"/>
  <c r="AR571" i="1" s="1"/>
  <c r="AL122" i="1"/>
  <c r="AK571" i="1"/>
  <c r="AG571" i="1"/>
  <c r="AF122" i="1"/>
  <c r="AN122" i="1"/>
  <c r="AE571" i="1"/>
  <c r="Z122" i="1"/>
  <c r="Y571" i="1"/>
  <c r="Z571" i="1" s="1"/>
  <c r="U571" i="1"/>
  <c r="T122" i="1"/>
  <c r="AB122" i="1"/>
  <c r="S571" i="1"/>
  <c r="T571" i="1" s="1"/>
  <c r="N122" i="1"/>
  <c r="M571" i="1"/>
  <c r="I571" i="1"/>
  <c r="BC122" i="1"/>
  <c r="H122" i="1"/>
  <c r="P122" i="1"/>
  <c r="G571" i="1"/>
  <c r="E571" i="1"/>
  <c r="BE570" i="1"/>
  <c r="AX121" i="1"/>
  <c r="AW570" i="1"/>
  <c r="AS570" i="1"/>
  <c r="AR121" i="1"/>
  <c r="AZ121" i="1"/>
  <c r="AQ570" i="1"/>
  <c r="AL121" i="1"/>
  <c r="AK570" i="1"/>
  <c r="AL570" i="1" s="1"/>
  <c r="AG570" i="1"/>
  <c r="AF121" i="1"/>
  <c r="AN121" i="1"/>
  <c r="AE570" i="1"/>
  <c r="AF570" i="1" s="1"/>
  <c r="Z121" i="1"/>
  <c r="Y570" i="1"/>
  <c r="U570" i="1"/>
  <c r="T121" i="1"/>
  <c r="AB121" i="1"/>
  <c r="S570" i="1"/>
  <c r="N121" i="1"/>
  <c r="M570" i="1"/>
  <c r="N570" i="1" s="1"/>
  <c r="I570" i="1"/>
  <c r="BC121" i="1"/>
  <c r="H121" i="1"/>
  <c r="P121" i="1"/>
  <c r="G570" i="1"/>
  <c r="H570" i="1" s="1"/>
  <c r="E570" i="1"/>
  <c r="BE569" i="1"/>
  <c r="AX120" i="1"/>
  <c r="AW569" i="1"/>
  <c r="AS569" i="1"/>
  <c r="AR120" i="1"/>
  <c r="AZ120" i="1"/>
  <c r="AQ569" i="1"/>
  <c r="AL120" i="1"/>
  <c r="AK569" i="1"/>
  <c r="AG569" i="1"/>
  <c r="AF120" i="1"/>
  <c r="AN120" i="1"/>
  <c r="AE569" i="1"/>
  <c r="Z120" i="1"/>
  <c r="Y569" i="1"/>
  <c r="Z569" i="1" s="1"/>
  <c r="U569" i="1"/>
  <c r="T120" i="1"/>
  <c r="AB120" i="1"/>
  <c r="S569" i="1"/>
  <c r="T569" i="1" s="1"/>
  <c r="N120" i="1"/>
  <c r="M569" i="1"/>
  <c r="I569" i="1"/>
  <c r="BC120" i="1"/>
  <c r="H120" i="1"/>
  <c r="P120" i="1"/>
  <c r="G569" i="1"/>
  <c r="E569" i="1"/>
  <c r="BE568" i="1"/>
  <c r="AX119" i="1"/>
  <c r="AW568" i="1"/>
  <c r="AS568" i="1"/>
  <c r="AR119" i="1"/>
  <c r="AZ119" i="1"/>
  <c r="AQ568" i="1"/>
  <c r="AL119" i="1"/>
  <c r="AK568" i="1"/>
  <c r="AL568" i="1" s="1"/>
  <c r="AG568" i="1"/>
  <c r="AF119" i="1"/>
  <c r="AN119" i="1"/>
  <c r="AE568" i="1"/>
  <c r="AF568" i="1" s="1"/>
  <c r="Z119" i="1"/>
  <c r="Y568" i="1"/>
  <c r="U568" i="1"/>
  <c r="T119" i="1"/>
  <c r="AB119" i="1"/>
  <c r="S568" i="1"/>
  <c r="N119" i="1"/>
  <c r="M568" i="1"/>
  <c r="N568" i="1" s="1"/>
  <c r="I568" i="1"/>
  <c r="BC119" i="1"/>
  <c r="H119" i="1"/>
  <c r="P119" i="1"/>
  <c r="G568" i="1"/>
  <c r="H568" i="1" s="1"/>
  <c r="E568" i="1"/>
  <c r="BE567" i="1"/>
  <c r="AX118" i="1"/>
  <c r="AW567" i="1"/>
  <c r="AX567" i="1" s="1"/>
  <c r="AS567" i="1"/>
  <c r="AR118" i="1"/>
  <c r="AZ118" i="1"/>
  <c r="AQ567" i="1"/>
  <c r="AL118" i="1"/>
  <c r="AK567" i="1"/>
  <c r="AG567" i="1"/>
  <c r="AF118" i="1"/>
  <c r="AN118" i="1"/>
  <c r="AE567" i="1"/>
  <c r="Z118" i="1"/>
  <c r="Y567" i="1"/>
  <c r="Z567" i="1" s="1"/>
  <c r="U567" i="1"/>
  <c r="T118" i="1"/>
  <c r="AB118" i="1"/>
  <c r="S567" i="1"/>
  <c r="T567" i="1" s="1"/>
  <c r="N118" i="1"/>
  <c r="M567" i="1"/>
  <c r="I567" i="1"/>
  <c r="BC118" i="1"/>
  <c r="H118" i="1"/>
  <c r="P118" i="1"/>
  <c r="G567" i="1"/>
  <c r="E567" i="1"/>
  <c r="BE116" i="1"/>
  <c r="BE565" i="1" s="1"/>
  <c r="BE566" i="1"/>
  <c r="AW116" i="1"/>
  <c r="AX117" i="1"/>
  <c r="AW566" i="1"/>
  <c r="AX566" i="1" s="1"/>
  <c r="AS116" i="1"/>
  <c r="AS565" i="1" s="1"/>
  <c r="AS566" i="1"/>
  <c r="AQ116" i="1"/>
  <c r="AR117" i="1"/>
  <c r="AZ117" i="1"/>
  <c r="AQ566" i="1"/>
  <c r="AR566" i="1" s="1"/>
  <c r="AK116" i="1"/>
  <c r="AL117" i="1"/>
  <c r="AK566" i="1"/>
  <c r="AG116" i="1"/>
  <c r="AG565" i="1" s="1"/>
  <c r="AG566" i="1"/>
  <c r="AE116" i="1"/>
  <c r="AF117" i="1"/>
  <c r="AN117" i="1"/>
  <c r="AE566" i="1"/>
  <c r="Y116" i="1"/>
  <c r="Z117" i="1"/>
  <c r="Y566" i="1"/>
  <c r="Z566" i="1" s="1"/>
  <c r="U116" i="1"/>
  <c r="U565" i="1" s="1"/>
  <c r="U566" i="1"/>
  <c r="S116" i="1"/>
  <c r="T117" i="1"/>
  <c r="AB117" i="1"/>
  <c r="S566" i="1"/>
  <c r="T566" i="1" s="1"/>
  <c r="M116" i="1"/>
  <c r="N117" i="1"/>
  <c r="M566" i="1"/>
  <c r="I116" i="1"/>
  <c r="I565" i="1" s="1"/>
  <c r="I566" i="1"/>
  <c r="G116" i="1"/>
  <c r="BC117" i="1"/>
  <c r="H117" i="1"/>
  <c r="P117" i="1"/>
  <c r="G566" i="1"/>
  <c r="E116" i="1"/>
  <c r="E565" i="1" s="1"/>
  <c r="E566" i="1"/>
  <c r="BE564" i="1"/>
  <c r="AX115" i="1"/>
  <c r="AX143" i="1"/>
  <c r="AW564" i="1"/>
  <c r="AX564" i="1" s="1"/>
  <c r="AS564" i="1"/>
  <c r="AR115" i="1"/>
  <c r="AZ115" i="1"/>
  <c r="AQ564" i="1"/>
  <c r="AR564" i="1" s="1"/>
  <c r="AL115" i="1"/>
  <c r="AK564" i="1"/>
  <c r="AG564" i="1"/>
  <c r="AF115" i="1"/>
  <c r="AN115" i="1"/>
  <c r="AE564" i="1"/>
  <c r="Z115" i="1"/>
  <c r="Z143" i="1"/>
  <c r="Y564" i="1"/>
  <c r="Z564" i="1" s="1"/>
  <c r="U564" i="1"/>
  <c r="T115" i="1"/>
  <c r="AB115" i="1"/>
  <c r="S564" i="1"/>
  <c r="N115" i="1"/>
  <c r="M564" i="1"/>
  <c r="I564" i="1"/>
  <c r="BC115" i="1"/>
  <c r="H115" i="1"/>
  <c r="P115" i="1"/>
  <c r="G564" i="1"/>
  <c r="E564" i="1"/>
  <c r="BE563" i="1"/>
  <c r="AX114" i="1"/>
  <c r="AW563" i="1"/>
  <c r="AS563" i="1"/>
  <c r="AR114" i="1"/>
  <c r="AZ114" i="1"/>
  <c r="AQ563" i="1"/>
  <c r="AL114" i="1"/>
  <c r="AK563" i="1"/>
  <c r="AL563" i="1" s="1"/>
  <c r="AG563" i="1"/>
  <c r="AF114" i="1"/>
  <c r="AN114" i="1"/>
  <c r="AE563" i="1"/>
  <c r="AF563" i="1" s="1"/>
  <c r="Z114" i="1"/>
  <c r="Y563" i="1"/>
  <c r="U563" i="1"/>
  <c r="T114" i="1"/>
  <c r="AB114" i="1"/>
  <c r="S563" i="1"/>
  <c r="N114" i="1"/>
  <c r="M563" i="1"/>
  <c r="N563" i="1" s="1"/>
  <c r="I563" i="1"/>
  <c r="BC114" i="1"/>
  <c r="H114" i="1"/>
  <c r="P114" i="1"/>
  <c r="G563" i="1"/>
  <c r="H563" i="1" s="1"/>
  <c r="E563" i="1"/>
  <c r="BE562" i="1"/>
  <c r="AX113" i="1"/>
  <c r="AW562" i="1"/>
  <c r="AX562" i="1" s="1"/>
  <c r="AS562" i="1"/>
  <c r="AR113" i="1"/>
  <c r="AZ113" i="1"/>
  <c r="AQ562" i="1"/>
  <c r="AL113" i="1"/>
  <c r="AK562" i="1"/>
  <c r="AG562" i="1"/>
  <c r="AF113" i="1"/>
  <c r="AN113" i="1"/>
  <c r="AE562" i="1"/>
  <c r="Z113" i="1"/>
  <c r="Y562" i="1"/>
  <c r="Z562" i="1" s="1"/>
  <c r="U562" i="1"/>
  <c r="T113" i="1"/>
  <c r="AB113" i="1"/>
  <c r="S562" i="1"/>
  <c r="T562" i="1" s="1"/>
  <c r="N113" i="1"/>
  <c r="M562" i="1"/>
  <c r="I562" i="1"/>
  <c r="BC113" i="1"/>
  <c r="H113" i="1"/>
  <c r="P113" i="1"/>
  <c r="G562" i="1"/>
  <c r="E562" i="1"/>
  <c r="BE561" i="1"/>
  <c r="AX112" i="1"/>
  <c r="AW561" i="1"/>
  <c r="AS561" i="1"/>
  <c r="AR112" i="1"/>
  <c r="AZ112" i="1"/>
  <c r="AQ561" i="1"/>
  <c r="AL112" i="1"/>
  <c r="AK561" i="1"/>
  <c r="AL561" i="1" s="1"/>
  <c r="AG561" i="1"/>
  <c r="AF112" i="1"/>
  <c r="AN112" i="1"/>
  <c r="AE561" i="1"/>
  <c r="AF561" i="1" s="1"/>
  <c r="Z112" i="1"/>
  <c r="Y561" i="1"/>
  <c r="U561" i="1"/>
  <c r="T112" i="1"/>
  <c r="AB112" i="1"/>
  <c r="S561" i="1"/>
  <c r="N112" i="1"/>
  <c r="M561" i="1"/>
  <c r="N561" i="1" s="1"/>
  <c r="I561" i="1"/>
  <c r="BC112" i="1"/>
  <c r="H112" i="1"/>
  <c r="P112" i="1"/>
  <c r="G561" i="1"/>
  <c r="E561" i="1"/>
  <c r="BE560" i="1"/>
  <c r="AX111" i="1"/>
  <c r="AW560" i="1"/>
  <c r="AX560" i="1" s="1"/>
  <c r="AS560" i="1"/>
  <c r="AR111" i="1"/>
  <c r="AZ111" i="1"/>
  <c r="AQ560" i="1"/>
  <c r="AR560" i="1" s="1"/>
  <c r="AL111" i="1"/>
  <c r="AK560" i="1"/>
  <c r="AG560" i="1"/>
  <c r="AF111" i="1"/>
  <c r="AN111" i="1"/>
  <c r="AE560" i="1"/>
  <c r="Z111" i="1"/>
  <c r="Y560" i="1"/>
  <c r="U560" i="1"/>
  <c r="T111" i="1"/>
  <c r="AB111" i="1"/>
  <c r="S560" i="1"/>
  <c r="N111" i="1"/>
  <c r="M560" i="1"/>
  <c r="I560" i="1"/>
  <c r="BC111" i="1"/>
  <c r="H111" i="1"/>
  <c r="P111" i="1"/>
  <c r="G560" i="1"/>
  <c r="E560" i="1"/>
  <c r="BE559" i="1"/>
  <c r="AX110" i="1"/>
  <c r="AW559" i="1"/>
  <c r="AS559" i="1"/>
  <c r="AR110" i="1"/>
  <c r="AZ110" i="1"/>
  <c r="AQ559" i="1"/>
  <c r="AL110" i="1"/>
  <c r="AK559" i="1"/>
  <c r="AL559" i="1" s="1"/>
  <c r="AG559" i="1"/>
  <c r="AF110" i="1"/>
  <c r="AN110" i="1"/>
  <c r="AE559" i="1"/>
  <c r="AF559" i="1" s="1"/>
  <c r="Z110" i="1"/>
  <c r="Y559" i="1"/>
  <c r="U559" i="1"/>
  <c r="T110" i="1"/>
  <c r="AB110" i="1"/>
  <c r="S559" i="1"/>
  <c r="N110" i="1"/>
  <c r="M559" i="1"/>
  <c r="N559" i="1" s="1"/>
  <c r="I559" i="1"/>
  <c r="BC110" i="1"/>
  <c r="H110" i="1"/>
  <c r="P110" i="1"/>
  <c r="G559" i="1"/>
  <c r="H559" i="1" s="1"/>
  <c r="E559" i="1"/>
  <c r="BE558" i="1"/>
  <c r="AX109" i="1"/>
  <c r="AW558" i="1"/>
  <c r="AX558" i="1" s="1"/>
  <c r="AS558" i="1"/>
  <c r="AR109" i="1"/>
  <c r="AZ109" i="1"/>
  <c r="AQ558" i="1"/>
  <c r="AR558" i="1" s="1"/>
  <c r="AL109" i="1"/>
  <c r="AK558" i="1"/>
  <c r="AG558" i="1"/>
  <c r="AF109" i="1"/>
  <c r="AN109" i="1"/>
  <c r="AE558" i="1"/>
  <c r="Z109" i="1"/>
  <c r="Y558" i="1"/>
  <c r="Z558" i="1" s="1"/>
  <c r="U558" i="1"/>
  <c r="T109" i="1"/>
  <c r="AB109" i="1"/>
  <c r="S558" i="1"/>
  <c r="T558" i="1" s="1"/>
  <c r="N109" i="1"/>
  <c r="M558" i="1"/>
  <c r="I558" i="1"/>
  <c r="BC109" i="1"/>
  <c r="H109" i="1"/>
  <c r="P109" i="1"/>
  <c r="G558" i="1"/>
  <c r="E558" i="1"/>
  <c r="BE557" i="1"/>
  <c r="AX108" i="1"/>
  <c r="AW557" i="1"/>
  <c r="AS557" i="1"/>
  <c r="AR108" i="1"/>
  <c r="AZ108" i="1"/>
  <c r="AQ557" i="1"/>
  <c r="AL108" i="1"/>
  <c r="AK557" i="1"/>
  <c r="AL557" i="1" s="1"/>
  <c r="AG557" i="1"/>
  <c r="AF108" i="1"/>
  <c r="AN108" i="1"/>
  <c r="AE557" i="1"/>
  <c r="AF557" i="1" s="1"/>
  <c r="Z108" i="1"/>
  <c r="Y557" i="1"/>
  <c r="U557" i="1"/>
  <c r="T108" i="1"/>
  <c r="AB108" i="1"/>
  <c r="S557" i="1"/>
  <c r="N108" i="1"/>
  <c r="M557" i="1"/>
  <c r="N557" i="1" s="1"/>
  <c r="I557" i="1"/>
  <c r="BC108" i="1"/>
  <c r="H108" i="1"/>
  <c r="P108" i="1"/>
  <c r="G557" i="1"/>
  <c r="E557" i="1"/>
  <c r="BE106" i="1"/>
  <c r="BE556" i="1"/>
  <c r="AW106" i="1"/>
  <c r="AX107" i="1"/>
  <c r="AW556" i="1"/>
  <c r="AS106" i="1"/>
  <c r="AS556" i="1"/>
  <c r="AQ106" i="1"/>
  <c r="AR107" i="1"/>
  <c r="AZ107" i="1"/>
  <c r="AQ556" i="1"/>
  <c r="AK106" i="1"/>
  <c r="AL107" i="1"/>
  <c r="AK556" i="1"/>
  <c r="AL556" i="1" s="1"/>
  <c r="AG106" i="1"/>
  <c r="AG556" i="1"/>
  <c r="AE106" i="1"/>
  <c r="AF107" i="1"/>
  <c r="AN107" i="1"/>
  <c r="AE556" i="1"/>
  <c r="AF556" i="1" s="1"/>
  <c r="Y106" i="1"/>
  <c r="Z107" i="1"/>
  <c r="Y556" i="1"/>
  <c r="U106" i="1"/>
  <c r="U556" i="1"/>
  <c r="S106" i="1"/>
  <c r="T107" i="1"/>
  <c r="AB107" i="1"/>
  <c r="S556" i="1"/>
  <c r="M106" i="1"/>
  <c r="N107" i="1"/>
  <c r="M556" i="1"/>
  <c r="N556" i="1" s="1"/>
  <c r="I106" i="1"/>
  <c r="I556" i="1"/>
  <c r="G106" i="1"/>
  <c r="BC107" i="1"/>
  <c r="H107" i="1"/>
  <c r="P107" i="1"/>
  <c r="G556" i="1"/>
  <c r="H556" i="1" s="1"/>
  <c r="E106" i="1"/>
  <c r="E556" i="1"/>
  <c r="BE103" i="1"/>
  <c r="BE177" i="1"/>
  <c r="BE337" i="1"/>
  <c r="BE553" i="1"/>
  <c r="BE520" i="1" s="1"/>
  <c r="AW103" i="1"/>
  <c r="AX104" i="1"/>
  <c r="AW177" i="1"/>
  <c r="AW337" i="1"/>
  <c r="AW553" i="1"/>
  <c r="AS103" i="1"/>
  <c r="AS177" i="1"/>
  <c r="AS337" i="1"/>
  <c r="AS553" i="1"/>
  <c r="AS520" i="1" s="1"/>
  <c r="AQ103" i="1"/>
  <c r="AR104" i="1"/>
  <c r="AZ104" i="1"/>
  <c r="AQ177" i="1"/>
  <c r="AQ337" i="1"/>
  <c r="AQ553" i="1"/>
  <c r="AK103" i="1"/>
  <c r="AL104" i="1"/>
  <c r="AK177" i="1"/>
  <c r="AK337" i="1"/>
  <c r="AL337" i="1" s="1"/>
  <c r="AK553" i="1"/>
  <c r="AG103" i="1"/>
  <c r="AG177" i="1"/>
  <c r="AG337" i="1"/>
  <c r="AG553" i="1"/>
  <c r="AG520" i="1" s="1"/>
  <c r="AE103" i="1"/>
  <c r="AF104" i="1"/>
  <c r="AN104" i="1"/>
  <c r="AE177" i="1"/>
  <c r="AE337" i="1"/>
  <c r="AF337" i="1" s="1"/>
  <c r="AE553" i="1"/>
  <c r="Y103" i="1"/>
  <c r="Z104" i="1"/>
  <c r="Y177" i="1"/>
  <c r="Y337" i="1"/>
  <c r="Y553" i="1"/>
  <c r="U103" i="1"/>
  <c r="U177" i="1"/>
  <c r="U337" i="1"/>
  <c r="U553" i="1"/>
  <c r="U520" i="1" s="1"/>
  <c r="S103" i="1"/>
  <c r="T104" i="1"/>
  <c r="AB104" i="1"/>
  <c r="S177" i="1"/>
  <c r="S337" i="1"/>
  <c r="S553" i="1"/>
  <c r="M103" i="1"/>
  <c r="N104" i="1"/>
  <c r="M177" i="1"/>
  <c r="M337" i="1"/>
  <c r="N337" i="1" s="1"/>
  <c r="M553" i="1"/>
  <c r="I103" i="1"/>
  <c r="I177" i="1"/>
  <c r="I337" i="1"/>
  <c r="I553" i="1"/>
  <c r="I520" i="1" s="1"/>
  <c r="G103" i="1"/>
  <c r="BC104" i="1"/>
  <c r="H104" i="1"/>
  <c r="P104" i="1"/>
  <c r="G177" i="1"/>
  <c r="G337" i="1"/>
  <c r="H337" i="1" s="1"/>
  <c r="G553" i="1"/>
  <c r="E103" i="1"/>
  <c r="E177" i="1"/>
  <c r="E337" i="1"/>
  <c r="E553" i="1"/>
  <c r="E520" i="1" s="1"/>
  <c r="BE175" i="1"/>
  <c r="BE335" i="1"/>
  <c r="BE551" i="1"/>
  <c r="BE518" i="1" s="1"/>
  <c r="AX102" i="1"/>
  <c r="AW175" i="1"/>
  <c r="AW335" i="1"/>
  <c r="AX335" i="1" s="1"/>
  <c r="AW551" i="1"/>
  <c r="AS175" i="1"/>
  <c r="AS335" i="1"/>
  <c r="AS551" i="1"/>
  <c r="AS518" i="1" s="1"/>
  <c r="AR102" i="1"/>
  <c r="AZ102" i="1"/>
  <c r="AQ175" i="1"/>
  <c r="AQ335" i="1"/>
  <c r="AR335" i="1" s="1"/>
  <c r="AQ551" i="1"/>
  <c r="AL102" i="1"/>
  <c r="AK175" i="1"/>
  <c r="AK335" i="1"/>
  <c r="AK551" i="1"/>
  <c r="AG175" i="1"/>
  <c r="AG335" i="1"/>
  <c r="AG551" i="1"/>
  <c r="AG518" i="1" s="1"/>
  <c r="AF102" i="1"/>
  <c r="AN102" i="1"/>
  <c r="AE175" i="1"/>
  <c r="AE335" i="1"/>
  <c r="AE551" i="1"/>
  <c r="Z102" i="1"/>
  <c r="Y175" i="1"/>
  <c r="Y335" i="1"/>
  <c r="Z335" i="1" s="1"/>
  <c r="Y551" i="1"/>
  <c r="U175" i="1"/>
  <c r="U335" i="1"/>
  <c r="U551" i="1"/>
  <c r="U518" i="1" s="1"/>
  <c r="T102" i="1"/>
  <c r="AB102" i="1"/>
  <c r="S175" i="1"/>
  <c r="S335" i="1"/>
  <c r="T335" i="1" s="1"/>
  <c r="S551" i="1"/>
  <c r="N102" i="1"/>
  <c r="M175" i="1"/>
  <c r="M335" i="1"/>
  <c r="M551" i="1"/>
  <c r="I175" i="1"/>
  <c r="I335" i="1"/>
  <c r="I551" i="1"/>
  <c r="I518" i="1" s="1"/>
  <c r="BC102" i="1"/>
  <c r="H102" i="1"/>
  <c r="P102" i="1"/>
  <c r="G175" i="1"/>
  <c r="G335" i="1"/>
  <c r="G551" i="1"/>
  <c r="E175" i="1"/>
  <c r="E335" i="1"/>
  <c r="E551" i="1"/>
  <c r="E518" i="1" s="1"/>
  <c r="BE174" i="1"/>
  <c r="BE334" i="1"/>
  <c r="BE550" i="1"/>
  <c r="BE517" i="1" s="1"/>
  <c r="AX101" i="1"/>
  <c r="AW174" i="1"/>
  <c r="AW334" i="1"/>
  <c r="AW550" i="1"/>
  <c r="AS174" i="1"/>
  <c r="AS334" i="1"/>
  <c r="AS550" i="1"/>
  <c r="AS517" i="1" s="1"/>
  <c r="AR101" i="1"/>
  <c r="AZ101" i="1"/>
  <c r="AQ174" i="1"/>
  <c r="AQ334" i="1"/>
  <c r="AQ550" i="1"/>
  <c r="AL101" i="1"/>
  <c r="AK174" i="1"/>
  <c r="AK334" i="1"/>
  <c r="AL334" i="1" s="1"/>
  <c r="AK550" i="1"/>
  <c r="AG174" i="1"/>
  <c r="AG334" i="1"/>
  <c r="AG550" i="1"/>
  <c r="AG517" i="1" s="1"/>
  <c r="AF101" i="1"/>
  <c r="AN101" i="1"/>
  <c r="AE174" i="1"/>
  <c r="AE334" i="1"/>
  <c r="AF334" i="1" s="1"/>
  <c r="AE550" i="1"/>
  <c r="Z101" i="1"/>
  <c r="Y174" i="1"/>
  <c r="Y334" i="1"/>
  <c r="Y550" i="1"/>
  <c r="U174" i="1"/>
  <c r="U334" i="1"/>
  <c r="U550" i="1"/>
  <c r="U517" i="1" s="1"/>
  <c r="T101" i="1"/>
  <c r="AB101" i="1"/>
  <c r="S174" i="1"/>
  <c r="S334" i="1"/>
  <c r="S550" i="1"/>
  <c r="N101" i="1"/>
  <c r="M174" i="1"/>
  <c r="M334" i="1"/>
  <c r="M550" i="1"/>
  <c r="I174" i="1"/>
  <c r="I334" i="1"/>
  <c r="I550" i="1"/>
  <c r="I517" i="1" s="1"/>
  <c r="BC101" i="1"/>
  <c r="H101" i="1"/>
  <c r="P101" i="1"/>
  <c r="G174" i="1"/>
  <c r="G334" i="1"/>
  <c r="H334" i="1" s="1"/>
  <c r="G550" i="1"/>
  <c r="E174" i="1"/>
  <c r="E334" i="1"/>
  <c r="E550" i="1"/>
  <c r="E517" i="1" s="1"/>
  <c r="BE173" i="1"/>
  <c r="BE333" i="1"/>
  <c r="BE549" i="1"/>
  <c r="BE516" i="1" s="1"/>
  <c r="AX100" i="1"/>
  <c r="AW173" i="1"/>
  <c r="AW333" i="1"/>
  <c r="AX333" i="1" s="1"/>
  <c r="AW549" i="1"/>
  <c r="AS173" i="1"/>
  <c r="AS333" i="1"/>
  <c r="AS549" i="1"/>
  <c r="AS516" i="1" s="1"/>
  <c r="AR100" i="1"/>
  <c r="AZ100" i="1"/>
  <c r="AQ173" i="1"/>
  <c r="AQ333" i="1"/>
  <c r="AR333" i="1" s="1"/>
  <c r="AQ549" i="1"/>
  <c r="AL100" i="1"/>
  <c r="AK173" i="1"/>
  <c r="AK333" i="1"/>
  <c r="AK549" i="1"/>
  <c r="AG173" i="1"/>
  <c r="AG333" i="1"/>
  <c r="AG549" i="1"/>
  <c r="AG516" i="1" s="1"/>
  <c r="AF100" i="1"/>
  <c r="AN100" i="1"/>
  <c r="AE173" i="1"/>
  <c r="AE333" i="1"/>
  <c r="AE549" i="1"/>
  <c r="Z100" i="1"/>
  <c r="Y173" i="1"/>
  <c r="Y333" i="1"/>
  <c r="Z333" i="1" s="1"/>
  <c r="Y549" i="1"/>
  <c r="U173" i="1"/>
  <c r="U333" i="1"/>
  <c r="U549" i="1"/>
  <c r="U516" i="1" s="1"/>
  <c r="T100" i="1"/>
  <c r="AB100" i="1"/>
  <c r="S173" i="1"/>
  <c r="S333" i="1"/>
  <c r="T333" i="1" s="1"/>
  <c r="S549" i="1"/>
  <c r="N100" i="1"/>
  <c r="M173" i="1"/>
  <c r="M333" i="1"/>
  <c r="M549" i="1"/>
  <c r="I173" i="1"/>
  <c r="I333" i="1"/>
  <c r="I549" i="1"/>
  <c r="I516" i="1" s="1"/>
  <c r="BC100" i="1"/>
  <c r="H100" i="1"/>
  <c r="P100" i="1"/>
  <c r="G173" i="1"/>
  <c r="G333" i="1"/>
  <c r="G549" i="1"/>
  <c r="E173" i="1"/>
  <c r="E333" i="1"/>
  <c r="E549" i="1"/>
  <c r="E516" i="1" s="1"/>
  <c r="BE172" i="1"/>
  <c r="BE332" i="1"/>
  <c r="BE548" i="1"/>
  <c r="BE515" i="1" s="1"/>
  <c r="AX99" i="1"/>
  <c r="AW172" i="1"/>
  <c r="AW332" i="1"/>
  <c r="AW548" i="1"/>
  <c r="AS172" i="1"/>
  <c r="AS332" i="1"/>
  <c r="AS548" i="1"/>
  <c r="AS515" i="1" s="1"/>
  <c r="AR99" i="1"/>
  <c r="AZ99" i="1"/>
  <c r="AQ172" i="1"/>
  <c r="AQ332" i="1"/>
  <c r="AQ548" i="1"/>
  <c r="AL99" i="1"/>
  <c r="AK172" i="1"/>
  <c r="AK332" i="1"/>
  <c r="AL332" i="1" s="1"/>
  <c r="AK548" i="1"/>
  <c r="AG172" i="1"/>
  <c r="AG332" i="1"/>
  <c r="AG548" i="1"/>
  <c r="AG515" i="1" s="1"/>
  <c r="AF99" i="1"/>
  <c r="AN99" i="1"/>
  <c r="AE172" i="1"/>
  <c r="AE332" i="1"/>
  <c r="AE548" i="1"/>
  <c r="Z99" i="1"/>
  <c r="Y172" i="1"/>
  <c r="Y332" i="1"/>
  <c r="Y548" i="1"/>
  <c r="U172" i="1"/>
  <c r="U332" i="1"/>
  <c r="U548" i="1"/>
  <c r="U515" i="1" s="1"/>
  <c r="T99" i="1"/>
  <c r="AB99" i="1"/>
  <c r="S172" i="1"/>
  <c r="S332" i="1"/>
  <c r="S548" i="1"/>
  <c r="N99" i="1"/>
  <c r="M172" i="1"/>
  <c r="M332" i="1"/>
  <c r="N332" i="1" s="1"/>
  <c r="M548" i="1"/>
  <c r="I172" i="1"/>
  <c r="I332" i="1"/>
  <c r="I548" i="1"/>
  <c r="I515" i="1" s="1"/>
  <c r="BC99" i="1"/>
  <c r="H99" i="1"/>
  <c r="P99" i="1"/>
  <c r="G172" i="1"/>
  <c r="G332" i="1"/>
  <c r="H332" i="1" s="1"/>
  <c r="G548" i="1"/>
  <c r="E172" i="1"/>
  <c r="E332" i="1"/>
  <c r="E548" i="1"/>
  <c r="E515" i="1" s="1"/>
  <c r="BE171" i="1"/>
  <c r="BE331" i="1"/>
  <c r="BE547" i="1"/>
  <c r="BE514" i="1" s="1"/>
  <c r="AX98" i="1"/>
  <c r="AW171" i="1"/>
  <c r="AW331" i="1"/>
  <c r="AX331" i="1" s="1"/>
  <c r="AW547" i="1"/>
  <c r="AS171" i="1"/>
  <c r="AS331" i="1"/>
  <c r="AS547" i="1"/>
  <c r="AS514" i="1" s="1"/>
  <c r="AR98" i="1"/>
  <c r="AZ98" i="1"/>
  <c r="AQ171" i="1"/>
  <c r="AQ331" i="1"/>
  <c r="AR331" i="1" s="1"/>
  <c r="AQ547" i="1"/>
  <c r="AL98" i="1"/>
  <c r="AK171" i="1"/>
  <c r="AK331" i="1"/>
  <c r="AK547" i="1"/>
  <c r="AG171" i="1"/>
  <c r="AG331" i="1"/>
  <c r="AG547" i="1"/>
  <c r="AG514" i="1" s="1"/>
  <c r="AF98" i="1"/>
  <c r="AN98" i="1"/>
  <c r="AE171" i="1"/>
  <c r="AE331" i="1"/>
  <c r="AE547" i="1"/>
  <c r="Z98" i="1"/>
  <c r="Y171" i="1"/>
  <c r="Y331" i="1"/>
  <c r="Z331" i="1" s="1"/>
  <c r="Y547" i="1"/>
  <c r="U171" i="1"/>
  <c r="U331" i="1"/>
  <c r="U547" i="1"/>
  <c r="U514" i="1" s="1"/>
  <c r="T98" i="1"/>
  <c r="AB98" i="1"/>
  <c r="S171" i="1"/>
  <c r="S331" i="1"/>
  <c r="T331" i="1" s="1"/>
  <c r="S547" i="1"/>
  <c r="N98" i="1"/>
  <c r="M171" i="1"/>
  <c r="M331" i="1"/>
  <c r="M547" i="1"/>
  <c r="I171" i="1"/>
  <c r="I331" i="1"/>
  <c r="I547" i="1"/>
  <c r="I514" i="1" s="1"/>
  <c r="BC98" i="1"/>
  <c r="H98" i="1"/>
  <c r="P98" i="1"/>
  <c r="G171" i="1"/>
  <c r="G331" i="1"/>
  <c r="G547" i="1"/>
  <c r="E171" i="1"/>
  <c r="E331" i="1"/>
  <c r="E547" i="1"/>
  <c r="E514" i="1" s="1"/>
  <c r="BE170" i="1"/>
  <c r="BE330" i="1"/>
  <c r="BE546" i="1"/>
  <c r="BE513" i="1" s="1"/>
  <c r="AX97" i="1"/>
  <c r="AW170" i="1"/>
  <c r="AW330" i="1"/>
  <c r="AW546" i="1"/>
  <c r="AS170" i="1"/>
  <c r="AS330" i="1"/>
  <c r="AS546" i="1"/>
  <c r="AS513" i="1" s="1"/>
  <c r="AR97" i="1"/>
  <c r="AZ97" i="1"/>
  <c r="AQ170" i="1"/>
  <c r="AQ330" i="1"/>
  <c r="AQ546" i="1"/>
  <c r="AL97" i="1"/>
  <c r="AK170" i="1"/>
  <c r="AK330" i="1"/>
  <c r="AL330" i="1" s="1"/>
  <c r="AK546" i="1"/>
  <c r="AG170" i="1"/>
  <c r="AG330" i="1"/>
  <c r="AG546" i="1"/>
  <c r="AG513" i="1" s="1"/>
  <c r="AF97" i="1"/>
  <c r="AN97" i="1"/>
  <c r="AE170" i="1"/>
  <c r="AE330" i="1"/>
  <c r="AF330" i="1" s="1"/>
  <c r="AE546" i="1"/>
  <c r="Z97" i="1"/>
  <c r="Y170" i="1"/>
  <c r="Y330" i="1"/>
  <c r="Y546" i="1"/>
  <c r="U170" i="1"/>
  <c r="U330" i="1"/>
  <c r="U546" i="1"/>
  <c r="U513" i="1" s="1"/>
  <c r="T97" i="1"/>
  <c r="AB97" i="1"/>
  <c r="S170" i="1"/>
  <c r="S330" i="1"/>
  <c r="S546" i="1"/>
  <c r="N97" i="1"/>
  <c r="M170" i="1"/>
  <c r="M330" i="1"/>
  <c r="M546" i="1"/>
  <c r="I170" i="1"/>
  <c r="I330" i="1"/>
  <c r="I546" i="1"/>
  <c r="I513" i="1" s="1"/>
  <c r="BC97" i="1"/>
  <c r="H97" i="1"/>
  <c r="P97" i="1"/>
  <c r="G170" i="1"/>
  <c r="G330" i="1"/>
  <c r="H330" i="1" s="1"/>
  <c r="G546" i="1"/>
  <c r="E170" i="1"/>
  <c r="E330" i="1"/>
  <c r="E546" i="1"/>
  <c r="E513" i="1" s="1"/>
  <c r="BE169" i="1"/>
  <c r="BE329" i="1"/>
  <c r="BE545" i="1"/>
  <c r="BE512" i="1" s="1"/>
  <c r="AX96" i="1"/>
  <c r="AW169" i="1"/>
  <c r="AW329" i="1"/>
  <c r="AW545" i="1"/>
  <c r="AS169" i="1"/>
  <c r="AS329" i="1"/>
  <c r="AS545" i="1"/>
  <c r="AS512" i="1" s="1"/>
  <c r="AL96" i="1"/>
  <c r="AK169" i="1"/>
  <c r="AK329" i="1"/>
  <c r="AK545" i="1"/>
  <c r="AG169" i="1"/>
  <c r="AG329" i="1"/>
  <c r="AG545" i="1"/>
  <c r="AG512" i="1" s="1"/>
  <c r="Z96" i="1"/>
  <c r="Y169" i="1"/>
  <c r="Y329" i="1"/>
  <c r="Y545" i="1"/>
  <c r="U169" i="1"/>
  <c r="U329" i="1"/>
  <c r="U545" i="1"/>
  <c r="U512" i="1" s="1"/>
  <c r="T96" i="1"/>
  <c r="AB96" i="1"/>
  <c r="S169" i="1"/>
  <c r="S329" i="1"/>
  <c r="S545" i="1"/>
  <c r="N96" i="1"/>
  <c r="M169" i="1"/>
  <c r="M329" i="1"/>
  <c r="M545" i="1"/>
  <c r="I169" i="1"/>
  <c r="I329" i="1"/>
  <c r="I545" i="1"/>
  <c r="I512" i="1" s="1"/>
  <c r="H96" i="1"/>
  <c r="P96" i="1"/>
  <c r="BC96" i="1"/>
  <c r="G169" i="1"/>
  <c r="G329" i="1"/>
  <c r="G545" i="1"/>
  <c r="E169" i="1"/>
  <c r="E329" i="1"/>
  <c r="E545" i="1"/>
  <c r="E512" i="1" s="1"/>
  <c r="BE168" i="1"/>
  <c r="BE328" i="1"/>
  <c r="BE544" i="1"/>
  <c r="BE511" i="1" s="1"/>
  <c r="AX95" i="1"/>
  <c r="AW168" i="1"/>
  <c r="AW328" i="1"/>
  <c r="AW544" i="1"/>
  <c r="AS168" i="1"/>
  <c r="AS328" i="1"/>
  <c r="AS544" i="1"/>
  <c r="AS511" i="1" s="1"/>
  <c r="AR95" i="1"/>
  <c r="AZ95" i="1"/>
  <c r="AQ168" i="1"/>
  <c r="AQ328" i="1"/>
  <c r="AQ544" i="1"/>
  <c r="AL95" i="1"/>
  <c r="AK168" i="1"/>
  <c r="AK328" i="1"/>
  <c r="AK544" i="1"/>
  <c r="AG168" i="1"/>
  <c r="AG328" i="1"/>
  <c r="AG544" i="1"/>
  <c r="AG511" i="1" s="1"/>
  <c r="AF95" i="1"/>
  <c r="AN95" i="1"/>
  <c r="AE168" i="1"/>
  <c r="AE328" i="1"/>
  <c r="AE544" i="1"/>
  <c r="Z95" i="1"/>
  <c r="Y168" i="1"/>
  <c r="Y328" i="1"/>
  <c r="Y544" i="1"/>
  <c r="U168" i="1"/>
  <c r="U328" i="1"/>
  <c r="U544" i="1"/>
  <c r="U511" i="1" s="1"/>
  <c r="T95" i="1"/>
  <c r="AB95" i="1"/>
  <c r="S168" i="1"/>
  <c r="S328" i="1"/>
  <c r="S544" i="1"/>
  <c r="N95" i="1"/>
  <c r="M168" i="1"/>
  <c r="M328" i="1"/>
  <c r="M544" i="1"/>
  <c r="I168" i="1"/>
  <c r="I328" i="1"/>
  <c r="I544" i="1"/>
  <c r="I511" i="1" s="1"/>
  <c r="H95" i="1"/>
  <c r="P95" i="1"/>
  <c r="BC95" i="1"/>
  <c r="G168" i="1"/>
  <c r="G328" i="1"/>
  <c r="G544" i="1"/>
  <c r="E168" i="1"/>
  <c r="E328" i="1"/>
  <c r="E544" i="1"/>
  <c r="E511" i="1" s="1"/>
  <c r="BE167" i="1"/>
  <c r="BE327" i="1"/>
  <c r="BE543" i="1"/>
  <c r="BE510" i="1" s="1"/>
  <c r="AX94" i="1"/>
  <c r="AW167" i="1"/>
  <c r="AW327" i="1"/>
  <c r="AW543" i="1"/>
  <c r="AS167" i="1"/>
  <c r="AS327" i="1"/>
  <c r="AS543" i="1"/>
  <c r="AS510" i="1" s="1"/>
  <c r="AR94" i="1"/>
  <c r="AZ94" i="1"/>
  <c r="AQ167" i="1"/>
  <c r="AQ327" i="1"/>
  <c r="AQ543" i="1"/>
  <c r="AL94" i="1"/>
  <c r="AK167" i="1"/>
  <c r="AK327" i="1"/>
  <c r="AK543" i="1"/>
  <c r="AG167" i="1"/>
  <c r="AG327" i="1"/>
  <c r="AG543" i="1"/>
  <c r="AG510" i="1" s="1"/>
  <c r="AF94" i="1"/>
  <c r="AN94" i="1"/>
  <c r="AE167" i="1"/>
  <c r="AE327" i="1"/>
  <c r="AE543" i="1"/>
  <c r="Z94" i="1"/>
  <c r="Y167" i="1"/>
  <c r="Y327" i="1"/>
  <c r="Y543" i="1"/>
  <c r="U167" i="1"/>
  <c r="U327" i="1"/>
  <c r="U543" i="1"/>
  <c r="U510" i="1" s="1"/>
  <c r="T94" i="1"/>
  <c r="AB94" i="1"/>
  <c r="S167" i="1"/>
  <c r="S327" i="1"/>
  <c r="S543" i="1"/>
  <c r="N94" i="1"/>
  <c r="M167" i="1"/>
  <c r="M327" i="1"/>
  <c r="M543" i="1"/>
  <c r="I167" i="1"/>
  <c r="I327" i="1"/>
  <c r="I543" i="1"/>
  <c r="I510" i="1" s="1"/>
  <c r="H94" i="1"/>
  <c r="P94" i="1"/>
  <c r="BC94" i="1"/>
  <c r="G167" i="1"/>
  <c r="G327" i="1"/>
  <c r="G543" i="1"/>
  <c r="E167" i="1"/>
  <c r="E327" i="1"/>
  <c r="E543" i="1"/>
  <c r="E510" i="1" s="1"/>
  <c r="BE166" i="1"/>
  <c r="BE326" i="1"/>
  <c r="BE542" i="1"/>
  <c r="BE509" i="1" s="1"/>
  <c r="AX93" i="1"/>
  <c r="AW166" i="1"/>
  <c r="AW326" i="1"/>
  <c r="AW542" i="1"/>
  <c r="AS166" i="1"/>
  <c r="AS326" i="1"/>
  <c r="AS542" i="1"/>
  <c r="AS509" i="1" s="1"/>
  <c r="AR93" i="1"/>
  <c r="AZ93" i="1"/>
  <c r="AQ166" i="1"/>
  <c r="AQ326" i="1"/>
  <c r="AQ542" i="1"/>
  <c r="AL93" i="1"/>
  <c r="AK166" i="1"/>
  <c r="AK326" i="1"/>
  <c r="AK542" i="1"/>
  <c r="AG166" i="1"/>
  <c r="AG326" i="1"/>
  <c r="AG542" i="1"/>
  <c r="AG509" i="1" s="1"/>
  <c r="AF93" i="1"/>
  <c r="AN93" i="1"/>
  <c r="AE166" i="1"/>
  <c r="AE326" i="1"/>
  <c r="AE542" i="1"/>
  <c r="Z93" i="1"/>
  <c r="Y166" i="1"/>
  <c r="Y326" i="1"/>
  <c r="Y542" i="1"/>
  <c r="U166" i="1"/>
  <c r="U326" i="1"/>
  <c r="U542" i="1"/>
  <c r="U509" i="1" s="1"/>
  <c r="T93" i="1"/>
  <c r="AB93" i="1"/>
  <c r="S166" i="1"/>
  <c r="S326" i="1"/>
  <c r="S542" i="1"/>
  <c r="N93" i="1"/>
  <c r="M166" i="1"/>
  <c r="M326" i="1"/>
  <c r="M542" i="1"/>
  <c r="I166" i="1"/>
  <c r="I326" i="1"/>
  <c r="I542" i="1"/>
  <c r="I509" i="1" s="1"/>
  <c r="H93" i="1"/>
  <c r="P93" i="1"/>
  <c r="BC93" i="1"/>
  <c r="G166" i="1"/>
  <c r="G326" i="1"/>
  <c r="G542" i="1"/>
  <c r="E166" i="1"/>
  <c r="E326" i="1"/>
  <c r="E542" i="1"/>
  <c r="E509" i="1" s="1"/>
  <c r="BE165" i="1"/>
  <c r="BE325" i="1"/>
  <c r="BE541" i="1"/>
  <c r="BE508" i="1" s="1"/>
  <c r="AX92" i="1"/>
  <c r="AW165" i="1"/>
  <c r="AW325" i="1"/>
  <c r="AW541" i="1"/>
  <c r="AS165" i="1"/>
  <c r="AS325" i="1"/>
  <c r="AS541" i="1"/>
  <c r="AS508" i="1" s="1"/>
  <c r="AR92" i="1"/>
  <c r="AZ92" i="1"/>
  <c r="AQ165" i="1"/>
  <c r="AQ325" i="1"/>
  <c r="AQ541" i="1"/>
  <c r="AL92" i="1"/>
  <c r="AK165" i="1"/>
  <c r="AK325" i="1"/>
  <c r="AK541" i="1"/>
  <c r="AG165" i="1"/>
  <c r="AG325" i="1"/>
  <c r="AG541" i="1"/>
  <c r="AG508" i="1" s="1"/>
  <c r="AF92" i="1"/>
  <c r="AN92" i="1"/>
  <c r="AE165" i="1"/>
  <c r="AE325" i="1"/>
  <c r="AE541" i="1"/>
  <c r="Z92" i="1"/>
  <c r="Y165" i="1"/>
  <c r="Y325" i="1"/>
  <c r="Y541" i="1"/>
  <c r="U165" i="1"/>
  <c r="U325" i="1"/>
  <c r="U541" i="1"/>
  <c r="U508" i="1" s="1"/>
  <c r="T92" i="1"/>
  <c r="AB92" i="1"/>
  <c r="S165" i="1"/>
  <c r="S325" i="1"/>
  <c r="S541" i="1"/>
  <c r="N92" i="1"/>
  <c r="M165" i="1"/>
  <c r="M325" i="1"/>
  <c r="M541" i="1"/>
  <c r="I165" i="1"/>
  <c r="I325" i="1"/>
  <c r="I541" i="1"/>
  <c r="I508" i="1" s="1"/>
  <c r="H92" i="1"/>
  <c r="P92" i="1"/>
  <c r="BC92" i="1"/>
  <c r="G165" i="1"/>
  <c r="G325" i="1"/>
  <c r="G541" i="1"/>
  <c r="E165" i="1"/>
  <c r="E325" i="1"/>
  <c r="E541" i="1"/>
  <c r="E508" i="1" s="1"/>
  <c r="BE164" i="1"/>
  <c r="BE324" i="1"/>
  <c r="BE540" i="1"/>
  <c r="BE507" i="1" s="1"/>
  <c r="AX91" i="1"/>
  <c r="AW164" i="1"/>
  <c r="AW324" i="1"/>
  <c r="AW540" i="1"/>
  <c r="AS164" i="1"/>
  <c r="AS324" i="1"/>
  <c r="AS540" i="1"/>
  <c r="AS507" i="1" s="1"/>
  <c r="AR91" i="1"/>
  <c r="AZ91" i="1"/>
  <c r="AQ164" i="1"/>
  <c r="AQ324" i="1"/>
  <c r="AQ540" i="1"/>
  <c r="AL91" i="1"/>
  <c r="AK164" i="1"/>
  <c r="AK324" i="1"/>
  <c r="AK540" i="1"/>
  <c r="AG164" i="1"/>
  <c r="AG324" i="1"/>
  <c r="AG540" i="1"/>
  <c r="AG507" i="1" s="1"/>
  <c r="AF91" i="1"/>
  <c r="AN91" i="1"/>
  <c r="AE164" i="1"/>
  <c r="AE324" i="1"/>
  <c r="AE540" i="1"/>
  <c r="Z91" i="1"/>
  <c r="Y164" i="1"/>
  <c r="Y324" i="1"/>
  <c r="Y540" i="1"/>
  <c r="U164" i="1"/>
  <c r="U324" i="1"/>
  <c r="U540" i="1"/>
  <c r="U507" i="1" s="1"/>
  <c r="T91" i="1"/>
  <c r="AB91" i="1"/>
  <c r="S164" i="1"/>
  <c r="S324" i="1"/>
  <c r="S540" i="1"/>
  <c r="N91" i="1"/>
  <c r="M164" i="1"/>
  <c r="M324" i="1"/>
  <c r="M540" i="1"/>
  <c r="I164" i="1"/>
  <c r="I324" i="1"/>
  <c r="I540" i="1"/>
  <c r="I507" i="1" s="1"/>
  <c r="H91" i="1"/>
  <c r="P91" i="1"/>
  <c r="BC91" i="1"/>
  <c r="G164" i="1"/>
  <c r="G324" i="1"/>
  <c r="G540" i="1"/>
  <c r="E164" i="1"/>
  <c r="E324" i="1"/>
  <c r="E540" i="1"/>
  <c r="E507" i="1" s="1"/>
  <c r="BE163" i="1"/>
  <c r="BE323" i="1"/>
  <c r="BE539" i="1"/>
  <c r="BE506" i="1" s="1"/>
  <c r="AX90" i="1"/>
  <c r="AW163" i="1"/>
  <c r="AW323" i="1"/>
  <c r="AW539" i="1"/>
  <c r="AS163" i="1"/>
  <c r="AS323" i="1"/>
  <c r="AS539" i="1"/>
  <c r="AS506" i="1" s="1"/>
  <c r="AR90" i="1"/>
  <c r="AZ90" i="1"/>
  <c r="AQ163" i="1"/>
  <c r="AQ323" i="1"/>
  <c r="AQ539" i="1"/>
  <c r="AL90" i="1"/>
  <c r="AK163" i="1"/>
  <c r="AK323" i="1"/>
  <c r="AK539" i="1"/>
  <c r="AG163" i="1"/>
  <c r="AG323" i="1"/>
  <c r="AG539" i="1"/>
  <c r="AG506" i="1" s="1"/>
  <c r="AF90" i="1"/>
  <c r="AN90" i="1"/>
  <c r="AE163" i="1"/>
  <c r="AE323" i="1"/>
  <c r="AE539" i="1"/>
  <c r="Z90" i="1"/>
  <c r="Y163" i="1"/>
  <c r="Y323" i="1"/>
  <c r="Y539" i="1"/>
  <c r="U163" i="1"/>
  <c r="U323" i="1"/>
  <c r="U539" i="1"/>
  <c r="U506" i="1" s="1"/>
  <c r="T90" i="1"/>
  <c r="AB90" i="1"/>
  <c r="S163" i="1"/>
  <c r="S323" i="1"/>
  <c r="S539" i="1"/>
  <c r="N90" i="1"/>
  <c r="M163" i="1"/>
  <c r="M323" i="1"/>
  <c r="M539" i="1"/>
  <c r="I163" i="1"/>
  <c r="I323" i="1"/>
  <c r="I539" i="1"/>
  <c r="I506" i="1" s="1"/>
  <c r="H90" i="1"/>
  <c r="P90" i="1"/>
  <c r="BC90" i="1"/>
  <c r="G163" i="1"/>
  <c r="G323" i="1"/>
  <c r="G539" i="1"/>
  <c r="E163" i="1"/>
  <c r="E323" i="1"/>
  <c r="E539" i="1"/>
  <c r="E506" i="1" s="1"/>
  <c r="BE162" i="1"/>
  <c r="BE322" i="1"/>
  <c r="BE538" i="1"/>
  <c r="BE505" i="1" s="1"/>
  <c r="AX89" i="1"/>
  <c r="AW162" i="1"/>
  <c r="AW322" i="1"/>
  <c r="AW538" i="1"/>
  <c r="AS162" i="1"/>
  <c r="AS322" i="1"/>
  <c r="AS538" i="1"/>
  <c r="AS505" i="1" s="1"/>
  <c r="AR89" i="1"/>
  <c r="AZ89" i="1"/>
  <c r="AQ162" i="1"/>
  <c r="AQ322" i="1"/>
  <c r="AQ538" i="1"/>
  <c r="AL89" i="1"/>
  <c r="AK162" i="1"/>
  <c r="AK322" i="1"/>
  <c r="AK538" i="1"/>
  <c r="AG162" i="1"/>
  <c r="AG322" i="1"/>
  <c r="AG538" i="1"/>
  <c r="AG505" i="1" s="1"/>
  <c r="AF89" i="1"/>
  <c r="AN89" i="1"/>
  <c r="AE162" i="1"/>
  <c r="AE322" i="1"/>
  <c r="AE538" i="1"/>
  <c r="Z89" i="1"/>
  <c r="Y162" i="1"/>
  <c r="Y322" i="1"/>
  <c r="Y538" i="1"/>
  <c r="U162" i="1"/>
  <c r="U322" i="1"/>
  <c r="U538" i="1"/>
  <c r="U505" i="1" s="1"/>
  <c r="T89" i="1"/>
  <c r="AB89" i="1"/>
  <c r="S162" i="1"/>
  <c r="S322" i="1"/>
  <c r="S538" i="1"/>
  <c r="N89" i="1"/>
  <c r="M162" i="1"/>
  <c r="M322" i="1"/>
  <c r="M538" i="1"/>
  <c r="I162" i="1"/>
  <c r="I322" i="1"/>
  <c r="I538" i="1"/>
  <c r="I505" i="1" s="1"/>
  <c r="H89" i="1"/>
  <c r="P89" i="1"/>
  <c r="BC89" i="1"/>
  <c r="G162" i="1"/>
  <c r="G322" i="1"/>
  <c r="G538" i="1"/>
  <c r="E162" i="1"/>
  <c r="E322" i="1"/>
  <c r="E538" i="1"/>
  <c r="E505" i="1" s="1"/>
  <c r="BE161" i="1"/>
  <c r="BE321" i="1"/>
  <c r="BE537" i="1"/>
  <c r="BE504" i="1" s="1"/>
  <c r="AX88" i="1"/>
  <c r="AW161" i="1"/>
  <c r="AW321" i="1"/>
  <c r="AW537" i="1"/>
  <c r="AS161" i="1"/>
  <c r="AS321" i="1"/>
  <c r="AS537" i="1"/>
  <c r="AS504" i="1" s="1"/>
  <c r="AR88" i="1"/>
  <c r="AZ88" i="1"/>
  <c r="AQ161" i="1"/>
  <c r="AQ321" i="1"/>
  <c r="AQ537" i="1"/>
  <c r="AL88" i="1"/>
  <c r="AK161" i="1"/>
  <c r="AK321" i="1"/>
  <c r="AK537" i="1"/>
  <c r="AG161" i="1"/>
  <c r="AG321" i="1"/>
  <c r="AG537" i="1"/>
  <c r="AG504" i="1" s="1"/>
  <c r="AF88" i="1"/>
  <c r="AN88" i="1"/>
  <c r="AE161" i="1"/>
  <c r="AE321" i="1"/>
  <c r="AE537" i="1"/>
  <c r="Z88" i="1"/>
  <c r="Y161" i="1"/>
  <c r="Y321" i="1"/>
  <c r="Y537" i="1"/>
  <c r="U161" i="1"/>
  <c r="U321" i="1"/>
  <c r="U537" i="1"/>
  <c r="U504" i="1" s="1"/>
  <c r="T88" i="1"/>
  <c r="AB88" i="1"/>
  <c r="S161" i="1"/>
  <c r="S321" i="1"/>
  <c r="S537" i="1"/>
  <c r="N88" i="1"/>
  <c r="M161" i="1"/>
  <c r="M321" i="1"/>
  <c r="M537" i="1"/>
  <c r="I161" i="1"/>
  <c r="I321" i="1"/>
  <c r="I537" i="1"/>
  <c r="I504" i="1" s="1"/>
  <c r="H88" i="1"/>
  <c r="P88" i="1"/>
  <c r="BC88" i="1"/>
  <c r="G161" i="1"/>
  <c r="G321" i="1"/>
  <c r="G537" i="1"/>
  <c r="E161" i="1"/>
  <c r="E321" i="1"/>
  <c r="E537" i="1"/>
  <c r="E504" i="1" s="1"/>
  <c r="BE160" i="1"/>
  <c r="BE320" i="1"/>
  <c r="BE536" i="1"/>
  <c r="BE503" i="1" s="1"/>
  <c r="AX87" i="1"/>
  <c r="AW160" i="1"/>
  <c r="AW320" i="1"/>
  <c r="AW536" i="1"/>
  <c r="AS160" i="1"/>
  <c r="AS320" i="1"/>
  <c r="AS536" i="1"/>
  <c r="AS503" i="1" s="1"/>
  <c r="AR87" i="1"/>
  <c r="AZ87" i="1"/>
  <c r="AQ160" i="1"/>
  <c r="AQ320" i="1"/>
  <c r="AQ536" i="1"/>
  <c r="AL87" i="1"/>
  <c r="AK160" i="1"/>
  <c r="AK320" i="1"/>
  <c r="AK536" i="1"/>
  <c r="AG160" i="1"/>
  <c r="AG320" i="1"/>
  <c r="AG536" i="1"/>
  <c r="AG503" i="1" s="1"/>
  <c r="AF87" i="1"/>
  <c r="AN87" i="1"/>
  <c r="AE160" i="1"/>
  <c r="AE320" i="1"/>
  <c r="AE536" i="1"/>
  <c r="Z87" i="1"/>
  <c r="Y160" i="1"/>
  <c r="Y320" i="1"/>
  <c r="Y536" i="1"/>
  <c r="U160" i="1"/>
  <c r="U320" i="1"/>
  <c r="U536" i="1"/>
  <c r="U503" i="1" s="1"/>
  <c r="T87" i="1"/>
  <c r="AB87" i="1"/>
  <c r="S160" i="1"/>
  <c r="S320" i="1"/>
  <c r="S536" i="1"/>
  <c r="N87" i="1"/>
  <c r="M160" i="1"/>
  <c r="M320" i="1"/>
  <c r="M536" i="1"/>
  <c r="I160" i="1"/>
  <c r="I320" i="1"/>
  <c r="I536" i="1"/>
  <c r="I503" i="1" s="1"/>
  <c r="H87" i="1"/>
  <c r="P87" i="1"/>
  <c r="BC87" i="1"/>
  <c r="G160" i="1"/>
  <c r="G320" i="1"/>
  <c r="G536" i="1"/>
  <c r="E160" i="1"/>
  <c r="E320" i="1"/>
  <c r="E536" i="1"/>
  <c r="E503" i="1" s="1"/>
  <c r="BE159" i="1"/>
  <c r="BE319" i="1"/>
  <c r="BE535" i="1"/>
  <c r="BE502" i="1" s="1"/>
  <c r="AX86" i="1"/>
  <c r="AW159" i="1"/>
  <c r="AW319" i="1"/>
  <c r="AW535" i="1"/>
  <c r="AS159" i="1"/>
  <c r="AS319" i="1"/>
  <c r="AS535" i="1"/>
  <c r="AS502" i="1" s="1"/>
  <c r="AR86" i="1"/>
  <c r="AZ86" i="1"/>
  <c r="AQ159" i="1"/>
  <c r="AQ319" i="1"/>
  <c r="AQ535" i="1"/>
  <c r="AL86" i="1"/>
  <c r="AK159" i="1"/>
  <c r="AK319" i="1"/>
  <c r="AK535" i="1"/>
  <c r="AG159" i="1"/>
  <c r="AG319" i="1"/>
  <c r="AG535" i="1"/>
  <c r="AG502" i="1" s="1"/>
  <c r="AF86" i="1"/>
  <c r="AN86" i="1"/>
  <c r="AE159" i="1"/>
  <c r="AE319" i="1"/>
  <c r="AE535" i="1"/>
  <c r="Z86" i="1"/>
  <c r="Y159" i="1"/>
  <c r="Y319" i="1"/>
  <c r="Y535" i="1"/>
  <c r="U159" i="1"/>
  <c r="U319" i="1"/>
  <c r="U535" i="1"/>
  <c r="U502" i="1" s="1"/>
  <c r="T86" i="1"/>
  <c r="AB86" i="1"/>
  <c r="S159" i="1"/>
  <c r="S319" i="1"/>
  <c r="S535" i="1"/>
  <c r="N86" i="1"/>
  <c r="M159" i="1"/>
  <c r="M319" i="1"/>
  <c r="M535" i="1"/>
  <c r="I159" i="1"/>
  <c r="I319" i="1"/>
  <c r="I535" i="1"/>
  <c r="I502" i="1" s="1"/>
  <c r="H86" i="1"/>
  <c r="P86" i="1"/>
  <c r="BC86" i="1"/>
  <c r="G159" i="1"/>
  <c r="G319" i="1"/>
  <c r="G535" i="1"/>
  <c r="E159" i="1"/>
  <c r="E319" i="1"/>
  <c r="E535" i="1"/>
  <c r="E502" i="1" s="1"/>
  <c r="BE84" i="1"/>
  <c r="BE158" i="1"/>
  <c r="BE318" i="1"/>
  <c r="BE534" i="1"/>
  <c r="BE501" i="1" s="1"/>
  <c r="AX85" i="1"/>
  <c r="AW84" i="1"/>
  <c r="AW158" i="1"/>
  <c r="AW318" i="1"/>
  <c r="AW534" i="1"/>
  <c r="AS84" i="1"/>
  <c r="AS158" i="1"/>
  <c r="AS318" i="1"/>
  <c r="AS534" i="1"/>
  <c r="AS501" i="1" s="1"/>
  <c r="AR85" i="1"/>
  <c r="AZ85" i="1"/>
  <c r="AQ84" i="1"/>
  <c r="AQ158" i="1"/>
  <c r="AQ318" i="1"/>
  <c r="AQ534" i="1"/>
  <c r="AL85" i="1"/>
  <c r="AK84" i="1"/>
  <c r="AK158" i="1"/>
  <c r="AK318" i="1"/>
  <c r="AK534" i="1"/>
  <c r="AG84" i="1"/>
  <c r="AG158" i="1"/>
  <c r="AG318" i="1"/>
  <c r="AG534" i="1"/>
  <c r="AG501" i="1" s="1"/>
  <c r="AF85" i="1"/>
  <c r="AN85" i="1"/>
  <c r="AE84" i="1"/>
  <c r="AE158" i="1"/>
  <c r="AE318" i="1"/>
  <c r="AE534" i="1"/>
  <c r="Z85" i="1"/>
  <c r="Y84" i="1"/>
  <c r="Y158" i="1"/>
  <c r="Y318" i="1"/>
  <c r="Y534" i="1"/>
  <c r="U84" i="1"/>
  <c r="U158" i="1"/>
  <c r="U318" i="1"/>
  <c r="U534" i="1"/>
  <c r="U501" i="1" s="1"/>
  <c r="T85" i="1"/>
  <c r="AB85" i="1"/>
  <c r="S84" i="1"/>
  <c r="S158" i="1"/>
  <c r="S318" i="1"/>
  <c r="S534" i="1"/>
  <c r="N85" i="1"/>
  <c r="M84" i="1"/>
  <c r="M158" i="1"/>
  <c r="M318" i="1"/>
  <c r="M534" i="1"/>
  <c r="I84" i="1"/>
  <c r="I158" i="1"/>
  <c r="I318" i="1"/>
  <c r="I534" i="1"/>
  <c r="I501" i="1" s="1"/>
  <c r="H85" i="1"/>
  <c r="P85" i="1"/>
  <c r="G84" i="1"/>
  <c r="BC85" i="1"/>
  <c r="G158" i="1"/>
  <c r="G318" i="1"/>
  <c r="G534" i="1"/>
  <c r="E84" i="1"/>
  <c r="E158" i="1"/>
  <c r="E318" i="1"/>
  <c r="E534" i="1"/>
  <c r="E501" i="1" s="1"/>
  <c r="BE156" i="1"/>
  <c r="BE316" i="1"/>
  <c r="BE532" i="1"/>
  <c r="BE499" i="1" s="1"/>
  <c r="AX83" i="1"/>
  <c r="AW156" i="1"/>
  <c r="AW316" i="1"/>
  <c r="AW532" i="1"/>
  <c r="AS156" i="1"/>
  <c r="AS316" i="1"/>
  <c r="AS532" i="1"/>
  <c r="AS499" i="1" s="1"/>
  <c r="AL83" i="1"/>
  <c r="AK156" i="1"/>
  <c r="AK316" i="1"/>
  <c r="AK532" i="1"/>
  <c r="AG156" i="1"/>
  <c r="AG316" i="1"/>
  <c r="AG532" i="1"/>
  <c r="AG499" i="1" s="1"/>
  <c r="Z83" i="1"/>
  <c r="Y156" i="1"/>
  <c r="Y316" i="1"/>
  <c r="Y532" i="1"/>
  <c r="U156" i="1"/>
  <c r="U316" i="1"/>
  <c r="U532" i="1"/>
  <c r="U499" i="1" s="1"/>
  <c r="N83" i="1"/>
  <c r="M156" i="1"/>
  <c r="M316" i="1"/>
  <c r="M532" i="1"/>
  <c r="I156" i="1"/>
  <c r="I316" i="1"/>
  <c r="I532" i="1"/>
  <c r="I499" i="1" s="1"/>
  <c r="E156" i="1"/>
  <c r="E316" i="1"/>
  <c r="E532" i="1"/>
  <c r="E499" i="1" s="1"/>
  <c r="BE155" i="1"/>
  <c r="BE315" i="1"/>
  <c r="BE531" i="1"/>
  <c r="BE498" i="1" s="1"/>
  <c r="AX82" i="1"/>
  <c r="AW155" i="1"/>
  <c r="AW315" i="1"/>
  <c r="AW531" i="1"/>
  <c r="AS155" i="1"/>
  <c r="AS315" i="1"/>
  <c r="AS531" i="1"/>
  <c r="AS498" i="1" s="1"/>
  <c r="AL82" i="1"/>
  <c r="AK155" i="1"/>
  <c r="AK315" i="1"/>
  <c r="AK531" i="1"/>
  <c r="AG155" i="1"/>
  <c r="AG315" i="1"/>
  <c r="AG531" i="1"/>
  <c r="AG498" i="1" s="1"/>
  <c r="Z82" i="1"/>
  <c r="Y155" i="1"/>
  <c r="Y315" i="1"/>
  <c r="Y531" i="1"/>
  <c r="U155" i="1"/>
  <c r="U315" i="1"/>
  <c r="U531" i="1"/>
  <c r="U498" i="1" s="1"/>
  <c r="N82" i="1"/>
  <c r="M155" i="1"/>
  <c r="M315" i="1"/>
  <c r="M531" i="1"/>
  <c r="I155" i="1"/>
  <c r="I315" i="1"/>
  <c r="I531" i="1"/>
  <c r="I498" i="1" s="1"/>
  <c r="E155" i="1"/>
  <c r="E315" i="1"/>
  <c r="E531" i="1"/>
  <c r="E498" i="1" s="1"/>
  <c r="BE154" i="1"/>
  <c r="BE314" i="1"/>
  <c r="BE530" i="1"/>
  <c r="BE497" i="1" s="1"/>
  <c r="AX81" i="1"/>
  <c r="AW154" i="1"/>
  <c r="AW314" i="1"/>
  <c r="AW530" i="1"/>
  <c r="AS154" i="1"/>
  <c r="AS314" i="1"/>
  <c r="AS530" i="1"/>
  <c r="AS497" i="1" s="1"/>
  <c r="AL81" i="1"/>
  <c r="AK154" i="1"/>
  <c r="AK314" i="1"/>
  <c r="AK530" i="1"/>
  <c r="AG154" i="1"/>
  <c r="AG314" i="1"/>
  <c r="AG530" i="1"/>
  <c r="AG497" i="1" s="1"/>
  <c r="Z81" i="1"/>
  <c r="Y154" i="1"/>
  <c r="Y314" i="1"/>
  <c r="Y530" i="1"/>
  <c r="U154" i="1"/>
  <c r="U314" i="1"/>
  <c r="U530" i="1"/>
  <c r="U497" i="1" s="1"/>
  <c r="N81" i="1"/>
  <c r="M154" i="1"/>
  <c r="M314" i="1"/>
  <c r="M530" i="1"/>
  <c r="I154" i="1"/>
  <c r="I314" i="1"/>
  <c r="I530" i="1"/>
  <c r="I497" i="1" s="1"/>
  <c r="E154" i="1"/>
  <c r="E314" i="1"/>
  <c r="E530" i="1"/>
  <c r="E497" i="1" s="1"/>
  <c r="BE153" i="1"/>
  <c r="BE313" i="1"/>
  <c r="BE529" i="1"/>
  <c r="BE496" i="1" s="1"/>
  <c r="AX80" i="1"/>
  <c r="AW153" i="1"/>
  <c r="AW313" i="1"/>
  <c r="AW529" i="1"/>
  <c r="AS153" i="1"/>
  <c r="AS313" i="1"/>
  <c r="AS529" i="1"/>
  <c r="AS496" i="1" s="1"/>
  <c r="AL80" i="1"/>
  <c r="AK153" i="1"/>
  <c r="AK313" i="1"/>
  <c r="AK529" i="1"/>
  <c r="AG153" i="1"/>
  <c r="AG313" i="1"/>
  <c r="AG529" i="1"/>
  <c r="AG496" i="1" s="1"/>
  <c r="Z80" i="1"/>
  <c r="Y153" i="1"/>
  <c r="Y313" i="1"/>
  <c r="Y529" i="1"/>
  <c r="U153" i="1"/>
  <c r="U313" i="1"/>
  <c r="U529" i="1"/>
  <c r="U496" i="1" s="1"/>
  <c r="N80" i="1"/>
  <c r="M153" i="1"/>
  <c r="M313" i="1"/>
  <c r="M529" i="1"/>
  <c r="I153" i="1"/>
  <c r="I313" i="1"/>
  <c r="I529" i="1"/>
  <c r="I496" i="1" s="1"/>
  <c r="E153" i="1"/>
  <c r="E313" i="1"/>
  <c r="E529" i="1"/>
  <c r="E496" i="1" s="1"/>
  <c r="BE152" i="1"/>
  <c r="BE312" i="1"/>
  <c r="BE528" i="1"/>
  <c r="BE495" i="1" s="1"/>
  <c r="AX79" i="1"/>
  <c r="AW152" i="1"/>
  <c r="AW312" i="1"/>
  <c r="AW528" i="1"/>
  <c r="AS152" i="1"/>
  <c r="AS312" i="1"/>
  <c r="AS528" i="1"/>
  <c r="AS495" i="1" s="1"/>
  <c r="AL79" i="1"/>
  <c r="AK152" i="1"/>
  <c r="AK312" i="1"/>
  <c r="AK528" i="1"/>
  <c r="AG152" i="1"/>
  <c r="AG312" i="1"/>
  <c r="AG528" i="1"/>
  <c r="AG495" i="1" s="1"/>
  <c r="Z79" i="1"/>
  <c r="Y152" i="1"/>
  <c r="Y312" i="1"/>
  <c r="Y528" i="1"/>
  <c r="U152" i="1"/>
  <c r="U312" i="1"/>
  <c r="U528" i="1"/>
  <c r="U495" i="1" s="1"/>
  <c r="N79" i="1"/>
  <c r="M152" i="1"/>
  <c r="M312" i="1"/>
  <c r="M528" i="1"/>
  <c r="I152" i="1"/>
  <c r="I312" i="1"/>
  <c r="I528" i="1"/>
  <c r="I495" i="1" s="1"/>
  <c r="E152" i="1"/>
  <c r="E312" i="1"/>
  <c r="E528" i="1"/>
  <c r="E495" i="1" s="1"/>
  <c r="BE151" i="1"/>
  <c r="BE311" i="1"/>
  <c r="BE527" i="1"/>
  <c r="BE494" i="1" s="1"/>
  <c r="AX78" i="1"/>
  <c r="AW151" i="1"/>
  <c r="AW311" i="1"/>
  <c r="AW527" i="1"/>
  <c r="AS151" i="1"/>
  <c r="AS311" i="1"/>
  <c r="AS527" i="1"/>
  <c r="AS494" i="1" s="1"/>
  <c r="AL78" i="1"/>
  <c r="AK151" i="1"/>
  <c r="AK311" i="1"/>
  <c r="AK527" i="1"/>
  <c r="AG151" i="1"/>
  <c r="AG311" i="1"/>
  <c r="AG527" i="1"/>
  <c r="AG494" i="1" s="1"/>
  <c r="Z78" i="1"/>
  <c r="Y151" i="1"/>
  <c r="Y311" i="1"/>
  <c r="Y527" i="1"/>
  <c r="U151" i="1"/>
  <c r="U311" i="1"/>
  <c r="U527" i="1"/>
  <c r="U494" i="1" s="1"/>
  <c r="N78" i="1"/>
  <c r="M151" i="1"/>
  <c r="M311" i="1"/>
  <c r="M527" i="1"/>
  <c r="I151" i="1"/>
  <c r="I311" i="1"/>
  <c r="I527" i="1"/>
  <c r="I494" i="1" s="1"/>
  <c r="E151" i="1"/>
  <c r="E311" i="1"/>
  <c r="E527" i="1"/>
  <c r="E494" i="1" s="1"/>
  <c r="BE150" i="1"/>
  <c r="BE310" i="1"/>
  <c r="BE526" i="1"/>
  <c r="BE493" i="1" s="1"/>
  <c r="AX77" i="1"/>
  <c r="AW150" i="1"/>
  <c r="AW310" i="1"/>
  <c r="AW526" i="1"/>
  <c r="AS150" i="1"/>
  <c r="AS310" i="1"/>
  <c r="AS526" i="1"/>
  <c r="AS493" i="1" s="1"/>
  <c r="AL77" i="1"/>
  <c r="AK150" i="1"/>
  <c r="AK310" i="1"/>
  <c r="AK526" i="1"/>
  <c r="AG150" i="1"/>
  <c r="AG310" i="1"/>
  <c r="AG526" i="1"/>
  <c r="AG493" i="1" s="1"/>
  <c r="Z77" i="1"/>
  <c r="Y150" i="1"/>
  <c r="Y310" i="1"/>
  <c r="Y526" i="1"/>
  <c r="AA77" i="1"/>
  <c r="R150" i="1"/>
  <c r="R310" i="1"/>
  <c r="R526" i="1"/>
  <c r="R493" i="1" s="1"/>
  <c r="K77" i="1"/>
  <c r="J150" i="1"/>
  <c r="J310" i="1"/>
  <c r="J526" i="1"/>
  <c r="AU76" i="1"/>
  <c r="AT149" i="1"/>
  <c r="AT309" i="1"/>
  <c r="AT525" i="1"/>
  <c r="AM76" i="1"/>
  <c r="AD149" i="1"/>
  <c r="AD309" i="1"/>
  <c r="AD525" i="1"/>
  <c r="AD492" i="1" s="1"/>
  <c r="W76" i="1"/>
  <c r="V149" i="1"/>
  <c r="V309" i="1"/>
  <c r="V525" i="1"/>
  <c r="O76" i="1"/>
  <c r="BB76" i="1"/>
  <c r="BG76" i="1" s="1"/>
  <c r="F149" i="1"/>
  <c r="F309" i="1"/>
  <c r="F525" i="1"/>
  <c r="F492" i="1" s="1"/>
  <c r="AY75" i="1"/>
  <c r="AP74" i="1"/>
  <c r="AP148" i="1"/>
  <c r="AP308" i="1"/>
  <c r="AP524" i="1"/>
  <c r="AP491" i="1" s="1"/>
  <c r="AI75" i="1"/>
  <c r="AH74" i="1"/>
  <c r="AH148" i="1"/>
  <c r="AH308" i="1"/>
  <c r="AH524" i="1"/>
  <c r="AA75" i="1"/>
  <c r="R74" i="1"/>
  <c r="R148" i="1"/>
  <c r="R308" i="1"/>
  <c r="R524" i="1"/>
  <c r="R491" i="1" s="1"/>
  <c r="K75" i="1"/>
  <c r="J74" i="1"/>
  <c r="J148" i="1"/>
  <c r="J308" i="1"/>
  <c r="J524" i="1"/>
  <c r="AU72" i="1"/>
  <c r="AT71" i="1"/>
  <c r="AM72" i="1"/>
  <c r="AM71" i="1" s="1"/>
  <c r="AD71" i="1"/>
  <c r="W72" i="1"/>
  <c r="V71" i="1"/>
  <c r="O72" i="1"/>
  <c r="O71" i="1" s="1"/>
  <c r="F71" i="1"/>
  <c r="BB72" i="1"/>
  <c r="BG72" i="1" s="1"/>
  <c r="BG71" i="1" s="1"/>
  <c r="AU70" i="1"/>
  <c r="AM70" i="1"/>
  <c r="W70" i="1"/>
  <c r="O70" i="1"/>
  <c r="BB70" i="1"/>
  <c r="BG70" i="1" s="1"/>
  <c r="AY69" i="1"/>
  <c r="AI69" i="1"/>
  <c r="AA69" i="1"/>
  <c r="K69" i="1"/>
  <c r="AU68" i="1"/>
  <c r="AM68" i="1"/>
  <c r="W68" i="1"/>
  <c r="O68" i="1"/>
  <c r="BB68" i="1"/>
  <c r="BG68" i="1" s="1"/>
  <c r="AY67" i="1"/>
  <c r="AI67" i="1"/>
  <c r="AA67" i="1"/>
  <c r="K67" i="1"/>
  <c r="AU66" i="1"/>
  <c r="AM66" i="1"/>
  <c r="W66" i="1"/>
  <c r="O66" i="1"/>
  <c r="BB66" i="1"/>
  <c r="BG66" i="1" s="1"/>
  <c r="AY65" i="1"/>
  <c r="AI65" i="1"/>
  <c r="AA65" i="1"/>
  <c r="K65" i="1"/>
  <c r="AU64" i="1"/>
  <c r="AM64" i="1"/>
  <c r="W64" i="1"/>
  <c r="O64" i="1"/>
  <c r="BB64" i="1"/>
  <c r="BG64" i="1" s="1"/>
  <c r="AY63" i="1"/>
  <c r="AI63" i="1"/>
  <c r="AA63" i="1"/>
  <c r="K63" i="1"/>
  <c r="AU62" i="1"/>
  <c r="AM62" i="1"/>
  <c r="W62" i="1"/>
  <c r="O62" i="1"/>
  <c r="BB62" i="1"/>
  <c r="BG62" i="1" s="1"/>
  <c r="AY61" i="1"/>
  <c r="AI61" i="1"/>
  <c r="AA61" i="1"/>
  <c r="K61" i="1"/>
  <c r="AU60" i="1"/>
  <c r="AM60" i="1"/>
  <c r="W60" i="1"/>
  <c r="O60" i="1"/>
  <c r="BB60" i="1"/>
  <c r="BG60" i="1" s="1"/>
  <c r="AY59" i="1"/>
  <c r="AI59" i="1"/>
  <c r="AA59" i="1"/>
  <c r="K59" i="1"/>
  <c r="AU58" i="1"/>
  <c r="AM58" i="1"/>
  <c r="W58" i="1"/>
  <c r="O58" i="1"/>
  <c r="BB58" i="1"/>
  <c r="BG58" i="1" s="1"/>
  <c r="AV169" i="1"/>
  <c r="AV329" i="1"/>
  <c r="AV545" i="1"/>
  <c r="AV512" i="1" s="1"/>
  <c r="AU96" i="1"/>
  <c r="AT169" i="1"/>
  <c r="AT329" i="1"/>
  <c r="AT545" i="1"/>
  <c r="AY96" i="1"/>
  <c r="AP169" i="1"/>
  <c r="AP329" i="1"/>
  <c r="AP545" i="1"/>
  <c r="AP512" i="1" s="1"/>
  <c r="AJ169" i="1"/>
  <c r="AJ329" i="1"/>
  <c r="AJ545" i="1"/>
  <c r="AJ512" i="1" s="1"/>
  <c r="AI96" i="1"/>
  <c r="AH169" i="1"/>
  <c r="AH329" i="1"/>
  <c r="AH545" i="1"/>
  <c r="AM96" i="1"/>
  <c r="AD169" i="1"/>
  <c r="AD329" i="1"/>
  <c r="AD545" i="1"/>
  <c r="AD512" i="1" s="1"/>
  <c r="X169" i="1"/>
  <c r="X329" i="1"/>
  <c r="X545" i="1"/>
  <c r="X512" i="1" s="1"/>
  <c r="W96" i="1"/>
  <c r="V169" i="1"/>
  <c r="V329" i="1"/>
  <c r="V545" i="1"/>
  <c r="AA96" i="1"/>
  <c r="R169" i="1"/>
  <c r="R329" i="1"/>
  <c r="R545" i="1"/>
  <c r="R512" i="1" s="1"/>
  <c r="L169" i="1"/>
  <c r="L329" i="1"/>
  <c r="L545" i="1"/>
  <c r="L512" i="1" s="1"/>
  <c r="K96" i="1"/>
  <c r="J169" i="1"/>
  <c r="J329" i="1"/>
  <c r="K329" i="1" s="1"/>
  <c r="J545" i="1"/>
  <c r="BB96" i="1"/>
  <c r="BG96" i="1" s="1"/>
  <c r="O96" i="1"/>
  <c r="F169" i="1"/>
  <c r="F329" i="1"/>
  <c r="F545" i="1"/>
  <c r="F512" i="1" s="1"/>
  <c r="D169" i="1"/>
  <c r="D329" i="1"/>
  <c r="D545" i="1"/>
  <c r="D512" i="1" s="1"/>
  <c r="AV168" i="1"/>
  <c r="AV328" i="1"/>
  <c r="AV544" i="1"/>
  <c r="AV511" i="1" s="1"/>
  <c r="AU95" i="1"/>
  <c r="AT168" i="1"/>
  <c r="AT328" i="1"/>
  <c r="AT544" i="1"/>
  <c r="AY95" i="1"/>
  <c r="AP168" i="1"/>
  <c r="AP328" i="1"/>
  <c r="AP544" i="1"/>
  <c r="AP511" i="1" s="1"/>
  <c r="AJ168" i="1"/>
  <c r="AJ328" i="1"/>
  <c r="AJ544" i="1"/>
  <c r="AJ511" i="1" s="1"/>
  <c r="AI95" i="1"/>
  <c r="AH168" i="1"/>
  <c r="AH328" i="1"/>
  <c r="AH544" i="1"/>
  <c r="AM95" i="1"/>
  <c r="AD168" i="1"/>
  <c r="AD328" i="1"/>
  <c r="AD544" i="1"/>
  <c r="AD511" i="1" s="1"/>
  <c r="X168" i="1"/>
  <c r="X328" i="1"/>
  <c r="X544" i="1"/>
  <c r="X511" i="1" s="1"/>
  <c r="W95" i="1"/>
  <c r="V168" i="1"/>
  <c r="V328" i="1"/>
  <c r="W328" i="1" s="1"/>
  <c r="V544" i="1"/>
  <c r="AA95" i="1"/>
  <c r="R168" i="1"/>
  <c r="R328" i="1"/>
  <c r="R544" i="1"/>
  <c r="R511" i="1" s="1"/>
  <c r="L168" i="1"/>
  <c r="L328" i="1"/>
  <c r="L544" i="1"/>
  <c r="L511" i="1" s="1"/>
  <c r="K95" i="1"/>
  <c r="J168" i="1"/>
  <c r="J328" i="1"/>
  <c r="J544" i="1"/>
  <c r="BB95" i="1"/>
  <c r="BG95" i="1" s="1"/>
  <c r="O95" i="1"/>
  <c r="F168" i="1"/>
  <c r="F328" i="1"/>
  <c r="F544" i="1"/>
  <c r="F511" i="1" s="1"/>
  <c r="D168" i="1"/>
  <c r="D328" i="1"/>
  <c r="D544" i="1"/>
  <c r="D511" i="1" s="1"/>
  <c r="AV167" i="1"/>
  <c r="AV327" i="1"/>
  <c r="AV543" i="1"/>
  <c r="AV510" i="1" s="1"/>
  <c r="AU94" i="1"/>
  <c r="AT167" i="1"/>
  <c r="AT327" i="1"/>
  <c r="AT543" i="1"/>
  <c r="AY94" i="1"/>
  <c r="AP167" i="1"/>
  <c r="AP327" i="1"/>
  <c r="AP543" i="1"/>
  <c r="AP510" i="1" s="1"/>
  <c r="AJ167" i="1"/>
  <c r="AJ327" i="1"/>
  <c r="AJ543" i="1"/>
  <c r="AJ510" i="1" s="1"/>
  <c r="AI94" i="1"/>
  <c r="AH167" i="1"/>
  <c r="AH327" i="1"/>
  <c r="AH543" i="1"/>
  <c r="AM94" i="1"/>
  <c r="AD167" i="1"/>
  <c r="AD327" i="1"/>
  <c r="AD543" i="1"/>
  <c r="AD510" i="1" s="1"/>
  <c r="X167" i="1"/>
  <c r="X327" i="1"/>
  <c r="X543" i="1"/>
  <c r="X510" i="1" s="1"/>
  <c r="W94" i="1"/>
  <c r="V167" i="1"/>
  <c r="V327" i="1"/>
  <c r="V543" i="1"/>
  <c r="AA94" i="1"/>
  <c r="R167" i="1"/>
  <c r="R327" i="1"/>
  <c r="R543" i="1"/>
  <c r="R510" i="1" s="1"/>
  <c r="L167" i="1"/>
  <c r="L327" i="1"/>
  <c r="L543" i="1"/>
  <c r="L510" i="1" s="1"/>
  <c r="K94" i="1"/>
  <c r="J167" i="1"/>
  <c r="J327" i="1"/>
  <c r="K327" i="1" s="1"/>
  <c r="J543" i="1"/>
  <c r="BB94" i="1"/>
  <c r="BG94" i="1" s="1"/>
  <c r="O94" i="1"/>
  <c r="F167" i="1"/>
  <c r="F327" i="1"/>
  <c r="F543" i="1"/>
  <c r="F510" i="1" s="1"/>
  <c r="D167" i="1"/>
  <c r="D327" i="1"/>
  <c r="D543" i="1"/>
  <c r="D510" i="1" s="1"/>
  <c r="AV166" i="1"/>
  <c r="AV326" i="1"/>
  <c r="AV542" i="1"/>
  <c r="AV509" i="1" s="1"/>
  <c r="AU93" i="1"/>
  <c r="AT166" i="1"/>
  <c r="AT326" i="1"/>
  <c r="AU326" i="1" s="1"/>
  <c r="AT542" i="1"/>
  <c r="AY93" i="1"/>
  <c r="AP166" i="1"/>
  <c r="AP326" i="1"/>
  <c r="AP542" i="1"/>
  <c r="AP509" i="1" s="1"/>
  <c r="AJ166" i="1"/>
  <c r="AJ326" i="1"/>
  <c r="AJ542" i="1"/>
  <c r="AJ509" i="1" s="1"/>
  <c r="AI93" i="1"/>
  <c r="AH166" i="1"/>
  <c r="AH326" i="1"/>
  <c r="AH542" i="1"/>
  <c r="AM93" i="1"/>
  <c r="AD166" i="1"/>
  <c r="AD326" i="1"/>
  <c r="AD542" i="1"/>
  <c r="AD509" i="1" s="1"/>
  <c r="X166" i="1"/>
  <c r="X326" i="1"/>
  <c r="X542" i="1"/>
  <c r="X509" i="1" s="1"/>
  <c r="W93" i="1"/>
  <c r="V166" i="1"/>
  <c r="V326" i="1"/>
  <c r="W326" i="1" s="1"/>
  <c r="V542" i="1"/>
  <c r="AA93" i="1"/>
  <c r="R166" i="1"/>
  <c r="R326" i="1"/>
  <c r="R542" i="1"/>
  <c r="R509" i="1" s="1"/>
  <c r="L166" i="1"/>
  <c r="L326" i="1"/>
  <c r="L542" i="1"/>
  <c r="L509" i="1" s="1"/>
  <c r="K93" i="1"/>
  <c r="J166" i="1"/>
  <c r="J326" i="1"/>
  <c r="J542" i="1"/>
  <c r="BB93" i="1"/>
  <c r="BG93" i="1" s="1"/>
  <c r="O93" i="1"/>
  <c r="F166" i="1"/>
  <c r="F326" i="1"/>
  <c r="F542" i="1"/>
  <c r="F509" i="1" s="1"/>
  <c r="D166" i="1"/>
  <c r="D326" i="1"/>
  <c r="D542" i="1"/>
  <c r="D509" i="1" s="1"/>
  <c r="AV165" i="1"/>
  <c r="AV325" i="1"/>
  <c r="AV541" i="1"/>
  <c r="AV508" i="1" s="1"/>
  <c r="AU92" i="1"/>
  <c r="AT165" i="1"/>
  <c r="AT325" i="1"/>
  <c r="AT541" i="1"/>
  <c r="AY92" i="1"/>
  <c r="AP165" i="1"/>
  <c r="AP325" i="1"/>
  <c r="AP541" i="1"/>
  <c r="AP508" i="1" s="1"/>
  <c r="AJ165" i="1"/>
  <c r="AJ325" i="1"/>
  <c r="AJ541" i="1"/>
  <c r="AJ508" i="1" s="1"/>
  <c r="AI92" i="1"/>
  <c r="AH165" i="1"/>
  <c r="AH325" i="1"/>
  <c r="AI325" i="1" s="1"/>
  <c r="AH541" i="1"/>
  <c r="AM92" i="1"/>
  <c r="AD165" i="1"/>
  <c r="AD325" i="1"/>
  <c r="AD541" i="1"/>
  <c r="AD508" i="1" s="1"/>
  <c r="X165" i="1"/>
  <c r="X325" i="1"/>
  <c r="X541" i="1"/>
  <c r="X508" i="1" s="1"/>
  <c r="W92" i="1"/>
  <c r="V165" i="1"/>
  <c r="V325" i="1"/>
  <c r="V541" i="1"/>
  <c r="AA92" i="1"/>
  <c r="R165" i="1"/>
  <c r="R325" i="1"/>
  <c r="R541" i="1"/>
  <c r="R508" i="1" s="1"/>
  <c r="L165" i="1"/>
  <c r="L325" i="1"/>
  <c r="L541" i="1"/>
  <c r="L508" i="1" s="1"/>
  <c r="K92" i="1"/>
  <c r="J165" i="1"/>
  <c r="J325" i="1"/>
  <c r="K325" i="1" s="1"/>
  <c r="J541" i="1"/>
  <c r="BB92" i="1"/>
  <c r="BG92" i="1" s="1"/>
  <c r="O92" i="1"/>
  <c r="F165" i="1"/>
  <c r="F325" i="1"/>
  <c r="F541" i="1"/>
  <c r="F508" i="1" s="1"/>
  <c r="D165" i="1"/>
  <c r="D325" i="1"/>
  <c r="D541" i="1"/>
  <c r="D508" i="1" s="1"/>
  <c r="AV164" i="1"/>
  <c r="AV324" i="1"/>
  <c r="AV540" i="1"/>
  <c r="AV507" i="1" s="1"/>
  <c r="AU91" i="1"/>
  <c r="AT164" i="1"/>
  <c r="AT324" i="1"/>
  <c r="AT540" i="1"/>
  <c r="AY91" i="1"/>
  <c r="AP164" i="1"/>
  <c r="AP324" i="1"/>
  <c r="AP540" i="1"/>
  <c r="AP507" i="1" s="1"/>
  <c r="AJ164" i="1"/>
  <c r="AJ324" i="1"/>
  <c r="AJ540" i="1"/>
  <c r="AJ507" i="1" s="1"/>
  <c r="AI91" i="1"/>
  <c r="AH164" i="1"/>
  <c r="AH324" i="1"/>
  <c r="AH540" i="1"/>
  <c r="AM91" i="1"/>
  <c r="AD164" i="1"/>
  <c r="AD324" i="1"/>
  <c r="AD540" i="1"/>
  <c r="AD507" i="1" s="1"/>
  <c r="X164" i="1"/>
  <c r="X324" i="1"/>
  <c r="X540" i="1"/>
  <c r="X507" i="1" s="1"/>
  <c r="W91" i="1"/>
  <c r="V164" i="1"/>
  <c r="V324" i="1"/>
  <c r="W324" i="1" s="1"/>
  <c r="V540" i="1"/>
  <c r="AA91" i="1"/>
  <c r="R164" i="1"/>
  <c r="R324" i="1"/>
  <c r="R540" i="1"/>
  <c r="R507" i="1" s="1"/>
  <c r="L164" i="1"/>
  <c r="L324" i="1"/>
  <c r="L540" i="1"/>
  <c r="L507" i="1" s="1"/>
  <c r="K91" i="1"/>
  <c r="J164" i="1"/>
  <c r="J324" i="1"/>
  <c r="J540" i="1"/>
  <c r="BB91" i="1"/>
  <c r="BG91" i="1" s="1"/>
  <c r="O91" i="1"/>
  <c r="F164" i="1"/>
  <c r="F324" i="1"/>
  <c r="F540" i="1"/>
  <c r="F507" i="1" s="1"/>
  <c r="D164" i="1"/>
  <c r="D324" i="1"/>
  <c r="D540" i="1"/>
  <c r="D507" i="1" s="1"/>
  <c r="AV163" i="1"/>
  <c r="AV323" i="1"/>
  <c r="AV539" i="1"/>
  <c r="AV506" i="1" s="1"/>
  <c r="AU90" i="1"/>
  <c r="AT163" i="1"/>
  <c r="AT323" i="1"/>
  <c r="AT539" i="1"/>
  <c r="AY90" i="1"/>
  <c r="AP163" i="1"/>
  <c r="AP323" i="1"/>
  <c r="AP539" i="1"/>
  <c r="AP506" i="1" s="1"/>
  <c r="AJ163" i="1"/>
  <c r="AJ323" i="1"/>
  <c r="AJ539" i="1"/>
  <c r="AJ506" i="1" s="1"/>
  <c r="AI90" i="1"/>
  <c r="AH163" i="1"/>
  <c r="AH323" i="1"/>
  <c r="AH539" i="1"/>
  <c r="AM90" i="1"/>
  <c r="AD163" i="1"/>
  <c r="AD323" i="1"/>
  <c r="AD539" i="1"/>
  <c r="AD506" i="1" s="1"/>
  <c r="X163" i="1"/>
  <c r="X323" i="1"/>
  <c r="X539" i="1"/>
  <c r="X506" i="1" s="1"/>
  <c r="W90" i="1"/>
  <c r="V163" i="1"/>
  <c r="V323" i="1"/>
  <c r="V539" i="1"/>
  <c r="AA90" i="1"/>
  <c r="R163" i="1"/>
  <c r="R323" i="1"/>
  <c r="R539" i="1"/>
  <c r="R506" i="1" s="1"/>
  <c r="L163" i="1"/>
  <c r="L323" i="1"/>
  <c r="L539" i="1"/>
  <c r="L506" i="1" s="1"/>
  <c r="K90" i="1"/>
  <c r="J163" i="1"/>
  <c r="J323" i="1"/>
  <c r="K323" i="1" s="1"/>
  <c r="J539" i="1"/>
  <c r="BB90" i="1"/>
  <c r="BG90" i="1" s="1"/>
  <c r="O90" i="1"/>
  <c r="F163" i="1"/>
  <c r="F323" i="1"/>
  <c r="F539" i="1"/>
  <c r="F506" i="1" s="1"/>
  <c r="D163" i="1"/>
  <c r="D323" i="1"/>
  <c r="D539" i="1"/>
  <c r="D506" i="1" s="1"/>
  <c r="AV162" i="1"/>
  <c r="AV322" i="1"/>
  <c r="AV538" i="1"/>
  <c r="AV505" i="1" s="1"/>
  <c r="AU89" i="1"/>
  <c r="AT162" i="1"/>
  <c r="AT322" i="1"/>
  <c r="AT538" i="1"/>
  <c r="AY89" i="1"/>
  <c r="AP162" i="1"/>
  <c r="AP322" i="1"/>
  <c r="AP538" i="1"/>
  <c r="AP505" i="1" s="1"/>
  <c r="AJ162" i="1"/>
  <c r="AJ322" i="1"/>
  <c r="AJ538" i="1"/>
  <c r="AJ505" i="1" s="1"/>
  <c r="AI89" i="1"/>
  <c r="AH162" i="1"/>
  <c r="AH322" i="1"/>
  <c r="AH538" i="1"/>
  <c r="AM89" i="1"/>
  <c r="AD162" i="1"/>
  <c r="AD322" i="1"/>
  <c r="AD538" i="1"/>
  <c r="AD505" i="1" s="1"/>
  <c r="X162" i="1"/>
  <c r="X322" i="1"/>
  <c r="X538" i="1"/>
  <c r="X505" i="1" s="1"/>
  <c r="W89" i="1"/>
  <c r="V162" i="1"/>
  <c r="V322" i="1"/>
  <c r="W322" i="1" s="1"/>
  <c r="V538" i="1"/>
  <c r="AA89" i="1"/>
  <c r="R162" i="1"/>
  <c r="R322" i="1"/>
  <c r="R538" i="1"/>
  <c r="R505" i="1" s="1"/>
  <c r="L162" i="1"/>
  <c r="L322" i="1"/>
  <c r="L538" i="1"/>
  <c r="L505" i="1" s="1"/>
  <c r="K89" i="1"/>
  <c r="J162" i="1"/>
  <c r="J322" i="1"/>
  <c r="J538" i="1"/>
  <c r="BB89" i="1"/>
  <c r="BG89" i="1" s="1"/>
  <c r="O89" i="1"/>
  <c r="F162" i="1"/>
  <c r="F322" i="1"/>
  <c r="F538" i="1"/>
  <c r="F505" i="1" s="1"/>
  <c r="D162" i="1"/>
  <c r="D322" i="1"/>
  <c r="D538" i="1"/>
  <c r="D505" i="1" s="1"/>
  <c r="AV161" i="1"/>
  <c r="AV321" i="1"/>
  <c r="AV537" i="1"/>
  <c r="AV504" i="1" s="1"/>
  <c r="AU88" i="1"/>
  <c r="AT161" i="1"/>
  <c r="AT321" i="1"/>
  <c r="AT537" i="1"/>
  <c r="AY88" i="1"/>
  <c r="AP161" i="1"/>
  <c r="AP321" i="1"/>
  <c r="AP537" i="1"/>
  <c r="AP504" i="1" s="1"/>
  <c r="AJ161" i="1"/>
  <c r="AJ321" i="1"/>
  <c r="AJ537" i="1"/>
  <c r="AJ504" i="1" s="1"/>
  <c r="AI88" i="1"/>
  <c r="AH161" i="1"/>
  <c r="AH321" i="1"/>
  <c r="AI321" i="1" s="1"/>
  <c r="AH537" i="1"/>
  <c r="AM88" i="1"/>
  <c r="AD161" i="1"/>
  <c r="AD321" i="1"/>
  <c r="AD537" i="1"/>
  <c r="AD504" i="1" s="1"/>
  <c r="X161" i="1"/>
  <c r="X321" i="1"/>
  <c r="X537" i="1"/>
  <c r="X504" i="1" s="1"/>
  <c r="W88" i="1"/>
  <c r="V161" i="1"/>
  <c r="V321" i="1"/>
  <c r="V537" i="1"/>
  <c r="AA88" i="1"/>
  <c r="R161" i="1"/>
  <c r="R321" i="1"/>
  <c r="R537" i="1"/>
  <c r="R504" i="1" s="1"/>
  <c r="L161" i="1"/>
  <c r="L321" i="1"/>
  <c r="L537" i="1"/>
  <c r="L504" i="1" s="1"/>
  <c r="K88" i="1"/>
  <c r="J161" i="1"/>
  <c r="J321" i="1"/>
  <c r="K321" i="1" s="1"/>
  <c r="J537" i="1"/>
  <c r="BB88" i="1"/>
  <c r="BG88" i="1" s="1"/>
  <c r="O88" i="1"/>
  <c r="F161" i="1"/>
  <c r="F321" i="1"/>
  <c r="F537" i="1"/>
  <c r="F504" i="1" s="1"/>
  <c r="D161" i="1"/>
  <c r="D321" i="1"/>
  <c r="D537" i="1"/>
  <c r="D504" i="1" s="1"/>
  <c r="AV160" i="1"/>
  <c r="AV320" i="1"/>
  <c r="AV536" i="1"/>
  <c r="AV503" i="1" s="1"/>
  <c r="AU87" i="1"/>
  <c r="AT160" i="1"/>
  <c r="AT320" i="1"/>
  <c r="AT536" i="1"/>
  <c r="AY87" i="1"/>
  <c r="AP160" i="1"/>
  <c r="AP320" i="1"/>
  <c r="AP536" i="1"/>
  <c r="AP503" i="1" s="1"/>
  <c r="AJ160" i="1"/>
  <c r="AJ320" i="1"/>
  <c r="AJ536" i="1"/>
  <c r="AJ503" i="1" s="1"/>
  <c r="AI87" i="1"/>
  <c r="AH160" i="1"/>
  <c r="AH320" i="1"/>
  <c r="AH536" i="1"/>
  <c r="AM87" i="1"/>
  <c r="AD160" i="1"/>
  <c r="AD320" i="1"/>
  <c r="AD536" i="1"/>
  <c r="AD503" i="1" s="1"/>
  <c r="X160" i="1"/>
  <c r="X320" i="1"/>
  <c r="X536" i="1"/>
  <c r="X503" i="1" s="1"/>
  <c r="W87" i="1"/>
  <c r="V160" i="1"/>
  <c r="V320" i="1"/>
  <c r="W320" i="1" s="1"/>
  <c r="V536" i="1"/>
  <c r="AA87" i="1"/>
  <c r="R160" i="1"/>
  <c r="R320" i="1"/>
  <c r="R536" i="1"/>
  <c r="R503" i="1" s="1"/>
  <c r="L160" i="1"/>
  <c r="L320" i="1"/>
  <c r="L536" i="1"/>
  <c r="L503" i="1" s="1"/>
  <c r="K87" i="1"/>
  <c r="J160" i="1"/>
  <c r="J320" i="1"/>
  <c r="J536" i="1"/>
  <c r="BB87" i="1"/>
  <c r="BG87" i="1" s="1"/>
  <c r="O87" i="1"/>
  <c r="F160" i="1"/>
  <c r="F320" i="1"/>
  <c r="F536" i="1"/>
  <c r="F503" i="1" s="1"/>
  <c r="D160" i="1"/>
  <c r="D320" i="1"/>
  <c r="D536" i="1"/>
  <c r="D503" i="1" s="1"/>
  <c r="AV159" i="1"/>
  <c r="AV319" i="1"/>
  <c r="AV535" i="1"/>
  <c r="AV502" i="1" s="1"/>
  <c r="AU86" i="1"/>
  <c r="AT159" i="1"/>
  <c r="AT319" i="1"/>
  <c r="AT535" i="1"/>
  <c r="AY86" i="1"/>
  <c r="AP159" i="1"/>
  <c r="AP319" i="1"/>
  <c r="AP535" i="1"/>
  <c r="AP502" i="1" s="1"/>
  <c r="AJ159" i="1"/>
  <c r="AJ319" i="1"/>
  <c r="AJ535" i="1"/>
  <c r="AJ502" i="1" s="1"/>
  <c r="AI86" i="1"/>
  <c r="AH159" i="1"/>
  <c r="AH319" i="1"/>
  <c r="AH535" i="1"/>
  <c r="AM86" i="1"/>
  <c r="AD159" i="1"/>
  <c r="AD319" i="1"/>
  <c r="AD535" i="1"/>
  <c r="AD502" i="1" s="1"/>
  <c r="X159" i="1"/>
  <c r="X319" i="1"/>
  <c r="X535" i="1"/>
  <c r="X502" i="1" s="1"/>
  <c r="W86" i="1"/>
  <c r="V159" i="1"/>
  <c r="V319" i="1"/>
  <c r="V535" i="1"/>
  <c r="AA86" i="1"/>
  <c r="R159" i="1"/>
  <c r="R319" i="1"/>
  <c r="R535" i="1"/>
  <c r="R502" i="1" s="1"/>
  <c r="L159" i="1"/>
  <c r="L319" i="1"/>
  <c r="L535" i="1"/>
  <c r="L502" i="1" s="1"/>
  <c r="K86" i="1"/>
  <c r="J159" i="1"/>
  <c r="J319" i="1"/>
  <c r="K319" i="1" s="1"/>
  <c r="J535" i="1"/>
  <c r="BB86" i="1"/>
  <c r="BG86" i="1" s="1"/>
  <c r="O86" i="1"/>
  <c r="F159" i="1"/>
  <c r="F319" i="1"/>
  <c r="F535" i="1"/>
  <c r="F502" i="1" s="1"/>
  <c r="D159" i="1"/>
  <c r="D319" i="1"/>
  <c r="D535" i="1"/>
  <c r="D502" i="1" s="1"/>
  <c r="AV84" i="1"/>
  <c r="AV158" i="1"/>
  <c r="AV318" i="1"/>
  <c r="AV534" i="1"/>
  <c r="AV501" i="1" s="1"/>
  <c r="AT84" i="1"/>
  <c r="AU85" i="1"/>
  <c r="AT158" i="1"/>
  <c r="AT318" i="1"/>
  <c r="AT534" i="1"/>
  <c r="AP84" i="1"/>
  <c r="AY85" i="1"/>
  <c r="AP158" i="1"/>
  <c r="AP318" i="1"/>
  <c r="AP534" i="1"/>
  <c r="AP501" i="1" s="1"/>
  <c r="AJ84" i="1"/>
  <c r="AJ158" i="1"/>
  <c r="AJ318" i="1"/>
  <c r="AJ534" i="1"/>
  <c r="AJ501" i="1" s="1"/>
  <c r="AH84" i="1"/>
  <c r="AI85" i="1"/>
  <c r="AH158" i="1"/>
  <c r="AH318" i="1"/>
  <c r="AH534" i="1"/>
  <c r="AD84" i="1"/>
  <c r="AM85" i="1"/>
  <c r="AD158" i="1"/>
  <c r="AD318" i="1"/>
  <c r="AD534" i="1"/>
  <c r="AD501" i="1" s="1"/>
  <c r="X84" i="1"/>
  <c r="X158" i="1"/>
  <c r="X318" i="1"/>
  <c r="X534" i="1"/>
  <c r="X501" i="1" s="1"/>
  <c r="V84" i="1"/>
  <c r="W85" i="1"/>
  <c r="V158" i="1"/>
  <c r="V318" i="1"/>
  <c r="V534" i="1"/>
  <c r="R84" i="1"/>
  <c r="AA85" i="1"/>
  <c r="R158" i="1"/>
  <c r="R318" i="1"/>
  <c r="R534" i="1"/>
  <c r="R501" i="1" s="1"/>
  <c r="L84" i="1"/>
  <c r="L158" i="1"/>
  <c r="L318" i="1"/>
  <c r="L534" i="1"/>
  <c r="L501" i="1" s="1"/>
  <c r="J84" i="1"/>
  <c r="K85" i="1"/>
  <c r="J158" i="1"/>
  <c r="J318" i="1"/>
  <c r="K318" i="1" s="1"/>
  <c r="J534" i="1"/>
  <c r="F84" i="1"/>
  <c r="BB85" i="1"/>
  <c r="BG85" i="1" s="1"/>
  <c r="O85" i="1"/>
  <c r="F158" i="1"/>
  <c r="F318" i="1"/>
  <c r="F534" i="1"/>
  <c r="F501" i="1" s="1"/>
  <c r="D84" i="1"/>
  <c r="D158" i="1"/>
  <c r="D318" i="1"/>
  <c r="D534" i="1"/>
  <c r="D501" i="1" s="1"/>
  <c r="AR83" i="1"/>
  <c r="AZ83" i="1"/>
  <c r="AQ156" i="1"/>
  <c r="AQ316" i="1"/>
  <c r="AQ532" i="1"/>
  <c r="AF83" i="1"/>
  <c r="AN83" i="1"/>
  <c r="AE156" i="1"/>
  <c r="AE316" i="1"/>
  <c r="AE532" i="1"/>
  <c r="T83" i="1"/>
  <c r="AB83" i="1"/>
  <c r="S156" i="1"/>
  <c r="S316" i="1"/>
  <c r="S532" i="1"/>
  <c r="H83" i="1"/>
  <c r="P83" i="1"/>
  <c r="BC83" i="1"/>
  <c r="G156" i="1"/>
  <c r="G316" i="1"/>
  <c r="G532" i="1"/>
  <c r="AR82" i="1"/>
  <c r="AZ82" i="1"/>
  <c r="AQ155" i="1"/>
  <c r="AQ315" i="1"/>
  <c r="AQ531" i="1"/>
  <c r="AF82" i="1"/>
  <c r="AN82" i="1"/>
  <c r="AE155" i="1"/>
  <c r="AE315" i="1"/>
  <c r="AE531" i="1"/>
  <c r="T82" i="1"/>
  <c r="AB82" i="1"/>
  <c r="S155" i="1"/>
  <c r="S315" i="1"/>
  <c r="S531" i="1"/>
  <c r="H82" i="1"/>
  <c r="P82" i="1"/>
  <c r="BC82" i="1"/>
  <c r="G155" i="1"/>
  <c r="G315" i="1"/>
  <c r="G531" i="1"/>
  <c r="AR81" i="1"/>
  <c r="AZ81" i="1"/>
  <c r="AQ154" i="1"/>
  <c r="AQ314" i="1"/>
  <c r="AQ530" i="1"/>
  <c r="AF81" i="1"/>
  <c r="AN81" i="1"/>
  <c r="AE154" i="1"/>
  <c r="AE314" i="1"/>
  <c r="AE530" i="1"/>
  <c r="T81" i="1"/>
  <c r="AB81" i="1"/>
  <c r="S154" i="1"/>
  <c r="S314" i="1"/>
  <c r="S530" i="1"/>
  <c r="H81" i="1"/>
  <c r="P81" i="1"/>
  <c r="BC81" i="1"/>
  <c r="G154" i="1"/>
  <c r="G314" i="1"/>
  <c r="G530" i="1"/>
  <c r="AR80" i="1"/>
  <c r="AZ80" i="1"/>
  <c r="AQ153" i="1"/>
  <c r="AQ313" i="1"/>
  <c r="AQ529" i="1"/>
  <c r="AF80" i="1"/>
  <c r="AN80" i="1"/>
  <c r="AE153" i="1"/>
  <c r="AE313" i="1"/>
  <c r="AE529" i="1"/>
  <c r="T80" i="1"/>
  <c r="AB80" i="1"/>
  <c r="S153" i="1"/>
  <c r="S313" i="1"/>
  <c r="S529" i="1"/>
  <c r="H80" i="1"/>
  <c r="P80" i="1"/>
  <c r="BC80" i="1"/>
  <c r="G153" i="1"/>
  <c r="G313" i="1"/>
  <c r="G529" i="1"/>
  <c r="AR79" i="1"/>
  <c r="AZ79" i="1"/>
  <c r="AQ152" i="1"/>
  <c r="AQ312" i="1"/>
  <c r="AQ528" i="1"/>
  <c r="AF79" i="1"/>
  <c r="AN79" i="1"/>
  <c r="AE152" i="1"/>
  <c r="AE312" i="1"/>
  <c r="AE528" i="1"/>
  <c r="T79" i="1"/>
  <c r="AB79" i="1"/>
  <c r="S152" i="1"/>
  <c r="S312" i="1"/>
  <c r="S528" i="1"/>
  <c r="H79" i="1"/>
  <c r="P79" i="1"/>
  <c r="BC79" i="1"/>
  <c r="G152" i="1"/>
  <c r="G312" i="1"/>
  <c r="G528" i="1"/>
  <c r="AR78" i="1"/>
  <c r="AZ78" i="1"/>
  <c r="AQ151" i="1"/>
  <c r="AQ311" i="1"/>
  <c r="AQ527" i="1"/>
  <c r="AF78" i="1"/>
  <c r="AN78" i="1"/>
  <c r="AE151" i="1"/>
  <c r="AE311" i="1"/>
  <c r="AE527" i="1"/>
  <c r="T78" i="1"/>
  <c r="AB78" i="1"/>
  <c r="S151" i="1"/>
  <c r="S311" i="1"/>
  <c r="S527" i="1"/>
  <c r="H78" i="1"/>
  <c r="P78" i="1"/>
  <c r="BC78" i="1"/>
  <c r="G151" i="1"/>
  <c r="G311" i="1"/>
  <c r="G527" i="1"/>
  <c r="AR77" i="1"/>
  <c r="AZ77" i="1"/>
  <c r="AQ150" i="1"/>
  <c r="AQ310" i="1"/>
  <c r="AQ526" i="1"/>
  <c r="AF77" i="1"/>
  <c r="AN77" i="1"/>
  <c r="AE150" i="1"/>
  <c r="AE310" i="1"/>
  <c r="AE526" i="1"/>
  <c r="W77" i="1"/>
  <c r="V150" i="1"/>
  <c r="V310" i="1"/>
  <c r="V526" i="1"/>
  <c r="O77" i="1"/>
  <c r="BB77" i="1"/>
  <c r="BG77" i="1" s="1"/>
  <c r="F150" i="1"/>
  <c r="F310" i="1"/>
  <c r="F526" i="1"/>
  <c r="F493" i="1" s="1"/>
  <c r="AY76" i="1"/>
  <c r="AP149" i="1"/>
  <c r="AP309" i="1"/>
  <c r="AP525" i="1"/>
  <c r="AP492" i="1" s="1"/>
  <c r="AI76" i="1"/>
  <c r="AH149" i="1"/>
  <c r="AH309" i="1"/>
  <c r="AH525" i="1"/>
  <c r="AA76" i="1"/>
  <c r="R149" i="1"/>
  <c r="R309" i="1"/>
  <c r="R525" i="1"/>
  <c r="R492" i="1" s="1"/>
  <c r="K76" i="1"/>
  <c r="J149" i="1"/>
  <c r="J309" i="1"/>
  <c r="J525" i="1"/>
  <c r="AU75" i="1"/>
  <c r="AT74" i="1"/>
  <c r="AT148" i="1"/>
  <c r="AT308" i="1"/>
  <c r="AT524" i="1"/>
  <c r="AM75" i="1"/>
  <c r="AD74" i="1"/>
  <c r="AD148" i="1"/>
  <c r="AD308" i="1"/>
  <c r="AD524" i="1"/>
  <c r="AD491" i="1" s="1"/>
  <c r="W75" i="1"/>
  <c r="V74" i="1"/>
  <c r="V148" i="1"/>
  <c r="V308" i="1"/>
  <c r="V524" i="1"/>
  <c r="O75" i="1"/>
  <c r="BB75" i="1"/>
  <c r="BG75" i="1" s="1"/>
  <c r="F74" i="1"/>
  <c r="F148" i="1"/>
  <c r="F308" i="1"/>
  <c r="F524" i="1"/>
  <c r="F491" i="1" s="1"/>
  <c r="AY72" i="1"/>
  <c r="AY71" i="1" s="1"/>
  <c r="AP71" i="1"/>
  <c r="AI72" i="1"/>
  <c r="AH71" i="1"/>
  <c r="AA72" i="1"/>
  <c r="AA71" i="1" s="1"/>
  <c r="R71" i="1"/>
  <c r="K72" i="1"/>
  <c r="J71" i="1"/>
  <c r="AY70" i="1"/>
  <c r="AI70" i="1"/>
  <c r="AA70" i="1"/>
  <c r="K70" i="1"/>
  <c r="AU69" i="1"/>
  <c r="AM69" i="1"/>
  <c r="W69" i="1"/>
  <c r="O69" i="1"/>
  <c r="BB69" i="1"/>
  <c r="BG69" i="1" s="1"/>
  <c r="AY68" i="1"/>
  <c r="AI68" i="1"/>
  <c r="AA68" i="1"/>
  <c r="K68" i="1"/>
  <c r="AU67" i="1"/>
  <c r="AM67" i="1"/>
  <c r="W67" i="1"/>
  <c r="O67" i="1"/>
  <c r="BB67" i="1"/>
  <c r="BG67" i="1" s="1"/>
  <c r="AY66" i="1"/>
  <c r="AI66" i="1"/>
  <c r="AA66" i="1"/>
  <c r="K66" i="1"/>
  <c r="AU65" i="1"/>
  <c r="AM65" i="1"/>
  <c r="W65" i="1"/>
  <c r="O65" i="1"/>
  <c r="BB65" i="1"/>
  <c r="BG65" i="1" s="1"/>
  <c r="AY64" i="1"/>
  <c r="AI64" i="1"/>
  <c r="AA64" i="1"/>
  <c r="K64" i="1"/>
  <c r="AU63" i="1"/>
  <c r="AM63" i="1"/>
  <c r="W63" i="1"/>
  <c r="O63" i="1"/>
  <c r="BB63" i="1"/>
  <c r="BG63" i="1" s="1"/>
  <c r="AY62" i="1"/>
  <c r="AI62" i="1"/>
  <c r="AA62" i="1"/>
  <c r="K62" i="1"/>
  <c r="AU61" i="1"/>
  <c r="AM61" i="1"/>
  <c r="W61" i="1"/>
  <c r="O61" i="1"/>
  <c r="BB61" i="1"/>
  <c r="BG61" i="1" s="1"/>
  <c r="AY60" i="1"/>
  <c r="AI60" i="1"/>
  <c r="AA60" i="1"/>
  <c r="K60" i="1"/>
  <c r="AU59" i="1"/>
  <c r="AM59" i="1"/>
  <c r="W59" i="1"/>
  <c r="O59" i="1"/>
  <c r="BB59" i="1"/>
  <c r="BG59" i="1" s="1"/>
  <c r="AY58" i="1"/>
  <c r="AI58" i="1"/>
  <c r="AA58" i="1"/>
  <c r="K58" i="1"/>
  <c r="AU57" i="1"/>
  <c r="AY57" i="1"/>
  <c r="AI57" i="1"/>
  <c r="AM57" i="1"/>
  <c r="W57" i="1"/>
  <c r="AA57" i="1"/>
  <c r="K57" i="1"/>
  <c r="O57" i="1"/>
  <c r="BB57" i="1"/>
  <c r="BG57" i="1" s="1"/>
  <c r="AU56" i="1"/>
  <c r="AY56" i="1"/>
  <c r="AI56" i="1"/>
  <c r="AM56" i="1"/>
  <c r="W56" i="1"/>
  <c r="AA56" i="1"/>
  <c r="K56" i="1"/>
  <c r="O56" i="1"/>
  <c r="BB56" i="1"/>
  <c r="BG56" i="1" s="1"/>
  <c r="AU55" i="1"/>
  <c r="AY55" i="1"/>
  <c r="AI55" i="1"/>
  <c r="AM55" i="1"/>
  <c r="W55" i="1"/>
  <c r="AA55" i="1"/>
  <c r="K55" i="1"/>
  <c r="O55" i="1"/>
  <c r="BB55" i="1"/>
  <c r="BG55" i="1" s="1"/>
  <c r="AU54" i="1"/>
  <c r="AY54" i="1"/>
  <c r="AI54" i="1"/>
  <c r="AM54" i="1"/>
  <c r="W54" i="1"/>
  <c r="AA54" i="1"/>
  <c r="K54" i="1"/>
  <c r="O54" i="1"/>
  <c r="BB54" i="1"/>
  <c r="BG54" i="1" s="1"/>
  <c r="AU53" i="1"/>
  <c r="AT52" i="1"/>
  <c r="AY53" i="1"/>
  <c r="AP52" i="1"/>
  <c r="AI53" i="1"/>
  <c r="AH52" i="1"/>
  <c r="AM53" i="1"/>
  <c r="AD52" i="1"/>
  <c r="W53" i="1"/>
  <c r="V52" i="1"/>
  <c r="AA53" i="1"/>
  <c r="R52" i="1"/>
  <c r="K53" i="1"/>
  <c r="J52" i="1"/>
  <c r="O53" i="1"/>
  <c r="F52" i="1"/>
  <c r="BB53" i="1"/>
  <c r="BG53" i="1" s="1"/>
  <c r="AU51" i="1"/>
  <c r="AY51" i="1"/>
  <c r="AI51" i="1"/>
  <c r="AM51" i="1"/>
  <c r="W51" i="1"/>
  <c r="AA51" i="1"/>
  <c r="K51" i="1"/>
  <c r="O51" i="1"/>
  <c r="BB51" i="1"/>
  <c r="BG51" i="1" s="1"/>
  <c r="AU50" i="1"/>
  <c r="AY50" i="1"/>
  <c r="AI50" i="1"/>
  <c r="AM50" i="1"/>
  <c r="W50" i="1"/>
  <c r="AA50" i="1"/>
  <c r="K50" i="1"/>
  <c r="O50" i="1"/>
  <c r="BB50" i="1"/>
  <c r="BG50" i="1" s="1"/>
  <c r="AU49" i="1"/>
  <c r="AY49" i="1"/>
  <c r="AI49" i="1"/>
  <c r="AM49" i="1"/>
  <c r="W49" i="1"/>
  <c r="AA49" i="1"/>
  <c r="K49" i="1"/>
  <c r="O49" i="1"/>
  <c r="BB49" i="1"/>
  <c r="BG49" i="1" s="1"/>
  <c r="AU48" i="1"/>
  <c r="AY48" i="1"/>
  <c r="AI48" i="1"/>
  <c r="AM48" i="1"/>
  <c r="W48" i="1"/>
  <c r="AA48" i="1"/>
  <c r="K48" i="1"/>
  <c r="O48" i="1"/>
  <c r="BB48" i="1"/>
  <c r="BG48" i="1" s="1"/>
  <c r="AU47" i="1"/>
  <c r="AY47" i="1"/>
  <c r="AI47" i="1"/>
  <c r="AM47" i="1"/>
  <c r="W47" i="1"/>
  <c r="AA47" i="1"/>
  <c r="K47" i="1"/>
  <c r="O47" i="1"/>
  <c r="BB47" i="1"/>
  <c r="BG47" i="1" s="1"/>
  <c r="AU46" i="1"/>
  <c r="AM46" i="1"/>
  <c r="W46" i="1"/>
  <c r="O46" i="1"/>
  <c r="BB46" i="1"/>
  <c r="BG46" i="1" s="1"/>
  <c r="AY45" i="1"/>
  <c r="AI45" i="1"/>
  <c r="AA45" i="1"/>
  <c r="K45" i="1"/>
  <c r="AU44" i="1"/>
  <c r="AM44" i="1"/>
  <c r="W44" i="1"/>
  <c r="O44" i="1"/>
  <c r="BB44" i="1"/>
  <c r="BG44" i="1" s="1"/>
  <c r="AY43" i="1"/>
  <c r="AP42" i="1"/>
  <c r="AI43" i="1"/>
  <c r="AH42" i="1"/>
  <c r="AA43" i="1"/>
  <c r="R42" i="1"/>
  <c r="K43" i="1"/>
  <c r="J42" i="1"/>
  <c r="AU40" i="1"/>
  <c r="AT39" i="1"/>
  <c r="AT241" i="1"/>
  <c r="AM40" i="1"/>
  <c r="AD39" i="1"/>
  <c r="AD241" i="1"/>
  <c r="W40" i="1"/>
  <c r="V39" i="1"/>
  <c r="V241" i="1"/>
  <c r="O40" i="1"/>
  <c r="F39" i="1"/>
  <c r="BB40" i="1"/>
  <c r="BG40" i="1" s="1"/>
  <c r="F241" i="1"/>
  <c r="AU38" i="1"/>
  <c r="AT239" i="1"/>
  <c r="AM38" i="1"/>
  <c r="AM239" i="1" s="1"/>
  <c r="AD239" i="1"/>
  <c r="W38" i="1"/>
  <c r="V239" i="1"/>
  <c r="O38" i="1"/>
  <c r="BB38" i="1"/>
  <c r="BG38" i="1" s="1"/>
  <c r="BG239" i="1" s="1"/>
  <c r="F239" i="1"/>
  <c r="AY37" i="1"/>
  <c r="AY238" i="1" s="1"/>
  <c r="AP238" i="1"/>
  <c r="AI37" i="1"/>
  <c r="AH238" i="1"/>
  <c r="AA37" i="1"/>
  <c r="AA238" i="1" s="1"/>
  <c r="R238" i="1"/>
  <c r="K37" i="1"/>
  <c r="J238" i="1"/>
  <c r="AU36" i="1"/>
  <c r="AT237" i="1"/>
  <c r="AM36" i="1"/>
  <c r="AD237" i="1"/>
  <c r="W36" i="1"/>
  <c r="V237" i="1"/>
  <c r="O36" i="1"/>
  <c r="BB36" i="1"/>
  <c r="BG36" i="1" s="1"/>
  <c r="F237" i="1"/>
  <c r="AY35" i="1"/>
  <c r="AP236" i="1"/>
  <c r="AI35" i="1"/>
  <c r="AH236" i="1"/>
  <c r="AA35" i="1"/>
  <c r="R236" i="1"/>
  <c r="K35" i="1"/>
  <c r="J236" i="1"/>
  <c r="AU34" i="1"/>
  <c r="AT235" i="1"/>
  <c r="AM34" i="1"/>
  <c r="AM235" i="1" s="1"/>
  <c r="AD235" i="1"/>
  <c r="W34" i="1"/>
  <c r="V235" i="1"/>
  <c r="O34" i="1"/>
  <c r="BB34" i="1"/>
  <c r="BG34" i="1" s="1"/>
  <c r="BG235" i="1" s="1"/>
  <c r="F235" i="1"/>
  <c r="AY33" i="1"/>
  <c r="AY234" i="1" s="1"/>
  <c r="AP234" i="1"/>
  <c r="AI33" i="1"/>
  <c r="AH234" i="1"/>
  <c r="AA33" i="1"/>
  <c r="AA234" i="1" s="1"/>
  <c r="R234" i="1"/>
  <c r="K33" i="1"/>
  <c r="J234" i="1"/>
  <c r="AU32" i="1"/>
  <c r="AT233" i="1"/>
  <c r="AL32" i="1"/>
  <c r="AK233" i="1"/>
  <c r="U233" i="1"/>
  <c r="E233" i="1"/>
  <c r="BE232" i="1"/>
  <c r="Z31" i="1"/>
  <c r="Y232" i="1"/>
  <c r="I232" i="1"/>
  <c r="AS231" i="1"/>
  <c r="N30" i="1"/>
  <c r="M231" i="1"/>
  <c r="AX29" i="1"/>
  <c r="AW230" i="1"/>
  <c r="AG230" i="1"/>
  <c r="AL28" i="1"/>
  <c r="AK229" i="1"/>
  <c r="U229" i="1"/>
  <c r="E229" i="1"/>
  <c r="BE228" i="1"/>
  <c r="Z27" i="1"/>
  <c r="Y228" i="1"/>
  <c r="I228" i="1"/>
  <c r="AS227" i="1"/>
  <c r="N26" i="1"/>
  <c r="M227" i="1"/>
  <c r="AX25" i="1"/>
  <c r="AW226" i="1"/>
  <c r="AG226" i="1"/>
  <c r="AL24" i="1"/>
  <c r="AK225" i="1"/>
  <c r="U225" i="1"/>
  <c r="E225" i="1"/>
  <c r="BE224" i="1"/>
  <c r="Z23" i="1"/>
  <c r="Y224" i="1"/>
  <c r="I224" i="1"/>
  <c r="AS223" i="1"/>
  <c r="N22" i="1"/>
  <c r="M223" i="1"/>
  <c r="AV156" i="1"/>
  <c r="AV316" i="1"/>
  <c r="AV532" i="1"/>
  <c r="AV499" i="1" s="1"/>
  <c r="AU83" i="1"/>
  <c r="AT156" i="1"/>
  <c r="AT316" i="1"/>
  <c r="AT532" i="1"/>
  <c r="AY83" i="1"/>
  <c r="AP156" i="1"/>
  <c r="AP316" i="1"/>
  <c r="AP532" i="1"/>
  <c r="AP499" i="1" s="1"/>
  <c r="AJ156" i="1"/>
  <c r="AJ316" i="1"/>
  <c r="AJ532" i="1"/>
  <c r="AJ499" i="1" s="1"/>
  <c r="AI83" i="1"/>
  <c r="AH156" i="1"/>
  <c r="AH316" i="1"/>
  <c r="AH532" i="1"/>
  <c r="AM83" i="1"/>
  <c r="AD156" i="1"/>
  <c r="AD316" i="1"/>
  <c r="AD532" i="1"/>
  <c r="AD499" i="1" s="1"/>
  <c r="X156" i="1"/>
  <c r="X316" i="1"/>
  <c r="X532" i="1"/>
  <c r="X499" i="1" s="1"/>
  <c r="W83" i="1"/>
  <c r="V156" i="1"/>
  <c r="V316" i="1"/>
  <c r="V532" i="1"/>
  <c r="AA83" i="1"/>
  <c r="R156" i="1"/>
  <c r="R316" i="1"/>
  <c r="R532" i="1"/>
  <c r="R499" i="1" s="1"/>
  <c r="L156" i="1"/>
  <c r="L316" i="1"/>
  <c r="L532" i="1"/>
  <c r="L499" i="1" s="1"/>
  <c r="K83" i="1"/>
  <c r="J156" i="1"/>
  <c r="J316" i="1"/>
  <c r="J532" i="1"/>
  <c r="O83" i="1"/>
  <c r="BB83" i="1"/>
  <c r="BG83" i="1" s="1"/>
  <c r="F156" i="1"/>
  <c r="F316" i="1"/>
  <c r="F532" i="1"/>
  <c r="F499" i="1" s="1"/>
  <c r="D156" i="1"/>
  <c r="D316" i="1"/>
  <c r="D532" i="1"/>
  <c r="D499" i="1" s="1"/>
  <c r="AV155" i="1"/>
  <c r="AV315" i="1"/>
  <c r="AV531" i="1"/>
  <c r="AV498" i="1" s="1"/>
  <c r="AU82" i="1"/>
  <c r="AT155" i="1"/>
  <c r="AT315" i="1"/>
  <c r="AT531" i="1"/>
  <c r="AY82" i="1"/>
  <c r="AP155" i="1"/>
  <c r="AP315" i="1"/>
  <c r="AP531" i="1"/>
  <c r="AP498" i="1" s="1"/>
  <c r="AJ155" i="1"/>
  <c r="AJ315" i="1"/>
  <c r="AJ531" i="1"/>
  <c r="AJ498" i="1" s="1"/>
  <c r="AI82" i="1"/>
  <c r="AH155" i="1"/>
  <c r="AH315" i="1"/>
  <c r="AH531" i="1"/>
  <c r="AM82" i="1"/>
  <c r="AD155" i="1"/>
  <c r="AD315" i="1"/>
  <c r="AD531" i="1"/>
  <c r="AD498" i="1" s="1"/>
  <c r="X155" i="1"/>
  <c r="X315" i="1"/>
  <c r="X531" i="1"/>
  <c r="X498" i="1" s="1"/>
  <c r="W82" i="1"/>
  <c r="V155" i="1"/>
  <c r="V315" i="1"/>
  <c r="V531" i="1"/>
  <c r="AA82" i="1"/>
  <c r="R155" i="1"/>
  <c r="R315" i="1"/>
  <c r="R531" i="1"/>
  <c r="R498" i="1" s="1"/>
  <c r="L155" i="1"/>
  <c r="L315" i="1"/>
  <c r="L531" i="1"/>
  <c r="L498" i="1" s="1"/>
  <c r="K82" i="1"/>
  <c r="J155" i="1"/>
  <c r="J315" i="1"/>
  <c r="J531" i="1"/>
  <c r="BB82" i="1"/>
  <c r="BG82" i="1" s="1"/>
  <c r="O82" i="1"/>
  <c r="F155" i="1"/>
  <c r="F315" i="1"/>
  <c r="F531" i="1"/>
  <c r="F498" i="1" s="1"/>
  <c r="D155" i="1"/>
  <c r="D315" i="1"/>
  <c r="D531" i="1"/>
  <c r="D498" i="1" s="1"/>
  <c r="AV154" i="1"/>
  <c r="AV314" i="1"/>
  <c r="AV530" i="1"/>
  <c r="AV497" i="1" s="1"/>
  <c r="AU81" i="1"/>
  <c r="AT154" i="1"/>
  <c r="AT314" i="1"/>
  <c r="AT530" i="1"/>
  <c r="AY81" i="1"/>
  <c r="AP154" i="1"/>
  <c r="AP314" i="1"/>
  <c r="AP530" i="1"/>
  <c r="AP497" i="1" s="1"/>
  <c r="AJ154" i="1"/>
  <c r="AJ314" i="1"/>
  <c r="AJ530" i="1"/>
  <c r="AJ497" i="1" s="1"/>
  <c r="AI81" i="1"/>
  <c r="AH154" i="1"/>
  <c r="AH314" i="1"/>
  <c r="AH530" i="1"/>
  <c r="AM81" i="1"/>
  <c r="AD154" i="1"/>
  <c r="AD314" i="1"/>
  <c r="AD530" i="1"/>
  <c r="AD497" i="1" s="1"/>
  <c r="X154" i="1"/>
  <c r="X314" i="1"/>
  <c r="X530" i="1"/>
  <c r="X497" i="1" s="1"/>
  <c r="W81" i="1"/>
  <c r="V154" i="1"/>
  <c r="V314" i="1"/>
  <c r="V530" i="1"/>
  <c r="AA81" i="1"/>
  <c r="R154" i="1"/>
  <c r="R314" i="1"/>
  <c r="R530" i="1"/>
  <c r="R497" i="1" s="1"/>
  <c r="L154" i="1"/>
  <c r="L314" i="1"/>
  <c r="L530" i="1"/>
  <c r="L497" i="1" s="1"/>
  <c r="K81" i="1"/>
  <c r="J154" i="1"/>
  <c r="J314" i="1"/>
  <c r="J530" i="1"/>
  <c r="BB81" i="1"/>
  <c r="BG81" i="1" s="1"/>
  <c r="O81" i="1"/>
  <c r="F154" i="1"/>
  <c r="F314" i="1"/>
  <c r="F530" i="1"/>
  <c r="F497" i="1" s="1"/>
  <c r="D154" i="1"/>
  <c r="D314" i="1"/>
  <c r="D530" i="1"/>
  <c r="D497" i="1" s="1"/>
  <c r="AV153" i="1"/>
  <c r="AV313" i="1"/>
  <c r="AV529" i="1"/>
  <c r="AV496" i="1" s="1"/>
  <c r="AU80" i="1"/>
  <c r="AT153" i="1"/>
  <c r="AT313" i="1"/>
  <c r="AT529" i="1"/>
  <c r="AY80" i="1"/>
  <c r="AP153" i="1"/>
  <c r="AP313" i="1"/>
  <c r="AP529" i="1"/>
  <c r="AP496" i="1" s="1"/>
  <c r="AJ153" i="1"/>
  <c r="AJ313" i="1"/>
  <c r="AJ529" i="1"/>
  <c r="AJ496" i="1" s="1"/>
  <c r="AI80" i="1"/>
  <c r="AH153" i="1"/>
  <c r="AH313" i="1"/>
  <c r="AH529" i="1"/>
  <c r="AM80" i="1"/>
  <c r="AD153" i="1"/>
  <c r="AD313" i="1"/>
  <c r="AD529" i="1"/>
  <c r="AD496" i="1" s="1"/>
  <c r="X153" i="1"/>
  <c r="X313" i="1"/>
  <c r="X529" i="1"/>
  <c r="X496" i="1" s="1"/>
  <c r="W80" i="1"/>
  <c r="V153" i="1"/>
  <c r="V313" i="1"/>
  <c r="V529" i="1"/>
  <c r="AA80" i="1"/>
  <c r="R153" i="1"/>
  <c r="R313" i="1"/>
  <c r="R529" i="1"/>
  <c r="R496" i="1" s="1"/>
  <c r="L153" i="1"/>
  <c r="L313" i="1"/>
  <c r="L529" i="1"/>
  <c r="L496" i="1" s="1"/>
  <c r="K80" i="1"/>
  <c r="J153" i="1"/>
  <c r="J313" i="1"/>
  <c r="J529" i="1"/>
  <c r="BB80" i="1"/>
  <c r="BG80" i="1" s="1"/>
  <c r="O80" i="1"/>
  <c r="F153" i="1"/>
  <c r="F313" i="1"/>
  <c r="F529" i="1"/>
  <c r="F496" i="1" s="1"/>
  <c r="D153" i="1"/>
  <c r="D313" i="1"/>
  <c r="D529" i="1"/>
  <c r="D496" i="1" s="1"/>
  <c r="AV152" i="1"/>
  <c r="AV312" i="1"/>
  <c r="AV528" i="1"/>
  <c r="AV495" i="1" s="1"/>
  <c r="AU79" i="1"/>
  <c r="AT152" i="1"/>
  <c r="AT312" i="1"/>
  <c r="AT528" i="1"/>
  <c r="AY79" i="1"/>
  <c r="AP152" i="1"/>
  <c r="AP312" i="1"/>
  <c r="AP528" i="1"/>
  <c r="AP495" i="1" s="1"/>
  <c r="AJ152" i="1"/>
  <c r="AJ312" i="1"/>
  <c r="AJ528" i="1"/>
  <c r="AJ495" i="1" s="1"/>
  <c r="AI79" i="1"/>
  <c r="AH152" i="1"/>
  <c r="AH312" i="1"/>
  <c r="AH528" i="1"/>
  <c r="AM79" i="1"/>
  <c r="AD152" i="1"/>
  <c r="AD312" i="1"/>
  <c r="AD528" i="1"/>
  <c r="AD495" i="1" s="1"/>
  <c r="X152" i="1"/>
  <c r="X312" i="1"/>
  <c r="X528" i="1"/>
  <c r="X495" i="1" s="1"/>
  <c r="W79" i="1"/>
  <c r="V152" i="1"/>
  <c r="V312" i="1"/>
  <c r="V528" i="1"/>
  <c r="AA79" i="1"/>
  <c r="R152" i="1"/>
  <c r="R312" i="1"/>
  <c r="R528" i="1"/>
  <c r="R495" i="1" s="1"/>
  <c r="L152" i="1"/>
  <c r="L312" i="1"/>
  <c r="L528" i="1"/>
  <c r="L495" i="1" s="1"/>
  <c r="K79" i="1"/>
  <c r="J152" i="1"/>
  <c r="J312" i="1"/>
  <c r="J528" i="1"/>
  <c r="BB79" i="1"/>
  <c r="BG79" i="1" s="1"/>
  <c r="O79" i="1"/>
  <c r="F152" i="1"/>
  <c r="F312" i="1"/>
  <c r="F528" i="1"/>
  <c r="F495" i="1" s="1"/>
  <c r="D152" i="1"/>
  <c r="D312" i="1"/>
  <c r="D528" i="1"/>
  <c r="D495" i="1" s="1"/>
  <c r="AV151" i="1"/>
  <c r="AV311" i="1"/>
  <c r="AV527" i="1"/>
  <c r="AV494" i="1" s="1"/>
  <c r="AU78" i="1"/>
  <c r="AT151" i="1"/>
  <c r="AT311" i="1"/>
  <c r="AT527" i="1"/>
  <c r="AY78" i="1"/>
  <c r="AP151" i="1"/>
  <c r="AP311" i="1"/>
  <c r="AP527" i="1"/>
  <c r="AP494" i="1" s="1"/>
  <c r="AJ151" i="1"/>
  <c r="AJ311" i="1"/>
  <c r="AJ527" i="1"/>
  <c r="AJ494" i="1" s="1"/>
  <c r="AI78" i="1"/>
  <c r="AH151" i="1"/>
  <c r="AH311" i="1"/>
  <c r="AH527" i="1"/>
  <c r="AM78" i="1"/>
  <c r="AD151" i="1"/>
  <c r="AD311" i="1"/>
  <c r="AD527" i="1"/>
  <c r="AD494" i="1" s="1"/>
  <c r="X151" i="1"/>
  <c r="X311" i="1"/>
  <c r="X527" i="1"/>
  <c r="X494" i="1" s="1"/>
  <c r="W78" i="1"/>
  <c r="V151" i="1"/>
  <c r="V311" i="1"/>
  <c r="V527" i="1"/>
  <c r="AA78" i="1"/>
  <c r="R151" i="1"/>
  <c r="R311" i="1"/>
  <c r="R527" i="1"/>
  <c r="R494" i="1" s="1"/>
  <c r="L151" i="1"/>
  <c r="L311" i="1"/>
  <c r="L527" i="1"/>
  <c r="L494" i="1" s="1"/>
  <c r="K78" i="1"/>
  <c r="J151" i="1"/>
  <c r="J311" i="1"/>
  <c r="J527" i="1"/>
  <c r="BB78" i="1"/>
  <c r="BG78" i="1" s="1"/>
  <c r="O78" i="1"/>
  <c r="F151" i="1"/>
  <c r="F311" i="1"/>
  <c r="F527" i="1"/>
  <c r="F494" i="1" s="1"/>
  <c r="D151" i="1"/>
  <c r="D311" i="1"/>
  <c r="D527" i="1"/>
  <c r="D494" i="1" s="1"/>
  <c r="AV150" i="1"/>
  <c r="AV310" i="1"/>
  <c r="AV526" i="1"/>
  <c r="AV493" i="1" s="1"/>
  <c r="AU77" i="1"/>
  <c r="AT150" i="1"/>
  <c r="AT310" i="1"/>
  <c r="AT526" i="1"/>
  <c r="AY77" i="1"/>
  <c r="AP150" i="1"/>
  <c r="AP310" i="1"/>
  <c r="AP526" i="1"/>
  <c r="AP493" i="1" s="1"/>
  <c r="AJ150" i="1"/>
  <c r="AJ310" i="1"/>
  <c r="AJ526" i="1"/>
  <c r="AJ493" i="1" s="1"/>
  <c r="AI77" i="1"/>
  <c r="AH150" i="1"/>
  <c r="AH310" i="1"/>
  <c r="AH526" i="1"/>
  <c r="AM77" i="1"/>
  <c r="AD150" i="1"/>
  <c r="AD310" i="1"/>
  <c r="AD526" i="1"/>
  <c r="AD493" i="1" s="1"/>
  <c r="X150" i="1"/>
  <c r="X310" i="1"/>
  <c r="X526" i="1"/>
  <c r="X493" i="1" s="1"/>
  <c r="L150" i="1"/>
  <c r="L310" i="1"/>
  <c r="L526" i="1"/>
  <c r="L493" i="1" s="1"/>
  <c r="D150" i="1"/>
  <c r="D310" i="1"/>
  <c r="D526" i="1"/>
  <c r="D493" i="1" s="1"/>
  <c r="AV149" i="1"/>
  <c r="AV309" i="1"/>
  <c r="AV525" i="1"/>
  <c r="AV492" i="1" s="1"/>
  <c r="AJ149" i="1"/>
  <c r="AJ309" i="1"/>
  <c r="AJ525" i="1"/>
  <c r="AJ492" i="1" s="1"/>
  <c r="X149" i="1"/>
  <c r="X309" i="1"/>
  <c r="X525" i="1"/>
  <c r="X492" i="1" s="1"/>
  <c r="L149" i="1"/>
  <c r="L309" i="1"/>
  <c r="L525" i="1"/>
  <c r="L492" i="1" s="1"/>
  <c r="D149" i="1"/>
  <c r="D309" i="1"/>
  <c r="D525" i="1"/>
  <c r="D492" i="1" s="1"/>
  <c r="AV74" i="1"/>
  <c r="AV148" i="1"/>
  <c r="AV308" i="1"/>
  <c r="AV524" i="1"/>
  <c r="AV491" i="1" s="1"/>
  <c r="AJ74" i="1"/>
  <c r="AJ148" i="1"/>
  <c r="AJ308" i="1"/>
  <c r="AJ524" i="1"/>
  <c r="AJ491" i="1" s="1"/>
  <c r="X74" i="1"/>
  <c r="X148" i="1"/>
  <c r="X308" i="1"/>
  <c r="X524" i="1"/>
  <c r="X491" i="1" s="1"/>
  <c r="L74" i="1"/>
  <c r="L148" i="1"/>
  <c r="L308" i="1"/>
  <c r="L524" i="1"/>
  <c r="L491" i="1" s="1"/>
  <c r="D74" i="1"/>
  <c r="D148" i="1"/>
  <c r="D308" i="1"/>
  <c r="D524" i="1"/>
  <c r="D491" i="1" s="1"/>
  <c r="AV71" i="1"/>
  <c r="AJ71" i="1"/>
  <c r="X71" i="1"/>
  <c r="L71" i="1"/>
  <c r="D71" i="1"/>
  <c r="AV52" i="1"/>
  <c r="AJ52" i="1"/>
  <c r="X52" i="1"/>
  <c r="L52" i="1"/>
  <c r="D52" i="1"/>
  <c r="AY46" i="1"/>
  <c r="AI46" i="1"/>
  <c r="AA46" i="1"/>
  <c r="K46" i="1"/>
  <c r="AU45" i="1"/>
  <c r="AM45" i="1"/>
  <c r="W45" i="1"/>
  <c r="O45" i="1"/>
  <c r="BB45" i="1"/>
  <c r="BG45" i="1" s="1"/>
  <c r="AY44" i="1"/>
  <c r="AI44" i="1"/>
  <c r="AA44" i="1"/>
  <c r="K44" i="1"/>
  <c r="AU43" i="1"/>
  <c r="AT42" i="1"/>
  <c r="AM43" i="1"/>
  <c r="AD42" i="1"/>
  <c r="W43" i="1"/>
  <c r="V42" i="1"/>
  <c r="O43" i="1"/>
  <c r="BB43" i="1"/>
  <c r="BG43" i="1" s="1"/>
  <c r="BG42" i="1" s="1"/>
  <c r="F42" i="1"/>
  <c r="AY40" i="1"/>
  <c r="AP39" i="1"/>
  <c r="AP241" i="1"/>
  <c r="AI40" i="1"/>
  <c r="AH39" i="1"/>
  <c r="AH241" i="1"/>
  <c r="AA40" i="1"/>
  <c r="R39" i="1"/>
  <c r="R241" i="1"/>
  <c r="K40" i="1"/>
  <c r="J39" i="1"/>
  <c r="J241" i="1"/>
  <c r="AY38" i="1"/>
  <c r="AP239" i="1"/>
  <c r="AI38" i="1"/>
  <c r="AH239" i="1"/>
  <c r="AA38" i="1"/>
  <c r="R239" i="1"/>
  <c r="K38" i="1"/>
  <c r="J239" i="1"/>
  <c r="AU37" i="1"/>
  <c r="AT238" i="1"/>
  <c r="AM37" i="1"/>
  <c r="AM238" i="1" s="1"/>
  <c r="AD238" i="1"/>
  <c r="W37" i="1"/>
  <c r="V238" i="1"/>
  <c r="O37" i="1"/>
  <c r="BB37" i="1"/>
  <c r="BG37" i="1" s="1"/>
  <c r="BG238" i="1" s="1"/>
  <c r="F238" i="1"/>
  <c r="AY36" i="1"/>
  <c r="AP237" i="1"/>
  <c r="AI36" i="1"/>
  <c r="AH237" i="1"/>
  <c r="AA36" i="1"/>
  <c r="R237" i="1"/>
  <c r="K36" i="1"/>
  <c r="J237" i="1"/>
  <c r="AU35" i="1"/>
  <c r="AT236" i="1"/>
  <c r="AM35" i="1"/>
  <c r="AD236" i="1"/>
  <c r="W35" i="1"/>
  <c r="V236" i="1"/>
  <c r="O35" i="1"/>
  <c r="O236" i="1" s="1"/>
  <c r="BB35" i="1"/>
  <c r="BG35" i="1" s="1"/>
  <c r="BG236" i="1" s="1"/>
  <c r="F236" i="1"/>
  <c r="AY34" i="1"/>
  <c r="AP235" i="1"/>
  <c r="AI34" i="1"/>
  <c r="AH235" i="1"/>
  <c r="AA34" i="1"/>
  <c r="R235" i="1"/>
  <c r="K34" i="1"/>
  <c r="J235" i="1"/>
  <c r="AU33" i="1"/>
  <c r="AT234" i="1"/>
  <c r="AM33" i="1"/>
  <c r="AM234" i="1" s="1"/>
  <c r="AD234" i="1"/>
  <c r="W33" i="1"/>
  <c r="V234" i="1"/>
  <c r="O33" i="1"/>
  <c r="BB33" i="1"/>
  <c r="BG33" i="1" s="1"/>
  <c r="BG234" i="1" s="1"/>
  <c r="F234" i="1"/>
  <c r="AY32" i="1"/>
  <c r="AP233" i="1"/>
  <c r="N32" i="1"/>
  <c r="M233" i="1"/>
  <c r="AX31" i="1"/>
  <c r="AW232" i="1"/>
  <c r="AG232" i="1"/>
  <c r="AL30" i="1"/>
  <c r="AK231" i="1"/>
  <c r="U231" i="1"/>
  <c r="E231" i="1"/>
  <c r="BE230" i="1"/>
  <c r="Z29" i="1"/>
  <c r="Y230" i="1"/>
  <c r="I230" i="1"/>
  <c r="AS229" i="1"/>
  <c r="N28" i="1"/>
  <c r="M229" i="1"/>
  <c r="AX27" i="1"/>
  <c r="AW228" i="1"/>
  <c r="AG228" i="1"/>
  <c r="AL26" i="1"/>
  <c r="AK227" i="1"/>
  <c r="U227" i="1"/>
  <c r="E227" i="1"/>
  <c r="BE226" i="1"/>
  <c r="Z25" i="1"/>
  <c r="Y226" i="1"/>
  <c r="I226" i="1"/>
  <c r="AS225" i="1"/>
  <c r="N24" i="1"/>
  <c r="M225" i="1"/>
  <c r="AX23" i="1"/>
  <c r="AW224" i="1"/>
  <c r="AG224" i="1"/>
  <c r="AL22" i="1"/>
  <c r="AK223" i="1"/>
  <c r="U223" i="1"/>
  <c r="U150" i="1"/>
  <c r="U310" i="1"/>
  <c r="U526" i="1"/>
  <c r="U493" i="1" s="1"/>
  <c r="T77" i="1"/>
  <c r="AB77" i="1"/>
  <c r="S150" i="1"/>
  <c r="S310" i="1"/>
  <c r="S526" i="1"/>
  <c r="N77" i="1"/>
  <c r="M150" i="1"/>
  <c r="M310" i="1"/>
  <c r="M526" i="1"/>
  <c r="I150" i="1"/>
  <c r="I310" i="1"/>
  <c r="I526" i="1"/>
  <c r="I493" i="1" s="1"/>
  <c r="H77" i="1"/>
  <c r="P77" i="1"/>
  <c r="BC77" i="1"/>
  <c r="G150" i="1"/>
  <c r="G310" i="1"/>
  <c r="G526" i="1"/>
  <c r="E150" i="1"/>
  <c r="E310" i="1"/>
  <c r="E526" i="1"/>
  <c r="E493" i="1" s="1"/>
  <c r="BE149" i="1"/>
  <c r="BE309" i="1"/>
  <c r="BE525" i="1"/>
  <c r="BE492" i="1" s="1"/>
  <c r="AX76" i="1"/>
  <c r="AW149" i="1"/>
  <c r="AW309" i="1"/>
  <c r="AX309" i="1" s="1"/>
  <c r="AW525" i="1"/>
  <c r="AS149" i="1"/>
  <c r="AS309" i="1"/>
  <c r="AS525" i="1"/>
  <c r="AS492" i="1" s="1"/>
  <c r="AR76" i="1"/>
  <c r="AZ76" i="1"/>
  <c r="AQ149" i="1"/>
  <c r="AQ309" i="1"/>
  <c r="AQ525" i="1"/>
  <c r="AL76" i="1"/>
  <c r="AK149" i="1"/>
  <c r="AK309" i="1"/>
  <c r="AK525" i="1"/>
  <c r="AG149" i="1"/>
  <c r="AG309" i="1"/>
  <c r="AG525" i="1"/>
  <c r="AG492" i="1" s="1"/>
  <c r="AF76" i="1"/>
  <c r="AN76" i="1"/>
  <c r="AE149" i="1"/>
  <c r="AE309" i="1"/>
  <c r="AE525" i="1"/>
  <c r="Z76" i="1"/>
  <c r="Y149" i="1"/>
  <c r="Y309" i="1"/>
  <c r="Y525" i="1"/>
  <c r="U149" i="1"/>
  <c r="U309" i="1"/>
  <c r="U525" i="1"/>
  <c r="U492" i="1" s="1"/>
  <c r="T76" i="1"/>
  <c r="AB76" i="1"/>
  <c r="S149" i="1"/>
  <c r="S309" i="1"/>
  <c r="S525" i="1"/>
  <c r="N76" i="1"/>
  <c r="M149" i="1"/>
  <c r="M309" i="1"/>
  <c r="M525" i="1"/>
  <c r="I149" i="1"/>
  <c r="I309" i="1"/>
  <c r="I525" i="1"/>
  <c r="I492" i="1" s="1"/>
  <c r="BC76" i="1"/>
  <c r="H76" i="1"/>
  <c r="P76" i="1"/>
  <c r="G149" i="1"/>
  <c r="G309" i="1"/>
  <c r="G525" i="1"/>
  <c r="E149" i="1"/>
  <c r="E309" i="1"/>
  <c r="E525" i="1"/>
  <c r="E492" i="1" s="1"/>
  <c r="BE74" i="1"/>
  <c r="BE148" i="1"/>
  <c r="BE308" i="1"/>
  <c r="BE524" i="1"/>
  <c r="BE491" i="1" s="1"/>
  <c r="AW74" i="1"/>
  <c r="AX75" i="1"/>
  <c r="AW148" i="1"/>
  <c r="AW308" i="1"/>
  <c r="AW524" i="1"/>
  <c r="AS74" i="1"/>
  <c r="AS148" i="1"/>
  <c r="AS308" i="1"/>
  <c r="AS524" i="1"/>
  <c r="AS491" i="1" s="1"/>
  <c r="AQ74" i="1"/>
  <c r="AR75" i="1"/>
  <c r="AZ75" i="1"/>
  <c r="AQ148" i="1"/>
  <c r="AQ308" i="1"/>
  <c r="AQ524" i="1"/>
  <c r="AK74" i="1"/>
  <c r="AL75" i="1"/>
  <c r="AK148" i="1"/>
  <c r="AK308" i="1"/>
  <c r="AL308" i="1" s="1"/>
  <c r="AK524" i="1"/>
  <c r="AG74" i="1"/>
  <c r="AG148" i="1"/>
  <c r="AG308" i="1"/>
  <c r="AG524" i="1"/>
  <c r="AG491" i="1" s="1"/>
  <c r="AE74" i="1"/>
  <c r="AF75" i="1"/>
  <c r="AN75" i="1"/>
  <c r="AE148" i="1"/>
  <c r="AE308" i="1"/>
  <c r="AE524" i="1"/>
  <c r="Y74" i="1"/>
  <c r="Z75" i="1"/>
  <c r="Y148" i="1"/>
  <c r="Y308" i="1"/>
  <c r="Y524" i="1"/>
  <c r="U74" i="1"/>
  <c r="U148" i="1"/>
  <c r="U308" i="1"/>
  <c r="U524" i="1"/>
  <c r="U491" i="1" s="1"/>
  <c r="S74" i="1"/>
  <c r="T75" i="1"/>
  <c r="AB75" i="1"/>
  <c r="S148" i="1"/>
  <c r="S308" i="1"/>
  <c r="T308" i="1" s="1"/>
  <c r="S524" i="1"/>
  <c r="M74" i="1"/>
  <c r="N75" i="1"/>
  <c r="M148" i="1"/>
  <c r="M308" i="1"/>
  <c r="M524" i="1"/>
  <c r="I74" i="1"/>
  <c r="I148" i="1"/>
  <c r="I308" i="1"/>
  <c r="I524" i="1"/>
  <c r="I491" i="1" s="1"/>
  <c r="G74" i="1"/>
  <c r="BC75" i="1"/>
  <c r="H75" i="1"/>
  <c r="P75" i="1"/>
  <c r="G148" i="1"/>
  <c r="G308" i="1"/>
  <c r="G524" i="1"/>
  <c r="E74" i="1"/>
  <c r="E148" i="1"/>
  <c r="E308" i="1"/>
  <c r="E524" i="1"/>
  <c r="E491" i="1" s="1"/>
  <c r="BE71" i="1"/>
  <c r="AW71" i="1"/>
  <c r="AX72" i="1"/>
  <c r="AS71" i="1"/>
  <c r="AQ71" i="1"/>
  <c r="AR72" i="1"/>
  <c r="AZ72" i="1"/>
  <c r="AK71" i="1"/>
  <c r="AL72" i="1"/>
  <c r="AG71" i="1"/>
  <c r="AE71" i="1"/>
  <c r="AF72" i="1"/>
  <c r="AN72" i="1"/>
  <c r="Y71" i="1"/>
  <c r="Z72" i="1"/>
  <c r="U71" i="1"/>
  <c r="S71" i="1"/>
  <c r="T72" i="1"/>
  <c r="AB72" i="1"/>
  <c r="M71" i="1"/>
  <c r="N72" i="1"/>
  <c r="I71" i="1"/>
  <c r="G71" i="1"/>
  <c r="BC72" i="1"/>
  <c r="H72" i="1"/>
  <c r="P72" i="1"/>
  <c r="E71" i="1"/>
  <c r="AX70" i="1"/>
  <c r="AR70" i="1"/>
  <c r="AZ70" i="1"/>
  <c r="AL70" i="1"/>
  <c r="AF70" i="1"/>
  <c r="AN70" i="1"/>
  <c r="Z70" i="1"/>
  <c r="T70" i="1"/>
  <c r="AB70" i="1"/>
  <c r="N70" i="1"/>
  <c r="BC70" i="1"/>
  <c r="H70" i="1"/>
  <c r="P70" i="1"/>
  <c r="Q70" i="1" s="1"/>
  <c r="AX69" i="1"/>
  <c r="AR69" i="1"/>
  <c r="AZ69" i="1"/>
  <c r="AL69" i="1"/>
  <c r="AF69" i="1"/>
  <c r="AN69" i="1"/>
  <c r="Z69" i="1"/>
  <c r="T69" i="1"/>
  <c r="AB69" i="1"/>
  <c r="N69" i="1"/>
  <c r="BC69" i="1"/>
  <c r="H69" i="1"/>
  <c r="P69" i="1"/>
  <c r="AX68" i="1"/>
  <c r="AR68" i="1"/>
  <c r="AZ68" i="1"/>
  <c r="AL68" i="1"/>
  <c r="AF68" i="1"/>
  <c r="AN68" i="1"/>
  <c r="Z68" i="1"/>
  <c r="T68" i="1"/>
  <c r="AB68" i="1"/>
  <c r="N68" i="1"/>
  <c r="BC68" i="1"/>
  <c r="H68" i="1"/>
  <c r="P68" i="1"/>
  <c r="AX67" i="1"/>
  <c r="AR67" i="1"/>
  <c r="AZ67" i="1"/>
  <c r="AL67" i="1"/>
  <c r="AF67" i="1"/>
  <c r="AN67" i="1"/>
  <c r="Z67" i="1"/>
  <c r="T67" i="1"/>
  <c r="AB67" i="1"/>
  <c r="N67" i="1"/>
  <c r="BC67" i="1"/>
  <c r="H67" i="1"/>
  <c r="P67" i="1"/>
  <c r="AX66" i="1"/>
  <c r="AR66" i="1"/>
  <c r="AZ66" i="1"/>
  <c r="AL66" i="1"/>
  <c r="AF66" i="1"/>
  <c r="AN66" i="1"/>
  <c r="Z66" i="1"/>
  <c r="T66" i="1"/>
  <c r="AB66" i="1"/>
  <c r="N66" i="1"/>
  <c r="BC66" i="1"/>
  <c r="H66" i="1"/>
  <c r="P66" i="1"/>
  <c r="AX65" i="1"/>
  <c r="AR65" i="1"/>
  <c r="AZ65" i="1"/>
  <c r="AL65" i="1"/>
  <c r="AF65" i="1"/>
  <c r="AN65" i="1"/>
  <c r="Z65" i="1"/>
  <c r="T65" i="1"/>
  <c r="AB65" i="1"/>
  <c r="N65" i="1"/>
  <c r="BC65" i="1"/>
  <c r="H65" i="1"/>
  <c r="P65" i="1"/>
  <c r="AX64" i="1"/>
  <c r="AR64" i="1"/>
  <c r="AZ64" i="1"/>
  <c r="AL64" i="1"/>
  <c r="AF64" i="1"/>
  <c r="AN64" i="1"/>
  <c r="Z64" i="1"/>
  <c r="T64" i="1"/>
  <c r="AB64" i="1"/>
  <c r="N64" i="1"/>
  <c r="BC64" i="1"/>
  <c r="BD64" i="1" s="1"/>
  <c r="H64" i="1"/>
  <c r="P64" i="1"/>
  <c r="AX63" i="1"/>
  <c r="AR63" i="1"/>
  <c r="AZ63" i="1"/>
  <c r="AL63" i="1"/>
  <c r="AF63" i="1"/>
  <c r="AN63" i="1"/>
  <c r="Z63" i="1"/>
  <c r="T63" i="1"/>
  <c r="AB63" i="1"/>
  <c r="N63" i="1"/>
  <c r="BC63" i="1"/>
  <c r="H63" i="1"/>
  <c r="P63" i="1"/>
  <c r="AX62" i="1"/>
  <c r="AR62" i="1"/>
  <c r="AZ62" i="1"/>
  <c r="AL62" i="1"/>
  <c r="AF62" i="1"/>
  <c r="AN62" i="1"/>
  <c r="Z62" i="1"/>
  <c r="T62" i="1"/>
  <c r="AB62" i="1"/>
  <c r="N62" i="1"/>
  <c r="BC62" i="1"/>
  <c r="H62" i="1"/>
  <c r="P62" i="1"/>
  <c r="Q62" i="1" s="1"/>
  <c r="AX61" i="1"/>
  <c r="AR61" i="1"/>
  <c r="AZ61" i="1"/>
  <c r="AL61" i="1"/>
  <c r="AF61" i="1"/>
  <c r="AN61" i="1"/>
  <c r="Z61" i="1"/>
  <c r="T61" i="1"/>
  <c r="AB61" i="1"/>
  <c r="N61" i="1"/>
  <c r="BC61" i="1"/>
  <c r="H61" i="1"/>
  <c r="P61" i="1"/>
  <c r="AX60" i="1"/>
  <c r="AR60" i="1"/>
  <c r="AZ60" i="1"/>
  <c r="AL60" i="1"/>
  <c r="AF60" i="1"/>
  <c r="AN60" i="1"/>
  <c r="Z60" i="1"/>
  <c r="T60" i="1"/>
  <c r="AB60" i="1"/>
  <c r="N60" i="1"/>
  <c r="BC60" i="1"/>
  <c r="H60" i="1"/>
  <c r="P60" i="1"/>
  <c r="AX59" i="1"/>
  <c r="AR59" i="1"/>
  <c r="AZ59" i="1"/>
  <c r="AL59" i="1"/>
  <c r="AF59" i="1"/>
  <c r="AN59" i="1"/>
  <c r="Z59" i="1"/>
  <c r="T59" i="1"/>
  <c r="AB59" i="1"/>
  <c r="N59" i="1"/>
  <c r="BC59" i="1"/>
  <c r="H59" i="1"/>
  <c r="P59" i="1"/>
  <c r="AX58" i="1"/>
  <c r="AR58" i="1"/>
  <c r="AZ58" i="1"/>
  <c r="AL58" i="1"/>
  <c r="AF58" i="1"/>
  <c r="AN58" i="1"/>
  <c r="Z58" i="1"/>
  <c r="T58" i="1"/>
  <c r="AB58" i="1"/>
  <c r="N58" i="1"/>
  <c r="BC58" i="1"/>
  <c r="H58" i="1"/>
  <c r="P58" i="1"/>
  <c r="AX57" i="1"/>
  <c r="AR57" i="1"/>
  <c r="AZ57" i="1"/>
  <c r="AL57" i="1"/>
  <c r="AF57" i="1"/>
  <c r="AN57" i="1"/>
  <c r="Z57" i="1"/>
  <c r="T57" i="1"/>
  <c r="AB57" i="1"/>
  <c r="N57" i="1"/>
  <c r="BC57" i="1"/>
  <c r="H57" i="1"/>
  <c r="P57" i="1"/>
  <c r="AX56" i="1"/>
  <c r="AR56" i="1"/>
  <c r="AZ56" i="1"/>
  <c r="AL56" i="1"/>
  <c r="AF56" i="1"/>
  <c r="AN56" i="1"/>
  <c r="Z56" i="1"/>
  <c r="T56" i="1"/>
  <c r="AB56" i="1"/>
  <c r="N56" i="1"/>
  <c r="BC56" i="1"/>
  <c r="H56" i="1"/>
  <c r="P56" i="1"/>
  <c r="AX55" i="1"/>
  <c r="AR55" i="1"/>
  <c r="AZ55" i="1"/>
  <c r="AL55" i="1"/>
  <c r="AF55" i="1"/>
  <c r="AN55" i="1"/>
  <c r="Z55" i="1"/>
  <c r="T55" i="1"/>
  <c r="AB55" i="1"/>
  <c r="N55" i="1"/>
  <c r="BC55" i="1"/>
  <c r="H55" i="1"/>
  <c r="P55" i="1"/>
  <c r="AX54" i="1"/>
  <c r="AR54" i="1"/>
  <c r="AZ54" i="1"/>
  <c r="AL54" i="1"/>
  <c r="AF54" i="1"/>
  <c r="AN54" i="1"/>
  <c r="Z54" i="1"/>
  <c r="T54" i="1"/>
  <c r="AB54" i="1"/>
  <c r="N54" i="1"/>
  <c r="BC54" i="1"/>
  <c r="H54" i="1"/>
  <c r="P54" i="1"/>
  <c r="BE52" i="1"/>
  <c r="AW52" i="1"/>
  <c r="AX53" i="1"/>
  <c r="AS52" i="1"/>
  <c r="AQ52" i="1"/>
  <c r="AR53" i="1"/>
  <c r="AZ53" i="1"/>
  <c r="AK52" i="1"/>
  <c r="AL53" i="1"/>
  <c r="AG52" i="1"/>
  <c r="AE52" i="1"/>
  <c r="AF53" i="1"/>
  <c r="AN53" i="1"/>
  <c r="Y52" i="1"/>
  <c r="Z53" i="1"/>
  <c r="U52" i="1"/>
  <c r="S52" i="1"/>
  <c r="T53" i="1"/>
  <c r="AB53" i="1"/>
  <c r="M52" i="1"/>
  <c r="N52" i="1" s="1"/>
  <c r="N53" i="1"/>
  <c r="I52" i="1"/>
  <c r="G52" i="1"/>
  <c r="BC53" i="1"/>
  <c r="H53" i="1"/>
  <c r="P53" i="1"/>
  <c r="E52" i="1"/>
  <c r="AX51" i="1"/>
  <c r="AR51" i="1"/>
  <c r="AZ51" i="1"/>
  <c r="AL51" i="1"/>
  <c r="AF51" i="1"/>
  <c r="AN51" i="1"/>
  <c r="AO51" i="1" s="1"/>
  <c r="Z51" i="1"/>
  <c r="T51" i="1"/>
  <c r="AB51" i="1"/>
  <c r="N51" i="1"/>
  <c r="BC51" i="1"/>
  <c r="BD51" i="1" s="1"/>
  <c r="H51" i="1"/>
  <c r="P51" i="1"/>
  <c r="AX50" i="1"/>
  <c r="AR50" i="1"/>
  <c r="AZ50" i="1"/>
  <c r="AL50" i="1"/>
  <c r="AF50" i="1"/>
  <c r="AN50" i="1"/>
  <c r="AO50" i="1" s="1"/>
  <c r="Z50" i="1"/>
  <c r="T50" i="1"/>
  <c r="AB50" i="1"/>
  <c r="N50" i="1"/>
  <c r="BC50" i="1"/>
  <c r="BD50" i="1" s="1"/>
  <c r="H50" i="1"/>
  <c r="P50" i="1"/>
  <c r="AX49" i="1"/>
  <c r="AR49" i="1"/>
  <c r="AZ49" i="1"/>
  <c r="AL49" i="1"/>
  <c r="AF49" i="1"/>
  <c r="AN49" i="1"/>
  <c r="AO49" i="1" s="1"/>
  <c r="Z49" i="1"/>
  <c r="T49" i="1"/>
  <c r="AB49" i="1"/>
  <c r="N49" i="1"/>
  <c r="BC49" i="1"/>
  <c r="BD49" i="1" s="1"/>
  <c r="H49" i="1"/>
  <c r="P49" i="1"/>
  <c r="AX48" i="1"/>
  <c r="AR48" i="1"/>
  <c r="AZ48" i="1"/>
  <c r="AL48" i="1"/>
  <c r="AF48" i="1"/>
  <c r="AN48" i="1"/>
  <c r="AO48" i="1" s="1"/>
  <c r="Z48" i="1"/>
  <c r="T48" i="1"/>
  <c r="AB48" i="1"/>
  <c r="N48" i="1"/>
  <c r="BC48" i="1"/>
  <c r="BD48" i="1" s="1"/>
  <c r="H48" i="1"/>
  <c r="P48" i="1"/>
  <c r="AX47" i="1"/>
  <c r="AR47" i="1"/>
  <c r="AZ47" i="1"/>
  <c r="AL47" i="1"/>
  <c r="AF47" i="1"/>
  <c r="AN47" i="1"/>
  <c r="AO47" i="1" s="1"/>
  <c r="Z47" i="1"/>
  <c r="T47" i="1"/>
  <c r="AB47" i="1"/>
  <c r="N47" i="1"/>
  <c r="BC47" i="1"/>
  <c r="BD47" i="1" s="1"/>
  <c r="H47" i="1"/>
  <c r="P47" i="1"/>
  <c r="AV42" i="1"/>
  <c r="AJ42" i="1"/>
  <c r="X42" i="1"/>
  <c r="L42" i="1"/>
  <c r="D42" i="1"/>
  <c r="AV39" i="1"/>
  <c r="AV241" i="1"/>
  <c r="AJ39" i="1"/>
  <c r="AJ241" i="1"/>
  <c r="X39" i="1"/>
  <c r="X241" i="1"/>
  <c r="L39" i="1"/>
  <c r="L241" i="1"/>
  <c r="D39" i="1"/>
  <c r="D240" i="1" s="1"/>
  <c r="D241" i="1"/>
  <c r="AV239" i="1"/>
  <c r="AJ239" i="1"/>
  <c r="X239" i="1"/>
  <c r="L239" i="1"/>
  <c r="D239" i="1"/>
  <c r="AV238" i="1"/>
  <c r="AJ238" i="1"/>
  <c r="X238" i="1"/>
  <c r="L238" i="1"/>
  <c r="D238" i="1"/>
  <c r="AV237" i="1"/>
  <c r="AJ237" i="1"/>
  <c r="X237" i="1"/>
  <c r="L237" i="1"/>
  <c r="D237" i="1"/>
  <c r="AV236" i="1"/>
  <c r="AJ236" i="1"/>
  <c r="X236" i="1"/>
  <c r="L236" i="1"/>
  <c r="D236" i="1"/>
  <c r="AV235" i="1"/>
  <c r="AJ235" i="1"/>
  <c r="X235" i="1"/>
  <c r="L235" i="1"/>
  <c r="D235" i="1"/>
  <c r="AV234" i="1"/>
  <c r="AJ234" i="1"/>
  <c r="X234" i="1"/>
  <c r="L234" i="1"/>
  <c r="D234" i="1"/>
  <c r="AV233" i="1"/>
  <c r="AG233" i="1"/>
  <c r="Z32" i="1"/>
  <c r="Y233" i="1"/>
  <c r="I233" i="1"/>
  <c r="AS232" i="1"/>
  <c r="AL31" i="1"/>
  <c r="AK232" i="1"/>
  <c r="U232" i="1"/>
  <c r="N31" i="1"/>
  <c r="M232" i="1"/>
  <c r="E232" i="1"/>
  <c r="BE231" i="1"/>
  <c r="AX30" i="1"/>
  <c r="AW231" i="1"/>
  <c r="AG231" i="1"/>
  <c r="Z30" i="1"/>
  <c r="Y231" i="1"/>
  <c r="I231" i="1"/>
  <c r="AS230" i="1"/>
  <c r="AL29" i="1"/>
  <c r="AK230" i="1"/>
  <c r="U230" i="1"/>
  <c r="N29" i="1"/>
  <c r="M230" i="1"/>
  <c r="E230" i="1"/>
  <c r="BE229" i="1"/>
  <c r="AX28" i="1"/>
  <c r="AW229" i="1"/>
  <c r="AG229" i="1"/>
  <c r="Z28" i="1"/>
  <c r="Y229" i="1"/>
  <c r="I229" i="1"/>
  <c r="AS228" i="1"/>
  <c r="AL27" i="1"/>
  <c r="AK228" i="1"/>
  <c r="U228" i="1"/>
  <c r="N27" i="1"/>
  <c r="M228" i="1"/>
  <c r="E228" i="1"/>
  <c r="BE227" i="1"/>
  <c r="AX26" i="1"/>
  <c r="AW227" i="1"/>
  <c r="AG227" i="1"/>
  <c r="Z26" i="1"/>
  <c r="Y227" i="1"/>
  <c r="I227" i="1"/>
  <c r="AS226" i="1"/>
  <c r="AL25" i="1"/>
  <c r="AK226" i="1"/>
  <c r="U226" i="1"/>
  <c r="N25" i="1"/>
  <c r="M226" i="1"/>
  <c r="E226" i="1"/>
  <c r="BE225" i="1"/>
  <c r="AX24" i="1"/>
  <c r="AW225" i="1"/>
  <c r="AG225" i="1"/>
  <c r="Z24" i="1"/>
  <c r="Y225" i="1"/>
  <c r="I225" i="1"/>
  <c r="AS224" i="1"/>
  <c r="AL23" i="1"/>
  <c r="AK224" i="1"/>
  <c r="U224" i="1"/>
  <c r="N23" i="1"/>
  <c r="M224" i="1"/>
  <c r="E224" i="1"/>
  <c r="BE223" i="1"/>
  <c r="AX22" i="1"/>
  <c r="AW223" i="1"/>
  <c r="AG223" i="1"/>
  <c r="Z22" i="1"/>
  <c r="Y223" i="1"/>
  <c r="AX46" i="1"/>
  <c r="AR46" i="1"/>
  <c r="AZ46" i="1"/>
  <c r="AL46" i="1"/>
  <c r="AF46" i="1"/>
  <c r="AN46" i="1"/>
  <c r="Z46" i="1"/>
  <c r="T46" i="1"/>
  <c r="AB46" i="1"/>
  <c r="N46" i="1"/>
  <c r="BC46" i="1"/>
  <c r="H46" i="1"/>
  <c r="P46" i="1"/>
  <c r="AX45" i="1"/>
  <c r="AR45" i="1"/>
  <c r="AZ45" i="1"/>
  <c r="AL45" i="1"/>
  <c r="AF45" i="1"/>
  <c r="AN45" i="1"/>
  <c r="Z45" i="1"/>
  <c r="T45" i="1"/>
  <c r="AB45" i="1"/>
  <c r="N45" i="1"/>
  <c r="BC45" i="1"/>
  <c r="H45" i="1"/>
  <c r="P45" i="1"/>
  <c r="AX44" i="1"/>
  <c r="AR44" i="1"/>
  <c r="AZ44" i="1"/>
  <c r="AL44" i="1"/>
  <c r="AF44" i="1"/>
  <c r="AN44" i="1"/>
  <c r="Z44" i="1"/>
  <c r="T44" i="1"/>
  <c r="AB44" i="1"/>
  <c r="N44" i="1"/>
  <c r="BC44" i="1"/>
  <c r="H44" i="1"/>
  <c r="P44" i="1"/>
  <c r="BE42" i="1"/>
  <c r="AW42" i="1"/>
  <c r="AX43" i="1"/>
  <c r="AS42" i="1"/>
  <c r="AQ42" i="1"/>
  <c r="AR43" i="1"/>
  <c r="AZ43" i="1"/>
  <c r="AK42" i="1"/>
  <c r="AL43" i="1"/>
  <c r="AG42" i="1"/>
  <c r="AE42" i="1"/>
  <c r="AF43" i="1"/>
  <c r="AN43" i="1"/>
  <c r="Y42" i="1"/>
  <c r="Z43" i="1"/>
  <c r="U42" i="1"/>
  <c r="S42" i="1"/>
  <c r="T43" i="1"/>
  <c r="AB43" i="1"/>
  <c r="M42" i="1"/>
  <c r="N43" i="1"/>
  <c r="I42" i="1"/>
  <c r="G42" i="1"/>
  <c r="BC43" i="1"/>
  <c r="H43" i="1"/>
  <c r="P43" i="1"/>
  <c r="E42" i="1"/>
  <c r="BE39" i="1"/>
  <c r="BE240" i="1" s="1"/>
  <c r="BE241" i="1"/>
  <c r="AW39" i="1"/>
  <c r="AX40" i="1"/>
  <c r="AW241" i="1"/>
  <c r="AS39" i="1"/>
  <c r="AS240" i="1" s="1"/>
  <c r="AS241" i="1"/>
  <c r="AQ39" i="1"/>
  <c r="AR40" i="1"/>
  <c r="AZ40" i="1"/>
  <c r="AQ241" i="1"/>
  <c r="AK39" i="1"/>
  <c r="AL40" i="1"/>
  <c r="AK241" i="1"/>
  <c r="AL241" i="1" s="1"/>
  <c r="AG39" i="1"/>
  <c r="AG240" i="1" s="1"/>
  <c r="AG241" i="1"/>
  <c r="AE39" i="1"/>
  <c r="AF40" i="1"/>
  <c r="AN40" i="1"/>
  <c r="AE241" i="1"/>
  <c r="Y39" i="1"/>
  <c r="Z40" i="1"/>
  <c r="Y241" i="1"/>
  <c r="U39" i="1"/>
  <c r="U240" i="1" s="1"/>
  <c r="U241" i="1"/>
  <c r="S39" i="1"/>
  <c r="T40" i="1"/>
  <c r="AB40" i="1"/>
  <c r="S241" i="1"/>
  <c r="T241" i="1" s="1"/>
  <c r="M39" i="1"/>
  <c r="N40" i="1"/>
  <c r="M241" i="1"/>
  <c r="N241" i="1" s="1"/>
  <c r="I39" i="1"/>
  <c r="I240" i="1" s="1"/>
  <c r="I241" i="1"/>
  <c r="G39" i="1"/>
  <c r="BC40" i="1"/>
  <c r="H40" i="1"/>
  <c r="P40" i="1"/>
  <c r="G241" i="1"/>
  <c r="E39" i="1"/>
  <c r="E240" i="1" s="1"/>
  <c r="E241" i="1"/>
  <c r="BE239" i="1"/>
  <c r="AX38" i="1"/>
  <c r="AW239" i="1"/>
  <c r="AS239" i="1"/>
  <c r="AR38" i="1"/>
  <c r="AZ38" i="1"/>
  <c r="AQ239" i="1"/>
  <c r="AR239" i="1" s="1"/>
  <c r="AL38" i="1"/>
  <c r="AK239" i="1"/>
  <c r="AG239" i="1"/>
  <c r="AF38" i="1"/>
  <c r="AN38" i="1"/>
  <c r="AE239" i="1"/>
  <c r="AF239" i="1" s="1"/>
  <c r="Z38" i="1"/>
  <c r="Y239" i="1"/>
  <c r="U239" i="1"/>
  <c r="T38" i="1"/>
  <c r="AB38" i="1"/>
  <c r="S239" i="1"/>
  <c r="T239" i="1" s="1"/>
  <c r="N38" i="1"/>
  <c r="M239" i="1"/>
  <c r="I239" i="1"/>
  <c r="BC38" i="1"/>
  <c r="H38" i="1"/>
  <c r="P38" i="1"/>
  <c r="G239" i="1"/>
  <c r="E239" i="1"/>
  <c r="BE238" i="1"/>
  <c r="AX37" i="1"/>
  <c r="AW238" i="1"/>
  <c r="AS238" i="1"/>
  <c r="AR37" i="1"/>
  <c r="AZ37" i="1"/>
  <c r="AQ238" i="1"/>
  <c r="AR238" i="1" s="1"/>
  <c r="AL37" i="1"/>
  <c r="AK238" i="1"/>
  <c r="AL238" i="1" s="1"/>
  <c r="AG238" i="1"/>
  <c r="AF37" i="1"/>
  <c r="AN37" i="1"/>
  <c r="AE238" i="1"/>
  <c r="Z37" i="1"/>
  <c r="Y238" i="1"/>
  <c r="U238" i="1"/>
  <c r="T37" i="1"/>
  <c r="AB37" i="1"/>
  <c r="S238" i="1"/>
  <c r="T238" i="1" s="1"/>
  <c r="N37" i="1"/>
  <c r="M238" i="1"/>
  <c r="N238" i="1" s="1"/>
  <c r="I238" i="1"/>
  <c r="BC37" i="1"/>
  <c r="H37" i="1"/>
  <c r="P37" i="1"/>
  <c r="G238" i="1"/>
  <c r="E238" i="1"/>
  <c r="BE237" i="1"/>
  <c r="AX36" i="1"/>
  <c r="AW237" i="1"/>
  <c r="AS237" i="1"/>
  <c r="AR36" i="1"/>
  <c r="AZ36" i="1"/>
  <c r="AQ237" i="1"/>
  <c r="AL36" i="1"/>
  <c r="AK237" i="1"/>
  <c r="AG237" i="1"/>
  <c r="AF36" i="1"/>
  <c r="AN36" i="1"/>
  <c r="AE237" i="1"/>
  <c r="Z36" i="1"/>
  <c r="Y237" i="1"/>
  <c r="U237" i="1"/>
  <c r="T36" i="1"/>
  <c r="AB36" i="1"/>
  <c r="S237" i="1"/>
  <c r="N36" i="1"/>
  <c r="M237" i="1"/>
  <c r="I237" i="1"/>
  <c r="BC36" i="1"/>
  <c r="H36" i="1"/>
  <c r="P36" i="1"/>
  <c r="G237" i="1"/>
  <c r="E237" i="1"/>
  <c r="BE236" i="1"/>
  <c r="AX35" i="1"/>
  <c r="AW236" i="1"/>
  <c r="AS236" i="1"/>
  <c r="AR35" i="1"/>
  <c r="AZ35" i="1"/>
  <c r="AQ236" i="1"/>
  <c r="AL35" i="1"/>
  <c r="AK236" i="1"/>
  <c r="AL236" i="1" s="1"/>
  <c r="AG236" i="1"/>
  <c r="AF35" i="1"/>
  <c r="AN35" i="1"/>
  <c r="AE236" i="1"/>
  <c r="AF236" i="1" s="1"/>
  <c r="Z35" i="1"/>
  <c r="Y236" i="1"/>
  <c r="U236" i="1"/>
  <c r="T35" i="1"/>
  <c r="AB35" i="1"/>
  <c r="S236" i="1"/>
  <c r="N35" i="1"/>
  <c r="M236" i="1"/>
  <c r="I236" i="1"/>
  <c r="BC35" i="1"/>
  <c r="H35" i="1"/>
  <c r="P35" i="1"/>
  <c r="G236" i="1"/>
  <c r="H236" i="1" s="1"/>
  <c r="E236" i="1"/>
  <c r="BE235" i="1"/>
  <c r="AX34" i="1"/>
  <c r="AW235" i="1"/>
  <c r="AS235" i="1"/>
  <c r="AR34" i="1"/>
  <c r="AZ34" i="1"/>
  <c r="AQ235" i="1"/>
  <c r="AL34" i="1"/>
  <c r="AK235" i="1"/>
  <c r="AG235" i="1"/>
  <c r="AF34" i="1"/>
  <c r="AN34" i="1"/>
  <c r="AE235" i="1"/>
  <c r="AF235" i="1" s="1"/>
  <c r="Z34" i="1"/>
  <c r="Y235" i="1"/>
  <c r="U235" i="1"/>
  <c r="T34" i="1"/>
  <c r="AB34" i="1"/>
  <c r="S235" i="1"/>
  <c r="N34" i="1"/>
  <c r="M235" i="1"/>
  <c r="I235" i="1"/>
  <c r="BC34" i="1"/>
  <c r="H34" i="1"/>
  <c r="P34" i="1"/>
  <c r="G235" i="1"/>
  <c r="H235" i="1" s="1"/>
  <c r="E235" i="1"/>
  <c r="BE234" i="1"/>
  <c r="AX33" i="1"/>
  <c r="AW234" i="1"/>
  <c r="AS234" i="1"/>
  <c r="AR33" i="1"/>
  <c r="AZ33" i="1"/>
  <c r="AQ234" i="1"/>
  <c r="AL33" i="1"/>
  <c r="AK234" i="1"/>
  <c r="AG234" i="1"/>
  <c r="AF33" i="1"/>
  <c r="AN33" i="1"/>
  <c r="AE234" i="1"/>
  <c r="Z33" i="1"/>
  <c r="Y234" i="1"/>
  <c r="U234" i="1"/>
  <c r="T33" i="1"/>
  <c r="AB33" i="1"/>
  <c r="S234" i="1"/>
  <c r="N33" i="1"/>
  <c r="M234" i="1"/>
  <c r="N234" i="1" s="1"/>
  <c r="I234" i="1"/>
  <c r="BC33" i="1"/>
  <c r="H33" i="1"/>
  <c r="P33" i="1"/>
  <c r="G234" i="1"/>
  <c r="E234" i="1"/>
  <c r="BE233" i="1"/>
  <c r="AX32" i="1"/>
  <c r="AW233" i="1"/>
  <c r="AS233" i="1"/>
  <c r="AR32" i="1"/>
  <c r="AZ32" i="1"/>
  <c r="AQ233" i="1"/>
  <c r="AF32" i="1"/>
  <c r="AN32" i="1"/>
  <c r="AE233" i="1"/>
  <c r="T32" i="1"/>
  <c r="AB32" i="1"/>
  <c r="S233" i="1"/>
  <c r="H32" i="1"/>
  <c r="P32" i="1"/>
  <c r="BC32" i="1"/>
  <c r="G233" i="1"/>
  <c r="AR31" i="1"/>
  <c r="AZ31" i="1"/>
  <c r="AQ232" i="1"/>
  <c r="AF31" i="1"/>
  <c r="AN31" i="1"/>
  <c r="AE232" i="1"/>
  <c r="T31" i="1"/>
  <c r="AB31" i="1"/>
  <c r="S232" i="1"/>
  <c r="H31" i="1"/>
  <c r="P31" i="1"/>
  <c r="BC31" i="1"/>
  <c r="G232" i="1"/>
  <c r="AR30" i="1"/>
  <c r="AZ30" i="1"/>
  <c r="AQ231" i="1"/>
  <c r="AF30" i="1"/>
  <c r="AN30" i="1"/>
  <c r="AE231" i="1"/>
  <c r="T30" i="1"/>
  <c r="AB30" i="1"/>
  <c r="S231" i="1"/>
  <c r="H30" i="1"/>
  <c r="P30" i="1"/>
  <c r="BC30" i="1"/>
  <c r="G231" i="1"/>
  <c r="AR29" i="1"/>
  <c r="AZ29" i="1"/>
  <c r="AQ230" i="1"/>
  <c r="AF29" i="1"/>
  <c r="AN29" i="1"/>
  <c r="AE230" i="1"/>
  <c r="T29" i="1"/>
  <c r="AB29" i="1"/>
  <c r="S230" i="1"/>
  <c r="H29" i="1"/>
  <c r="P29" i="1"/>
  <c r="BC29" i="1"/>
  <c r="G230" i="1"/>
  <c r="AR28" i="1"/>
  <c r="AZ28" i="1"/>
  <c r="AQ229" i="1"/>
  <c r="AF28" i="1"/>
  <c r="AN28" i="1"/>
  <c r="AE229" i="1"/>
  <c r="T28" i="1"/>
  <c r="AB28" i="1"/>
  <c r="S229" i="1"/>
  <c r="H28" i="1"/>
  <c r="P28" i="1"/>
  <c r="BC28" i="1"/>
  <c r="G229" i="1"/>
  <c r="AR27" i="1"/>
  <c r="AZ27" i="1"/>
  <c r="AQ228" i="1"/>
  <c r="AF27" i="1"/>
  <c r="AN27" i="1"/>
  <c r="AE228" i="1"/>
  <c r="T27" i="1"/>
  <c r="AB27" i="1"/>
  <c r="S228" i="1"/>
  <c r="H27" i="1"/>
  <c r="P27" i="1"/>
  <c r="BC27" i="1"/>
  <c r="G228" i="1"/>
  <c r="AR26" i="1"/>
  <c r="AZ26" i="1"/>
  <c r="AQ227" i="1"/>
  <c r="AF26" i="1"/>
  <c r="AN26" i="1"/>
  <c r="AE227" i="1"/>
  <c r="T26" i="1"/>
  <c r="AB26" i="1"/>
  <c r="S227" i="1"/>
  <c r="H26" i="1"/>
  <c r="P26" i="1"/>
  <c r="BC26" i="1"/>
  <c r="G227" i="1"/>
  <c r="AR25" i="1"/>
  <c r="AZ25" i="1"/>
  <c r="AQ226" i="1"/>
  <c r="AF25" i="1"/>
  <c r="AN25" i="1"/>
  <c r="AE226" i="1"/>
  <c r="T25" i="1"/>
  <c r="AB25" i="1"/>
  <c r="S226" i="1"/>
  <c r="H25" i="1"/>
  <c r="P25" i="1"/>
  <c r="BC25" i="1"/>
  <c r="G226" i="1"/>
  <c r="AR24" i="1"/>
  <c r="AZ24" i="1"/>
  <c r="AQ225" i="1"/>
  <c r="AF24" i="1"/>
  <c r="AN24" i="1"/>
  <c r="AE225" i="1"/>
  <c r="T24" i="1"/>
  <c r="AB24" i="1"/>
  <c r="S225" i="1"/>
  <c r="H24" i="1"/>
  <c r="P24" i="1"/>
  <c r="BC24" i="1"/>
  <c r="G225" i="1"/>
  <c r="AR23" i="1"/>
  <c r="AZ23" i="1"/>
  <c r="AQ224" i="1"/>
  <c r="AF23" i="1"/>
  <c r="AN23" i="1"/>
  <c r="AE224" i="1"/>
  <c r="T23" i="1"/>
  <c r="AB23" i="1"/>
  <c r="S224" i="1"/>
  <c r="H23" i="1"/>
  <c r="P23" i="1"/>
  <c r="BC23" i="1"/>
  <c r="G224" i="1"/>
  <c r="AR22" i="1"/>
  <c r="AZ22" i="1"/>
  <c r="AQ223" i="1"/>
  <c r="AF22" i="1"/>
  <c r="AN22" i="1"/>
  <c r="AE223" i="1"/>
  <c r="T22" i="1"/>
  <c r="AB22" i="1"/>
  <c r="S223" i="1"/>
  <c r="AJ233" i="1"/>
  <c r="AI32" i="1"/>
  <c r="AH233" i="1"/>
  <c r="AM32" i="1"/>
  <c r="AD233" i="1"/>
  <c r="X233" i="1"/>
  <c r="W32" i="1"/>
  <c r="V233" i="1"/>
  <c r="AA32" i="1"/>
  <c r="R233" i="1"/>
  <c r="L233" i="1"/>
  <c r="K32" i="1"/>
  <c r="J233" i="1"/>
  <c r="O32" i="1"/>
  <c r="O233" i="1" s="1"/>
  <c r="BB32" i="1"/>
  <c r="BG32" i="1" s="1"/>
  <c r="F233" i="1"/>
  <c r="D233" i="1"/>
  <c r="AV232" i="1"/>
  <c r="AU31" i="1"/>
  <c r="AT232" i="1"/>
  <c r="AY31" i="1"/>
  <c r="AP232" i="1"/>
  <c r="AJ232" i="1"/>
  <c r="AI31" i="1"/>
  <c r="AH232" i="1"/>
  <c r="AM31" i="1"/>
  <c r="AD232" i="1"/>
  <c r="X232" i="1"/>
  <c r="W31" i="1"/>
  <c r="V232" i="1"/>
  <c r="AA31" i="1"/>
  <c r="R232" i="1"/>
  <c r="L232" i="1"/>
  <c r="K31" i="1"/>
  <c r="J232" i="1"/>
  <c r="K232" i="1" s="1"/>
  <c r="BB31" i="1"/>
  <c r="BG31" i="1" s="1"/>
  <c r="BG232" i="1" s="1"/>
  <c r="O31" i="1"/>
  <c r="F232" i="1"/>
  <c r="D232" i="1"/>
  <c r="AV231" i="1"/>
  <c r="AU30" i="1"/>
  <c r="AT231" i="1"/>
  <c r="AY30" i="1"/>
  <c r="AP231" i="1"/>
  <c r="AJ231" i="1"/>
  <c r="AI30" i="1"/>
  <c r="AH231" i="1"/>
  <c r="AM30" i="1"/>
  <c r="AD231" i="1"/>
  <c r="X231" i="1"/>
  <c r="W30" i="1"/>
  <c r="V231" i="1"/>
  <c r="AA30" i="1"/>
  <c r="R231" i="1"/>
  <c r="L231" i="1"/>
  <c r="K30" i="1"/>
  <c r="J231" i="1"/>
  <c r="K231" i="1" s="1"/>
  <c r="BB30" i="1"/>
  <c r="BG30" i="1" s="1"/>
  <c r="BG231" i="1" s="1"/>
  <c r="O30" i="1"/>
  <c r="F231" i="1"/>
  <c r="D231" i="1"/>
  <c r="AV230" i="1"/>
  <c r="AU29" i="1"/>
  <c r="AT230" i="1"/>
  <c r="AU230" i="1" s="1"/>
  <c r="AY29" i="1"/>
  <c r="AP230" i="1"/>
  <c r="AJ230" i="1"/>
  <c r="AI29" i="1"/>
  <c r="AH230" i="1"/>
  <c r="AI230" i="1" s="1"/>
  <c r="AM29" i="1"/>
  <c r="AD230" i="1"/>
  <c r="X230" i="1"/>
  <c r="W29" i="1"/>
  <c r="V230" i="1"/>
  <c r="AA29" i="1"/>
  <c r="R230" i="1"/>
  <c r="L230" i="1"/>
  <c r="K29" i="1"/>
  <c r="J230" i="1"/>
  <c r="BB29" i="1"/>
  <c r="BG29" i="1" s="1"/>
  <c r="BG230" i="1" s="1"/>
  <c r="O29" i="1"/>
  <c r="F230" i="1"/>
  <c r="D230" i="1"/>
  <c r="AV229" i="1"/>
  <c r="AU28" i="1"/>
  <c r="AT229" i="1"/>
  <c r="AY28" i="1"/>
  <c r="AP229" i="1"/>
  <c r="AJ229" i="1"/>
  <c r="AI28" i="1"/>
  <c r="AH229" i="1"/>
  <c r="AM28" i="1"/>
  <c r="AD229" i="1"/>
  <c r="X229" i="1"/>
  <c r="W28" i="1"/>
  <c r="V229" i="1"/>
  <c r="W229" i="1" s="1"/>
  <c r="AA28" i="1"/>
  <c r="R229" i="1"/>
  <c r="L229" i="1"/>
  <c r="K28" i="1"/>
  <c r="J229" i="1"/>
  <c r="BB28" i="1"/>
  <c r="BG28" i="1" s="1"/>
  <c r="O28" i="1"/>
  <c r="F229" i="1"/>
  <c r="D229" i="1"/>
  <c r="AV228" i="1"/>
  <c r="AU27" i="1"/>
  <c r="AT228" i="1"/>
  <c r="AY27" i="1"/>
  <c r="AP228" i="1"/>
  <c r="AJ228" i="1"/>
  <c r="AI27" i="1"/>
  <c r="AH228" i="1"/>
  <c r="AM27" i="1"/>
  <c r="AD228" i="1"/>
  <c r="X228" i="1"/>
  <c r="W27" i="1"/>
  <c r="V228" i="1"/>
  <c r="AA27" i="1"/>
  <c r="R228" i="1"/>
  <c r="L228" i="1"/>
  <c r="K27" i="1"/>
  <c r="J228" i="1"/>
  <c r="BB27" i="1"/>
  <c r="BG27" i="1" s="1"/>
  <c r="BG228" i="1" s="1"/>
  <c r="O27" i="1"/>
  <c r="F228" i="1"/>
  <c r="D228" i="1"/>
  <c r="AV227" i="1"/>
  <c r="AU26" i="1"/>
  <c r="AT227" i="1"/>
  <c r="AY26" i="1"/>
  <c r="AP227" i="1"/>
  <c r="AJ227" i="1"/>
  <c r="AI26" i="1"/>
  <c r="AH227" i="1"/>
  <c r="AM26" i="1"/>
  <c r="AD227" i="1"/>
  <c r="X227" i="1"/>
  <c r="W26" i="1"/>
  <c r="V227" i="1"/>
  <c r="AA26" i="1"/>
  <c r="R227" i="1"/>
  <c r="L227" i="1"/>
  <c r="K26" i="1"/>
  <c r="J227" i="1"/>
  <c r="K227" i="1" s="1"/>
  <c r="BB26" i="1"/>
  <c r="BG26" i="1" s="1"/>
  <c r="BG227" i="1" s="1"/>
  <c r="O26" i="1"/>
  <c r="F227" i="1"/>
  <c r="D227" i="1"/>
  <c r="AV226" i="1"/>
  <c r="AU25" i="1"/>
  <c r="AT226" i="1"/>
  <c r="AU226" i="1" s="1"/>
  <c r="AY25" i="1"/>
  <c r="AP226" i="1"/>
  <c r="AJ226" i="1"/>
  <c r="AI25" i="1"/>
  <c r="AH226" i="1"/>
  <c r="AM25" i="1"/>
  <c r="AD226" i="1"/>
  <c r="X226" i="1"/>
  <c r="W25" i="1"/>
  <c r="V226" i="1"/>
  <c r="AA25" i="1"/>
  <c r="R226" i="1"/>
  <c r="L226" i="1"/>
  <c r="K25" i="1"/>
  <c r="J226" i="1"/>
  <c r="BB25" i="1"/>
  <c r="BG25" i="1" s="1"/>
  <c r="O25" i="1"/>
  <c r="F226" i="1"/>
  <c r="D226" i="1"/>
  <c r="AV225" i="1"/>
  <c r="AU24" i="1"/>
  <c r="AT225" i="1"/>
  <c r="AY24" i="1"/>
  <c r="AP225" i="1"/>
  <c r="AJ225" i="1"/>
  <c r="AI24" i="1"/>
  <c r="AH225" i="1"/>
  <c r="AM24" i="1"/>
  <c r="AD225" i="1"/>
  <c r="X225" i="1"/>
  <c r="W24" i="1"/>
  <c r="V225" i="1"/>
  <c r="AA24" i="1"/>
  <c r="R225" i="1"/>
  <c r="L225" i="1"/>
  <c r="K24" i="1"/>
  <c r="J225" i="1"/>
  <c r="BB24" i="1"/>
  <c r="BG24" i="1" s="1"/>
  <c r="O24" i="1"/>
  <c r="F225" i="1"/>
  <c r="D225" i="1"/>
  <c r="AV224" i="1"/>
  <c r="AU23" i="1"/>
  <c r="AT224" i="1"/>
  <c r="AY23" i="1"/>
  <c r="AP224" i="1"/>
  <c r="AJ224" i="1"/>
  <c r="AI23" i="1"/>
  <c r="AH224" i="1"/>
  <c r="AM23" i="1"/>
  <c r="AD224" i="1"/>
  <c r="X224" i="1"/>
  <c r="W23" i="1"/>
  <c r="V224" i="1"/>
  <c r="AA23" i="1"/>
  <c r="R224" i="1"/>
  <c r="L224" i="1"/>
  <c r="K23" i="1"/>
  <c r="J224" i="1"/>
  <c r="K224" i="1" s="1"/>
  <c r="BB23" i="1"/>
  <c r="BG23" i="1" s="1"/>
  <c r="BG224" i="1" s="1"/>
  <c r="O23" i="1"/>
  <c r="F224" i="1"/>
  <c r="D224" i="1"/>
  <c r="AV223" i="1"/>
  <c r="AU22" i="1"/>
  <c r="AT223" i="1"/>
  <c r="AY22" i="1"/>
  <c r="AP223" i="1"/>
  <c r="AJ223" i="1"/>
  <c r="AI22" i="1"/>
  <c r="AH223" i="1"/>
  <c r="AM22" i="1"/>
  <c r="AD223" i="1"/>
  <c r="X223" i="1"/>
  <c r="W22" i="1"/>
  <c r="V223" i="1"/>
  <c r="AA22" i="1"/>
  <c r="R223" i="1"/>
  <c r="I223" i="1"/>
  <c r="H22" i="1"/>
  <c r="P22" i="1"/>
  <c r="BC22" i="1"/>
  <c r="G223" i="1"/>
  <c r="E223" i="1"/>
  <c r="BE20" i="1"/>
  <c r="BE221" i="1" s="1"/>
  <c r="BE222" i="1"/>
  <c r="AX21" i="1"/>
  <c r="AW20" i="1"/>
  <c r="AW222" i="1"/>
  <c r="AS20" i="1"/>
  <c r="AS221" i="1" s="1"/>
  <c r="AS222" i="1"/>
  <c r="AR21" i="1"/>
  <c r="AZ21" i="1"/>
  <c r="AQ20" i="1"/>
  <c r="AQ222" i="1"/>
  <c r="AL21" i="1"/>
  <c r="AK20" i="1"/>
  <c r="AK222" i="1"/>
  <c r="AG20" i="1"/>
  <c r="AG221" i="1" s="1"/>
  <c r="AG222" i="1"/>
  <c r="AF21" i="1"/>
  <c r="AN21" i="1"/>
  <c r="AE20" i="1"/>
  <c r="AE222" i="1"/>
  <c r="Z21" i="1"/>
  <c r="Y20" i="1"/>
  <c r="Y222" i="1"/>
  <c r="U20" i="1"/>
  <c r="U221" i="1" s="1"/>
  <c r="U222" i="1"/>
  <c r="T21" i="1"/>
  <c r="AB21" i="1"/>
  <c r="S20" i="1"/>
  <c r="S222" i="1"/>
  <c r="N21" i="1"/>
  <c r="M20" i="1"/>
  <c r="M222" i="1"/>
  <c r="I20" i="1"/>
  <c r="I221" i="1" s="1"/>
  <c r="I222" i="1"/>
  <c r="H21" i="1"/>
  <c r="P21" i="1"/>
  <c r="G20" i="1"/>
  <c r="BC21" i="1"/>
  <c r="G222" i="1"/>
  <c r="E20" i="1"/>
  <c r="E221" i="1" s="1"/>
  <c r="E222" i="1"/>
  <c r="BE220" i="1"/>
  <c r="AX19" i="1"/>
  <c r="AW220" i="1"/>
  <c r="AS220" i="1"/>
  <c r="AR19" i="1"/>
  <c r="AZ19" i="1"/>
  <c r="AQ220" i="1"/>
  <c r="AL19" i="1"/>
  <c r="AK220" i="1"/>
  <c r="AG220" i="1"/>
  <c r="AF19" i="1"/>
  <c r="AN19" i="1"/>
  <c r="AE220" i="1"/>
  <c r="Z19" i="1"/>
  <c r="Y220" i="1"/>
  <c r="U220" i="1"/>
  <c r="T19" i="1"/>
  <c r="AB19" i="1"/>
  <c r="S220" i="1"/>
  <c r="N19" i="1"/>
  <c r="M220" i="1"/>
  <c r="I220" i="1"/>
  <c r="H19" i="1"/>
  <c r="P19" i="1"/>
  <c r="BC19" i="1"/>
  <c r="G220" i="1"/>
  <c r="E220" i="1"/>
  <c r="BE219" i="1"/>
  <c r="AX18" i="1"/>
  <c r="AW219" i="1"/>
  <c r="AS219" i="1"/>
  <c r="AR18" i="1"/>
  <c r="AZ18" i="1"/>
  <c r="AQ219" i="1"/>
  <c r="AL18" i="1"/>
  <c r="AK219" i="1"/>
  <c r="AG219" i="1"/>
  <c r="AF18" i="1"/>
  <c r="AN18" i="1"/>
  <c r="AE219" i="1"/>
  <c r="Z18" i="1"/>
  <c r="Y219" i="1"/>
  <c r="U219" i="1"/>
  <c r="T18" i="1"/>
  <c r="AB18" i="1"/>
  <c r="S219" i="1"/>
  <c r="N18" i="1"/>
  <c r="M219" i="1"/>
  <c r="I219" i="1"/>
  <c r="H18" i="1"/>
  <c r="P18" i="1"/>
  <c r="BC18" i="1"/>
  <c r="G219" i="1"/>
  <c r="E219" i="1"/>
  <c r="BE218" i="1"/>
  <c r="AX17" i="1"/>
  <c r="AW218" i="1"/>
  <c r="AS218" i="1"/>
  <c r="AR17" i="1"/>
  <c r="AZ17" i="1"/>
  <c r="AQ218" i="1"/>
  <c r="AL17" i="1"/>
  <c r="AK218" i="1"/>
  <c r="AG218" i="1"/>
  <c r="AF17" i="1"/>
  <c r="AN17" i="1"/>
  <c r="AE218" i="1"/>
  <c r="Z17" i="1"/>
  <c r="Y218" i="1"/>
  <c r="U218" i="1"/>
  <c r="T17" i="1"/>
  <c r="AB17" i="1"/>
  <c r="S218" i="1"/>
  <c r="L223" i="1"/>
  <c r="K22" i="1"/>
  <c r="J223" i="1"/>
  <c r="BB22" i="1"/>
  <c r="BG22" i="1" s="1"/>
  <c r="BG223" i="1" s="1"/>
  <c r="O22" i="1"/>
  <c r="F223" i="1"/>
  <c r="D223" i="1"/>
  <c r="AV20" i="1"/>
  <c r="AV222" i="1"/>
  <c r="AT20" i="1"/>
  <c r="AU21" i="1"/>
  <c r="AT222" i="1"/>
  <c r="AP20" i="1"/>
  <c r="AY21" i="1"/>
  <c r="AP222" i="1"/>
  <c r="AJ20" i="1"/>
  <c r="AJ222" i="1"/>
  <c r="AH20" i="1"/>
  <c r="AI21" i="1"/>
  <c r="AH222" i="1"/>
  <c r="AD20" i="1"/>
  <c r="AM21" i="1"/>
  <c r="AD222" i="1"/>
  <c r="X20" i="1"/>
  <c r="X222" i="1"/>
  <c r="V20" i="1"/>
  <c r="W21" i="1"/>
  <c r="V222" i="1"/>
  <c r="R20" i="1"/>
  <c r="AA21" i="1"/>
  <c r="R222" i="1"/>
  <c r="L20" i="1"/>
  <c r="L222" i="1"/>
  <c r="J20" i="1"/>
  <c r="K21" i="1"/>
  <c r="J222" i="1"/>
  <c r="K222" i="1" s="1"/>
  <c r="F20" i="1"/>
  <c r="BB21" i="1"/>
  <c r="BG21" i="1" s="1"/>
  <c r="BG222" i="1" s="1"/>
  <c r="O21" i="1"/>
  <c r="F222" i="1"/>
  <c r="D20" i="1"/>
  <c r="D222" i="1"/>
  <c r="AV220" i="1"/>
  <c r="AU19" i="1"/>
  <c r="AT220" i="1"/>
  <c r="AU220" i="1" s="1"/>
  <c r="AY19" i="1"/>
  <c r="AP220" i="1"/>
  <c r="AJ220" i="1"/>
  <c r="AI19" i="1"/>
  <c r="AH220" i="1"/>
  <c r="AM19" i="1"/>
  <c r="AD220" i="1"/>
  <c r="X220" i="1"/>
  <c r="W19" i="1"/>
  <c r="V220" i="1"/>
  <c r="AA19" i="1"/>
  <c r="R220" i="1"/>
  <c r="L220" i="1"/>
  <c r="K19" i="1"/>
  <c r="J220" i="1"/>
  <c r="BB19" i="1"/>
  <c r="BG19" i="1" s="1"/>
  <c r="O19" i="1"/>
  <c r="F220" i="1"/>
  <c r="D220" i="1"/>
  <c r="AV219" i="1"/>
  <c r="AU18" i="1"/>
  <c r="AT219" i="1"/>
  <c r="AY18" i="1"/>
  <c r="AP219" i="1"/>
  <c r="AJ219" i="1"/>
  <c r="AI18" i="1"/>
  <c r="AH219" i="1"/>
  <c r="AI219" i="1" s="1"/>
  <c r="AM18" i="1"/>
  <c r="AD219" i="1"/>
  <c r="X219" i="1"/>
  <c r="W18" i="1"/>
  <c r="V219" i="1"/>
  <c r="AA18" i="1"/>
  <c r="R219" i="1"/>
  <c r="L219" i="1"/>
  <c r="K18" i="1"/>
  <c r="J219" i="1"/>
  <c r="K219" i="1" s="1"/>
  <c r="BB18" i="1"/>
  <c r="BG18" i="1" s="1"/>
  <c r="BG219" i="1" s="1"/>
  <c r="O18" i="1"/>
  <c r="F219" i="1"/>
  <c r="D219" i="1"/>
  <c r="AV218" i="1"/>
  <c r="AU17" i="1"/>
  <c r="AT218" i="1"/>
  <c r="AU218" i="1" s="1"/>
  <c r="AY17" i="1"/>
  <c r="AP218" i="1"/>
  <c r="AJ218" i="1"/>
  <c r="AI17" i="1"/>
  <c r="AH218" i="1"/>
  <c r="AM17" i="1"/>
  <c r="AD218" i="1"/>
  <c r="X218" i="1"/>
  <c r="W17" i="1"/>
  <c r="V218" i="1"/>
  <c r="N17" i="1"/>
  <c r="M218" i="1"/>
  <c r="I218" i="1"/>
  <c r="H17" i="1"/>
  <c r="P17" i="1"/>
  <c r="BC17" i="1"/>
  <c r="G218" i="1"/>
  <c r="E218" i="1"/>
  <c r="BE217" i="1"/>
  <c r="AX16" i="1"/>
  <c r="AW217" i="1"/>
  <c r="AS217" i="1"/>
  <c r="AR16" i="1"/>
  <c r="AZ16" i="1"/>
  <c r="AQ217" i="1"/>
  <c r="AL16" i="1"/>
  <c r="AK217" i="1"/>
  <c r="AG217" i="1"/>
  <c r="AF16" i="1"/>
  <c r="AN16" i="1"/>
  <c r="AE217" i="1"/>
  <c r="Z16" i="1"/>
  <c r="Y217" i="1"/>
  <c r="U217" i="1"/>
  <c r="T16" i="1"/>
  <c r="AB16" i="1"/>
  <c r="S217" i="1"/>
  <c r="N16" i="1"/>
  <c r="M217" i="1"/>
  <c r="I217" i="1"/>
  <c r="H16" i="1"/>
  <c r="P16" i="1"/>
  <c r="BC16" i="1"/>
  <c r="G217" i="1"/>
  <c r="E217" i="1"/>
  <c r="BE216" i="1"/>
  <c r="AX15" i="1"/>
  <c r="AW216" i="1"/>
  <c r="AS216" i="1"/>
  <c r="AR15" i="1"/>
  <c r="AZ15" i="1"/>
  <c r="AQ216" i="1"/>
  <c r="AL15" i="1"/>
  <c r="AK216" i="1"/>
  <c r="AG216" i="1"/>
  <c r="AF15" i="1"/>
  <c r="AN15" i="1"/>
  <c r="AE216" i="1"/>
  <c r="Z15" i="1"/>
  <c r="Y216" i="1"/>
  <c r="U216" i="1"/>
  <c r="T15" i="1"/>
  <c r="AB15" i="1"/>
  <c r="S216" i="1"/>
  <c r="N15" i="1"/>
  <c r="M216" i="1"/>
  <c r="I216" i="1"/>
  <c r="H15" i="1"/>
  <c r="P15" i="1"/>
  <c r="BC15" i="1"/>
  <c r="G216" i="1"/>
  <c r="E216" i="1"/>
  <c r="BE215" i="1"/>
  <c r="AX14" i="1"/>
  <c r="AW215" i="1"/>
  <c r="AS215" i="1"/>
  <c r="AR14" i="1"/>
  <c r="AZ14" i="1"/>
  <c r="AQ215" i="1"/>
  <c r="AL14" i="1"/>
  <c r="AK215" i="1"/>
  <c r="AG215" i="1"/>
  <c r="AF14" i="1"/>
  <c r="AN14" i="1"/>
  <c r="AE215" i="1"/>
  <c r="Z14" i="1"/>
  <c r="Y215" i="1"/>
  <c r="U215" i="1"/>
  <c r="T14" i="1"/>
  <c r="AB14" i="1"/>
  <c r="S215" i="1"/>
  <c r="N14" i="1"/>
  <c r="M215" i="1"/>
  <c r="I215" i="1"/>
  <c r="H14" i="1"/>
  <c r="P14" i="1"/>
  <c r="BC14" i="1"/>
  <c r="G215" i="1"/>
  <c r="E215" i="1"/>
  <c r="BE214" i="1"/>
  <c r="AX13" i="1"/>
  <c r="AW214" i="1"/>
  <c r="AS214" i="1"/>
  <c r="AR13" i="1"/>
  <c r="AZ13" i="1"/>
  <c r="AQ214" i="1"/>
  <c r="AL13" i="1"/>
  <c r="AK214" i="1"/>
  <c r="AG214" i="1"/>
  <c r="AF13" i="1"/>
  <c r="AN13" i="1"/>
  <c r="AE214" i="1"/>
  <c r="Z13" i="1"/>
  <c r="Y214" i="1"/>
  <c r="U214" i="1"/>
  <c r="T13" i="1"/>
  <c r="AB13" i="1"/>
  <c r="S214" i="1"/>
  <c r="N13" i="1"/>
  <c r="M214" i="1"/>
  <c r="I214" i="1"/>
  <c r="H13" i="1"/>
  <c r="P13" i="1"/>
  <c r="BC13" i="1"/>
  <c r="G214" i="1"/>
  <c r="E214" i="1"/>
  <c r="BE213" i="1"/>
  <c r="AX12" i="1"/>
  <c r="AW213" i="1"/>
  <c r="AS213" i="1"/>
  <c r="AR12" i="1"/>
  <c r="AZ12" i="1"/>
  <c r="AQ213" i="1"/>
  <c r="AL12" i="1"/>
  <c r="AK213" i="1"/>
  <c r="AG213" i="1"/>
  <c r="AF12" i="1"/>
  <c r="AN12" i="1"/>
  <c r="AE213" i="1"/>
  <c r="Z12" i="1"/>
  <c r="Y213" i="1"/>
  <c r="U213" i="1"/>
  <c r="T12" i="1"/>
  <c r="AB12" i="1"/>
  <c r="S213" i="1"/>
  <c r="N12" i="1"/>
  <c r="M213" i="1"/>
  <c r="I213" i="1"/>
  <c r="BB12" i="1"/>
  <c r="BG12" i="1" s="1"/>
  <c r="BG213" i="1" s="1"/>
  <c r="O12" i="1"/>
  <c r="O213" i="1" s="1"/>
  <c r="F213" i="1"/>
  <c r="AA17" i="1"/>
  <c r="AA218" i="1" s="1"/>
  <c r="R218" i="1"/>
  <c r="L218" i="1"/>
  <c r="K17" i="1"/>
  <c r="J218" i="1"/>
  <c r="O17" i="1"/>
  <c r="BB17" i="1"/>
  <c r="BG17" i="1" s="1"/>
  <c r="F218" i="1"/>
  <c r="D218" i="1"/>
  <c r="AV217" i="1"/>
  <c r="AU16" i="1"/>
  <c r="AT217" i="1"/>
  <c r="AY16" i="1"/>
  <c r="AY217" i="1" s="1"/>
  <c r="AP217" i="1"/>
  <c r="AJ217" i="1"/>
  <c r="AI16" i="1"/>
  <c r="AH217" i="1"/>
  <c r="AI217" i="1" s="1"/>
  <c r="AM16" i="1"/>
  <c r="AM217" i="1" s="1"/>
  <c r="AD217" i="1"/>
  <c r="X217" i="1"/>
  <c r="W16" i="1"/>
  <c r="V217" i="1"/>
  <c r="AA16" i="1"/>
  <c r="AA217" i="1" s="1"/>
  <c r="R217" i="1"/>
  <c r="L217" i="1"/>
  <c r="K16" i="1"/>
  <c r="J217" i="1"/>
  <c r="BB16" i="1"/>
  <c r="BG16" i="1" s="1"/>
  <c r="BG217" i="1" s="1"/>
  <c r="O16" i="1"/>
  <c r="O217" i="1" s="1"/>
  <c r="F217" i="1"/>
  <c r="D217" i="1"/>
  <c r="AV216" i="1"/>
  <c r="AU15" i="1"/>
  <c r="AT216" i="1"/>
  <c r="AU216" i="1" s="1"/>
  <c r="AY15" i="1"/>
  <c r="AY216" i="1" s="1"/>
  <c r="AP216" i="1"/>
  <c r="AJ216" i="1"/>
  <c r="AI15" i="1"/>
  <c r="AH216" i="1"/>
  <c r="AM15" i="1"/>
  <c r="AM216" i="1" s="1"/>
  <c r="AD216" i="1"/>
  <c r="X216" i="1"/>
  <c r="W15" i="1"/>
  <c r="V216" i="1"/>
  <c r="AA15" i="1"/>
  <c r="AA216" i="1" s="1"/>
  <c r="R216" i="1"/>
  <c r="L216" i="1"/>
  <c r="K15" i="1"/>
  <c r="J216" i="1"/>
  <c r="BB15" i="1"/>
  <c r="BG15" i="1" s="1"/>
  <c r="BG216" i="1" s="1"/>
  <c r="O15" i="1"/>
  <c r="O216" i="1" s="1"/>
  <c r="F216" i="1"/>
  <c r="D216" i="1"/>
  <c r="AV215" i="1"/>
  <c r="AU14" i="1"/>
  <c r="AT215" i="1"/>
  <c r="AY14" i="1"/>
  <c r="AY215" i="1" s="1"/>
  <c r="AP215" i="1"/>
  <c r="AJ215" i="1"/>
  <c r="AI14" i="1"/>
  <c r="AH215" i="1"/>
  <c r="AI215" i="1" s="1"/>
  <c r="AM14" i="1"/>
  <c r="AM215" i="1" s="1"/>
  <c r="AD215" i="1"/>
  <c r="X215" i="1"/>
  <c r="W14" i="1"/>
  <c r="V215" i="1"/>
  <c r="AA14" i="1"/>
  <c r="AA215" i="1" s="1"/>
  <c r="R215" i="1"/>
  <c r="L215" i="1"/>
  <c r="K14" i="1"/>
  <c r="J215" i="1"/>
  <c r="K215" i="1" s="1"/>
  <c r="BB14" i="1"/>
  <c r="BG14" i="1" s="1"/>
  <c r="BG215" i="1" s="1"/>
  <c r="O14" i="1"/>
  <c r="O215" i="1" s="1"/>
  <c r="F215" i="1"/>
  <c r="D215" i="1"/>
  <c r="AV214" i="1"/>
  <c r="AU13" i="1"/>
  <c r="AT214" i="1"/>
  <c r="AU214" i="1" s="1"/>
  <c r="AY13" i="1"/>
  <c r="AY214" i="1" s="1"/>
  <c r="AP214" i="1"/>
  <c r="AJ214" i="1"/>
  <c r="AI13" i="1"/>
  <c r="AH214" i="1"/>
  <c r="AM13" i="1"/>
  <c r="AM214" i="1" s="1"/>
  <c r="AD214" i="1"/>
  <c r="X214" i="1"/>
  <c r="W13" i="1"/>
  <c r="V214" i="1"/>
  <c r="W214" i="1" s="1"/>
  <c r="AA13" i="1"/>
  <c r="AA214" i="1" s="1"/>
  <c r="R214" i="1"/>
  <c r="L214" i="1"/>
  <c r="K13" i="1"/>
  <c r="J214" i="1"/>
  <c r="BB13" i="1"/>
  <c r="BG13" i="1" s="1"/>
  <c r="O13" i="1"/>
  <c r="O214" i="1" s="1"/>
  <c r="F214" i="1"/>
  <c r="D214" i="1"/>
  <c r="AV213" i="1"/>
  <c r="AU12" i="1"/>
  <c r="AT213" i="1"/>
  <c r="AY12" i="1"/>
  <c r="AY213" i="1" s="1"/>
  <c r="AP213" i="1"/>
  <c r="AJ213" i="1"/>
  <c r="AI12" i="1"/>
  <c r="AH213" i="1"/>
  <c r="AI213" i="1" s="1"/>
  <c r="AM12" i="1"/>
  <c r="AM213" i="1" s="1"/>
  <c r="AD213" i="1"/>
  <c r="X213" i="1"/>
  <c r="W12" i="1"/>
  <c r="V213" i="1"/>
  <c r="AA12" i="1"/>
  <c r="AA213" i="1" s="1"/>
  <c r="R213" i="1"/>
  <c r="L213" i="1"/>
  <c r="K12" i="1"/>
  <c r="J213" i="1"/>
  <c r="H12" i="1"/>
  <c r="P12" i="1"/>
  <c r="BC12" i="1"/>
  <c r="G213" i="1"/>
  <c r="E213" i="1"/>
  <c r="BE10" i="1"/>
  <c r="BE9" i="1" s="1"/>
  <c r="BE212" i="1"/>
  <c r="AX11" i="1"/>
  <c r="AW10" i="1"/>
  <c r="AW212" i="1"/>
  <c r="AS10" i="1"/>
  <c r="AS212" i="1"/>
  <c r="AR11" i="1"/>
  <c r="AZ11" i="1"/>
  <c r="AQ10" i="1"/>
  <c r="AQ212" i="1"/>
  <c r="AL11" i="1"/>
  <c r="AK10" i="1"/>
  <c r="AK212" i="1"/>
  <c r="AG10" i="1"/>
  <c r="AG212" i="1"/>
  <c r="AF11" i="1"/>
  <c r="AN11" i="1"/>
  <c r="AE10" i="1"/>
  <c r="AE212" i="1"/>
  <c r="Z11" i="1"/>
  <c r="Y10" i="1"/>
  <c r="Y212" i="1"/>
  <c r="U10" i="1"/>
  <c r="U212" i="1"/>
  <c r="T11" i="1"/>
  <c r="AB11" i="1"/>
  <c r="S10" i="1"/>
  <c r="S212" i="1"/>
  <c r="N11" i="1"/>
  <c r="M10" i="1"/>
  <c r="M212" i="1"/>
  <c r="I10" i="1"/>
  <c r="I212" i="1"/>
  <c r="H11" i="1"/>
  <c r="P11" i="1"/>
  <c r="G10" i="1"/>
  <c r="BC11" i="1"/>
  <c r="G212" i="1"/>
  <c r="E10" i="1"/>
  <c r="E212" i="1"/>
  <c r="D213" i="1"/>
  <c r="AV10" i="1"/>
  <c r="AV212" i="1"/>
  <c r="AT10" i="1"/>
  <c r="AU11" i="1"/>
  <c r="AT212" i="1"/>
  <c r="AP10" i="1"/>
  <c r="AY11" i="1"/>
  <c r="AP212" i="1"/>
  <c r="AJ10" i="1"/>
  <c r="AJ212" i="1"/>
  <c r="AH10" i="1"/>
  <c r="AI11" i="1"/>
  <c r="AH212" i="1"/>
  <c r="AD10" i="1"/>
  <c r="AM11" i="1"/>
  <c r="AD212" i="1"/>
  <c r="X10" i="1"/>
  <c r="X212" i="1"/>
  <c r="V10" i="1"/>
  <c r="W11" i="1"/>
  <c r="V212" i="1"/>
  <c r="R10" i="1"/>
  <c r="AA11" i="1"/>
  <c r="R212" i="1"/>
  <c r="L10" i="1"/>
  <c r="L212" i="1"/>
  <c r="J10" i="1"/>
  <c r="K11" i="1"/>
  <c r="J212" i="1"/>
  <c r="F10" i="1"/>
  <c r="BB11" i="1"/>
  <c r="BG11" i="1" s="1"/>
  <c r="O11" i="1"/>
  <c r="F212" i="1"/>
  <c r="D10" i="1"/>
  <c r="D212" i="1"/>
  <c r="BB137" i="1" l="1"/>
  <c r="AA137" i="1"/>
  <c r="AY137" i="1"/>
  <c r="AN137" i="1"/>
  <c r="Z309" i="1"/>
  <c r="AR308" i="1"/>
  <c r="K246" i="1"/>
  <c r="K250" i="1"/>
  <c r="BG218" i="1"/>
  <c r="BG220" i="1"/>
  <c r="BG212" i="1"/>
  <c r="AU244" i="1"/>
  <c r="AU247" i="1"/>
  <c r="AU251" i="1"/>
  <c r="T652" i="1"/>
  <c r="N656" i="1"/>
  <c r="AL338" i="1"/>
  <c r="T653" i="1"/>
  <c r="Z653" i="1"/>
  <c r="H654" i="1"/>
  <c r="T657" i="1"/>
  <c r="Z657" i="1"/>
  <c r="N338" i="1"/>
  <c r="T655" i="1"/>
  <c r="Z655" i="1"/>
  <c r="H656" i="1"/>
  <c r="BG10" i="1"/>
  <c r="BG214" i="1"/>
  <c r="BG20" i="1"/>
  <c r="BG226" i="1"/>
  <c r="BG316" i="1"/>
  <c r="BG156" i="1"/>
  <c r="BG532" i="1"/>
  <c r="BG499" i="1" s="1"/>
  <c r="BG556" i="1"/>
  <c r="BG106" i="1"/>
  <c r="BG116" i="1"/>
  <c r="BG565" i="1" s="1"/>
  <c r="BG566" i="1"/>
  <c r="BG244" i="1"/>
  <c r="BG179" i="1"/>
  <c r="BG273" i="1"/>
  <c r="BG208" i="1"/>
  <c r="BG272" i="1" s="1"/>
  <c r="BG275" i="1"/>
  <c r="BG285" i="1"/>
  <c r="BG652" i="1"/>
  <c r="BG338" i="1"/>
  <c r="BG377" i="1"/>
  <c r="BG393" i="1"/>
  <c r="BG366" i="1"/>
  <c r="BG370" i="1"/>
  <c r="BG374" i="1"/>
  <c r="BG378" i="1"/>
  <c r="BG135" i="1"/>
  <c r="BG584" i="1" s="1"/>
  <c r="BG585" i="1"/>
  <c r="BG225" i="1"/>
  <c r="BG257" i="1"/>
  <c r="BG229" i="1"/>
  <c r="BG261" i="1"/>
  <c r="BG233" i="1"/>
  <c r="BG265" i="1"/>
  <c r="BG237" i="1"/>
  <c r="BG269" i="1"/>
  <c r="BG422" i="1"/>
  <c r="BG365" i="1"/>
  <c r="BG358" i="1"/>
  <c r="BG312" i="1"/>
  <c r="BG528" i="1"/>
  <c r="BG495" i="1" s="1"/>
  <c r="BG152" i="1"/>
  <c r="BG530" i="1"/>
  <c r="BG497" i="1" s="1"/>
  <c r="BG154" i="1"/>
  <c r="BG314" i="1"/>
  <c r="W216" i="1"/>
  <c r="AI222" i="1"/>
  <c r="AU223" i="1"/>
  <c r="AU231" i="1"/>
  <c r="T235" i="1"/>
  <c r="AR235" i="1"/>
  <c r="BG52" i="1"/>
  <c r="BG41" i="1" s="1"/>
  <c r="AI318" i="1"/>
  <c r="AU320" i="1"/>
  <c r="AU324" i="1"/>
  <c r="AU328" i="1"/>
  <c r="BG546" i="1"/>
  <c r="BG513" i="1" s="1"/>
  <c r="BG170" i="1"/>
  <c r="BG330" i="1"/>
  <c r="BG547" i="1"/>
  <c r="BG514" i="1" s="1"/>
  <c r="BG171" i="1"/>
  <c r="BG331" i="1"/>
  <c r="BG332" i="1"/>
  <c r="BG548" i="1"/>
  <c r="BG515" i="1" s="1"/>
  <c r="BG172" i="1"/>
  <c r="BG549" i="1"/>
  <c r="BG516" i="1" s="1"/>
  <c r="BG173" i="1"/>
  <c r="BG333" i="1"/>
  <c r="BG550" i="1"/>
  <c r="BG517" i="1" s="1"/>
  <c r="BG174" i="1"/>
  <c r="BG334" i="1"/>
  <c r="BG551" i="1"/>
  <c r="BG518" i="1" s="1"/>
  <c r="BG335" i="1"/>
  <c r="BG175" i="1"/>
  <c r="BG383" i="1"/>
  <c r="BG356" i="1"/>
  <c r="BG361" i="1"/>
  <c r="BG455" i="1"/>
  <c r="BG454" i="1" s="1"/>
  <c r="BG368" i="1"/>
  <c r="BG372" i="1"/>
  <c r="BG381" i="1"/>
  <c r="BG380" i="1" s="1"/>
  <c r="BG412" i="1"/>
  <c r="BG527" i="1"/>
  <c r="BG494" i="1" s="1"/>
  <c r="BG311" i="1"/>
  <c r="BG151" i="1"/>
  <c r="BG529" i="1"/>
  <c r="BG496" i="1" s="1"/>
  <c r="BG313" i="1"/>
  <c r="BG153" i="1"/>
  <c r="BG531" i="1"/>
  <c r="BG498" i="1" s="1"/>
  <c r="BG315" i="1"/>
  <c r="BG155" i="1"/>
  <c r="BG524" i="1"/>
  <c r="BG491" i="1" s="1"/>
  <c r="BG308" i="1"/>
  <c r="BG148" i="1"/>
  <c r="BG74" i="1"/>
  <c r="BG526" i="1"/>
  <c r="BG493" i="1" s="1"/>
  <c r="BG310" i="1"/>
  <c r="BG150" i="1"/>
  <c r="W212" i="1"/>
  <c r="K213" i="1"/>
  <c r="K217" i="1"/>
  <c r="K223" i="1"/>
  <c r="T234" i="1"/>
  <c r="AR234" i="1"/>
  <c r="N236" i="1"/>
  <c r="H239" i="1"/>
  <c r="AR241" i="1"/>
  <c r="AL52" i="1"/>
  <c r="Q58" i="1"/>
  <c r="BD60" i="1"/>
  <c r="Q66" i="1"/>
  <c r="BD68" i="1"/>
  <c r="N308" i="1"/>
  <c r="BG241" i="1"/>
  <c r="BG39" i="1"/>
  <c r="BG240" i="1" s="1"/>
  <c r="BG534" i="1"/>
  <c r="BG501" i="1" s="1"/>
  <c r="BG318" i="1"/>
  <c r="BG158" i="1"/>
  <c r="BG84" i="1"/>
  <c r="BG535" i="1"/>
  <c r="BG502" i="1" s="1"/>
  <c r="BG319" i="1"/>
  <c r="BG159" i="1"/>
  <c r="AI319" i="1"/>
  <c r="BG320" i="1"/>
  <c r="BG160" i="1"/>
  <c r="BG536" i="1"/>
  <c r="BG503" i="1" s="1"/>
  <c r="BG537" i="1"/>
  <c r="BG504" i="1" s="1"/>
  <c r="BG161" i="1"/>
  <c r="BG321" i="1"/>
  <c r="BG538" i="1"/>
  <c r="BG505" i="1" s="1"/>
  <c r="BG162" i="1"/>
  <c r="BG322" i="1"/>
  <c r="BG539" i="1"/>
  <c r="BG506" i="1" s="1"/>
  <c r="BG323" i="1"/>
  <c r="BG163" i="1"/>
  <c r="AI323" i="1"/>
  <c r="BG540" i="1"/>
  <c r="BG507" i="1" s="1"/>
  <c r="BG324" i="1"/>
  <c r="BG164" i="1"/>
  <c r="BG541" i="1"/>
  <c r="BG508" i="1" s="1"/>
  <c r="BG165" i="1"/>
  <c r="BG325" i="1"/>
  <c r="BG166" i="1"/>
  <c r="BG542" i="1"/>
  <c r="BG509" i="1" s="1"/>
  <c r="BG326" i="1"/>
  <c r="BG543" i="1"/>
  <c r="BG510" i="1" s="1"/>
  <c r="BG327" i="1"/>
  <c r="BG167" i="1"/>
  <c r="BG544" i="1"/>
  <c r="BG511" i="1" s="1"/>
  <c r="BG328" i="1"/>
  <c r="BG168" i="1"/>
  <c r="BG545" i="1"/>
  <c r="BG512" i="1" s="1"/>
  <c r="BG169" i="1"/>
  <c r="BG329" i="1"/>
  <c r="BG525" i="1"/>
  <c r="BG492" i="1" s="1"/>
  <c r="BG309" i="1"/>
  <c r="BG149" i="1"/>
  <c r="N330" i="1"/>
  <c r="N334" i="1"/>
  <c r="H557" i="1"/>
  <c r="T560" i="1"/>
  <c r="Z560" i="1"/>
  <c r="H561" i="1"/>
  <c r="T564" i="1"/>
  <c r="AR569" i="1"/>
  <c r="AX569" i="1"/>
  <c r="AR573" i="1"/>
  <c r="AX573" i="1"/>
  <c r="AR577" i="1"/>
  <c r="AX577" i="1"/>
  <c r="AR581" i="1"/>
  <c r="AX581" i="1"/>
  <c r="H585" i="1"/>
  <c r="N585" i="1"/>
  <c r="BG177" i="1"/>
  <c r="BG553" i="1"/>
  <c r="BG520" i="1" s="1"/>
  <c r="BG103" i="1"/>
  <c r="BG337" i="1"/>
  <c r="AI248" i="1"/>
  <c r="AI252" i="1"/>
  <c r="BG189" i="1"/>
  <c r="BG253" i="1" s="1"/>
  <c r="BG256" i="1"/>
  <c r="W257" i="1"/>
  <c r="W261" i="1"/>
  <c r="W265" i="1"/>
  <c r="W269" i="1"/>
  <c r="AL414" i="1"/>
  <c r="O285" i="1"/>
  <c r="O423" i="1"/>
  <c r="AY423" i="1"/>
  <c r="BG355" i="1"/>
  <c r="BG359" i="1"/>
  <c r="AA433" i="1"/>
  <c r="BG367" i="1"/>
  <c r="BG371" i="1"/>
  <c r="BG375" i="1"/>
  <c r="BG379" i="1"/>
  <c r="AR366" i="1"/>
  <c r="AR370" i="1"/>
  <c r="AR374" i="1"/>
  <c r="AA52" i="1"/>
  <c r="AM52" i="1"/>
  <c r="AY52" i="1"/>
  <c r="T412" i="1"/>
  <c r="AM423" i="1"/>
  <c r="AA455" i="1"/>
  <c r="AY455" i="1"/>
  <c r="AY465" i="1"/>
  <c r="AY454" i="1" s="1"/>
  <c r="O414" i="1"/>
  <c r="AA414" i="1"/>
  <c r="AM414" i="1"/>
  <c r="AI414" i="1"/>
  <c r="AU414" i="1"/>
  <c r="N412" i="1"/>
  <c r="AL412" i="1"/>
  <c r="T414" i="1"/>
  <c r="AF414" i="1"/>
  <c r="AR414" i="1"/>
  <c r="O275" i="1"/>
  <c r="AM275" i="1"/>
  <c r="AM274" i="1" s="1"/>
  <c r="AA285" i="1"/>
  <c r="AA274" i="1" s="1"/>
  <c r="AM433" i="1"/>
  <c r="AM422" i="1" s="1"/>
  <c r="AY414" i="1"/>
  <c r="AR357" i="1"/>
  <c r="AR352" i="1"/>
  <c r="AR355" i="1"/>
  <c r="AR359" i="1"/>
  <c r="AX354" i="1"/>
  <c r="AX356" i="1"/>
  <c r="AX358" i="1"/>
  <c r="AX360" i="1"/>
  <c r="AR412" i="1"/>
  <c r="BA416" i="1"/>
  <c r="BA418" i="1"/>
  <c r="BA420" i="1"/>
  <c r="AR362" i="1"/>
  <c r="AR363" i="1"/>
  <c r="AX364" i="1"/>
  <c r="AR365" i="1"/>
  <c r="AR367" i="1"/>
  <c r="AR369" i="1"/>
  <c r="AR371" i="1"/>
  <c r="AR373" i="1"/>
  <c r="AR375" i="1"/>
  <c r="AR377" i="1"/>
  <c r="AR379" i="1"/>
  <c r="BA417" i="1"/>
  <c r="BA419" i="1"/>
  <c r="BA421" i="1"/>
  <c r="AY285" i="1"/>
  <c r="AY275" i="1"/>
  <c r="BA280" i="1"/>
  <c r="AY42" i="1"/>
  <c r="AR368" i="1"/>
  <c r="AA465" i="1"/>
  <c r="Z358" i="1"/>
  <c r="AU322" i="1"/>
  <c r="AL352" i="1"/>
  <c r="Z414" i="1"/>
  <c r="AR562" i="1"/>
  <c r="W414" i="1"/>
  <c r="AR353" i="1"/>
  <c r="AF354" i="1"/>
  <c r="AU245" i="1"/>
  <c r="AI262" i="1"/>
  <c r="AF332" i="1"/>
  <c r="T575" i="1"/>
  <c r="AM42" i="1"/>
  <c r="AL144" i="1"/>
  <c r="AA42" i="1"/>
  <c r="O465" i="1"/>
  <c r="O455" i="1"/>
  <c r="AU212" i="1"/>
  <c r="N414" i="1"/>
  <c r="K414" i="1"/>
  <c r="AR567" i="1"/>
  <c r="H414" i="1"/>
  <c r="W220" i="1"/>
  <c r="AL234" i="1"/>
  <c r="W218" i="1"/>
  <c r="AI327" i="1"/>
  <c r="O52" i="1"/>
  <c r="O41" i="1" s="1"/>
  <c r="O42" i="1"/>
  <c r="W255" i="1"/>
  <c r="AI224" i="1"/>
  <c r="AI225" i="1"/>
  <c r="K226" i="1"/>
  <c r="AI229" i="1"/>
  <c r="AI232" i="1"/>
  <c r="AI233" i="1"/>
  <c r="AF234" i="1"/>
  <c r="T236" i="1"/>
  <c r="AR236" i="1"/>
  <c r="H237" i="1"/>
  <c r="AF238" i="1"/>
  <c r="H241" i="1"/>
  <c r="Q44" i="1"/>
  <c r="AC44" i="1"/>
  <c r="BA44" i="1"/>
  <c r="AO45" i="1"/>
  <c r="BD46" i="1"/>
  <c r="Q54" i="1"/>
  <c r="AC54" i="1"/>
  <c r="BA54" i="1"/>
  <c r="Q56" i="1"/>
  <c r="AC56" i="1"/>
  <c r="BA56" i="1"/>
  <c r="BD58" i="1"/>
  <c r="AC58" i="1"/>
  <c r="BA58" i="1"/>
  <c r="AO59" i="1"/>
  <c r="Q60" i="1"/>
  <c r="BD62" i="1"/>
  <c r="AC62" i="1"/>
  <c r="BA62" i="1"/>
  <c r="AO63" i="1"/>
  <c r="Q64" i="1"/>
  <c r="BD66" i="1"/>
  <c r="AC66" i="1"/>
  <c r="BA66" i="1"/>
  <c r="AO67" i="1"/>
  <c r="Q68" i="1"/>
  <c r="BD70" i="1"/>
  <c r="AC70" i="1"/>
  <c r="BA70" i="1"/>
  <c r="N71" i="1"/>
  <c r="AL71" i="1"/>
  <c r="AF309" i="1"/>
  <c r="O234" i="1"/>
  <c r="O238" i="1"/>
  <c r="K311" i="1"/>
  <c r="AI311" i="1"/>
  <c r="K313" i="1"/>
  <c r="AI313" i="1"/>
  <c r="K315" i="1"/>
  <c r="AI315" i="1"/>
  <c r="AA236" i="1"/>
  <c r="AY236" i="1"/>
  <c r="I361" i="1"/>
  <c r="AG361" i="1"/>
  <c r="Z366" i="1"/>
  <c r="AX366" i="1"/>
  <c r="Z368" i="1"/>
  <c r="AX368" i="1"/>
  <c r="Z370" i="1"/>
  <c r="AX370" i="1"/>
  <c r="Z372" i="1"/>
  <c r="AX372" i="1"/>
  <c r="Z374" i="1"/>
  <c r="AX374" i="1"/>
  <c r="Z376" i="1"/>
  <c r="AX376" i="1"/>
  <c r="Z378" i="1"/>
  <c r="AX378" i="1"/>
  <c r="H412" i="1"/>
  <c r="Z412" i="1"/>
  <c r="AF412" i="1"/>
  <c r="AX412" i="1"/>
  <c r="AO416" i="1"/>
  <c r="BD417" i="1"/>
  <c r="AO418" i="1"/>
  <c r="BD419" i="1"/>
  <c r="AO420" i="1"/>
  <c r="BD421" i="1"/>
  <c r="O218" i="1"/>
  <c r="AY218" i="1"/>
  <c r="O219" i="1"/>
  <c r="AA219" i="1"/>
  <c r="AY219" i="1"/>
  <c r="O220" i="1"/>
  <c r="AA220" i="1"/>
  <c r="AY220" i="1"/>
  <c r="L221" i="1"/>
  <c r="X221" i="1"/>
  <c r="AJ221" i="1"/>
  <c r="AV221" i="1"/>
  <c r="W223" i="1"/>
  <c r="AM223" i="1"/>
  <c r="W224" i="1"/>
  <c r="AM224" i="1"/>
  <c r="AM225" i="1"/>
  <c r="AU225" i="1"/>
  <c r="AM226" i="1"/>
  <c r="AM227" i="1"/>
  <c r="W228" i="1"/>
  <c r="AM228" i="1"/>
  <c r="AM229" i="1"/>
  <c r="AM230" i="1"/>
  <c r="W231" i="1"/>
  <c r="AM231" i="1"/>
  <c r="W232" i="1"/>
  <c r="AM232" i="1"/>
  <c r="AM233" i="1"/>
  <c r="AR233" i="1"/>
  <c r="AX233" i="1"/>
  <c r="H234" i="1"/>
  <c r="Z235" i="1"/>
  <c r="AX235" i="1"/>
  <c r="T237" i="1"/>
  <c r="Z237" i="1"/>
  <c r="AF237" i="1"/>
  <c r="AR237" i="1"/>
  <c r="AX237" i="1"/>
  <c r="H238" i="1"/>
  <c r="Z239" i="1"/>
  <c r="AX239" i="1"/>
  <c r="AF241" i="1"/>
  <c r="BD45" i="1"/>
  <c r="AC45" i="1"/>
  <c r="BA45" i="1"/>
  <c r="AO46" i="1"/>
  <c r="Q55" i="1"/>
  <c r="AC55" i="1"/>
  <c r="BA55" i="1"/>
  <c r="Q57" i="1"/>
  <c r="AC57" i="1"/>
  <c r="BA57" i="1"/>
  <c r="AO58" i="1"/>
  <c r="BD59" i="1"/>
  <c r="Q61" i="1"/>
  <c r="AC61" i="1"/>
  <c r="BA61" i="1"/>
  <c r="AO62" i="1"/>
  <c r="BD63" i="1"/>
  <c r="Q65" i="1"/>
  <c r="AC65" i="1"/>
  <c r="BA65" i="1"/>
  <c r="AO66" i="1"/>
  <c r="BD67" i="1"/>
  <c r="Q69" i="1"/>
  <c r="AC69" i="1"/>
  <c r="BA69" i="1"/>
  <c r="AO70" i="1"/>
  <c r="T71" i="1"/>
  <c r="AR71" i="1"/>
  <c r="N310" i="1"/>
  <c r="AM236" i="1"/>
  <c r="R240" i="1"/>
  <c r="AP240" i="1"/>
  <c r="F41" i="1"/>
  <c r="AU310" i="1"/>
  <c r="W311" i="1"/>
  <c r="AU311" i="1"/>
  <c r="W312" i="1"/>
  <c r="AU312" i="1"/>
  <c r="W313" i="1"/>
  <c r="AU313" i="1"/>
  <c r="W314" i="1"/>
  <c r="AU314" i="1"/>
  <c r="W315" i="1"/>
  <c r="AU315" i="1"/>
  <c r="W316" i="1"/>
  <c r="AU316" i="1"/>
  <c r="AM237" i="1"/>
  <c r="F240" i="1"/>
  <c r="AD240" i="1"/>
  <c r="W318" i="1"/>
  <c r="AU318" i="1"/>
  <c r="W319" i="1"/>
  <c r="AU319" i="1"/>
  <c r="W321" i="1"/>
  <c r="AU321" i="1"/>
  <c r="W323" i="1"/>
  <c r="AU323" i="1"/>
  <c r="W325" i="1"/>
  <c r="AU325" i="1"/>
  <c r="W327" i="1"/>
  <c r="AU327" i="1"/>
  <c r="W329" i="1"/>
  <c r="AU329" i="1"/>
  <c r="N331" i="1"/>
  <c r="AF331" i="1"/>
  <c r="AL331" i="1"/>
  <c r="N333" i="1"/>
  <c r="AF333" i="1"/>
  <c r="AL333" i="1"/>
  <c r="N335" i="1"/>
  <c r="AF335" i="1"/>
  <c r="AL335" i="1"/>
  <c r="T557" i="1"/>
  <c r="Z557" i="1"/>
  <c r="AR557" i="1"/>
  <c r="AX557" i="1"/>
  <c r="H558" i="1"/>
  <c r="T559" i="1"/>
  <c r="Z559" i="1"/>
  <c r="AR559" i="1"/>
  <c r="AX559" i="1"/>
  <c r="H560" i="1"/>
  <c r="T561" i="1"/>
  <c r="Z561" i="1"/>
  <c r="AR561" i="1"/>
  <c r="AX561" i="1"/>
  <c r="H562" i="1"/>
  <c r="T563" i="1"/>
  <c r="Z563" i="1"/>
  <c r="AR563" i="1"/>
  <c r="AX563" i="1"/>
  <c r="N564" i="1"/>
  <c r="AF564" i="1"/>
  <c r="AL564" i="1"/>
  <c r="H566" i="1"/>
  <c r="H567" i="1"/>
  <c r="T568" i="1"/>
  <c r="Z568" i="1"/>
  <c r="AR568" i="1"/>
  <c r="AX568" i="1"/>
  <c r="H569" i="1"/>
  <c r="T570" i="1"/>
  <c r="Z570" i="1"/>
  <c r="AR570" i="1"/>
  <c r="AX570" i="1"/>
  <c r="H571" i="1"/>
  <c r="T572" i="1"/>
  <c r="Z572" i="1"/>
  <c r="AR572" i="1"/>
  <c r="AX572" i="1"/>
  <c r="H573" i="1"/>
  <c r="T574" i="1"/>
  <c r="Z574" i="1"/>
  <c r="AR574" i="1"/>
  <c r="AX574" i="1"/>
  <c r="H575" i="1"/>
  <c r="T576" i="1"/>
  <c r="Z576" i="1"/>
  <c r="AR576" i="1"/>
  <c r="AX576" i="1"/>
  <c r="H577" i="1"/>
  <c r="T578" i="1"/>
  <c r="Z578" i="1"/>
  <c r="AR578" i="1"/>
  <c r="AX578" i="1"/>
  <c r="H579" i="1"/>
  <c r="T580" i="1"/>
  <c r="Z580" i="1"/>
  <c r="AR580" i="1"/>
  <c r="AX580" i="1"/>
  <c r="H581" i="1"/>
  <c r="T582" i="1"/>
  <c r="Z582" i="1"/>
  <c r="AR582" i="1"/>
  <c r="AX582" i="1"/>
  <c r="H583" i="1"/>
  <c r="T585" i="1"/>
  <c r="Z585" i="1"/>
  <c r="AR585" i="1"/>
  <c r="AO277" i="1"/>
  <c r="BD278" i="1"/>
  <c r="AO279" i="1"/>
  <c r="BD280" i="1"/>
  <c r="AO281" i="1"/>
  <c r="BD282" i="1"/>
  <c r="AO283" i="1"/>
  <c r="BD284" i="1"/>
  <c r="Z285" i="1"/>
  <c r="AX285" i="1"/>
  <c r="Q287" i="1"/>
  <c r="AC287" i="1"/>
  <c r="BA287" i="1"/>
  <c r="Q289" i="1"/>
  <c r="AC289" i="1"/>
  <c r="BA289" i="1"/>
  <c r="Q291" i="1"/>
  <c r="AC291" i="1"/>
  <c r="BA291" i="1"/>
  <c r="Q293" i="1"/>
  <c r="AC293" i="1"/>
  <c r="BA293" i="1"/>
  <c r="Q295" i="1"/>
  <c r="AC295" i="1"/>
  <c r="BA295" i="1"/>
  <c r="Q297" i="1"/>
  <c r="AC297" i="1"/>
  <c r="BA297" i="1"/>
  <c r="Q299" i="1"/>
  <c r="AC299" i="1"/>
  <c r="BA299" i="1"/>
  <c r="Q301" i="1"/>
  <c r="AC301" i="1"/>
  <c r="BA301" i="1"/>
  <c r="Q303" i="1"/>
  <c r="AC303" i="1"/>
  <c r="BA303" i="1"/>
  <c r="N304" i="1"/>
  <c r="AL304" i="1"/>
  <c r="H652" i="1"/>
  <c r="H338" i="1"/>
  <c r="Z338" i="1"/>
  <c r="AF338" i="1"/>
  <c r="AX338" i="1"/>
  <c r="H653" i="1"/>
  <c r="T654" i="1"/>
  <c r="Z654" i="1"/>
  <c r="AR654" i="1"/>
  <c r="AX654" i="1"/>
  <c r="H655" i="1"/>
  <c r="T656" i="1"/>
  <c r="Z656" i="1"/>
  <c r="AR656" i="1"/>
  <c r="AX656" i="1"/>
  <c r="H657" i="1"/>
  <c r="N356" i="1"/>
  <c r="AL356" i="1"/>
  <c r="H357" i="1"/>
  <c r="AF357" i="1"/>
  <c r="N358" i="1"/>
  <c r="AL358" i="1"/>
  <c r="H359" i="1"/>
  <c r="AF359" i="1"/>
  <c r="N360" i="1"/>
  <c r="AL360" i="1"/>
  <c r="E361" i="1"/>
  <c r="H362" i="1"/>
  <c r="U361" i="1"/>
  <c r="Z362" i="1"/>
  <c r="AF362" i="1"/>
  <c r="AS361" i="1"/>
  <c r="AX362" i="1"/>
  <c r="Z363" i="1"/>
  <c r="AX363" i="1"/>
  <c r="T364" i="1"/>
  <c r="AR364" i="1"/>
  <c r="Z365" i="1"/>
  <c r="AX365" i="1"/>
  <c r="Z367" i="1"/>
  <c r="AX367" i="1"/>
  <c r="Z369" i="1"/>
  <c r="AX369" i="1"/>
  <c r="Z371" i="1"/>
  <c r="AX371" i="1"/>
  <c r="Z373" i="1"/>
  <c r="AX373" i="1"/>
  <c r="Z375" i="1"/>
  <c r="AX375" i="1"/>
  <c r="Z377" i="1"/>
  <c r="AX377" i="1"/>
  <c r="Z379" i="1"/>
  <c r="AX379" i="1"/>
  <c r="BD416" i="1"/>
  <c r="AO417" i="1"/>
  <c r="BD418" i="1"/>
  <c r="AO419" i="1"/>
  <c r="BD420" i="1"/>
  <c r="AO421" i="1"/>
  <c r="O353" i="1"/>
  <c r="AM353" i="1"/>
  <c r="O354" i="1"/>
  <c r="AM354" i="1"/>
  <c r="O355" i="1"/>
  <c r="AM355" i="1"/>
  <c r="O356" i="1"/>
  <c r="AM356" i="1"/>
  <c r="O357" i="1"/>
  <c r="AM357" i="1"/>
  <c r="O358" i="1"/>
  <c r="AM358" i="1"/>
  <c r="O359" i="1"/>
  <c r="AM359" i="1"/>
  <c r="O360" i="1"/>
  <c r="AM360" i="1"/>
  <c r="F361" i="1"/>
  <c r="L361" i="1"/>
  <c r="R361" i="1"/>
  <c r="X361" i="1"/>
  <c r="AD361" i="1"/>
  <c r="AJ361" i="1"/>
  <c r="AP361" i="1"/>
  <c r="AV361" i="1"/>
  <c r="AA363" i="1"/>
  <c r="AY363" i="1"/>
  <c r="AA365" i="1"/>
  <c r="K433" i="1"/>
  <c r="AI433" i="1"/>
  <c r="W452" i="1"/>
  <c r="AU452" i="1"/>
  <c r="W465" i="1"/>
  <c r="AU465" i="1"/>
  <c r="U454" i="1"/>
  <c r="AS454" i="1"/>
  <c r="K212" i="1"/>
  <c r="AI212" i="1"/>
  <c r="H213" i="1"/>
  <c r="K214" i="1"/>
  <c r="AI214" i="1"/>
  <c r="K216" i="1"/>
  <c r="AI216" i="1"/>
  <c r="K218" i="1"/>
  <c r="AM218" i="1"/>
  <c r="W219" i="1"/>
  <c r="AM219" i="1"/>
  <c r="AU219" i="1"/>
  <c r="AM220" i="1"/>
  <c r="D221" i="1"/>
  <c r="F221" i="1"/>
  <c r="R221" i="1"/>
  <c r="AD221" i="1"/>
  <c r="AP221" i="1"/>
  <c r="O223" i="1"/>
  <c r="AA223" i="1"/>
  <c r="AI223" i="1"/>
  <c r="AY223" i="1"/>
  <c r="O224" i="1"/>
  <c r="AA224" i="1"/>
  <c r="AY224" i="1"/>
  <c r="O225" i="1"/>
  <c r="K225" i="1"/>
  <c r="AA225" i="1"/>
  <c r="AY225" i="1"/>
  <c r="O226" i="1"/>
  <c r="AA226" i="1"/>
  <c r="AI226" i="1"/>
  <c r="AY226" i="1"/>
  <c r="O227" i="1"/>
  <c r="AA227" i="1"/>
  <c r="AI227" i="1"/>
  <c r="AY227" i="1"/>
  <c r="O228" i="1"/>
  <c r="K228" i="1"/>
  <c r="AA228" i="1"/>
  <c r="AI228" i="1"/>
  <c r="AY228" i="1"/>
  <c r="O229" i="1"/>
  <c r="K229" i="1"/>
  <c r="AA229" i="1"/>
  <c r="AY229" i="1"/>
  <c r="O230" i="1"/>
  <c r="K230" i="1"/>
  <c r="AA230" i="1"/>
  <c r="AY230" i="1"/>
  <c r="O231" i="1"/>
  <c r="AA231" i="1"/>
  <c r="AI231" i="1"/>
  <c r="AY231" i="1"/>
  <c r="O232" i="1"/>
  <c r="AA232" i="1"/>
  <c r="AY232" i="1"/>
  <c r="K233" i="1"/>
  <c r="AA233" i="1"/>
  <c r="Z234" i="1"/>
  <c r="AX234" i="1"/>
  <c r="Z236" i="1"/>
  <c r="AX236" i="1"/>
  <c r="Z238" i="1"/>
  <c r="AX238" i="1"/>
  <c r="Z241" i="1"/>
  <c r="AX241" i="1"/>
  <c r="I41" i="1"/>
  <c r="U41" i="1"/>
  <c r="AG41" i="1"/>
  <c r="AS41" i="1"/>
  <c r="BD44" i="1"/>
  <c r="Q46" i="1"/>
  <c r="AC46" i="1"/>
  <c r="BA46" i="1"/>
  <c r="L240" i="1"/>
  <c r="X240" i="1"/>
  <c r="AJ240" i="1"/>
  <c r="AV240" i="1"/>
  <c r="L41" i="1"/>
  <c r="AJ41" i="1"/>
  <c r="Q48" i="1"/>
  <c r="AC48" i="1"/>
  <c r="BA48" i="1"/>
  <c r="Q50" i="1"/>
  <c r="AC50" i="1"/>
  <c r="BA50" i="1"/>
  <c r="H52" i="1"/>
  <c r="T52" i="1"/>
  <c r="AF52" i="1"/>
  <c r="AR52" i="1"/>
  <c r="AO54" i="1"/>
  <c r="BD55" i="1"/>
  <c r="AO56" i="1"/>
  <c r="BD57" i="1"/>
  <c r="Q59" i="1"/>
  <c r="AC59" i="1"/>
  <c r="BA59" i="1"/>
  <c r="AO60" i="1"/>
  <c r="BD61" i="1"/>
  <c r="Q63" i="1"/>
  <c r="AC63" i="1"/>
  <c r="BA63" i="1"/>
  <c r="AO64" i="1"/>
  <c r="BD65" i="1"/>
  <c r="Q67" i="1"/>
  <c r="AC67" i="1"/>
  <c r="BA67" i="1"/>
  <c r="AO68" i="1"/>
  <c r="BD69" i="1"/>
  <c r="H71" i="1"/>
  <c r="AF71" i="1"/>
  <c r="H308" i="1"/>
  <c r="Z308" i="1"/>
  <c r="AX308" i="1"/>
  <c r="H309" i="1"/>
  <c r="T310" i="1"/>
  <c r="AY233" i="1"/>
  <c r="AA235" i="1"/>
  <c r="AY235" i="1"/>
  <c r="AA237" i="1"/>
  <c r="AY237" i="1"/>
  <c r="AA239" i="1"/>
  <c r="AY239" i="1"/>
  <c r="AD41" i="1"/>
  <c r="AI310" i="1"/>
  <c r="K312" i="1"/>
  <c r="AI312" i="1"/>
  <c r="K314" i="1"/>
  <c r="AI314" i="1"/>
  <c r="K316" i="1"/>
  <c r="AI316" i="1"/>
  <c r="O235" i="1"/>
  <c r="O237" i="1"/>
  <c r="O239" i="1"/>
  <c r="AY41" i="1"/>
  <c r="K320" i="1"/>
  <c r="AI320" i="1"/>
  <c r="K322" i="1"/>
  <c r="AI322" i="1"/>
  <c r="K324" i="1"/>
  <c r="AI324" i="1"/>
  <c r="K326" i="1"/>
  <c r="AI326" i="1"/>
  <c r="K328" i="1"/>
  <c r="AI328" i="1"/>
  <c r="AI329" i="1"/>
  <c r="T330" i="1"/>
  <c r="Z330" i="1"/>
  <c r="AR330" i="1"/>
  <c r="AX330" i="1"/>
  <c r="H331" i="1"/>
  <c r="T332" i="1"/>
  <c r="Z332" i="1"/>
  <c r="AR332" i="1"/>
  <c r="AX332" i="1"/>
  <c r="H333" i="1"/>
  <c r="T334" i="1"/>
  <c r="Z334" i="1"/>
  <c r="AR334" i="1"/>
  <c r="AX334" i="1"/>
  <c r="H335" i="1"/>
  <c r="T337" i="1"/>
  <c r="Z337" i="1"/>
  <c r="AR337" i="1"/>
  <c r="AX337" i="1"/>
  <c r="T556" i="1"/>
  <c r="Z556" i="1"/>
  <c r="AR556" i="1"/>
  <c r="AX556" i="1"/>
  <c r="N558" i="1"/>
  <c r="AF558" i="1"/>
  <c r="AL558" i="1"/>
  <c r="N560" i="1"/>
  <c r="AF560" i="1"/>
  <c r="AL560" i="1"/>
  <c r="N562" i="1"/>
  <c r="AF562" i="1"/>
  <c r="AL562" i="1"/>
  <c r="H564" i="1"/>
  <c r="N143" i="1"/>
  <c r="AL143" i="1"/>
  <c r="N566" i="1"/>
  <c r="AF566" i="1"/>
  <c r="AL566" i="1"/>
  <c r="N567" i="1"/>
  <c r="AF567" i="1"/>
  <c r="AL567" i="1"/>
  <c r="N569" i="1"/>
  <c r="AF569" i="1"/>
  <c r="AL569" i="1"/>
  <c r="N571" i="1"/>
  <c r="AF571" i="1"/>
  <c r="AL571" i="1"/>
  <c r="N573" i="1"/>
  <c r="AF573" i="1"/>
  <c r="AL573" i="1"/>
  <c r="N575" i="1"/>
  <c r="AF575" i="1"/>
  <c r="AL575" i="1"/>
  <c r="N577" i="1"/>
  <c r="AF577" i="1"/>
  <c r="AL577" i="1"/>
  <c r="N579" i="1"/>
  <c r="AF579" i="1"/>
  <c r="AL579" i="1"/>
  <c r="N581" i="1"/>
  <c r="AF581" i="1"/>
  <c r="AL581" i="1"/>
  <c r="N583" i="1"/>
  <c r="AF583" i="1"/>
  <c r="AL583" i="1"/>
  <c r="Z144" i="1"/>
  <c r="K245" i="1"/>
  <c r="AI245" i="1"/>
  <c r="K247" i="1"/>
  <c r="AI247" i="1"/>
  <c r="K249" i="1"/>
  <c r="AI249" i="1"/>
  <c r="K251" i="1"/>
  <c r="AI251" i="1"/>
  <c r="K254" i="1"/>
  <c r="AI254" i="1"/>
  <c r="W256" i="1"/>
  <c r="AU256" i="1"/>
  <c r="W258" i="1"/>
  <c r="AU258" i="1"/>
  <c r="W260" i="1"/>
  <c r="AU260" i="1"/>
  <c r="W262" i="1"/>
  <c r="AU262" i="1"/>
  <c r="W264" i="1"/>
  <c r="AU264" i="1"/>
  <c r="W266" i="1"/>
  <c r="AU266" i="1"/>
  <c r="W268" i="1"/>
  <c r="AU268" i="1"/>
  <c r="W270" i="1"/>
  <c r="AU270" i="1"/>
  <c r="I274" i="1"/>
  <c r="U274" i="1"/>
  <c r="AG274" i="1"/>
  <c r="AS274" i="1"/>
  <c r="BD277" i="1"/>
  <c r="AO278" i="1"/>
  <c r="BD279" i="1"/>
  <c r="AO280" i="1"/>
  <c r="BD281" i="1"/>
  <c r="AO282" i="1"/>
  <c r="BD283" i="1"/>
  <c r="AO284" i="1"/>
  <c r="H285" i="1"/>
  <c r="AF285" i="1"/>
  <c r="Q288" i="1"/>
  <c r="AC288" i="1"/>
  <c r="BA288" i="1"/>
  <c r="Q290" i="1"/>
  <c r="AC290" i="1"/>
  <c r="BA290" i="1"/>
  <c r="Q292" i="1"/>
  <c r="AC292" i="1"/>
  <c r="BA292" i="1"/>
  <c r="Q294" i="1"/>
  <c r="AC294" i="1"/>
  <c r="BA294" i="1"/>
  <c r="Q296" i="1"/>
  <c r="AC296" i="1"/>
  <c r="BA296" i="1"/>
  <c r="Q298" i="1"/>
  <c r="AC298" i="1"/>
  <c r="BA298" i="1"/>
  <c r="Q300" i="1"/>
  <c r="AC300" i="1"/>
  <c r="BA300" i="1"/>
  <c r="Q302" i="1"/>
  <c r="AC302" i="1"/>
  <c r="BA302" i="1"/>
  <c r="T304" i="1"/>
  <c r="AR304" i="1"/>
  <c r="N652" i="1"/>
  <c r="AF652" i="1"/>
  <c r="AL652" i="1"/>
  <c r="N653" i="1"/>
  <c r="AF653" i="1"/>
  <c r="AL653" i="1"/>
  <c r="N655" i="1"/>
  <c r="AF655" i="1"/>
  <c r="AL655" i="1"/>
  <c r="N657" i="1"/>
  <c r="AF657" i="1"/>
  <c r="AL657" i="1"/>
  <c r="H352" i="1"/>
  <c r="Z352" i="1"/>
  <c r="AF352" i="1"/>
  <c r="AX352" i="1"/>
  <c r="Z353" i="1"/>
  <c r="AX353" i="1"/>
  <c r="T354" i="1"/>
  <c r="AR354" i="1"/>
  <c r="Z355" i="1"/>
  <c r="AX355" i="1"/>
  <c r="T356" i="1"/>
  <c r="AR356" i="1"/>
  <c r="Z357" i="1"/>
  <c r="AX357" i="1"/>
  <c r="T358" i="1"/>
  <c r="AR358" i="1"/>
  <c r="Z359" i="1"/>
  <c r="AX359" i="1"/>
  <c r="T360" i="1"/>
  <c r="AR360" i="1"/>
  <c r="BE361" i="1"/>
  <c r="H363" i="1"/>
  <c r="AF363" i="1"/>
  <c r="N364" i="1"/>
  <c r="AL364" i="1"/>
  <c r="H365" i="1"/>
  <c r="AF365" i="1"/>
  <c r="N366" i="1"/>
  <c r="AL366" i="1"/>
  <c r="N368" i="1"/>
  <c r="AL368" i="1"/>
  <c r="N370" i="1"/>
  <c r="AL370" i="1"/>
  <c r="N372" i="1"/>
  <c r="AL372" i="1"/>
  <c r="N374" i="1"/>
  <c r="AL374" i="1"/>
  <c r="N376" i="1"/>
  <c r="AL376" i="1"/>
  <c r="N378" i="1"/>
  <c r="AL378" i="1"/>
  <c r="F274" i="1"/>
  <c r="X274" i="1"/>
  <c r="AD274" i="1"/>
  <c r="AV274" i="1"/>
  <c r="AA353" i="1"/>
  <c r="AY353" i="1"/>
  <c r="AA354" i="1"/>
  <c r="AY354" i="1"/>
  <c r="AA355" i="1"/>
  <c r="AY355" i="1"/>
  <c r="AA356" i="1"/>
  <c r="AY356" i="1"/>
  <c r="AA357" i="1"/>
  <c r="AY357" i="1"/>
  <c r="AA358" i="1"/>
  <c r="AY358" i="1"/>
  <c r="AA359" i="1"/>
  <c r="AY359" i="1"/>
  <c r="AA360" i="1"/>
  <c r="AY360" i="1"/>
  <c r="D361" i="1"/>
  <c r="O363" i="1"/>
  <c r="AM363" i="1"/>
  <c r="O364" i="1"/>
  <c r="AM364" i="1"/>
  <c r="O365" i="1"/>
  <c r="AM365" i="1"/>
  <c r="D422" i="1"/>
  <c r="F422" i="1"/>
  <c r="L422" i="1"/>
  <c r="R422" i="1"/>
  <c r="AJ422" i="1"/>
  <c r="AP422" i="1"/>
  <c r="F454" i="1"/>
  <c r="X454" i="1"/>
  <c r="AD454" i="1"/>
  <c r="AV454" i="1"/>
  <c r="K465" i="1"/>
  <c r="AI465" i="1"/>
  <c r="W484" i="1"/>
  <c r="AU484" i="1"/>
  <c r="E454" i="1"/>
  <c r="BE454" i="1"/>
  <c r="T212" i="1"/>
  <c r="Z212" i="1"/>
  <c r="AR212" i="1"/>
  <c r="AX212" i="1"/>
  <c r="T214" i="1"/>
  <c r="Z214" i="1"/>
  <c r="AR214" i="1"/>
  <c r="AX214" i="1"/>
  <c r="H215" i="1"/>
  <c r="T216" i="1"/>
  <c r="Z216" i="1"/>
  <c r="AR216" i="1"/>
  <c r="AX216" i="1"/>
  <c r="H217" i="1"/>
  <c r="N219" i="1"/>
  <c r="AF219" i="1"/>
  <c r="AL219" i="1"/>
  <c r="H222" i="1"/>
  <c r="H223" i="1"/>
  <c r="AX223" i="1"/>
  <c r="Z225" i="1"/>
  <c r="AX227" i="1"/>
  <c r="Z229" i="1"/>
  <c r="AX231" i="1"/>
  <c r="Z233" i="1"/>
  <c r="AX228" i="1"/>
  <c r="Z230" i="1"/>
  <c r="W234" i="1"/>
  <c r="AU234" i="1"/>
  <c r="W236" i="1"/>
  <c r="AU236" i="1"/>
  <c r="W238" i="1"/>
  <c r="AU238" i="1"/>
  <c r="AX226" i="1"/>
  <c r="Z228" i="1"/>
  <c r="K234" i="1"/>
  <c r="AI234" i="1"/>
  <c r="K236" i="1"/>
  <c r="AI236" i="1"/>
  <c r="K238" i="1"/>
  <c r="AI238" i="1"/>
  <c r="K71" i="1"/>
  <c r="AI71" i="1"/>
  <c r="AR310" i="1"/>
  <c r="AX585" i="1"/>
  <c r="BD139" i="1"/>
  <c r="AC139" i="1"/>
  <c r="BA139" i="1"/>
  <c r="Q140" i="1"/>
  <c r="BD141" i="1"/>
  <c r="AC141" i="1"/>
  <c r="BA141" i="1"/>
  <c r="T245" i="1"/>
  <c r="Z245" i="1"/>
  <c r="AR245" i="1"/>
  <c r="AX245" i="1"/>
  <c r="H246" i="1"/>
  <c r="T247" i="1"/>
  <c r="Z247" i="1"/>
  <c r="AR247" i="1"/>
  <c r="AX247" i="1"/>
  <c r="H248" i="1"/>
  <c r="T249" i="1"/>
  <c r="Z249" i="1"/>
  <c r="AR249" i="1"/>
  <c r="AX249" i="1"/>
  <c r="H250" i="1"/>
  <c r="T251" i="1"/>
  <c r="Z251" i="1"/>
  <c r="AR251" i="1"/>
  <c r="AX251" i="1"/>
  <c r="H252" i="1"/>
  <c r="T254" i="1"/>
  <c r="Z254" i="1"/>
  <c r="AR254" i="1"/>
  <c r="AX254" i="1"/>
  <c r="N256" i="1"/>
  <c r="AF256" i="1"/>
  <c r="AL256" i="1"/>
  <c r="N258" i="1"/>
  <c r="AF258" i="1"/>
  <c r="AL258" i="1"/>
  <c r="N260" i="1"/>
  <c r="AF260" i="1"/>
  <c r="AL260" i="1"/>
  <c r="N262" i="1"/>
  <c r="AF262" i="1"/>
  <c r="AL262" i="1"/>
  <c r="N264" i="1"/>
  <c r="AF264" i="1"/>
  <c r="AL264" i="1"/>
  <c r="N266" i="1"/>
  <c r="AF266" i="1"/>
  <c r="AL266" i="1"/>
  <c r="N268" i="1"/>
  <c r="AF268" i="1"/>
  <c r="AL268" i="1"/>
  <c r="N270" i="1"/>
  <c r="AF270" i="1"/>
  <c r="AL270" i="1"/>
  <c r="H273" i="1"/>
  <c r="K354" i="1"/>
  <c r="AI354" i="1"/>
  <c r="BB10" i="1"/>
  <c r="BB212" i="1"/>
  <c r="J9" i="1"/>
  <c r="K10" i="1"/>
  <c r="J211" i="1"/>
  <c r="L9" i="1"/>
  <c r="L211" i="1"/>
  <c r="V9" i="1"/>
  <c r="W10" i="1"/>
  <c r="V211" i="1"/>
  <c r="X9" i="1"/>
  <c r="X211" i="1"/>
  <c r="AM10" i="1"/>
  <c r="AM212" i="1"/>
  <c r="AH9" i="1"/>
  <c r="AI10" i="1"/>
  <c r="AH211" i="1"/>
  <c r="AJ9" i="1"/>
  <c r="AJ211" i="1"/>
  <c r="AY10" i="1"/>
  <c r="AY212" i="1"/>
  <c r="AT9" i="1"/>
  <c r="AU10" i="1"/>
  <c r="AT211" i="1"/>
  <c r="AV9" i="1"/>
  <c r="AV211" i="1"/>
  <c r="H212" i="1"/>
  <c r="G9" i="1"/>
  <c r="H10" i="1"/>
  <c r="G211" i="1"/>
  <c r="I9" i="1"/>
  <c r="I211" i="1"/>
  <c r="M9" i="1"/>
  <c r="N10" i="1"/>
  <c r="M211" i="1"/>
  <c r="N211" i="1" s="1"/>
  <c r="AB10" i="1"/>
  <c r="AC11" i="1"/>
  <c r="AB212" i="1"/>
  <c r="AE9" i="1"/>
  <c r="AF10" i="1"/>
  <c r="AE211" i="1"/>
  <c r="AG9" i="1"/>
  <c r="AG211" i="1"/>
  <c r="AK9" i="1"/>
  <c r="AL10" i="1"/>
  <c r="AK211" i="1"/>
  <c r="AZ10" i="1"/>
  <c r="BA11" i="1"/>
  <c r="AZ212" i="1"/>
  <c r="BA212" i="1" s="1"/>
  <c r="BE211" i="1"/>
  <c r="Q12" i="1"/>
  <c r="P213" i="1"/>
  <c r="Q213" i="1" s="1"/>
  <c r="BB218" i="1"/>
  <c r="AC12" i="1"/>
  <c r="AB213" i="1"/>
  <c r="AC213" i="1" s="1"/>
  <c r="AO12" i="1"/>
  <c r="AN213" i="1"/>
  <c r="AO213" i="1" s="1"/>
  <c r="BA12" i="1"/>
  <c r="AZ213" i="1"/>
  <c r="BA213" i="1" s="1"/>
  <c r="BD13" i="1"/>
  <c r="BC214" i="1"/>
  <c r="N214" i="1"/>
  <c r="AF214" i="1"/>
  <c r="AL214" i="1"/>
  <c r="Q14" i="1"/>
  <c r="P215" i="1"/>
  <c r="Q215" i="1" s="1"/>
  <c r="AC14" i="1"/>
  <c r="AB215" i="1"/>
  <c r="AC215" i="1" s="1"/>
  <c r="AO14" i="1"/>
  <c r="AN215" i="1"/>
  <c r="AO215" i="1" s="1"/>
  <c r="BA14" i="1"/>
  <c r="AZ215" i="1"/>
  <c r="BA215" i="1" s="1"/>
  <c r="BD15" i="1"/>
  <c r="BC216" i="1"/>
  <c r="N216" i="1"/>
  <c r="AF216" i="1"/>
  <c r="AL216" i="1"/>
  <c r="Q16" i="1"/>
  <c r="P217" i="1"/>
  <c r="Q217" i="1" s="1"/>
  <c r="AC16" i="1"/>
  <c r="AB217" i="1"/>
  <c r="AC217" i="1" s="1"/>
  <c r="AO16" i="1"/>
  <c r="AN217" i="1"/>
  <c r="AO217" i="1" s="1"/>
  <c r="BA16" i="1"/>
  <c r="AZ217" i="1"/>
  <c r="BA217" i="1" s="1"/>
  <c r="BD17" i="1"/>
  <c r="BC218" i="1"/>
  <c r="BD218" i="1" s="1"/>
  <c r="N218" i="1"/>
  <c r="BB219" i="1"/>
  <c r="AC17" i="1"/>
  <c r="AB218" i="1"/>
  <c r="AC218" i="1" s="1"/>
  <c r="BA17" i="1"/>
  <c r="AZ218" i="1"/>
  <c r="T219" i="1"/>
  <c r="Z219" i="1"/>
  <c r="AX219" i="1"/>
  <c r="H220" i="1"/>
  <c r="Q19" i="1"/>
  <c r="P220" i="1"/>
  <c r="AC19" i="1"/>
  <c r="AB220" i="1"/>
  <c r="AC220" i="1" s="1"/>
  <c r="BA19" i="1"/>
  <c r="AZ220" i="1"/>
  <c r="H20" i="1"/>
  <c r="G221" i="1"/>
  <c r="H221" i="1" s="1"/>
  <c r="T222" i="1"/>
  <c r="Z222" i="1"/>
  <c r="AF20" i="1"/>
  <c r="AE221" i="1"/>
  <c r="AF221" i="1" s="1"/>
  <c r="AR222" i="1"/>
  <c r="AX222" i="1"/>
  <c r="Q22" i="1"/>
  <c r="P223" i="1"/>
  <c r="Q223" i="1" s="1"/>
  <c r="BB233" i="1"/>
  <c r="AF223" i="1"/>
  <c r="AC23" i="1"/>
  <c r="AB224" i="1"/>
  <c r="AC24" i="1"/>
  <c r="AB225" i="1"/>
  <c r="BD25" i="1"/>
  <c r="BC226" i="1"/>
  <c r="AF226" i="1"/>
  <c r="BA25" i="1"/>
  <c r="AZ226" i="1"/>
  <c r="AF227" i="1"/>
  <c r="BD27" i="1"/>
  <c r="BC228" i="1"/>
  <c r="AF228" i="1"/>
  <c r="AC28" i="1"/>
  <c r="AB229" i="1"/>
  <c r="BD29" i="1"/>
  <c r="BC230" i="1"/>
  <c r="AF230" i="1"/>
  <c r="BA29" i="1"/>
  <c r="AZ230" i="1"/>
  <c r="AF231" i="1"/>
  <c r="BA30" i="1"/>
  <c r="AZ231" i="1"/>
  <c r="AF232" i="1"/>
  <c r="BA31" i="1"/>
  <c r="AZ232" i="1"/>
  <c r="AF233" i="1"/>
  <c r="BD33" i="1"/>
  <c r="BC234" i="1"/>
  <c r="AC34" i="1"/>
  <c r="AB235" i="1"/>
  <c r="BA34" i="1"/>
  <c r="AZ235" i="1"/>
  <c r="Q35" i="1"/>
  <c r="P236" i="1"/>
  <c r="Q236" i="1" s="1"/>
  <c r="BD37" i="1"/>
  <c r="BC238" i="1"/>
  <c r="AC38" i="1"/>
  <c r="AB239" i="1"/>
  <c r="AO38" i="1"/>
  <c r="AN239" i="1"/>
  <c r="AO239" i="1" s="1"/>
  <c r="BA38" i="1"/>
  <c r="AZ239" i="1"/>
  <c r="Z39" i="1"/>
  <c r="Y240" i="1"/>
  <c r="AO40" i="1"/>
  <c r="AN39" i="1"/>
  <c r="AN241" i="1"/>
  <c r="AF39" i="1"/>
  <c r="AE240" i="1"/>
  <c r="AX39" i="1"/>
  <c r="AW240" i="1"/>
  <c r="AX240" i="1" s="1"/>
  <c r="M41" i="1"/>
  <c r="N42" i="1"/>
  <c r="AW41" i="1"/>
  <c r="AX42" i="1"/>
  <c r="AL224" i="1"/>
  <c r="AL228" i="1"/>
  <c r="AC53" i="1"/>
  <c r="AB52" i="1"/>
  <c r="AC52" i="1" s="1"/>
  <c r="AO53" i="1"/>
  <c r="AN52" i="1"/>
  <c r="BA53" i="1"/>
  <c r="AZ52" i="1"/>
  <c r="BA52" i="1" s="1"/>
  <c r="E73" i="1"/>
  <c r="E147" i="1"/>
  <c r="E307" i="1"/>
  <c r="E523" i="1"/>
  <c r="E490" i="1" s="1"/>
  <c r="Q75" i="1"/>
  <c r="P74" i="1"/>
  <c r="P148" i="1"/>
  <c r="P308" i="1"/>
  <c r="P524" i="1"/>
  <c r="N524" i="1"/>
  <c r="M491" i="1"/>
  <c r="N491" i="1" s="1"/>
  <c r="S73" i="1"/>
  <c r="T74" i="1"/>
  <c r="S147" i="1"/>
  <c r="S307" i="1"/>
  <c r="S523" i="1"/>
  <c r="AF524" i="1"/>
  <c r="AE491" i="1"/>
  <c r="AF491" i="1" s="1"/>
  <c r="AG621" i="1"/>
  <c r="AG588" i="1"/>
  <c r="AL148" i="1"/>
  <c r="AK588" i="1"/>
  <c r="AK621" i="1"/>
  <c r="AK73" i="1"/>
  <c r="AL74" i="1"/>
  <c r="AK147" i="1"/>
  <c r="AK307" i="1"/>
  <c r="AK523" i="1"/>
  <c r="BA75" i="1"/>
  <c r="AZ74" i="1"/>
  <c r="AZ148" i="1"/>
  <c r="AZ308" i="1"/>
  <c r="AZ524" i="1"/>
  <c r="AS73" i="1"/>
  <c r="AS147" i="1"/>
  <c r="AS307" i="1"/>
  <c r="AS523" i="1"/>
  <c r="AS490" i="1" s="1"/>
  <c r="BD76" i="1"/>
  <c r="BC149" i="1"/>
  <c r="BC309" i="1"/>
  <c r="BC525" i="1"/>
  <c r="N149" i="1"/>
  <c r="M622" i="1"/>
  <c r="M589" i="1"/>
  <c r="T149" i="1"/>
  <c r="S589" i="1"/>
  <c r="S622" i="1"/>
  <c r="Z525" i="1"/>
  <c r="Y492" i="1"/>
  <c r="Z492" i="1" s="1"/>
  <c r="AF525" i="1"/>
  <c r="AE492" i="1"/>
  <c r="AF492" i="1" s="1"/>
  <c r="AL525" i="1"/>
  <c r="AK492" i="1"/>
  <c r="AL492" i="1" s="1"/>
  <c r="AR525" i="1"/>
  <c r="AQ492" i="1"/>
  <c r="AR492" i="1" s="1"/>
  <c r="H150" i="1"/>
  <c r="G590" i="1"/>
  <c r="G623" i="1"/>
  <c r="I623" i="1"/>
  <c r="I590" i="1"/>
  <c r="AL223" i="1"/>
  <c r="AL231" i="1"/>
  <c r="BB234" i="1"/>
  <c r="K39" i="1"/>
  <c r="J240" i="1"/>
  <c r="K240" i="1" s="1"/>
  <c r="AA39" i="1"/>
  <c r="AA241" i="1"/>
  <c r="AY39" i="1"/>
  <c r="AY241" i="1"/>
  <c r="W42" i="1"/>
  <c r="V41" i="1"/>
  <c r="W152" i="1"/>
  <c r="V592" i="1"/>
  <c r="V625" i="1"/>
  <c r="D9" i="1"/>
  <c r="D211" i="1"/>
  <c r="O10" i="1"/>
  <c r="O212" i="1"/>
  <c r="F9" i="1"/>
  <c r="F211" i="1"/>
  <c r="R9" i="1"/>
  <c r="R211" i="1"/>
  <c r="AD9" i="1"/>
  <c r="AD211" i="1"/>
  <c r="AP9" i="1"/>
  <c r="AP211" i="1"/>
  <c r="E9" i="1"/>
  <c r="E211" i="1"/>
  <c r="BD11" i="1"/>
  <c r="BC10" i="1"/>
  <c r="BC212" i="1"/>
  <c r="P10" i="1"/>
  <c r="Q11" i="1"/>
  <c r="P212" i="1"/>
  <c r="Q212" i="1" s="1"/>
  <c r="N212" i="1"/>
  <c r="S9" i="1"/>
  <c r="T10" i="1"/>
  <c r="S211" i="1"/>
  <c r="T211" i="1" s="1"/>
  <c r="U9" i="1"/>
  <c r="U211" i="1"/>
  <c r="Y9" i="1"/>
  <c r="Z10" i="1"/>
  <c r="Y211" i="1"/>
  <c r="AF212" i="1"/>
  <c r="AN10" i="1"/>
  <c r="AO11" i="1"/>
  <c r="AN212" i="1"/>
  <c r="AL212" i="1"/>
  <c r="AQ9" i="1"/>
  <c r="AR10" i="1"/>
  <c r="AQ211" i="1"/>
  <c r="AS9" i="1"/>
  <c r="AS211" i="1"/>
  <c r="AW9" i="1"/>
  <c r="AX10" i="1"/>
  <c r="AW211" i="1"/>
  <c r="BD12" i="1"/>
  <c r="BC213" i="1"/>
  <c r="W213" i="1"/>
  <c r="AU213" i="1"/>
  <c r="BB214" i="1"/>
  <c r="BB215" i="1"/>
  <c r="W215" i="1"/>
  <c r="AU215" i="1"/>
  <c r="BB216" i="1"/>
  <c r="BB217" i="1"/>
  <c r="W217" i="1"/>
  <c r="AU217" i="1"/>
  <c r="BB213" i="1"/>
  <c r="N213" i="1"/>
  <c r="T213" i="1"/>
  <c r="Z213" i="1"/>
  <c r="AF213" i="1"/>
  <c r="AL213" i="1"/>
  <c r="AR213" i="1"/>
  <c r="AX213" i="1"/>
  <c r="H214" i="1"/>
  <c r="Q13" i="1"/>
  <c r="P214" i="1"/>
  <c r="Q214" i="1" s="1"/>
  <c r="AC13" i="1"/>
  <c r="AB214" i="1"/>
  <c r="AC214" i="1" s="1"/>
  <c r="AO13" i="1"/>
  <c r="AN214" i="1"/>
  <c r="AO214" i="1" s="1"/>
  <c r="BA13" i="1"/>
  <c r="AZ214" i="1"/>
  <c r="BA214" i="1" s="1"/>
  <c r="BD14" i="1"/>
  <c r="BC215" i="1"/>
  <c r="N215" i="1"/>
  <c r="T215" i="1"/>
  <c r="Z215" i="1"/>
  <c r="AF215" i="1"/>
  <c r="AL215" i="1"/>
  <c r="AR215" i="1"/>
  <c r="AX215" i="1"/>
  <c r="H216" i="1"/>
  <c r="Q15" i="1"/>
  <c r="P216" i="1"/>
  <c r="Q216" i="1" s="1"/>
  <c r="AC15" i="1"/>
  <c r="AB216" i="1"/>
  <c r="AC216" i="1" s="1"/>
  <c r="AO15" i="1"/>
  <c r="AN216" i="1"/>
  <c r="AO216" i="1" s="1"/>
  <c r="BA15" i="1"/>
  <c r="AZ216" i="1"/>
  <c r="BA216" i="1" s="1"/>
  <c r="BD16" i="1"/>
  <c r="BC217" i="1"/>
  <c r="N217" i="1"/>
  <c r="T217" i="1"/>
  <c r="Z217" i="1"/>
  <c r="AF217" i="1"/>
  <c r="AL217" i="1"/>
  <c r="AR217" i="1"/>
  <c r="AX217" i="1"/>
  <c r="H218" i="1"/>
  <c r="Q17" i="1"/>
  <c r="P218" i="1"/>
  <c r="AI218" i="1"/>
  <c r="K220" i="1"/>
  <c r="AI220" i="1"/>
  <c r="BB20" i="1"/>
  <c r="BB222" i="1"/>
  <c r="K20" i="1"/>
  <c r="J221" i="1"/>
  <c r="K221" i="1" s="1"/>
  <c r="AA20" i="1"/>
  <c r="AA222" i="1"/>
  <c r="W222" i="1"/>
  <c r="W20" i="1"/>
  <c r="V221" i="1"/>
  <c r="W221" i="1" s="1"/>
  <c r="AM20" i="1"/>
  <c r="AM222" i="1"/>
  <c r="AI20" i="1"/>
  <c r="AH221" i="1"/>
  <c r="AI221" i="1" s="1"/>
  <c r="AY20" i="1"/>
  <c r="AY222" i="1"/>
  <c r="AU222" i="1"/>
  <c r="AU20" i="1"/>
  <c r="AT221" i="1"/>
  <c r="AU221" i="1" s="1"/>
  <c r="BB223" i="1"/>
  <c r="T218" i="1"/>
  <c r="Z218" i="1"/>
  <c r="AF218" i="1"/>
  <c r="AL218" i="1"/>
  <c r="AR218" i="1"/>
  <c r="AX218" i="1"/>
  <c r="H219" i="1"/>
  <c r="Q18" i="1"/>
  <c r="P219" i="1"/>
  <c r="AC18" i="1"/>
  <c r="AB219" i="1"/>
  <c r="AO18" i="1"/>
  <c r="AN219" i="1"/>
  <c r="BA18" i="1"/>
  <c r="AZ219" i="1"/>
  <c r="BD19" i="1"/>
  <c r="BC220" i="1"/>
  <c r="N220" i="1"/>
  <c r="T220" i="1"/>
  <c r="Z220" i="1"/>
  <c r="AF220" i="1"/>
  <c r="AL220" i="1"/>
  <c r="AR220" i="1"/>
  <c r="AX220" i="1"/>
  <c r="BD21" i="1"/>
  <c r="BC20" i="1"/>
  <c r="BC222" i="1"/>
  <c r="P20" i="1"/>
  <c r="Q21" i="1"/>
  <c r="P222" i="1"/>
  <c r="N222" i="1"/>
  <c r="T20" i="1"/>
  <c r="S221" i="1"/>
  <c r="Z20" i="1"/>
  <c r="Y221" i="1"/>
  <c r="AF222" i="1"/>
  <c r="AN20" i="1"/>
  <c r="AO21" i="1"/>
  <c r="AN222" i="1"/>
  <c r="AL222" i="1"/>
  <c r="AR20" i="1"/>
  <c r="AQ221" i="1"/>
  <c r="AX20" i="1"/>
  <c r="AW221" i="1"/>
  <c r="BD22" i="1"/>
  <c r="BC223" i="1"/>
  <c r="BB224" i="1"/>
  <c r="AU224" i="1"/>
  <c r="BB225" i="1"/>
  <c r="W225" i="1"/>
  <c r="BB226" i="1"/>
  <c r="W226" i="1"/>
  <c r="BB227" i="1"/>
  <c r="W227" i="1"/>
  <c r="AU227" i="1"/>
  <c r="BB228" i="1"/>
  <c r="AU228" i="1"/>
  <c r="BB229" i="1"/>
  <c r="AU229" i="1"/>
  <c r="BB230" i="1"/>
  <c r="W230" i="1"/>
  <c r="BB231" i="1"/>
  <c r="BB232" i="1"/>
  <c r="AU232" i="1"/>
  <c r="W233" i="1"/>
  <c r="T223" i="1"/>
  <c r="AO22" i="1"/>
  <c r="AN223" i="1"/>
  <c r="AR223" i="1"/>
  <c r="H224" i="1"/>
  <c r="Q23" i="1"/>
  <c r="P224" i="1"/>
  <c r="T224" i="1"/>
  <c r="AO23" i="1"/>
  <c r="AN224" i="1"/>
  <c r="AR224" i="1"/>
  <c r="H225" i="1"/>
  <c r="Q24" i="1"/>
  <c r="P225" i="1"/>
  <c r="T225" i="1"/>
  <c r="AO24" i="1"/>
  <c r="AN225" i="1"/>
  <c r="AR225" i="1"/>
  <c r="H226" i="1"/>
  <c r="Q25" i="1"/>
  <c r="P226" i="1"/>
  <c r="T226" i="1"/>
  <c r="AO25" i="1"/>
  <c r="AN226" i="1"/>
  <c r="AR226" i="1"/>
  <c r="H227" i="1"/>
  <c r="Q26" i="1"/>
  <c r="P227" i="1"/>
  <c r="T227" i="1"/>
  <c r="AO26" i="1"/>
  <c r="AN227" i="1"/>
  <c r="AR227" i="1"/>
  <c r="H228" i="1"/>
  <c r="Q27" i="1"/>
  <c r="P228" i="1"/>
  <c r="T228" i="1"/>
  <c r="AO27" i="1"/>
  <c r="AN228" i="1"/>
  <c r="AR228" i="1"/>
  <c r="H229" i="1"/>
  <c r="Q28" i="1"/>
  <c r="P229" i="1"/>
  <c r="T229" i="1"/>
  <c r="AO28" i="1"/>
  <c r="AN229" i="1"/>
  <c r="AR229" i="1"/>
  <c r="H230" i="1"/>
  <c r="Q29" i="1"/>
  <c r="P230" i="1"/>
  <c r="T230" i="1"/>
  <c r="AO29" i="1"/>
  <c r="AN230" i="1"/>
  <c r="AR230" i="1"/>
  <c r="H231" i="1"/>
  <c r="Q30" i="1"/>
  <c r="P231" i="1"/>
  <c r="T231" i="1"/>
  <c r="AO30" i="1"/>
  <c r="AN231" i="1"/>
  <c r="AR231" i="1"/>
  <c r="H232" i="1"/>
  <c r="Q31" i="1"/>
  <c r="P232" i="1"/>
  <c r="T232" i="1"/>
  <c r="AO31" i="1"/>
  <c r="AN232" i="1"/>
  <c r="AR232" i="1"/>
  <c r="H233" i="1"/>
  <c r="Q32" i="1"/>
  <c r="P233" i="1"/>
  <c r="Q233" i="1" s="1"/>
  <c r="T233" i="1"/>
  <c r="AO32" i="1"/>
  <c r="AN233" i="1"/>
  <c r="AC33" i="1"/>
  <c r="AB234" i="1"/>
  <c r="AC234" i="1" s="1"/>
  <c r="AO33" i="1"/>
  <c r="AN234" i="1"/>
  <c r="AO234" i="1" s="1"/>
  <c r="BA33" i="1"/>
  <c r="AZ234" i="1"/>
  <c r="BA234" i="1" s="1"/>
  <c r="Q34" i="1"/>
  <c r="P235" i="1"/>
  <c r="BD34" i="1"/>
  <c r="BC235" i="1"/>
  <c r="N235" i="1"/>
  <c r="AL235" i="1"/>
  <c r="AC35" i="1"/>
  <c r="AB236" i="1"/>
  <c r="AO35" i="1"/>
  <c r="AN236" i="1"/>
  <c r="BA35" i="1"/>
  <c r="AZ236" i="1"/>
  <c r="Q36" i="1"/>
  <c r="P237" i="1"/>
  <c r="BD36" i="1"/>
  <c r="BC237" i="1"/>
  <c r="N237" i="1"/>
  <c r="AL237" i="1"/>
  <c r="AC37" i="1"/>
  <c r="AB238" i="1"/>
  <c r="AC238" i="1" s="1"/>
  <c r="AO37" i="1"/>
  <c r="AN238" i="1"/>
  <c r="AO238" i="1" s="1"/>
  <c r="BA37" i="1"/>
  <c r="AZ238" i="1"/>
  <c r="BA238" i="1" s="1"/>
  <c r="Q38" i="1"/>
  <c r="P239" i="1"/>
  <c r="BD38" i="1"/>
  <c r="BC239" i="1"/>
  <c r="N239" i="1"/>
  <c r="AL239" i="1"/>
  <c r="Q40" i="1"/>
  <c r="P39" i="1"/>
  <c r="P241" i="1"/>
  <c r="BC39" i="1"/>
  <c r="BD40" i="1"/>
  <c r="BC241" i="1"/>
  <c r="N39" i="1"/>
  <c r="M240" i="1"/>
  <c r="AC40" i="1"/>
  <c r="AB39" i="1"/>
  <c r="AB241" i="1"/>
  <c r="T39" i="1"/>
  <c r="S240" i="1"/>
  <c r="AL39" i="1"/>
  <c r="AK240" i="1"/>
  <c r="BA40" i="1"/>
  <c r="AZ39" i="1"/>
  <c r="AZ241" i="1"/>
  <c r="AR39" i="1"/>
  <c r="AQ240" i="1"/>
  <c r="E41" i="1"/>
  <c r="G41" i="1"/>
  <c r="H42" i="1"/>
  <c r="AC43" i="1"/>
  <c r="AB42" i="1"/>
  <c r="S41" i="1"/>
  <c r="T42" i="1"/>
  <c r="AO43" i="1"/>
  <c r="AN42" i="1"/>
  <c r="AE41" i="1"/>
  <c r="AF42" i="1"/>
  <c r="BA43" i="1"/>
  <c r="AZ42" i="1"/>
  <c r="AQ41" i="1"/>
  <c r="AR42" i="1"/>
  <c r="BE41" i="1"/>
  <c r="AO44" i="1"/>
  <c r="Q45" i="1"/>
  <c r="Z223" i="1"/>
  <c r="N224" i="1"/>
  <c r="AX225" i="1"/>
  <c r="AL226" i="1"/>
  <c r="Z227" i="1"/>
  <c r="N228" i="1"/>
  <c r="AX229" i="1"/>
  <c r="AL230" i="1"/>
  <c r="Z231" i="1"/>
  <c r="N232" i="1"/>
  <c r="D41" i="1"/>
  <c r="X41" i="1"/>
  <c r="AV41" i="1"/>
  <c r="Q47" i="1"/>
  <c r="AC47" i="1"/>
  <c r="BA47" i="1"/>
  <c r="Q49" i="1"/>
  <c r="AC49" i="1"/>
  <c r="BA49" i="1"/>
  <c r="Q51" i="1"/>
  <c r="AC51" i="1"/>
  <c r="BA51" i="1"/>
  <c r="Q53" i="1"/>
  <c r="P52" i="1"/>
  <c r="Q52" i="1" s="1"/>
  <c r="BC52" i="1"/>
  <c r="BD53" i="1"/>
  <c r="Z52" i="1"/>
  <c r="AX52" i="1"/>
  <c r="BD54" i="1"/>
  <c r="AO55" i="1"/>
  <c r="BD56" i="1"/>
  <c r="AO57" i="1"/>
  <c r="AC60" i="1"/>
  <c r="BA60" i="1"/>
  <c r="AO61" i="1"/>
  <c r="AC64" i="1"/>
  <c r="BA64" i="1"/>
  <c r="AO65" i="1"/>
  <c r="AC68" i="1"/>
  <c r="BA68" i="1"/>
  <c r="AO69" i="1"/>
  <c r="Q72" i="1"/>
  <c r="P71" i="1"/>
  <c r="Q71" i="1" s="1"/>
  <c r="BC71" i="1"/>
  <c r="BD72" i="1"/>
  <c r="Z71" i="1"/>
  <c r="AX71" i="1"/>
  <c r="E588" i="1"/>
  <c r="E621" i="1"/>
  <c r="H524" i="1"/>
  <c r="G491" i="1"/>
  <c r="H491" i="1" s="1"/>
  <c r="H148" i="1"/>
  <c r="G588" i="1"/>
  <c r="G621" i="1"/>
  <c r="G73" i="1"/>
  <c r="H74" i="1"/>
  <c r="G147" i="1"/>
  <c r="G307" i="1"/>
  <c r="G523" i="1"/>
  <c r="I73" i="1"/>
  <c r="I147" i="1"/>
  <c r="I307" i="1"/>
  <c r="I523" i="1"/>
  <c r="I490" i="1" s="1"/>
  <c r="T524" i="1"/>
  <c r="S491" i="1"/>
  <c r="T491" i="1" s="1"/>
  <c r="T148" i="1"/>
  <c r="S588" i="1"/>
  <c r="S621" i="1"/>
  <c r="U588" i="1"/>
  <c r="U621" i="1"/>
  <c r="Z524" i="1"/>
  <c r="Y491" i="1"/>
  <c r="Z491" i="1" s="1"/>
  <c r="Z148" i="1"/>
  <c r="Y621" i="1"/>
  <c r="Y588" i="1"/>
  <c r="Y73" i="1"/>
  <c r="Z74" i="1"/>
  <c r="Y147" i="1"/>
  <c r="Y307" i="1"/>
  <c r="Y523" i="1"/>
  <c r="AF308" i="1"/>
  <c r="AO75" i="1"/>
  <c r="AN74" i="1"/>
  <c r="AN148" i="1"/>
  <c r="AN308" i="1"/>
  <c r="AN524" i="1"/>
  <c r="AE73" i="1"/>
  <c r="AF74" i="1"/>
  <c r="AE147" i="1"/>
  <c r="AE307" i="1"/>
  <c r="AE523" i="1"/>
  <c r="AG73" i="1"/>
  <c r="AG147" i="1"/>
  <c r="AG307" i="1"/>
  <c r="AG523" i="1"/>
  <c r="AG490" i="1" s="1"/>
  <c r="AR524" i="1"/>
  <c r="AQ491" i="1"/>
  <c r="AR491" i="1" s="1"/>
  <c r="AR148" i="1"/>
  <c r="AQ588" i="1"/>
  <c r="AQ621" i="1"/>
  <c r="AS588" i="1"/>
  <c r="AS621" i="1"/>
  <c r="AX524" i="1"/>
  <c r="AW491" i="1"/>
  <c r="AX491" i="1" s="1"/>
  <c r="AX148" i="1"/>
  <c r="AW621" i="1"/>
  <c r="AW588" i="1"/>
  <c r="AW73" i="1"/>
  <c r="AX74" i="1"/>
  <c r="AW147" i="1"/>
  <c r="AW307" i="1"/>
  <c r="AW523" i="1"/>
  <c r="BE73" i="1"/>
  <c r="BE147" i="1"/>
  <c r="BE307" i="1"/>
  <c r="BE523" i="1"/>
  <c r="BE490" i="1" s="1"/>
  <c r="H525" i="1"/>
  <c r="G492" i="1"/>
  <c r="H492" i="1" s="1"/>
  <c r="H149" i="1"/>
  <c r="G589" i="1"/>
  <c r="G622" i="1"/>
  <c r="I589" i="1"/>
  <c r="I622" i="1"/>
  <c r="N309" i="1"/>
  <c r="T309" i="1"/>
  <c r="AC76" i="1"/>
  <c r="AB149" i="1"/>
  <c r="AB309" i="1"/>
  <c r="AB525" i="1"/>
  <c r="U622" i="1"/>
  <c r="U589" i="1"/>
  <c r="AO76" i="1"/>
  <c r="AN149" i="1"/>
  <c r="AN309" i="1"/>
  <c r="AN525" i="1"/>
  <c r="AG589" i="1"/>
  <c r="AG622" i="1"/>
  <c r="AL309" i="1"/>
  <c r="AR309" i="1"/>
  <c r="BA76" i="1"/>
  <c r="AZ149" i="1"/>
  <c r="AZ309" i="1"/>
  <c r="AZ525" i="1"/>
  <c r="AS622" i="1"/>
  <c r="AS589" i="1"/>
  <c r="E590" i="1"/>
  <c r="E623" i="1"/>
  <c r="H310" i="1"/>
  <c r="BD77" i="1"/>
  <c r="BC150" i="1"/>
  <c r="BC310" i="1"/>
  <c r="BC526" i="1"/>
  <c r="N526" i="1"/>
  <c r="M493" i="1"/>
  <c r="N493" i="1" s="1"/>
  <c r="N150" i="1"/>
  <c r="M590" i="1"/>
  <c r="M623" i="1"/>
  <c r="T526" i="1"/>
  <c r="S493" i="1"/>
  <c r="T493" i="1" s="1"/>
  <c r="T150" i="1"/>
  <c r="S590" i="1"/>
  <c r="S623" i="1"/>
  <c r="AX224" i="1"/>
  <c r="N225" i="1"/>
  <c r="Z226" i="1"/>
  <c r="AL227" i="1"/>
  <c r="AX232" i="1"/>
  <c r="N233" i="1"/>
  <c r="K235" i="1"/>
  <c r="AI235" i="1"/>
  <c r="K237" i="1"/>
  <c r="AI237" i="1"/>
  <c r="K239" i="1"/>
  <c r="AI239" i="1"/>
  <c r="K241" i="1"/>
  <c r="AI241" i="1"/>
  <c r="AM41" i="1"/>
  <c r="D73" i="1"/>
  <c r="D147" i="1"/>
  <c r="D307" i="1"/>
  <c r="D523" i="1"/>
  <c r="D490" i="1" s="1"/>
  <c r="L73" i="1"/>
  <c r="L147" i="1"/>
  <c r="L307" i="1"/>
  <c r="L523" i="1"/>
  <c r="L490" i="1" s="1"/>
  <c r="X73" i="1"/>
  <c r="X147" i="1"/>
  <c r="X307" i="1"/>
  <c r="X523" i="1"/>
  <c r="X490" i="1" s="1"/>
  <c r="AJ73" i="1"/>
  <c r="AJ147" i="1"/>
  <c r="AJ307" i="1"/>
  <c r="AJ523" i="1"/>
  <c r="AJ490" i="1" s="1"/>
  <c r="AV73" i="1"/>
  <c r="AV147" i="1"/>
  <c r="AV307" i="1"/>
  <c r="AV523" i="1"/>
  <c r="AV490" i="1" s="1"/>
  <c r="L589" i="1"/>
  <c r="L622" i="1"/>
  <c r="AJ589" i="1"/>
  <c r="AJ622" i="1"/>
  <c r="L590" i="1"/>
  <c r="L623" i="1"/>
  <c r="AD590" i="1"/>
  <c r="AD623" i="1"/>
  <c r="AH493" i="1"/>
  <c r="AI493" i="1" s="1"/>
  <c r="AI526" i="1"/>
  <c r="AI150" i="1"/>
  <c r="AH590" i="1"/>
  <c r="AH623" i="1"/>
  <c r="AJ590" i="1"/>
  <c r="AJ623" i="1"/>
  <c r="AY150" i="1"/>
  <c r="AY310" i="1"/>
  <c r="AY526" i="1"/>
  <c r="AY493" i="1" s="1"/>
  <c r="D591" i="1"/>
  <c r="D624" i="1"/>
  <c r="O151" i="1"/>
  <c r="O311" i="1"/>
  <c r="O527" i="1"/>
  <c r="O494" i="1" s="1"/>
  <c r="J494" i="1"/>
  <c r="K494" i="1" s="1"/>
  <c r="K527" i="1"/>
  <c r="K151" i="1"/>
  <c r="J591" i="1"/>
  <c r="J624" i="1"/>
  <c r="L591" i="1"/>
  <c r="L624" i="1"/>
  <c r="AA151" i="1"/>
  <c r="AA311" i="1"/>
  <c r="AA527" i="1"/>
  <c r="AA494" i="1" s="1"/>
  <c r="AD591" i="1"/>
  <c r="AD624" i="1"/>
  <c r="AH494" i="1"/>
  <c r="AI494" i="1" s="1"/>
  <c r="AI527" i="1"/>
  <c r="AI151" i="1"/>
  <c r="AH591" i="1"/>
  <c r="AH624" i="1"/>
  <c r="AJ591" i="1"/>
  <c r="AJ624" i="1"/>
  <c r="AY151" i="1"/>
  <c r="AY311" i="1"/>
  <c r="AY527" i="1"/>
  <c r="AY494" i="1" s="1"/>
  <c r="D592" i="1"/>
  <c r="D625" i="1"/>
  <c r="O152" i="1"/>
  <c r="O312" i="1"/>
  <c r="O528" i="1"/>
  <c r="O495" i="1" s="1"/>
  <c r="J495" i="1"/>
  <c r="K495" i="1" s="1"/>
  <c r="K528" i="1"/>
  <c r="K152" i="1"/>
  <c r="J592" i="1"/>
  <c r="J625" i="1"/>
  <c r="L592" i="1"/>
  <c r="L625" i="1"/>
  <c r="AA152" i="1"/>
  <c r="AA312" i="1"/>
  <c r="AA528" i="1"/>
  <c r="AA495" i="1" s="1"/>
  <c r="AD592" i="1"/>
  <c r="AD625" i="1"/>
  <c r="AH495" i="1"/>
  <c r="AI495" i="1" s="1"/>
  <c r="AI528" i="1"/>
  <c r="AI152" i="1"/>
  <c r="AH592" i="1"/>
  <c r="AH625" i="1"/>
  <c r="AJ592" i="1"/>
  <c r="AJ625" i="1"/>
  <c r="AY152" i="1"/>
  <c r="AY312" i="1"/>
  <c r="AY528" i="1"/>
  <c r="AY495" i="1" s="1"/>
  <c r="D593" i="1"/>
  <c r="D626" i="1"/>
  <c r="O153" i="1"/>
  <c r="O313" i="1"/>
  <c r="O529" i="1"/>
  <c r="O496" i="1" s="1"/>
  <c r="J496" i="1"/>
  <c r="K496" i="1" s="1"/>
  <c r="K529" i="1"/>
  <c r="K153" i="1"/>
  <c r="J593" i="1"/>
  <c r="J626" i="1"/>
  <c r="L593" i="1"/>
  <c r="L626" i="1"/>
  <c r="AA153" i="1"/>
  <c r="AA313" i="1"/>
  <c r="AA529" i="1"/>
  <c r="AA496" i="1" s="1"/>
  <c r="AD593" i="1"/>
  <c r="AD626" i="1"/>
  <c r="AH496" i="1"/>
  <c r="AI496" i="1" s="1"/>
  <c r="AI529" i="1"/>
  <c r="AI153" i="1"/>
  <c r="AH593" i="1"/>
  <c r="AH626" i="1"/>
  <c r="AJ593" i="1"/>
  <c r="AJ626" i="1"/>
  <c r="AY153" i="1"/>
  <c r="AY313" i="1"/>
  <c r="AY529" i="1"/>
  <c r="AY496" i="1" s="1"/>
  <c r="D594" i="1"/>
  <c r="D627" i="1"/>
  <c r="O154" i="1"/>
  <c r="O314" i="1"/>
  <c r="O530" i="1"/>
  <c r="O497" i="1" s="1"/>
  <c r="J497" i="1"/>
  <c r="K497" i="1" s="1"/>
  <c r="K530" i="1"/>
  <c r="K154" i="1"/>
  <c r="J594" i="1"/>
  <c r="J627" i="1"/>
  <c r="L594" i="1"/>
  <c r="L627" i="1"/>
  <c r="AA154" i="1"/>
  <c r="AA314" i="1"/>
  <c r="AA530" i="1"/>
  <c r="AA497" i="1" s="1"/>
  <c r="AD594" i="1"/>
  <c r="AD627" i="1"/>
  <c r="AH497" i="1"/>
  <c r="AI497" i="1" s="1"/>
  <c r="AI530" i="1"/>
  <c r="AI154" i="1"/>
  <c r="AH594" i="1"/>
  <c r="AH627" i="1"/>
  <c r="AJ594" i="1"/>
  <c r="AJ627" i="1"/>
  <c r="AY154" i="1"/>
  <c r="AY314" i="1"/>
  <c r="AY530" i="1"/>
  <c r="AY497" i="1" s="1"/>
  <c r="D595" i="1"/>
  <c r="D628" i="1"/>
  <c r="O155" i="1"/>
  <c r="O315" i="1"/>
  <c r="O531" i="1"/>
  <c r="O498" i="1" s="1"/>
  <c r="J498" i="1"/>
  <c r="K498" i="1" s="1"/>
  <c r="K531" i="1"/>
  <c r="K155" i="1"/>
  <c r="J595" i="1"/>
  <c r="J628" i="1"/>
  <c r="L595" i="1"/>
  <c r="L628" i="1"/>
  <c r="AA155" i="1"/>
  <c r="AA315" i="1"/>
  <c r="AA531" i="1"/>
  <c r="AA498" i="1" s="1"/>
  <c r="AD595" i="1"/>
  <c r="AD628" i="1"/>
  <c r="AH498" i="1"/>
  <c r="AI498" i="1" s="1"/>
  <c r="AI531" i="1"/>
  <c r="AI155" i="1"/>
  <c r="AH595" i="1"/>
  <c r="AH628" i="1"/>
  <c r="AJ595" i="1"/>
  <c r="AJ628" i="1"/>
  <c r="AY155" i="1"/>
  <c r="AY315" i="1"/>
  <c r="AY531" i="1"/>
  <c r="AY498" i="1" s="1"/>
  <c r="D596" i="1"/>
  <c r="D629" i="1"/>
  <c r="BB156" i="1"/>
  <c r="BB316" i="1"/>
  <c r="BB532" i="1"/>
  <c r="BB499" i="1" s="1"/>
  <c r="J499" i="1"/>
  <c r="K499" i="1" s="1"/>
  <c r="K532" i="1"/>
  <c r="K156" i="1"/>
  <c r="J596" i="1"/>
  <c r="J629" i="1"/>
  <c r="L596" i="1"/>
  <c r="L629" i="1"/>
  <c r="AA156" i="1"/>
  <c r="AA316" i="1"/>
  <c r="AA532" i="1"/>
  <c r="AA499" i="1" s="1"/>
  <c r="AD596" i="1"/>
  <c r="AD629" i="1"/>
  <c r="AH499" i="1"/>
  <c r="AI499" i="1" s="1"/>
  <c r="AI532" i="1"/>
  <c r="AI156" i="1"/>
  <c r="AH596" i="1"/>
  <c r="AH629" i="1"/>
  <c r="AJ596" i="1"/>
  <c r="AJ629" i="1"/>
  <c r="AY156" i="1"/>
  <c r="AY316" i="1"/>
  <c r="AY532" i="1"/>
  <c r="AY499" i="1" s="1"/>
  <c r="N223" i="1"/>
  <c r="Z224" i="1"/>
  <c r="AL225" i="1"/>
  <c r="AX230" i="1"/>
  <c r="N231" i="1"/>
  <c r="Z232" i="1"/>
  <c r="AL233" i="1"/>
  <c r="AU233" i="1"/>
  <c r="BB235" i="1"/>
  <c r="W235" i="1"/>
  <c r="AU235" i="1"/>
  <c r="BB237" i="1"/>
  <c r="W237" i="1"/>
  <c r="AU237" i="1"/>
  <c r="BB239" i="1"/>
  <c r="W239" i="1"/>
  <c r="AU239" i="1"/>
  <c r="BB39" i="1"/>
  <c r="BB241" i="1"/>
  <c r="O39" i="1"/>
  <c r="O241" i="1"/>
  <c r="W39" i="1"/>
  <c r="V240" i="1"/>
  <c r="W240" i="1" s="1"/>
  <c r="AM39" i="1"/>
  <c r="AM241" i="1"/>
  <c r="AU39" i="1"/>
  <c r="AT240" i="1"/>
  <c r="AU240" i="1" s="1"/>
  <c r="K42" i="1"/>
  <c r="J41" i="1"/>
  <c r="R41" i="1"/>
  <c r="AI42" i="1"/>
  <c r="AH41" i="1"/>
  <c r="AP41" i="1"/>
  <c r="K52" i="1"/>
  <c r="W52" i="1"/>
  <c r="AI52" i="1"/>
  <c r="AU52" i="1"/>
  <c r="F73" i="1"/>
  <c r="F147" i="1"/>
  <c r="F307" i="1"/>
  <c r="F523" i="1"/>
  <c r="F490" i="1" s="1"/>
  <c r="O74" i="1"/>
  <c r="O148" i="1"/>
  <c r="O308" i="1"/>
  <c r="O524" i="1"/>
  <c r="O491" i="1" s="1"/>
  <c r="W308" i="1"/>
  <c r="W74" i="1"/>
  <c r="V73" i="1"/>
  <c r="V147" i="1"/>
  <c r="V307" i="1"/>
  <c r="V523" i="1"/>
  <c r="AD588" i="1"/>
  <c r="AD621" i="1"/>
  <c r="AM74" i="1"/>
  <c r="AM148" i="1"/>
  <c r="AM308" i="1"/>
  <c r="AM524" i="1"/>
  <c r="AM491" i="1" s="1"/>
  <c r="AU308" i="1"/>
  <c r="AU74" i="1"/>
  <c r="AT73" i="1"/>
  <c r="AT147" i="1"/>
  <c r="AT307" i="1"/>
  <c r="AT523" i="1"/>
  <c r="J492" i="1"/>
  <c r="K492" i="1" s="1"/>
  <c r="K525" i="1"/>
  <c r="K149" i="1"/>
  <c r="J589" i="1"/>
  <c r="J622" i="1"/>
  <c r="R589" i="1"/>
  <c r="R622" i="1"/>
  <c r="AH492" i="1"/>
  <c r="AI492" i="1" s="1"/>
  <c r="AI525" i="1"/>
  <c r="AI149" i="1"/>
  <c r="AH589" i="1"/>
  <c r="AI589" i="1" s="1"/>
  <c r="AH622" i="1"/>
  <c r="AI622" i="1" s="1"/>
  <c r="AP589" i="1"/>
  <c r="AP622" i="1"/>
  <c r="F590" i="1"/>
  <c r="F623" i="1"/>
  <c r="O150" i="1"/>
  <c r="O310" i="1"/>
  <c r="O526" i="1"/>
  <c r="O493" i="1" s="1"/>
  <c r="W310" i="1"/>
  <c r="AF310" i="1"/>
  <c r="AO77" i="1"/>
  <c r="AN150" i="1"/>
  <c r="AN310" i="1"/>
  <c r="AN526" i="1"/>
  <c r="AR526" i="1"/>
  <c r="AQ493" i="1"/>
  <c r="AR493" i="1" s="1"/>
  <c r="AR150" i="1"/>
  <c r="AQ590" i="1"/>
  <c r="AQ623" i="1"/>
  <c r="H527" i="1"/>
  <c r="G494" i="1"/>
  <c r="H494" i="1" s="1"/>
  <c r="H151" i="1"/>
  <c r="G591" i="1"/>
  <c r="G624" i="1"/>
  <c r="Q78" i="1"/>
  <c r="P151" i="1"/>
  <c r="P311" i="1"/>
  <c r="P527" i="1"/>
  <c r="T527" i="1"/>
  <c r="S494" i="1"/>
  <c r="T494" i="1" s="1"/>
  <c r="T151" i="1"/>
  <c r="S591" i="1"/>
  <c r="S624" i="1"/>
  <c r="AF311" i="1"/>
  <c r="AO78" i="1"/>
  <c r="AN151" i="1"/>
  <c r="AN311" i="1"/>
  <c r="AN527" i="1"/>
  <c r="AR527" i="1"/>
  <c r="AQ494" i="1"/>
  <c r="AR494" i="1" s="1"/>
  <c r="AR151" i="1"/>
  <c r="AQ591" i="1"/>
  <c r="AQ624" i="1"/>
  <c r="H528" i="1"/>
  <c r="G495" i="1"/>
  <c r="H495" i="1" s="1"/>
  <c r="H152" i="1"/>
  <c r="G592" i="1"/>
  <c r="G625" i="1"/>
  <c r="Q79" i="1"/>
  <c r="P152" i="1"/>
  <c r="P312" i="1"/>
  <c r="Q312" i="1" s="1"/>
  <c r="P528" i="1"/>
  <c r="T528" i="1"/>
  <c r="S495" i="1"/>
  <c r="T495" i="1" s="1"/>
  <c r="T152" i="1"/>
  <c r="S592" i="1"/>
  <c r="S625" i="1"/>
  <c r="AF312" i="1"/>
  <c r="AO79" i="1"/>
  <c r="AN152" i="1"/>
  <c r="AN312" i="1"/>
  <c r="AN528" i="1"/>
  <c r="AR528" i="1"/>
  <c r="AQ495" i="1"/>
  <c r="AR495" i="1" s="1"/>
  <c r="AR152" i="1"/>
  <c r="AQ592" i="1"/>
  <c r="AQ625" i="1"/>
  <c r="H529" i="1"/>
  <c r="G496" i="1"/>
  <c r="H496" i="1" s="1"/>
  <c r="H153" i="1"/>
  <c r="G593" i="1"/>
  <c r="G626" i="1"/>
  <c r="Q80" i="1"/>
  <c r="P153" i="1"/>
  <c r="P313" i="1"/>
  <c r="P529" i="1"/>
  <c r="T529" i="1"/>
  <c r="S496" i="1"/>
  <c r="T496" i="1" s="1"/>
  <c r="T153" i="1"/>
  <c r="S593" i="1"/>
  <c r="S626" i="1"/>
  <c r="AF313" i="1"/>
  <c r="AO80" i="1"/>
  <c r="AN153" i="1"/>
  <c r="AN313" i="1"/>
  <c r="AN529" i="1"/>
  <c r="AR529" i="1"/>
  <c r="AQ496" i="1"/>
  <c r="AR496" i="1" s="1"/>
  <c r="AR153" i="1"/>
  <c r="AQ593" i="1"/>
  <c r="AQ626" i="1"/>
  <c r="H530" i="1"/>
  <c r="G497" i="1"/>
  <c r="H497" i="1" s="1"/>
  <c r="H154" i="1"/>
  <c r="G594" i="1"/>
  <c r="G627" i="1"/>
  <c r="Q81" i="1"/>
  <c r="P154" i="1"/>
  <c r="P314" i="1"/>
  <c r="Q314" i="1" s="1"/>
  <c r="P530" i="1"/>
  <c r="T530" i="1"/>
  <c r="S497" i="1"/>
  <c r="T497" i="1" s="1"/>
  <c r="T154" i="1"/>
  <c r="S594" i="1"/>
  <c r="S627" i="1"/>
  <c r="AF314" i="1"/>
  <c r="AO81" i="1"/>
  <c r="AN154" i="1"/>
  <c r="AN314" i="1"/>
  <c r="AN530" i="1"/>
  <c r="AR530" i="1"/>
  <c r="AQ497" i="1"/>
  <c r="AR497" i="1" s="1"/>
  <c r="AR154" i="1"/>
  <c r="AQ594" i="1"/>
  <c r="AQ627" i="1"/>
  <c r="H531" i="1"/>
  <c r="G498" i="1"/>
  <c r="H498" i="1" s="1"/>
  <c r="H155" i="1"/>
  <c r="G595" i="1"/>
  <c r="G628" i="1"/>
  <c r="Q82" i="1"/>
  <c r="P155" i="1"/>
  <c r="P315" i="1"/>
  <c r="P531" i="1"/>
  <c r="T531" i="1"/>
  <c r="S498" i="1"/>
  <c r="T498" i="1" s="1"/>
  <c r="T155" i="1"/>
  <c r="S595" i="1"/>
  <c r="S628" i="1"/>
  <c r="AF315" i="1"/>
  <c r="AO82" i="1"/>
  <c r="AN155" i="1"/>
  <c r="AN315" i="1"/>
  <c r="AN531" i="1"/>
  <c r="AR531" i="1"/>
  <c r="AQ498" i="1"/>
  <c r="AR498" i="1" s="1"/>
  <c r="AR155" i="1"/>
  <c r="AQ595" i="1"/>
  <c r="AQ628" i="1"/>
  <c r="H532" i="1"/>
  <c r="G499" i="1"/>
  <c r="H499" i="1" s="1"/>
  <c r="H156" i="1"/>
  <c r="G596" i="1"/>
  <c r="G629" i="1"/>
  <c r="Q83" i="1"/>
  <c r="P156" i="1"/>
  <c r="P316" i="1"/>
  <c r="P532" i="1"/>
  <c r="T532" i="1"/>
  <c r="S499" i="1"/>
  <c r="T499" i="1" s="1"/>
  <c r="T156" i="1"/>
  <c r="S596" i="1"/>
  <c r="S629" i="1"/>
  <c r="AF316" i="1"/>
  <c r="AO83" i="1"/>
  <c r="AN156" i="1"/>
  <c r="AN316" i="1"/>
  <c r="AN532" i="1"/>
  <c r="AR532" i="1"/>
  <c r="AQ499" i="1"/>
  <c r="AR499" i="1" s="1"/>
  <c r="AR156" i="1"/>
  <c r="AQ596" i="1"/>
  <c r="AQ629" i="1"/>
  <c r="D157" i="1"/>
  <c r="D317" i="1"/>
  <c r="D533" i="1"/>
  <c r="D500" i="1" s="1"/>
  <c r="O84" i="1"/>
  <c r="O158" i="1"/>
  <c r="O318" i="1"/>
  <c r="O534" i="1"/>
  <c r="O501" i="1" s="1"/>
  <c r="F157" i="1"/>
  <c r="F317" i="1"/>
  <c r="F533" i="1"/>
  <c r="F500" i="1" s="1"/>
  <c r="L598" i="1"/>
  <c r="L631" i="1"/>
  <c r="R598" i="1"/>
  <c r="R631" i="1"/>
  <c r="R157" i="1"/>
  <c r="R317" i="1"/>
  <c r="R533" i="1"/>
  <c r="R500" i="1" s="1"/>
  <c r="X598" i="1"/>
  <c r="X631" i="1"/>
  <c r="AD598" i="1"/>
  <c r="AD631" i="1"/>
  <c r="AD157" i="1"/>
  <c r="AD317" i="1"/>
  <c r="AD533" i="1"/>
  <c r="AD500" i="1" s="1"/>
  <c r="AJ598" i="1"/>
  <c r="AJ631" i="1"/>
  <c r="AP598" i="1"/>
  <c r="AP631" i="1"/>
  <c r="AP157" i="1"/>
  <c r="AP317" i="1"/>
  <c r="AP533" i="1"/>
  <c r="AP500" i="1" s="1"/>
  <c r="AV598" i="1"/>
  <c r="AV631" i="1"/>
  <c r="D599" i="1"/>
  <c r="D632" i="1"/>
  <c r="O159" i="1"/>
  <c r="O319" i="1"/>
  <c r="O535" i="1"/>
  <c r="O502" i="1" s="1"/>
  <c r="J502" i="1"/>
  <c r="K502" i="1" s="1"/>
  <c r="K535" i="1"/>
  <c r="K159" i="1"/>
  <c r="J599" i="1"/>
  <c r="J632" i="1"/>
  <c r="L599" i="1"/>
  <c r="L632" i="1"/>
  <c r="AA159" i="1"/>
  <c r="AA319" i="1"/>
  <c r="AA535" i="1"/>
  <c r="AA502" i="1" s="1"/>
  <c r="AD599" i="1"/>
  <c r="AD632" i="1"/>
  <c r="AH502" i="1"/>
  <c r="AI502" i="1" s="1"/>
  <c r="AI535" i="1"/>
  <c r="AI159" i="1"/>
  <c r="AH599" i="1"/>
  <c r="AH632" i="1"/>
  <c r="AJ599" i="1"/>
  <c r="AJ632" i="1"/>
  <c r="AY159" i="1"/>
  <c r="AY319" i="1"/>
  <c r="AY535" i="1"/>
  <c r="AY502" i="1" s="1"/>
  <c r="D600" i="1"/>
  <c r="D633" i="1"/>
  <c r="O160" i="1"/>
  <c r="O320" i="1"/>
  <c r="O536" i="1"/>
  <c r="O503" i="1" s="1"/>
  <c r="J503" i="1"/>
  <c r="K503" i="1" s="1"/>
  <c r="K536" i="1"/>
  <c r="K160" i="1"/>
  <c r="J600" i="1"/>
  <c r="J633" i="1"/>
  <c r="L600" i="1"/>
  <c r="L633" i="1"/>
  <c r="AA160" i="1"/>
  <c r="AA320" i="1"/>
  <c r="AA536" i="1"/>
  <c r="AA503" i="1" s="1"/>
  <c r="AD600" i="1"/>
  <c r="AD633" i="1"/>
  <c r="AH503" i="1"/>
  <c r="AI503" i="1" s="1"/>
  <c r="AI536" i="1"/>
  <c r="AI160" i="1"/>
  <c r="AH600" i="1"/>
  <c r="AH633" i="1"/>
  <c r="AJ600" i="1"/>
  <c r="AJ633" i="1"/>
  <c r="AY160" i="1"/>
  <c r="AY320" i="1"/>
  <c r="AY536" i="1"/>
  <c r="AY503" i="1" s="1"/>
  <c r="D601" i="1"/>
  <c r="D634" i="1"/>
  <c r="O161" i="1"/>
  <c r="O321" i="1"/>
  <c r="O537" i="1"/>
  <c r="O504" i="1" s="1"/>
  <c r="J504" i="1"/>
  <c r="K504" i="1" s="1"/>
  <c r="K537" i="1"/>
  <c r="K161" i="1"/>
  <c r="J601" i="1"/>
  <c r="J634" i="1"/>
  <c r="L601" i="1"/>
  <c r="L634" i="1"/>
  <c r="AA161" i="1"/>
  <c r="AA321" i="1"/>
  <c r="AA537" i="1"/>
  <c r="AA504" i="1" s="1"/>
  <c r="AD601" i="1"/>
  <c r="AD634" i="1"/>
  <c r="AH504" i="1"/>
  <c r="AI504" i="1" s="1"/>
  <c r="AI537" i="1"/>
  <c r="AI161" i="1"/>
  <c r="AH601" i="1"/>
  <c r="AH634" i="1"/>
  <c r="AJ601" i="1"/>
  <c r="AJ634" i="1"/>
  <c r="AY161" i="1"/>
  <c r="AY321" i="1"/>
  <c r="AY537" i="1"/>
  <c r="AY504" i="1" s="1"/>
  <c r="D602" i="1"/>
  <c r="D635" i="1"/>
  <c r="O162" i="1"/>
  <c r="O322" i="1"/>
  <c r="O538" i="1"/>
  <c r="O505" i="1" s="1"/>
  <c r="J505" i="1"/>
  <c r="K505" i="1" s="1"/>
  <c r="K538" i="1"/>
  <c r="K162" i="1"/>
  <c r="J602" i="1"/>
  <c r="J635" i="1"/>
  <c r="L602" i="1"/>
  <c r="L635" i="1"/>
  <c r="AA162" i="1"/>
  <c r="AA322" i="1"/>
  <c r="AA538" i="1"/>
  <c r="AA505" i="1" s="1"/>
  <c r="AD602" i="1"/>
  <c r="AD635" i="1"/>
  <c r="AH505" i="1"/>
  <c r="AI505" i="1" s="1"/>
  <c r="AI538" i="1"/>
  <c r="AI162" i="1"/>
  <c r="AH602" i="1"/>
  <c r="AH635" i="1"/>
  <c r="AJ602" i="1"/>
  <c r="AJ635" i="1"/>
  <c r="AY162" i="1"/>
  <c r="AY322" i="1"/>
  <c r="AY538" i="1"/>
  <c r="AY505" i="1" s="1"/>
  <c r="D603" i="1"/>
  <c r="D636" i="1"/>
  <c r="O163" i="1"/>
  <c r="O323" i="1"/>
  <c r="O539" i="1"/>
  <c r="O506" i="1" s="1"/>
  <c r="J506" i="1"/>
  <c r="K506" i="1" s="1"/>
  <c r="K539" i="1"/>
  <c r="K163" i="1"/>
  <c r="J603" i="1"/>
  <c r="J636" i="1"/>
  <c r="L603" i="1"/>
  <c r="L636" i="1"/>
  <c r="AA163" i="1"/>
  <c r="AA323" i="1"/>
  <c r="AA539" i="1"/>
  <c r="AA506" i="1" s="1"/>
  <c r="AD603" i="1"/>
  <c r="AD636" i="1"/>
  <c r="AH506" i="1"/>
  <c r="AI506" i="1" s="1"/>
  <c r="AI539" i="1"/>
  <c r="AI163" i="1"/>
  <c r="AH603" i="1"/>
  <c r="AH636" i="1"/>
  <c r="AJ603" i="1"/>
  <c r="AJ636" i="1"/>
  <c r="AY163" i="1"/>
  <c r="AY323" i="1"/>
  <c r="AY539" i="1"/>
  <c r="AY506" i="1" s="1"/>
  <c r="D604" i="1"/>
  <c r="D637" i="1"/>
  <c r="O164" i="1"/>
  <c r="O324" i="1"/>
  <c r="O540" i="1"/>
  <c r="O507" i="1" s="1"/>
  <c r="J507" i="1"/>
  <c r="K507" i="1" s="1"/>
  <c r="K540" i="1"/>
  <c r="K164" i="1"/>
  <c r="J604" i="1"/>
  <c r="J637" i="1"/>
  <c r="L604" i="1"/>
  <c r="L637" i="1"/>
  <c r="AA164" i="1"/>
  <c r="AA324" i="1"/>
  <c r="AA540" i="1"/>
  <c r="AA507" i="1" s="1"/>
  <c r="AD604" i="1"/>
  <c r="AD637" i="1"/>
  <c r="AH507" i="1"/>
  <c r="AI507" i="1" s="1"/>
  <c r="AI540" i="1"/>
  <c r="AI164" i="1"/>
  <c r="AH604" i="1"/>
  <c r="AH637" i="1"/>
  <c r="AJ604" i="1"/>
  <c r="AJ637" i="1"/>
  <c r="AY164" i="1"/>
  <c r="AY324" i="1"/>
  <c r="AY540" i="1"/>
  <c r="AY507" i="1" s="1"/>
  <c r="D605" i="1"/>
  <c r="D638" i="1"/>
  <c r="O165" i="1"/>
  <c r="O325" i="1"/>
  <c r="O541" i="1"/>
  <c r="O508" i="1" s="1"/>
  <c r="J508" i="1"/>
  <c r="K508" i="1" s="1"/>
  <c r="K541" i="1"/>
  <c r="K165" i="1"/>
  <c r="J605" i="1"/>
  <c r="J638" i="1"/>
  <c r="L605" i="1"/>
  <c r="L638" i="1"/>
  <c r="AA165" i="1"/>
  <c r="AA325" i="1"/>
  <c r="AA541" i="1"/>
  <c r="AA508" i="1" s="1"/>
  <c r="AD605" i="1"/>
  <c r="AD638" i="1"/>
  <c r="AH508" i="1"/>
  <c r="AI508" i="1" s="1"/>
  <c r="AI541" i="1"/>
  <c r="AI165" i="1"/>
  <c r="AH605" i="1"/>
  <c r="AH638" i="1"/>
  <c r="AJ605" i="1"/>
  <c r="AJ638" i="1"/>
  <c r="AY165" i="1"/>
  <c r="AY325" i="1"/>
  <c r="AY541" i="1"/>
  <c r="AY508" i="1" s="1"/>
  <c r="D606" i="1"/>
  <c r="D639" i="1"/>
  <c r="O166" i="1"/>
  <c r="O326" i="1"/>
  <c r="O542" i="1"/>
  <c r="O509" i="1" s="1"/>
  <c r="J509" i="1"/>
  <c r="K509" i="1" s="1"/>
  <c r="K542" i="1"/>
  <c r="K166" i="1"/>
  <c r="J606" i="1"/>
  <c r="J639" i="1"/>
  <c r="L606" i="1"/>
  <c r="L639" i="1"/>
  <c r="AA166" i="1"/>
  <c r="AA326" i="1"/>
  <c r="AA542" i="1"/>
  <c r="AA509" i="1" s="1"/>
  <c r="AD606" i="1"/>
  <c r="AD639" i="1"/>
  <c r="AH509" i="1"/>
  <c r="AI509" i="1" s="1"/>
  <c r="AI542" i="1"/>
  <c r="AI166" i="1"/>
  <c r="AH606" i="1"/>
  <c r="AH639" i="1"/>
  <c r="AJ606" i="1"/>
  <c r="AJ639" i="1"/>
  <c r="AY166" i="1"/>
  <c r="AY326" i="1"/>
  <c r="AY542" i="1"/>
  <c r="AY509" i="1" s="1"/>
  <c r="D607" i="1"/>
  <c r="D640" i="1"/>
  <c r="O167" i="1"/>
  <c r="O327" i="1"/>
  <c r="O543" i="1"/>
  <c r="O510" i="1" s="1"/>
  <c r="J510" i="1"/>
  <c r="K510" i="1" s="1"/>
  <c r="K543" i="1"/>
  <c r="K167" i="1"/>
  <c r="J607" i="1"/>
  <c r="J640" i="1"/>
  <c r="L607" i="1"/>
  <c r="L640" i="1"/>
  <c r="AA167" i="1"/>
  <c r="AA327" i="1"/>
  <c r="AA543" i="1"/>
  <c r="AA510" i="1" s="1"/>
  <c r="AD607" i="1"/>
  <c r="AD640" i="1"/>
  <c r="AH510" i="1"/>
  <c r="AI510" i="1" s="1"/>
  <c r="AI543" i="1"/>
  <c r="AI167" i="1"/>
  <c r="AH607" i="1"/>
  <c r="AH640" i="1"/>
  <c r="AJ607" i="1"/>
  <c r="AJ640" i="1"/>
  <c r="AY167" i="1"/>
  <c r="AY327" i="1"/>
  <c r="AY543" i="1"/>
  <c r="AY510" i="1" s="1"/>
  <c r="D608" i="1"/>
  <c r="D641" i="1"/>
  <c r="O168" i="1"/>
  <c r="O328" i="1"/>
  <c r="O544" i="1"/>
  <c r="O511" i="1" s="1"/>
  <c r="J511" i="1"/>
  <c r="K511" i="1" s="1"/>
  <c r="K544" i="1"/>
  <c r="K168" i="1"/>
  <c r="J608" i="1"/>
  <c r="J641" i="1"/>
  <c r="L608" i="1"/>
  <c r="L641" i="1"/>
  <c r="AA168" i="1"/>
  <c r="AA328" i="1"/>
  <c r="AA544" i="1"/>
  <c r="AA511" i="1" s="1"/>
  <c r="AD608" i="1"/>
  <c r="AD641" i="1"/>
  <c r="AH511" i="1"/>
  <c r="AI511" i="1" s="1"/>
  <c r="AI544" i="1"/>
  <c r="AI168" i="1"/>
  <c r="AH608" i="1"/>
  <c r="AH641" i="1"/>
  <c r="AJ608" i="1"/>
  <c r="AJ641" i="1"/>
  <c r="AY168" i="1"/>
  <c r="AY328" i="1"/>
  <c r="AY544" i="1"/>
  <c r="AY511" i="1" s="1"/>
  <c r="D609" i="1"/>
  <c r="D642" i="1"/>
  <c r="O169" i="1"/>
  <c r="O329" i="1"/>
  <c r="O545" i="1"/>
  <c r="O512" i="1" s="1"/>
  <c r="J512" i="1"/>
  <c r="K512" i="1" s="1"/>
  <c r="K545" i="1"/>
  <c r="K169" i="1"/>
  <c r="J609" i="1"/>
  <c r="J642" i="1"/>
  <c r="L609" i="1"/>
  <c r="L642" i="1"/>
  <c r="AA169" i="1"/>
  <c r="AA329" i="1"/>
  <c r="AA545" i="1"/>
  <c r="AA512" i="1" s="1"/>
  <c r="AD609" i="1"/>
  <c r="AD642" i="1"/>
  <c r="AH512" i="1"/>
  <c r="AI512" i="1" s="1"/>
  <c r="AI545" i="1"/>
  <c r="AI169" i="1"/>
  <c r="AH609" i="1"/>
  <c r="AH642" i="1"/>
  <c r="AJ609" i="1"/>
  <c r="AJ642" i="1"/>
  <c r="AY169" i="1"/>
  <c r="AY329" i="1"/>
  <c r="AY545" i="1"/>
  <c r="AY512" i="1" s="1"/>
  <c r="W71" i="1"/>
  <c r="AU71" i="1"/>
  <c r="K308" i="1"/>
  <c r="K74" i="1"/>
  <c r="J73" i="1"/>
  <c r="J147" i="1"/>
  <c r="J307" i="1"/>
  <c r="K307" i="1" s="1"/>
  <c r="J523" i="1"/>
  <c r="R588" i="1"/>
  <c r="R621" i="1"/>
  <c r="AA74" i="1"/>
  <c r="AA148" i="1"/>
  <c r="AA308" i="1"/>
  <c r="AA524" i="1"/>
  <c r="AA491" i="1" s="1"/>
  <c r="AI308" i="1"/>
  <c r="AI74" i="1"/>
  <c r="AH73" i="1"/>
  <c r="AH147" i="1"/>
  <c r="AH307" i="1"/>
  <c r="AI307" i="1" s="1"/>
  <c r="AH523" i="1"/>
  <c r="AP588" i="1"/>
  <c r="AP621" i="1"/>
  <c r="AY74" i="1"/>
  <c r="AY148" i="1"/>
  <c r="AY308" i="1"/>
  <c r="AY524" i="1"/>
  <c r="AY491" i="1" s="1"/>
  <c r="BB149" i="1"/>
  <c r="BB309" i="1"/>
  <c r="BB525" i="1"/>
  <c r="BB492" i="1" s="1"/>
  <c r="V492" i="1"/>
  <c r="W492" i="1" s="1"/>
  <c r="W525" i="1"/>
  <c r="W149" i="1"/>
  <c r="V589" i="1"/>
  <c r="V622" i="1"/>
  <c r="AD589" i="1"/>
  <c r="AD622" i="1"/>
  <c r="AT492" i="1"/>
  <c r="AU492" i="1" s="1"/>
  <c r="AU525" i="1"/>
  <c r="AU149" i="1"/>
  <c r="AT589" i="1"/>
  <c r="AT622" i="1"/>
  <c r="AU622" i="1" s="1"/>
  <c r="K310" i="1"/>
  <c r="AA150" i="1"/>
  <c r="AA310" i="1"/>
  <c r="AA526" i="1"/>
  <c r="AA493" i="1" s="1"/>
  <c r="Z310" i="1"/>
  <c r="AL526" i="1"/>
  <c r="AK493" i="1"/>
  <c r="AL493" i="1" s="1"/>
  <c r="AL150" i="1"/>
  <c r="AK590" i="1"/>
  <c r="AK623" i="1"/>
  <c r="AS590" i="1"/>
  <c r="AS623" i="1"/>
  <c r="AX310" i="1"/>
  <c r="I591" i="1"/>
  <c r="I624" i="1"/>
  <c r="N311" i="1"/>
  <c r="Z527" i="1"/>
  <c r="Y494" i="1"/>
  <c r="Z494" i="1" s="1"/>
  <c r="Z151" i="1"/>
  <c r="Y591" i="1"/>
  <c r="Y624" i="1"/>
  <c r="AG591" i="1"/>
  <c r="AG624" i="1"/>
  <c r="AL311" i="1"/>
  <c r="AX527" i="1"/>
  <c r="AW494" i="1"/>
  <c r="AX494" i="1" s="1"/>
  <c r="AX151" i="1"/>
  <c r="AW591" i="1"/>
  <c r="AW624" i="1"/>
  <c r="BE591" i="1"/>
  <c r="BE624" i="1"/>
  <c r="E592" i="1"/>
  <c r="E625" i="1"/>
  <c r="N528" i="1"/>
  <c r="M495" i="1"/>
  <c r="N495" i="1" s="1"/>
  <c r="N152" i="1"/>
  <c r="M592" i="1"/>
  <c r="M625" i="1"/>
  <c r="U592" i="1"/>
  <c r="U625" i="1"/>
  <c r="Z312" i="1"/>
  <c r="AL528" i="1"/>
  <c r="AK495" i="1"/>
  <c r="AL495" i="1" s="1"/>
  <c r="AL152" i="1"/>
  <c r="AK592" i="1"/>
  <c r="AK625" i="1"/>
  <c r="AS592" i="1"/>
  <c r="AS625" i="1"/>
  <c r="AX312" i="1"/>
  <c r="I593" i="1"/>
  <c r="I626" i="1"/>
  <c r="N313" i="1"/>
  <c r="Z529" i="1"/>
  <c r="Y496" i="1"/>
  <c r="Z496" i="1" s="1"/>
  <c r="Z153" i="1"/>
  <c r="Y593" i="1"/>
  <c r="Y626" i="1"/>
  <c r="AG593" i="1"/>
  <c r="AG626" i="1"/>
  <c r="AL313" i="1"/>
  <c r="AX529" i="1"/>
  <c r="AW496" i="1"/>
  <c r="AX496" i="1" s="1"/>
  <c r="AX153" i="1"/>
  <c r="AW593" i="1"/>
  <c r="AW626" i="1"/>
  <c r="BE593" i="1"/>
  <c r="BE626" i="1"/>
  <c r="E594" i="1"/>
  <c r="E627" i="1"/>
  <c r="N530" i="1"/>
  <c r="M497" i="1"/>
  <c r="N497" i="1" s="1"/>
  <c r="N154" i="1"/>
  <c r="M594" i="1"/>
  <c r="M627" i="1"/>
  <c r="U594" i="1"/>
  <c r="U627" i="1"/>
  <c r="Z314" i="1"/>
  <c r="AL530" i="1"/>
  <c r="AK497" i="1"/>
  <c r="AL497" i="1" s="1"/>
  <c r="AL154" i="1"/>
  <c r="AK594" i="1"/>
  <c r="AK627" i="1"/>
  <c r="AS594" i="1"/>
  <c r="AS627" i="1"/>
  <c r="AX314" i="1"/>
  <c r="I595" i="1"/>
  <c r="I628" i="1"/>
  <c r="N315" i="1"/>
  <c r="Z531" i="1"/>
  <c r="Y498" i="1"/>
  <c r="Z498" i="1" s="1"/>
  <c r="Z155" i="1"/>
  <c r="Y595" i="1"/>
  <c r="Y628" i="1"/>
  <c r="AG595" i="1"/>
  <c r="AG628" i="1"/>
  <c r="AL315" i="1"/>
  <c r="AX531" i="1"/>
  <c r="AW498" i="1"/>
  <c r="AX498" i="1" s="1"/>
  <c r="AX155" i="1"/>
  <c r="AW595" i="1"/>
  <c r="AW628" i="1"/>
  <c r="BE595" i="1"/>
  <c r="BE628" i="1"/>
  <c r="E596" i="1"/>
  <c r="E629" i="1"/>
  <c r="N532" i="1"/>
  <c r="M499" i="1"/>
  <c r="N499" i="1" s="1"/>
  <c r="N156" i="1"/>
  <c r="M596" i="1"/>
  <c r="M629" i="1"/>
  <c r="U596" i="1"/>
  <c r="U629" i="1"/>
  <c r="Z316" i="1"/>
  <c r="AL532" i="1"/>
  <c r="AK499" i="1"/>
  <c r="AL499" i="1" s="1"/>
  <c r="AL156" i="1"/>
  <c r="AK596" i="1"/>
  <c r="AK629" i="1"/>
  <c r="AS596" i="1"/>
  <c r="AS629" i="1"/>
  <c r="AX316" i="1"/>
  <c r="E598" i="1"/>
  <c r="E631" i="1"/>
  <c r="H534" i="1"/>
  <c r="G501" i="1"/>
  <c r="H501" i="1" s="1"/>
  <c r="H158" i="1"/>
  <c r="G598" i="1"/>
  <c r="G631" i="1"/>
  <c r="H84" i="1"/>
  <c r="G157" i="1"/>
  <c r="G317" i="1"/>
  <c r="G533" i="1"/>
  <c r="I157" i="1"/>
  <c r="I317" i="1"/>
  <c r="I533" i="1"/>
  <c r="I500" i="1" s="1"/>
  <c r="N318" i="1"/>
  <c r="N84" i="1"/>
  <c r="M157" i="1"/>
  <c r="M317" i="1"/>
  <c r="M533" i="1"/>
  <c r="T534" i="1"/>
  <c r="S501" i="1"/>
  <c r="T501" i="1" s="1"/>
  <c r="T158" i="1"/>
  <c r="S598" i="1"/>
  <c r="T598" i="1" s="1"/>
  <c r="S631" i="1"/>
  <c r="AB84" i="1"/>
  <c r="AC85" i="1"/>
  <c r="AB158" i="1"/>
  <c r="AB318" i="1"/>
  <c r="AB534" i="1"/>
  <c r="U598" i="1"/>
  <c r="U631" i="1"/>
  <c r="Z534" i="1"/>
  <c r="Y501" i="1"/>
  <c r="Z501" i="1" s="1"/>
  <c r="Z158" i="1"/>
  <c r="Y631" i="1"/>
  <c r="Z631" i="1" s="1"/>
  <c r="Y598" i="1"/>
  <c r="AF318" i="1"/>
  <c r="AF84" i="1"/>
  <c r="AE157" i="1"/>
  <c r="AE317" i="1"/>
  <c r="AE533" i="1"/>
  <c r="AG157" i="1"/>
  <c r="AG317" i="1"/>
  <c r="AG533" i="1"/>
  <c r="AG500" i="1" s="1"/>
  <c r="AL318" i="1"/>
  <c r="AL84" i="1"/>
  <c r="AK157" i="1"/>
  <c r="AK317" i="1"/>
  <c r="AK533" i="1"/>
  <c r="AR534" i="1"/>
  <c r="AQ501" i="1"/>
  <c r="AR501" i="1" s="1"/>
  <c r="AR158" i="1"/>
  <c r="AQ598" i="1"/>
  <c r="AR598" i="1" s="1"/>
  <c r="AQ631" i="1"/>
  <c r="AZ84" i="1"/>
  <c r="BA85" i="1"/>
  <c r="AZ158" i="1"/>
  <c r="AZ318" i="1"/>
  <c r="AZ534" i="1"/>
  <c r="AS598" i="1"/>
  <c r="AS631" i="1"/>
  <c r="AX534" i="1"/>
  <c r="AW501" i="1"/>
  <c r="AX501" i="1" s="1"/>
  <c r="AX158" i="1"/>
  <c r="AW631" i="1"/>
  <c r="AW598" i="1"/>
  <c r="BE157" i="1"/>
  <c r="BE317" i="1"/>
  <c r="BE533" i="1"/>
  <c r="BE500" i="1" s="1"/>
  <c r="H535" i="1"/>
  <c r="G502" i="1"/>
  <c r="H502" i="1" s="1"/>
  <c r="H159" i="1"/>
  <c r="G599" i="1"/>
  <c r="G632" i="1"/>
  <c r="Q86" i="1"/>
  <c r="P159" i="1"/>
  <c r="P319" i="1"/>
  <c r="Q319" i="1" s="1"/>
  <c r="P535" i="1"/>
  <c r="I599" i="1"/>
  <c r="I632" i="1"/>
  <c r="N319" i="1"/>
  <c r="T319" i="1"/>
  <c r="AC86" i="1"/>
  <c r="AB159" i="1"/>
  <c r="AB319" i="1"/>
  <c r="AC319" i="1" s="1"/>
  <c r="AB535" i="1"/>
  <c r="U632" i="1"/>
  <c r="U599" i="1"/>
  <c r="Z319" i="1"/>
  <c r="AF319" i="1"/>
  <c r="AO86" i="1"/>
  <c r="AN159" i="1"/>
  <c r="AN319" i="1"/>
  <c r="AN535" i="1"/>
  <c r="AG599" i="1"/>
  <c r="AG632" i="1"/>
  <c r="AL319" i="1"/>
  <c r="AR319" i="1"/>
  <c r="BA86" i="1"/>
  <c r="AZ159" i="1"/>
  <c r="AZ319" i="1"/>
  <c r="BA319" i="1" s="1"/>
  <c r="AZ535" i="1"/>
  <c r="AS632" i="1"/>
  <c r="AS599" i="1"/>
  <c r="AX319" i="1"/>
  <c r="E600" i="1"/>
  <c r="E633" i="1"/>
  <c r="H320" i="1"/>
  <c r="BD87" i="1"/>
  <c r="BC160" i="1"/>
  <c r="BC320" i="1"/>
  <c r="BC536" i="1"/>
  <c r="N536" i="1"/>
  <c r="M503" i="1"/>
  <c r="N503" i="1" s="1"/>
  <c r="N160" i="1"/>
  <c r="M600" i="1"/>
  <c r="M633" i="1"/>
  <c r="T536" i="1"/>
  <c r="S503" i="1"/>
  <c r="T503" i="1" s="1"/>
  <c r="T160" i="1"/>
  <c r="S600" i="1"/>
  <c r="S633" i="1"/>
  <c r="Z536" i="1"/>
  <c r="Y503" i="1"/>
  <c r="Z503" i="1" s="1"/>
  <c r="Z160" i="1"/>
  <c r="Y633" i="1"/>
  <c r="Y600" i="1"/>
  <c r="AF536" i="1"/>
  <c r="AE503" i="1"/>
  <c r="AF503" i="1" s="1"/>
  <c r="AF160" i="1"/>
  <c r="AE600" i="1"/>
  <c r="AE633" i="1"/>
  <c r="AL536" i="1"/>
  <c r="AK503" i="1"/>
  <c r="AL503" i="1" s="1"/>
  <c r="AL160" i="1"/>
  <c r="AK600" i="1"/>
  <c r="AK633" i="1"/>
  <c r="AR536" i="1"/>
  <c r="AQ503" i="1"/>
  <c r="AR503" i="1" s="1"/>
  <c r="AR160" i="1"/>
  <c r="AQ600" i="1"/>
  <c r="AQ633" i="1"/>
  <c r="AX536" i="1"/>
  <c r="AW503" i="1"/>
  <c r="AX503" i="1" s="1"/>
  <c r="AX160" i="1"/>
  <c r="AW633" i="1"/>
  <c r="AW600" i="1"/>
  <c r="BE633" i="1"/>
  <c r="BE600" i="1"/>
  <c r="H537" i="1"/>
  <c r="G504" i="1"/>
  <c r="H504" i="1" s="1"/>
  <c r="H161" i="1"/>
  <c r="G601" i="1"/>
  <c r="G634" i="1"/>
  <c r="Q88" i="1"/>
  <c r="P161" i="1"/>
  <c r="P321" i="1"/>
  <c r="Q321" i="1" s="1"/>
  <c r="P537" i="1"/>
  <c r="I601" i="1"/>
  <c r="I634" i="1"/>
  <c r="N321" i="1"/>
  <c r="T321" i="1"/>
  <c r="AC88" i="1"/>
  <c r="AB161" i="1"/>
  <c r="AB321" i="1"/>
  <c r="AC321" i="1" s="1"/>
  <c r="AB537" i="1"/>
  <c r="U634" i="1"/>
  <c r="U601" i="1"/>
  <c r="Z321" i="1"/>
  <c r="AF321" i="1"/>
  <c r="AO88" i="1"/>
  <c r="AN161" i="1"/>
  <c r="AN321" i="1"/>
  <c r="AN537" i="1"/>
  <c r="AG601" i="1"/>
  <c r="AG634" i="1"/>
  <c r="AL321" i="1"/>
  <c r="AR321" i="1"/>
  <c r="BA88" i="1"/>
  <c r="AZ161" i="1"/>
  <c r="AZ321" i="1"/>
  <c r="BA321" i="1" s="1"/>
  <c r="AZ537" i="1"/>
  <c r="AS634" i="1"/>
  <c r="AS601" i="1"/>
  <c r="AX321" i="1"/>
  <c r="E602" i="1"/>
  <c r="E635" i="1"/>
  <c r="H322" i="1"/>
  <c r="BD89" i="1"/>
  <c r="BC162" i="1"/>
  <c r="BC322" i="1"/>
  <c r="BC538" i="1"/>
  <c r="N538" i="1"/>
  <c r="M505" i="1"/>
  <c r="N505" i="1" s="1"/>
  <c r="N162" i="1"/>
  <c r="M602" i="1"/>
  <c r="M635" i="1"/>
  <c r="T538" i="1"/>
  <c r="S505" i="1"/>
  <c r="T505" i="1" s="1"/>
  <c r="T162" i="1"/>
  <c r="S602" i="1"/>
  <c r="S635" i="1"/>
  <c r="Z538" i="1"/>
  <c r="Y505" i="1"/>
  <c r="Z505" i="1" s="1"/>
  <c r="Z162" i="1"/>
  <c r="Y635" i="1"/>
  <c r="Y602" i="1"/>
  <c r="AF538" i="1"/>
  <c r="AE505" i="1"/>
  <c r="AF505" i="1" s="1"/>
  <c r="AF162" i="1"/>
  <c r="AE602" i="1"/>
  <c r="AE635" i="1"/>
  <c r="AL538" i="1"/>
  <c r="AK505" i="1"/>
  <c r="AL505" i="1" s="1"/>
  <c r="AL162" i="1"/>
  <c r="AK602" i="1"/>
  <c r="AK635" i="1"/>
  <c r="AR538" i="1"/>
  <c r="AQ505" i="1"/>
  <c r="AR505" i="1" s="1"/>
  <c r="AR162" i="1"/>
  <c r="AQ602" i="1"/>
  <c r="AQ635" i="1"/>
  <c r="AX538" i="1"/>
  <c r="AW505" i="1"/>
  <c r="AX505" i="1" s="1"/>
  <c r="AX162" i="1"/>
  <c r="AW635" i="1"/>
  <c r="AW602" i="1"/>
  <c r="BE635" i="1"/>
  <c r="BE602" i="1"/>
  <c r="H539" i="1"/>
  <c r="G506" i="1"/>
  <c r="H506" i="1" s="1"/>
  <c r="H163" i="1"/>
  <c r="G603" i="1"/>
  <c r="G636" i="1"/>
  <c r="Q90" i="1"/>
  <c r="P163" i="1"/>
  <c r="P323" i="1"/>
  <c r="Q323" i="1" s="1"/>
  <c r="P539" i="1"/>
  <c r="I603" i="1"/>
  <c r="I636" i="1"/>
  <c r="N323" i="1"/>
  <c r="T323" i="1"/>
  <c r="AC90" i="1"/>
  <c r="AB163" i="1"/>
  <c r="AB323" i="1"/>
  <c r="AC323" i="1" s="1"/>
  <c r="AB539" i="1"/>
  <c r="U636" i="1"/>
  <c r="U603" i="1"/>
  <c r="Z323" i="1"/>
  <c r="AF323" i="1"/>
  <c r="AO90" i="1"/>
  <c r="AN163" i="1"/>
  <c r="AN323" i="1"/>
  <c r="AN539" i="1"/>
  <c r="AG603" i="1"/>
  <c r="AG636" i="1"/>
  <c r="AL323" i="1"/>
  <c r="AR323" i="1"/>
  <c r="BA90" i="1"/>
  <c r="AZ163" i="1"/>
  <c r="AZ323" i="1"/>
  <c r="BA323" i="1" s="1"/>
  <c r="AZ539" i="1"/>
  <c r="AS636" i="1"/>
  <c r="AS603" i="1"/>
  <c r="AX323" i="1"/>
  <c r="E604" i="1"/>
  <c r="E637" i="1"/>
  <c r="H324" i="1"/>
  <c r="BD91" i="1"/>
  <c r="BC164" i="1"/>
  <c r="BC324" i="1"/>
  <c r="BC540" i="1"/>
  <c r="N540" i="1"/>
  <c r="M507" i="1"/>
  <c r="N507" i="1" s="1"/>
  <c r="N164" i="1"/>
  <c r="M604" i="1"/>
  <c r="M637" i="1"/>
  <c r="T540" i="1"/>
  <c r="S507" i="1"/>
  <c r="T507" i="1" s="1"/>
  <c r="T164" i="1"/>
  <c r="S604" i="1"/>
  <c r="S637" i="1"/>
  <c r="Z540" i="1"/>
  <c r="Y507" i="1"/>
  <c r="Z507" i="1" s="1"/>
  <c r="Z164" i="1"/>
  <c r="Y637" i="1"/>
  <c r="Y604" i="1"/>
  <c r="AF540" i="1"/>
  <c r="AE507" i="1"/>
  <c r="AF507" i="1" s="1"/>
  <c r="AF164" i="1"/>
  <c r="AE604" i="1"/>
  <c r="AE637" i="1"/>
  <c r="AL540" i="1"/>
  <c r="AK507" i="1"/>
  <c r="AL507" i="1" s="1"/>
  <c r="AL164" i="1"/>
  <c r="AK604" i="1"/>
  <c r="AK637" i="1"/>
  <c r="AR540" i="1"/>
  <c r="AQ507" i="1"/>
  <c r="AR507" i="1" s="1"/>
  <c r="AR164" i="1"/>
  <c r="AQ604" i="1"/>
  <c r="AQ637" i="1"/>
  <c r="AX540" i="1"/>
  <c r="AW507" i="1"/>
  <c r="AX507" i="1" s="1"/>
  <c r="AX164" i="1"/>
  <c r="AW637" i="1"/>
  <c r="AW604" i="1"/>
  <c r="BE637" i="1"/>
  <c r="BE604" i="1"/>
  <c r="H541" i="1"/>
  <c r="G508" i="1"/>
  <c r="H508" i="1" s="1"/>
  <c r="H165" i="1"/>
  <c r="G605" i="1"/>
  <c r="G638" i="1"/>
  <c r="Q92" i="1"/>
  <c r="P165" i="1"/>
  <c r="P325" i="1"/>
  <c r="Q325" i="1" s="1"/>
  <c r="P541" i="1"/>
  <c r="I605" i="1"/>
  <c r="I638" i="1"/>
  <c r="N325" i="1"/>
  <c r="T325" i="1"/>
  <c r="AC92" i="1"/>
  <c r="AB165" i="1"/>
  <c r="AB325" i="1"/>
  <c r="AC325" i="1" s="1"/>
  <c r="AB541" i="1"/>
  <c r="U638" i="1"/>
  <c r="U605" i="1"/>
  <c r="Z325" i="1"/>
  <c r="AF325" i="1"/>
  <c r="AO92" i="1"/>
  <c r="AN165" i="1"/>
  <c r="AN325" i="1"/>
  <c r="AN541" i="1"/>
  <c r="AG605" i="1"/>
  <c r="AG638" i="1"/>
  <c r="AL325" i="1"/>
  <c r="AR325" i="1"/>
  <c r="BA92" i="1"/>
  <c r="AZ165" i="1"/>
  <c r="AZ325" i="1"/>
  <c r="BA325" i="1" s="1"/>
  <c r="AZ541" i="1"/>
  <c r="AS638" i="1"/>
  <c r="AS605" i="1"/>
  <c r="AX325" i="1"/>
  <c r="E606" i="1"/>
  <c r="E639" i="1"/>
  <c r="H326" i="1"/>
  <c r="BD93" i="1"/>
  <c r="BC166" i="1"/>
  <c r="BC326" i="1"/>
  <c r="BC542" i="1"/>
  <c r="N542" i="1"/>
  <c r="M509" i="1"/>
  <c r="N509" i="1" s="1"/>
  <c r="N166" i="1"/>
  <c r="M606" i="1"/>
  <c r="M639" i="1"/>
  <c r="T542" i="1"/>
  <c r="S509" i="1"/>
  <c r="T509" i="1" s="1"/>
  <c r="T166" i="1"/>
  <c r="S606" i="1"/>
  <c r="S639" i="1"/>
  <c r="Z542" i="1"/>
  <c r="Y509" i="1"/>
  <c r="Z509" i="1" s="1"/>
  <c r="Z166" i="1"/>
  <c r="Y639" i="1"/>
  <c r="Y606" i="1"/>
  <c r="AF542" i="1"/>
  <c r="AE509" i="1"/>
  <c r="AF509" i="1" s="1"/>
  <c r="AF166" i="1"/>
  <c r="AE606" i="1"/>
  <c r="AE639" i="1"/>
  <c r="AL542" i="1"/>
  <c r="AK509" i="1"/>
  <c r="AL509" i="1" s="1"/>
  <c r="AL166" i="1"/>
  <c r="AK606" i="1"/>
  <c r="AK639" i="1"/>
  <c r="AR542" i="1"/>
  <c r="AQ509" i="1"/>
  <c r="AR509" i="1" s="1"/>
  <c r="AR166" i="1"/>
  <c r="AQ606" i="1"/>
  <c r="AQ639" i="1"/>
  <c r="AX542" i="1"/>
  <c r="AW509" i="1"/>
  <c r="AX509" i="1" s="1"/>
  <c r="AX166" i="1"/>
  <c r="AW639" i="1"/>
  <c r="AW606" i="1"/>
  <c r="BE639" i="1"/>
  <c r="BE606" i="1"/>
  <c r="H543" i="1"/>
  <c r="G510" i="1"/>
  <c r="H510" i="1" s="1"/>
  <c r="H167" i="1"/>
  <c r="G607" i="1"/>
  <c r="G640" i="1"/>
  <c r="Q94" i="1"/>
  <c r="P167" i="1"/>
  <c r="P327" i="1"/>
  <c r="Q327" i="1" s="1"/>
  <c r="P543" i="1"/>
  <c r="I607" i="1"/>
  <c r="I640" i="1"/>
  <c r="N327" i="1"/>
  <c r="T327" i="1"/>
  <c r="AC94" i="1"/>
  <c r="AB167" i="1"/>
  <c r="AB327" i="1"/>
  <c r="AC327" i="1" s="1"/>
  <c r="AB543" i="1"/>
  <c r="U640" i="1"/>
  <c r="U607" i="1"/>
  <c r="Z327" i="1"/>
  <c r="AF327" i="1"/>
  <c r="AO94" i="1"/>
  <c r="AN167" i="1"/>
  <c r="AN327" i="1"/>
  <c r="AN543" i="1"/>
  <c r="AG607" i="1"/>
  <c r="AG640" i="1"/>
  <c r="AL327" i="1"/>
  <c r="AR327" i="1"/>
  <c r="BA94" i="1"/>
  <c r="AZ167" i="1"/>
  <c r="AZ327" i="1"/>
  <c r="BA327" i="1" s="1"/>
  <c r="AZ543" i="1"/>
  <c r="AS640" i="1"/>
  <c r="AS607" i="1"/>
  <c r="AX327" i="1"/>
  <c r="E608" i="1"/>
  <c r="E641" i="1"/>
  <c r="H328" i="1"/>
  <c r="BD95" i="1"/>
  <c r="BC168" i="1"/>
  <c r="BC328" i="1"/>
  <c r="BC544" i="1"/>
  <c r="N544" i="1"/>
  <c r="M511" i="1"/>
  <c r="N511" i="1" s="1"/>
  <c r="N168" i="1"/>
  <c r="M608" i="1"/>
  <c r="M641" i="1"/>
  <c r="T544" i="1"/>
  <c r="S511" i="1"/>
  <c r="T511" i="1" s="1"/>
  <c r="T168" i="1"/>
  <c r="S608" i="1"/>
  <c r="S641" i="1"/>
  <c r="Z544" i="1"/>
  <c r="Y511" i="1"/>
  <c r="Z511" i="1" s="1"/>
  <c r="Z168" i="1"/>
  <c r="Y641" i="1"/>
  <c r="Y608" i="1"/>
  <c r="AF544" i="1"/>
  <c r="AE511" i="1"/>
  <c r="AF511" i="1" s="1"/>
  <c r="AF168" i="1"/>
  <c r="AE608" i="1"/>
  <c r="AE641" i="1"/>
  <c r="AL544" i="1"/>
  <c r="AK511" i="1"/>
  <c r="AL511" i="1" s="1"/>
  <c r="AL168" i="1"/>
  <c r="AK608" i="1"/>
  <c r="AK641" i="1"/>
  <c r="AR544" i="1"/>
  <c r="AQ511" i="1"/>
  <c r="AR511" i="1" s="1"/>
  <c r="AR168" i="1"/>
  <c r="AQ608" i="1"/>
  <c r="AQ641" i="1"/>
  <c r="AX544" i="1"/>
  <c r="AW511" i="1"/>
  <c r="AX511" i="1" s="1"/>
  <c r="AX168" i="1"/>
  <c r="AW641" i="1"/>
  <c r="AW608" i="1"/>
  <c r="BE641" i="1"/>
  <c r="BE608" i="1"/>
  <c r="H545" i="1"/>
  <c r="G512" i="1"/>
  <c r="H512" i="1" s="1"/>
  <c r="H169" i="1"/>
  <c r="G609" i="1"/>
  <c r="G642" i="1"/>
  <c r="Q96" i="1"/>
  <c r="P169" i="1"/>
  <c r="P329" i="1"/>
  <c r="Q329" i="1" s="1"/>
  <c r="P545" i="1"/>
  <c r="I609" i="1"/>
  <c r="I642" i="1"/>
  <c r="N329" i="1"/>
  <c r="T329" i="1"/>
  <c r="AC96" i="1"/>
  <c r="AB169" i="1"/>
  <c r="AB329" i="1"/>
  <c r="AC329" i="1" s="1"/>
  <c r="AB545" i="1"/>
  <c r="U642" i="1"/>
  <c r="U609" i="1"/>
  <c r="Z329" i="1"/>
  <c r="AL545" i="1"/>
  <c r="AK512" i="1"/>
  <c r="AL512" i="1" s="1"/>
  <c r="AL169" i="1"/>
  <c r="AK642" i="1"/>
  <c r="AL642" i="1" s="1"/>
  <c r="AK609" i="1"/>
  <c r="AS642" i="1"/>
  <c r="AS609" i="1"/>
  <c r="AX329" i="1"/>
  <c r="E610" i="1"/>
  <c r="E643" i="1"/>
  <c r="Q97" i="1"/>
  <c r="P170" i="1"/>
  <c r="P330" i="1"/>
  <c r="P546" i="1"/>
  <c r="BD97" i="1"/>
  <c r="BC170" i="1"/>
  <c r="BC330" i="1"/>
  <c r="BC546" i="1"/>
  <c r="N546" i="1"/>
  <c r="M513" i="1"/>
  <c r="N513" i="1" s="1"/>
  <c r="N170" i="1"/>
  <c r="M610" i="1"/>
  <c r="M643" i="1"/>
  <c r="T546" i="1"/>
  <c r="S513" i="1"/>
  <c r="T513" i="1" s="1"/>
  <c r="T170" i="1"/>
  <c r="S610" i="1"/>
  <c r="S643" i="1"/>
  <c r="Z546" i="1"/>
  <c r="Y513" i="1"/>
  <c r="Z513" i="1" s="1"/>
  <c r="Z170" i="1"/>
  <c r="Y643" i="1"/>
  <c r="Y610" i="1"/>
  <c r="AF546" i="1"/>
  <c r="AE513" i="1"/>
  <c r="AF513" i="1" s="1"/>
  <c r="AF170" i="1"/>
  <c r="AE610" i="1"/>
  <c r="AE643" i="1"/>
  <c r="AL546" i="1"/>
  <c r="AK513" i="1"/>
  <c r="AL513" i="1" s="1"/>
  <c r="AL170" i="1"/>
  <c r="AK610" i="1"/>
  <c r="AK643" i="1"/>
  <c r="AR546" i="1"/>
  <c r="AQ513" i="1"/>
  <c r="AR513" i="1" s="1"/>
  <c r="AR170" i="1"/>
  <c r="AQ610" i="1"/>
  <c r="AQ643" i="1"/>
  <c r="AX546" i="1"/>
  <c r="AW513" i="1"/>
  <c r="AX513" i="1" s="1"/>
  <c r="AX170" i="1"/>
  <c r="AW643" i="1"/>
  <c r="AW610" i="1"/>
  <c r="BE643" i="1"/>
  <c r="BE610" i="1"/>
  <c r="H547" i="1"/>
  <c r="G514" i="1"/>
  <c r="H514" i="1" s="1"/>
  <c r="H171" i="1"/>
  <c r="G611" i="1"/>
  <c r="G644" i="1"/>
  <c r="I611" i="1"/>
  <c r="I644" i="1"/>
  <c r="AC98" i="1"/>
  <c r="AB171" i="1"/>
  <c r="AB331" i="1"/>
  <c r="AB547" i="1"/>
  <c r="U644" i="1"/>
  <c r="U611" i="1"/>
  <c r="AO98" i="1"/>
  <c r="AN171" i="1"/>
  <c r="AN331" i="1"/>
  <c r="AN547" i="1"/>
  <c r="AG611" i="1"/>
  <c r="AG644" i="1"/>
  <c r="BA98" i="1"/>
  <c r="AZ171" i="1"/>
  <c r="AZ331" i="1"/>
  <c r="AZ547" i="1"/>
  <c r="AS644" i="1"/>
  <c r="AS611" i="1"/>
  <c r="E612" i="1"/>
  <c r="E645" i="1"/>
  <c r="Q99" i="1"/>
  <c r="P172" i="1"/>
  <c r="P332" i="1"/>
  <c r="P548" i="1"/>
  <c r="BD99" i="1"/>
  <c r="BC172" i="1"/>
  <c r="BC332" i="1"/>
  <c r="BC548" i="1"/>
  <c r="N548" i="1"/>
  <c r="M515" i="1"/>
  <c r="N515" i="1" s="1"/>
  <c r="N172" i="1"/>
  <c r="M612" i="1"/>
  <c r="M645" i="1"/>
  <c r="T548" i="1"/>
  <c r="S515" i="1"/>
  <c r="T515" i="1" s="1"/>
  <c r="T172" i="1"/>
  <c r="S612" i="1"/>
  <c r="S645" i="1"/>
  <c r="Z548" i="1"/>
  <c r="Y515" i="1"/>
  <c r="Z515" i="1" s="1"/>
  <c r="Z172" i="1"/>
  <c r="Y645" i="1"/>
  <c r="Y612" i="1"/>
  <c r="AF548" i="1"/>
  <c r="AE515" i="1"/>
  <c r="AF515" i="1" s="1"/>
  <c r="AF172" i="1"/>
  <c r="AE612" i="1"/>
  <c r="AE645" i="1"/>
  <c r="AL548" i="1"/>
  <c r="AK515" i="1"/>
  <c r="AL515" i="1" s="1"/>
  <c r="AL172" i="1"/>
  <c r="AK612" i="1"/>
  <c r="AK645" i="1"/>
  <c r="AR548" i="1"/>
  <c r="AQ515" i="1"/>
  <c r="AR515" i="1" s="1"/>
  <c r="AR172" i="1"/>
  <c r="AQ612" i="1"/>
  <c r="AQ645" i="1"/>
  <c r="AX548" i="1"/>
  <c r="AW515" i="1"/>
  <c r="AX515" i="1" s="1"/>
  <c r="AX172" i="1"/>
  <c r="AW645" i="1"/>
  <c r="AW612" i="1"/>
  <c r="BE645" i="1"/>
  <c r="BE612" i="1"/>
  <c r="H549" i="1"/>
  <c r="G516" i="1"/>
  <c r="H516" i="1" s="1"/>
  <c r="H173" i="1"/>
  <c r="G613" i="1"/>
  <c r="G646" i="1"/>
  <c r="I613" i="1"/>
  <c r="I646" i="1"/>
  <c r="AC100" i="1"/>
  <c r="AB173" i="1"/>
  <c r="AB333" i="1"/>
  <c r="AB549" i="1"/>
  <c r="U646" i="1"/>
  <c r="U613" i="1"/>
  <c r="AO100" i="1"/>
  <c r="AN173" i="1"/>
  <c r="AN333" i="1"/>
  <c r="AN549" i="1"/>
  <c r="AG613" i="1"/>
  <c r="AG646" i="1"/>
  <c r="BA100" i="1"/>
  <c r="AZ173" i="1"/>
  <c r="AZ333" i="1"/>
  <c r="AZ549" i="1"/>
  <c r="AS646" i="1"/>
  <c r="AS613" i="1"/>
  <c r="E614" i="1"/>
  <c r="E647" i="1"/>
  <c r="Q101" i="1"/>
  <c r="P174" i="1"/>
  <c r="P334" i="1"/>
  <c r="P550" i="1"/>
  <c r="BD101" i="1"/>
  <c r="BC174" i="1"/>
  <c r="BC334" i="1"/>
  <c r="BC550" i="1"/>
  <c r="N550" i="1"/>
  <c r="M517" i="1"/>
  <c r="N517" i="1" s="1"/>
  <c r="N174" i="1"/>
  <c r="M614" i="1"/>
  <c r="M647" i="1"/>
  <c r="T550" i="1"/>
  <c r="S517" i="1"/>
  <c r="T517" i="1" s="1"/>
  <c r="T174" i="1"/>
  <c r="S614" i="1"/>
  <c r="S647" i="1"/>
  <c r="Z550" i="1"/>
  <c r="Y517" i="1"/>
  <c r="Z517" i="1" s="1"/>
  <c r="Z174" i="1"/>
  <c r="Y647" i="1"/>
  <c r="Y614" i="1"/>
  <c r="AF550" i="1"/>
  <c r="AE517" i="1"/>
  <c r="AF517" i="1" s="1"/>
  <c r="AF174" i="1"/>
  <c r="AE614" i="1"/>
  <c r="AE647" i="1"/>
  <c r="AL550" i="1"/>
  <c r="AK517" i="1"/>
  <c r="AL517" i="1" s="1"/>
  <c r="AL174" i="1"/>
  <c r="AK614" i="1"/>
  <c r="AK647" i="1"/>
  <c r="AR550" i="1"/>
  <c r="AQ517" i="1"/>
  <c r="AR517" i="1" s="1"/>
  <c r="AR174" i="1"/>
  <c r="AQ614" i="1"/>
  <c r="AQ647" i="1"/>
  <c r="AX550" i="1"/>
  <c r="AW517" i="1"/>
  <c r="AX517" i="1" s="1"/>
  <c r="AX174" i="1"/>
  <c r="AW647" i="1"/>
  <c r="AW614" i="1"/>
  <c r="BE647" i="1"/>
  <c r="BE614" i="1"/>
  <c r="H551" i="1"/>
  <c r="G518" i="1"/>
  <c r="H518" i="1" s="1"/>
  <c r="H175" i="1"/>
  <c r="G615" i="1"/>
  <c r="G648" i="1"/>
  <c r="I615" i="1"/>
  <c r="I648" i="1"/>
  <c r="AC102" i="1"/>
  <c r="AB175" i="1"/>
  <c r="AB335" i="1"/>
  <c r="AB551" i="1"/>
  <c r="U648" i="1"/>
  <c r="U615" i="1"/>
  <c r="AO102" i="1"/>
  <c r="AN175" i="1"/>
  <c r="AN335" i="1"/>
  <c r="AN551" i="1"/>
  <c r="AG615" i="1"/>
  <c r="AG648" i="1"/>
  <c r="BA102" i="1"/>
  <c r="AZ175" i="1"/>
  <c r="AZ335" i="1"/>
  <c r="AZ551" i="1"/>
  <c r="AS648" i="1"/>
  <c r="AS615" i="1"/>
  <c r="E650" i="1"/>
  <c r="E617" i="1"/>
  <c r="H553" i="1"/>
  <c r="G520" i="1"/>
  <c r="H520" i="1" s="1"/>
  <c r="H177" i="1"/>
  <c r="G617" i="1"/>
  <c r="G650" i="1"/>
  <c r="H103" i="1"/>
  <c r="G176" i="1"/>
  <c r="G336" i="1"/>
  <c r="G552" i="1"/>
  <c r="I176" i="1"/>
  <c r="I336" i="1"/>
  <c r="I552" i="1"/>
  <c r="I519" i="1" s="1"/>
  <c r="T553" i="1"/>
  <c r="S520" i="1"/>
  <c r="T520" i="1" s="1"/>
  <c r="T177" i="1"/>
  <c r="S617" i="1"/>
  <c r="S650" i="1"/>
  <c r="U650" i="1"/>
  <c r="U617" i="1"/>
  <c r="Z553" i="1"/>
  <c r="Y520" i="1"/>
  <c r="Z520" i="1" s="1"/>
  <c r="Z177" i="1"/>
  <c r="Y617" i="1"/>
  <c r="Y650" i="1"/>
  <c r="Z103" i="1"/>
  <c r="Y176" i="1"/>
  <c r="Y336" i="1"/>
  <c r="Y552" i="1"/>
  <c r="AO104" i="1"/>
  <c r="AN103" i="1"/>
  <c r="AN177" i="1"/>
  <c r="AN337" i="1"/>
  <c r="AN553" i="1"/>
  <c r="AF103" i="1"/>
  <c r="AE176" i="1"/>
  <c r="AE336" i="1"/>
  <c r="AE552" i="1"/>
  <c r="AG176" i="1"/>
  <c r="AG336" i="1"/>
  <c r="AG552" i="1"/>
  <c r="AG519" i="1" s="1"/>
  <c r="AR553" i="1"/>
  <c r="AQ520" i="1"/>
  <c r="AR520" i="1" s="1"/>
  <c r="AR177" i="1"/>
  <c r="AQ617" i="1"/>
  <c r="AQ650" i="1"/>
  <c r="AS650" i="1"/>
  <c r="AS617" i="1"/>
  <c r="AX553" i="1"/>
  <c r="AW520" i="1"/>
  <c r="AX520" i="1" s="1"/>
  <c r="AX177" i="1"/>
  <c r="AW617" i="1"/>
  <c r="AW650" i="1"/>
  <c r="AX103" i="1"/>
  <c r="AW176" i="1"/>
  <c r="AW336" i="1"/>
  <c r="AW552" i="1"/>
  <c r="BE176" i="1"/>
  <c r="BE336" i="1"/>
  <c r="BE552" i="1"/>
  <c r="BE519" i="1" s="1"/>
  <c r="E105" i="1"/>
  <c r="E554" i="1" s="1"/>
  <c r="E555" i="1"/>
  <c r="Q107" i="1"/>
  <c r="P106" i="1"/>
  <c r="P556" i="1"/>
  <c r="BC106" i="1"/>
  <c r="BD107" i="1"/>
  <c r="BC556" i="1"/>
  <c r="M105" i="1"/>
  <c r="N106" i="1"/>
  <c r="M555" i="1"/>
  <c r="AC107" i="1"/>
  <c r="AB106" i="1"/>
  <c r="AB556" i="1"/>
  <c r="S105" i="1"/>
  <c r="T106" i="1"/>
  <c r="S555" i="1"/>
  <c r="U105" i="1"/>
  <c r="U554" i="1" s="1"/>
  <c r="U555" i="1"/>
  <c r="AK105" i="1"/>
  <c r="AL106" i="1"/>
  <c r="AK555" i="1"/>
  <c r="BA107" i="1"/>
  <c r="AZ106" i="1"/>
  <c r="AZ556" i="1"/>
  <c r="AQ105" i="1"/>
  <c r="AR106" i="1"/>
  <c r="AQ555" i="1"/>
  <c r="AS105" i="1"/>
  <c r="AS554" i="1" s="1"/>
  <c r="AS555" i="1"/>
  <c r="Q108" i="1"/>
  <c r="P557" i="1"/>
  <c r="Q557" i="1" s="1"/>
  <c r="BD108" i="1"/>
  <c r="BC557" i="1"/>
  <c r="AC109" i="1"/>
  <c r="AB558" i="1"/>
  <c r="AC558" i="1" s="1"/>
  <c r="AO109" i="1"/>
  <c r="AN558" i="1"/>
  <c r="AO558" i="1" s="1"/>
  <c r="BA109" i="1"/>
  <c r="AZ558" i="1"/>
  <c r="BA558" i="1" s="1"/>
  <c r="Q110" i="1"/>
  <c r="P559" i="1"/>
  <c r="Q559" i="1" s="1"/>
  <c r="BD110" i="1"/>
  <c r="BC559" i="1"/>
  <c r="AC111" i="1"/>
  <c r="AB560" i="1"/>
  <c r="AC560" i="1" s="1"/>
  <c r="AO111" i="1"/>
  <c r="AN560" i="1"/>
  <c r="AO560" i="1" s="1"/>
  <c r="BA111" i="1"/>
  <c r="AZ560" i="1"/>
  <c r="BA560" i="1" s="1"/>
  <c r="Q112" i="1"/>
  <c r="P561" i="1"/>
  <c r="Q561" i="1" s="1"/>
  <c r="BD112" i="1"/>
  <c r="BC561" i="1"/>
  <c r="AC113" i="1"/>
  <c r="AB562" i="1"/>
  <c r="AC562" i="1" s="1"/>
  <c r="AO113" i="1"/>
  <c r="AN562" i="1"/>
  <c r="AO562" i="1" s="1"/>
  <c r="BA113" i="1"/>
  <c r="AZ562" i="1"/>
  <c r="BA562" i="1" s="1"/>
  <c r="Q114" i="1"/>
  <c r="P563" i="1"/>
  <c r="Q563" i="1" s="1"/>
  <c r="BD114" i="1"/>
  <c r="BC563" i="1"/>
  <c r="H143" i="1"/>
  <c r="P143" i="1"/>
  <c r="T143" i="1"/>
  <c r="AO115" i="1"/>
  <c r="AN564" i="1"/>
  <c r="AO564" i="1" s="1"/>
  <c r="AR143" i="1"/>
  <c r="BA143" i="1"/>
  <c r="H116" i="1"/>
  <c r="G565" i="1"/>
  <c r="H565" i="1" s="1"/>
  <c r="Z116" i="1"/>
  <c r="Y565" i="1"/>
  <c r="Z565" i="1" s="1"/>
  <c r="AO117" i="1"/>
  <c r="AN116" i="1"/>
  <c r="AN566" i="1"/>
  <c r="AF116" i="1"/>
  <c r="AE565" i="1"/>
  <c r="AF565" i="1" s="1"/>
  <c r="AX116" i="1"/>
  <c r="AW565" i="1"/>
  <c r="AX565" i="1" s="1"/>
  <c r="AC118" i="1"/>
  <c r="AB567" i="1"/>
  <c r="AC567" i="1" s="1"/>
  <c r="AO118" i="1"/>
  <c r="AN567" i="1"/>
  <c r="AO567" i="1" s="1"/>
  <c r="BA118" i="1"/>
  <c r="AZ567" i="1"/>
  <c r="BA567" i="1" s="1"/>
  <c r="Q119" i="1"/>
  <c r="P568" i="1"/>
  <c r="Q568" i="1" s="1"/>
  <c r="BD119" i="1"/>
  <c r="BC568" i="1"/>
  <c r="AC120" i="1"/>
  <c r="AB569" i="1"/>
  <c r="AC569" i="1" s="1"/>
  <c r="AO120" i="1"/>
  <c r="AN569" i="1"/>
  <c r="AO569" i="1" s="1"/>
  <c r="BA120" i="1"/>
  <c r="AZ569" i="1"/>
  <c r="BA569" i="1" s="1"/>
  <c r="Q121" i="1"/>
  <c r="P570" i="1"/>
  <c r="Q570" i="1" s="1"/>
  <c r="BD121" i="1"/>
  <c r="BC570" i="1"/>
  <c r="AC122" i="1"/>
  <c r="AB571" i="1"/>
  <c r="AC571" i="1" s="1"/>
  <c r="AO122" i="1"/>
  <c r="AN571" i="1"/>
  <c r="AO571" i="1" s="1"/>
  <c r="BA122" i="1"/>
  <c r="AZ571" i="1"/>
  <c r="BA571" i="1" s="1"/>
  <c r="Q123" i="1"/>
  <c r="P572" i="1"/>
  <c r="Q572" i="1" s="1"/>
  <c r="BD123" i="1"/>
  <c r="BC572" i="1"/>
  <c r="AC124" i="1"/>
  <c r="AB573" i="1"/>
  <c r="AC573" i="1" s="1"/>
  <c r="AO124" i="1"/>
  <c r="AN573" i="1"/>
  <c r="AO573" i="1" s="1"/>
  <c r="BA124" i="1"/>
  <c r="AZ573" i="1"/>
  <c r="BA573" i="1" s="1"/>
  <c r="Q125" i="1"/>
  <c r="P574" i="1"/>
  <c r="Q574" i="1" s="1"/>
  <c r="BD125" i="1"/>
  <c r="BC574" i="1"/>
  <c r="AC126" i="1"/>
  <c r="AB575" i="1"/>
  <c r="AC575" i="1" s="1"/>
  <c r="AO126" i="1"/>
  <c r="AN575" i="1"/>
  <c r="AO575" i="1" s="1"/>
  <c r="BA126" i="1"/>
  <c r="AZ575" i="1"/>
  <c r="BA575" i="1" s="1"/>
  <c r="Q127" i="1"/>
  <c r="P576" i="1"/>
  <c r="Q576" i="1" s="1"/>
  <c r="BD127" i="1"/>
  <c r="BC576" i="1"/>
  <c r="AC128" i="1"/>
  <c r="AB577" i="1"/>
  <c r="AC577" i="1" s="1"/>
  <c r="AO128" i="1"/>
  <c r="AN577" i="1"/>
  <c r="AO577" i="1" s="1"/>
  <c r="BA128" i="1"/>
  <c r="AZ577" i="1"/>
  <c r="BA577" i="1" s="1"/>
  <c r="Q129" i="1"/>
  <c r="P578" i="1"/>
  <c r="Q578" i="1" s="1"/>
  <c r="BD129" i="1"/>
  <c r="BC578" i="1"/>
  <c r="AC130" i="1"/>
  <c r="AB579" i="1"/>
  <c r="AC579" i="1" s="1"/>
  <c r="AO130" i="1"/>
  <c r="AN579" i="1"/>
  <c r="AO579" i="1" s="1"/>
  <c r="BA130" i="1"/>
  <c r="AZ579" i="1"/>
  <c r="BA579" i="1" s="1"/>
  <c r="Q131" i="1"/>
  <c r="P580" i="1"/>
  <c r="Q580" i="1" s="1"/>
  <c r="BD131" i="1"/>
  <c r="BC580" i="1"/>
  <c r="AC132" i="1"/>
  <c r="AB581" i="1"/>
  <c r="AC581" i="1" s="1"/>
  <c r="AO132" i="1"/>
  <c r="AN581" i="1"/>
  <c r="AO581" i="1" s="1"/>
  <c r="BA132" i="1"/>
  <c r="AZ581" i="1"/>
  <c r="BA581" i="1" s="1"/>
  <c r="Q133" i="1"/>
  <c r="P582" i="1"/>
  <c r="Q582" i="1" s="1"/>
  <c r="BD133" i="1"/>
  <c r="BC582" i="1"/>
  <c r="AC134" i="1"/>
  <c r="AB583" i="1"/>
  <c r="AC583" i="1" s="1"/>
  <c r="AO134" i="1"/>
  <c r="AN583" i="1"/>
  <c r="AO583" i="1" s="1"/>
  <c r="BA134" i="1"/>
  <c r="AZ583" i="1"/>
  <c r="BA583" i="1" s="1"/>
  <c r="H144" i="1"/>
  <c r="P144" i="1"/>
  <c r="Q136" i="1"/>
  <c r="P135" i="1"/>
  <c r="P585" i="1"/>
  <c r="H135" i="1"/>
  <c r="G584" i="1"/>
  <c r="H584" i="1" s="1"/>
  <c r="AC136" i="1"/>
  <c r="AB135" i="1"/>
  <c r="AB585" i="1"/>
  <c r="T135" i="1"/>
  <c r="S584" i="1"/>
  <c r="T584" i="1" s="1"/>
  <c r="AO136" i="1"/>
  <c r="AN135" i="1"/>
  <c r="AN585" i="1"/>
  <c r="AF135" i="1"/>
  <c r="AE584" i="1"/>
  <c r="AF584" i="1" s="1"/>
  <c r="AZ135" i="1"/>
  <c r="BA136" i="1"/>
  <c r="AZ585" i="1"/>
  <c r="AR135" i="1"/>
  <c r="AQ584" i="1"/>
  <c r="AR584" i="1" s="1"/>
  <c r="AF545" i="1"/>
  <c r="AE512" i="1"/>
  <c r="AF512" i="1" s="1"/>
  <c r="AF169" i="1"/>
  <c r="AE609" i="1"/>
  <c r="AF609" i="1" s="1"/>
  <c r="AE642" i="1"/>
  <c r="AR329" i="1"/>
  <c r="BA96" i="1"/>
  <c r="AZ169" i="1"/>
  <c r="AZ329" i="1"/>
  <c r="AZ545" i="1"/>
  <c r="D610" i="1"/>
  <c r="D643" i="1"/>
  <c r="BB170" i="1"/>
  <c r="BB330" i="1"/>
  <c r="BB546" i="1"/>
  <c r="BB513" i="1" s="1"/>
  <c r="J513" i="1"/>
  <c r="K513" i="1" s="1"/>
  <c r="K546" i="1"/>
  <c r="K170" i="1"/>
  <c r="J610" i="1"/>
  <c r="J643" i="1"/>
  <c r="L610" i="1"/>
  <c r="L643" i="1"/>
  <c r="AA170" i="1"/>
  <c r="AA330" i="1"/>
  <c r="AA546" i="1"/>
  <c r="AA513" i="1" s="1"/>
  <c r="W330" i="1"/>
  <c r="AD610" i="1"/>
  <c r="AD643" i="1"/>
  <c r="AH513" i="1"/>
  <c r="AI513" i="1" s="1"/>
  <c r="AI546" i="1"/>
  <c r="AI170" i="1"/>
  <c r="AH610" i="1"/>
  <c r="AH643" i="1"/>
  <c r="AJ610" i="1"/>
  <c r="AJ643" i="1"/>
  <c r="AY170" i="1"/>
  <c r="AY330" i="1"/>
  <c r="AY546" i="1"/>
  <c r="AY513" i="1" s="1"/>
  <c r="AU330" i="1"/>
  <c r="D611" i="1"/>
  <c r="D644" i="1"/>
  <c r="BB171" i="1"/>
  <c r="BB331" i="1"/>
  <c r="BB547" i="1"/>
  <c r="BB514" i="1" s="1"/>
  <c r="J514" i="1"/>
  <c r="K514" i="1" s="1"/>
  <c r="K547" i="1"/>
  <c r="K171" i="1"/>
  <c r="J611" i="1"/>
  <c r="J644" i="1"/>
  <c r="L611" i="1"/>
  <c r="L644" i="1"/>
  <c r="AA171" i="1"/>
  <c r="AA331" i="1"/>
  <c r="AA547" i="1"/>
  <c r="AA514" i="1" s="1"/>
  <c r="W331" i="1"/>
  <c r="AD611" i="1"/>
  <c r="AD644" i="1"/>
  <c r="AH514" i="1"/>
  <c r="AI514" i="1" s="1"/>
  <c r="AI547" i="1"/>
  <c r="AI171" i="1"/>
  <c r="AH611" i="1"/>
  <c r="AI611" i="1" s="1"/>
  <c r="AH644" i="1"/>
  <c r="AI644" i="1" s="1"/>
  <c r="AJ611" i="1"/>
  <c r="AJ644" i="1"/>
  <c r="AY171" i="1"/>
  <c r="AY331" i="1"/>
  <c r="AY547" i="1"/>
  <c r="AY514" i="1" s="1"/>
  <c r="AU331" i="1"/>
  <c r="D612" i="1"/>
  <c r="D645" i="1"/>
  <c r="BB172" i="1"/>
  <c r="BB332" i="1"/>
  <c r="BB548" i="1"/>
  <c r="BB515" i="1" s="1"/>
  <c r="J515" i="1"/>
  <c r="K515" i="1" s="1"/>
  <c r="K548" i="1"/>
  <c r="K172" i="1"/>
  <c r="J612" i="1"/>
  <c r="J645" i="1"/>
  <c r="L612" i="1"/>
  <c r="L645" i="1"/>
  <c r="AA172" i="1"/>
  <c r="AA332" i="1"/>
  <c r="AA548" i="1"/>
  <c r="AA515" i="1" s="1"/>
  <c r="W332" i="1"/>
  <c r="AD612" i="1"/>
  <c r="AD645" i="1"/>
  <c r="AH515" i="1"/>
  <c r="AI515" i="1" s="1"/>
  <c r="AI548" i="1"/>
  <c r="AI172" i="1"/>
  <c r="AH612" i="1"/>
  <c r="AH645" i="1"/>
  <c r="AJ612" i="1"/>
  <c r="AJ645" i="1"/>
  <c r="AY172" i="1"/>
  <c r="AY332" i="1"/>
  <c r="AY548" i="1"/>
  <c r="AY515" i="1" s="1"/>
  <c r="AU332" i="1"/>
  <c r="D613" i="1"/>
  <c r="D646" i="1"/>
  <c r="BB173" i="1"/>
  <c r="BB333" i="1"/>
  <c r="BB549" i="1"/>
  <c r="BB516" i="1" s="1"/>
  <c r="J516" i="1"/>
  <c r="K516" i="1" s="1"/>
  <c r="K549" i="1"/>
  <c r="K173" i="1"/>
  <c r="J613" i="1"/>
  <c r="J646" i="1"/>
  <c r="L613" i="1"/>
  <c r="L646" i="1"/>
  <c r="AA173" i="1"/>
  <c r="AA333" i="1"/>
  <c r="AA549" i="1"/>
  <c r="AA516" i="1" s="1"/>
  <c r="W333" i="1"/>
  <c r="AD613" i="1"/>
  <c r="AD646" i="1"/>
  <c r="AH516" i="1"/>
  <c r="AI516" i="1" s="1"/>
  <c r="AI549" i="1"/>
  <c r="AI173" i="1"/>
  <c r="AH613" i="1"/>
  <c r="AI613" i="1" s="1"/>
  <c r="AH646" i="1"/>
  <c r="AI646" i="1" s="1"/>
  <c r="AJ613" i="1"/>
  <c r="AJ646" i="1"/>
  <c r="AY173" i="1"/>
  <c r="AY333" i="1"/>
  <c r="AY549" i="1"/>
  <c r="AY516" i="1" s="1"/>
  <c r="AU333" i="1"/>
  <c r="D614" i="1"/>
  <c r="D647" i="1"/>
  <c r="BB174" i="1"/>
  <c r="BB334" i="1"/>
  <c r="BB550" i="1"/>
  <c r="BB517" i="1" s="1"/>
  <c r="J517" i="1"/>
  <c r="K517" i="1" s="1"/>
  <c r="K550" i="1"/>
  <c r="K174" i="1"/>
  <c r="J614" i="1"/>
  <c r="J647" i="1"/>
  <c r="L614" i="1"/>
  <c r="L647" i="1"/>
  <c r="AA174" i="1"/>
  <c r="AA334" i="1"/>
  <c r="AA550" i="1"/>
  <c r="AA517" i="1" s="1"/>
  <c r="W334" i="1"/>
  <c r="AD614" i="1"/>
  <c r="AD647" i="1"/>
  <c r="AH517" i="1"/>
  <c r="AI517" i="1" s="1"/>
  <c r="AI550" i="1"/>
  <c r="AI174" i="1"/>
  <c r="AH614" i="1"/>
  <c r="AH647" i="1"/>
  <c r="AJ614" i="1"/>
  <c r="AJ647" i="1"/>
  <c r="AY174" i="1"/>
  <c r="AY334" i="1"/>
  <c r="AY550" i="1"/>
  <c r="AY517" i="1" s="1"/>
  <c r="AU334" i="1"/>
  <c r="D615" i="1"/>
  <c r="D648" i="1"/>
  <c r="BB175" i="1"/>
  <c r="BB335" i="1"/>
  <c r="BB551" i="1"/>
  <c r="BB518" i="1" s="1"/>
  <c r="J518" i="1"/>
  <c r="K518" i="1" s="1"/>
  <c r="K551" i="1"/>
  <c r="K175" i="1"/>
  <c r="J615" i="1"/>
  <c r="J648" i="1"/>
  <c r="L615" i="1"/>
  <c r="L648" i="1"/>
  <c r="AA175" i="1"/>
  <c r="AA335" i="1"/>
  <c r="AA551" i="1"/>
  <c r="AA518" i="1" s="1"/>
  <c r="W335" i="1"/>
  <c r="AD615" i="1"/>
  <c r="AD648" i="1"/>
  <c r="AH518" i="1"/>
  <c r="AI518" i="1" s="1"/>
  <c r="AI551" i="1"/>
  <c r="AI175" i="1"/>
  <c r="AH615" i="1"/>
  <c r="AI615" i="1" s="1"/>
  <c r="AH648" i="1"/>
  <c r="AI648" i="1" s="1"/>
  <c r="AJ615" i="1"/>
  <c r="AJ648" i="1"/>
  <c r="AY175" i="1"/>
  <c r="AY335" i="1"/>
  <c r="AY551" i="1"/>
  <c r="AY518" i="1" s="1"/>
  <c r="AU335" i="1"/>
  <c r="D617" i="1"/>
  <c r="D650" i="1"/>
  <c r="F617" i="1"/>
  <c r="F650" i="1"/>
  <c r="F176" i="1"/>
  <c r="F336" i="1"/>
  <c r="F552" i="1"/>
  <c r="F519" i="1" s="1"/>
  <c r="J520" i="1"/>
  <c r="K520" i="1" s="1"/>
  <c r="K553" i="1"/>
  <c r="K177" i="1"/>
  <c r="J617" i="1"/>
  <c r="J650" i="1"/>
  <c r="L176" i="1"/>
  <c r="L336" i="1"/>
  <c r="L552" i="1"/>
  <c r="L519" i="1" s="1"/>
  <c r="R176" i="1"/>
  <c r="R336" i="1"/>
  <c r="R552" i="1"/>
  <c r="R519" i="1" s="1"/>
  <c r="V520" i="1"/>
  <c r="W520" i="1" s="1"/>
  <c r="W553" i="1"/>
  <c r="W177" i="1"/>
  <c r="V617" i="1"/>
  <c r="V650" i="1"/>
  <c r="X176" i="1"/>
  <c r="X336" i="1"/>
  <c r="X552" i="1"/>
  <c r="X519" i="1" s="1"/>
  <c r="AD176" i="1"/>
  <c r="AD336" i="1"/>
  <c r="AD552" i="1"/>
  <c r="AD519" i="1" s="1"/>
  <c r="AH520" i="1"/>
  <c r="AI520" i="1" s="1"/>
  <c r="AI553" i="1"/>
  <c r="AI177" i="1"/>
  <c r="AH617" i="1"/>
  <c r="AH650" i="1"/>
  <c r="AJ176" i="1"/>
  <c r="AJ336" i="1"/>
  <c r="AJ552" i="1"/>
  <c r="AJ519" i="1" s="1"/>
  <c r="AP176" i="1"/>
  <c r="AP336" i="1"/>
  <c r="AP552" i="1"/>
  <c r="AP519" i="1" s="1"/>
  <c r="AT520" i="1"/>
  <c r="AU520" i="1" s="1"/>
  <c r="AU553" i="1"/>
  <c r="AU177" i="1"/>
  <c r="AT617" i="1"/>
  <c r="AT650" i="1"/>
  <c r="AV176" i="1"/>
  <c r="AV336" i="1"/>
  <c r="AV552" i="1"/>
  <c r="AV519" i="1" s="1"/>
  <c r="D105" i="1"/>
  <c r="D554" i="1" s="1"/>
  <c r="D555" i="1"/>
  <c r="BB106" i="1"/>
  <c r="BB556" i="1"/>
  <c r="O106" i="1"/>
  <c r="O556" i="1"/>
  <c r="K106" i="1"/>
  <c r="J105" i="1"/>
  <c r="J555" i="1"/>
  <c r="AA106" i="1"/>
  <c r="AA556" i="1"/>
  <c r="W106" i="1"/>
  <c r="V105" i="1"/>
  <c r="V555" i="1"/>
  <c r="AM106" i="1"/>
  <c r="AM556" i="1"/>
  <c r="AI106" i="1"/>
  <c r="AH105" i="1"/>
  <c r="AH555" i="1"/>
  <c r="AY106" i="1"/>
  <c r="AY556" i="1"/>
  <c r="AU106" i="1"/>
  <c r="AT105" i="1"/>
  <c r="AT555" i="1"/>
  <c r="BB557" i="1"/>
  <c r="K557" i="1"/>
  <c r="AI557" i="1"/>
  <c r="BB558" i="1"/>
  <c r="K558" i="1"/>
  <c r="AI558" i="1"/>
  <c r="BB559" i="1"/>
  <c r="K559" i="1"/>
  <c r="AI559" i="1"/>
  <c r="BB560" i="1"/>
  <c r="K560" i="1"/>
  <c r="AI560" i="1"/>
  <c r="BB561" i="1"/>
  <c r="K561" i="1"/>
  <c r="AI561" i="1"/>
  <c r="BB562" i="1"/>
  <c r="K562" i="1"/>
  <c r="AI562" i="1"/>
  <c r="BB563" i="1"/>
  <c r="K563" i="1"/>
  <c r="AI563" i="1"/>
  <c r="BB564" i="1"/>
  <c r="K564" i="1"/>
  <c r="W564" i="1"/>
  <c r="AI564" i="1"/>
  <c r="AU564" i="1"/>
  <c r="BB116" i="1"/>
  <c r="BB565" i="1" s="1"/>
  <c r="BB566" i="1"/>
  <c r="O116" i="1"/>
  <c r="O565" i="1" s="1"/>
  <c r="O566" i="1"/>
  <c r="K116" i="1"/>
  <c r="J565" i="1"/>
  <c r="K565" i="1" s="1"/>
  <c r="AA116" i="1"/>
  <c r="AA565" i="1" s="1"/>
  <c r="AA566" i="1"/>
  <c r="W116" i="1"/>
  <c r="V565" i="1"/>
  <c r="W565" i="1" s="1"/>
  <c r="AM116" i="1"/>
  <c r="AM565" i="1" s="1"/>
  <c r="AM566" i="1"/>
  <c r="AI116" i="1"/>
  <c r="AH565" i="1"/>
  <c r="AI565" i="1" s="1"/>
  <c r="AY116" i="1"/>
  <c r="AY565" i="1" s="1"/>
  <c r="AY566" i="1"/>
  <c r="AU116" i="1"/>
  <c r="AT565" i="1"/>
  <c r="AU565" i="1" s="1"/>
  <c r="BB567" i="1"/>
  <c r="K567" i="1"/>
  <c r="AI567" i="1"/>
  <c r="BB568" i="1"/>
  <c r="K568" i="1"/>
  <c r="AI568" i="1"/>
  <c r="BB569" i="1"/>
  <c r="K569" i="1"/>
  <c r="AI569" i="1"/>
  <c r="BB570" i="1"/>
  <c r="K570" i="1"/>
  <c r="AI570" i="1"/>
  <c r="BB571" i="1"/>
  <c r="K571" i="1"/>
  <c r="AI571" i="1"/>
  <c r="BB572" i="1"/>
  <c r="K572" i="1"/>
  <c r="AI572" i="1"/>
  <c r="BB573" i="1"/>
  <c r="K573" i="1"/>
  <c r="AI573" i="1"/>
  <c r="BB574" i="1"/>
  <c r="K574" i="1"/>
  <c r="AI574" i="1"/>
  <c r="BB575" i="1"/>
  <c r="K575" i="1"/>
  <c r="AI575" i="1"/>
  <c r="BB576" i="1"/>
  <c r="K576" i="1"/>
  <c r="AI576" i="1"/>
  <c r="BB577" i="1"/>
  <c r="K577" i="1"/>
  <c r="AI577" i="1"/>
  <c r="BB578" i="1"/>
  <c r="K578" i="1"/>
  <c r="AI578" i="1"/>
  <c r="BB579" i="1"/>
  <c r="K579" i="1"/>
  <c r="AI579" i="1"/>
  <c r="BB580" i="1"/>
  <c r="K580" i="1"/>
  <c r="AI580" i="1"/>
  <c r="BB581" i="1"/>
  <c r="K581" i="1"/>
  <c r="AI581" i="1"/>
  <c r="BB582" i="1"/>
  <c r="K582" i="1"/>
  <c r="AI582" i="1"/>
  <c r="BB583" i="1"/>
  <c r="K583" i="1"/>
  <c r="AI583" i="1"/>
  <c r="BG144" i="1"/>
  <c r="O144" i="1"/>
  <c r="K585" i="1"/>
  <c r="K135" i="1"/>
  <c r="J584" i="1"/>
  <c r="K584" i="1" s="1"/>
  <c r="AA135" i="1"/>
  <c r="AA584" i="1" s="1"/>
  <c r="AA585" i="1"/>
  <c r="W144" i="1"/>
  <c r="AI585" i="1"/>
  <c r="AI135" i="1"/>
  <c r="AH584" i="1"/>
  <c r="AI584" i="1" s="1"/>
  <c r="AY135" i="1"/>
  <c r="AY584" i="1" s="1"/>
  <c r="AY585" i="1"/>
  <c r="AU135" i="1"/>
  <c r="AT584" i="1"/>
  <c r="AU584" i="1" s="1"/>
  <c r="W137" i="1"/>
  <c r="D178" i="1"/>
  <c r="D243" i="1"/>
  <c r="O179" i="1"/>
  <c r="O244" i="1"/>
  <c r="F178" i="1"/>
  <c r="F243" i="1"/>
  <c r="R178" i="1"/>
  <c r="R243" i="1"/>
  <c r="AD178" i="1"/>
  <c r="AD243" i="1"/>
  <c r="AP178" i="1"/>
  <c r="AP243" i="1"/>
  <c r="BB189" i="1"/>
  <c r="BB253" i="1" s="1"/>
  <c r="BB254" i="1"/>
  <c r="K189" i="1"/>
  <c r="J253" i="1"/>
  <c r="K253" i="1" s="1"/>
  <c r="AA189" i="1"/>
  <c r="AA253" i="1" s="1"/>
  <c r="AA254" i="1"/>
  <c r="W189" i="1"/>
  <c r="V253" i="1"/>
  <c r="W253" i="1" s="1"/>
  <c r="AM189" i="1"/>
  <c r="AM253" i="1" s="1"/>
  <c r="AM254" i="1"/>
  <c r="AI189" i="1"/>
  <c r="AH253" i="1"/>
  <c r="AI253" i="1" s="1"/>
  <c r="AY189" i="1"/>
  <c r="AY253" i="1" s="1"/>
  <c r="AY254" i="1"/>
  <c r="AU189" i="1"/>
  <c r="AT253" i="1"/>
  <c r="AU253" i="1" s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O208" i="1"/>
  <c r="O272" i="1" s="1"/>
  <c r="O273" i="1"/>
  <c r="BD138" i="1"/>
  <c r="Q138" i="1"/>
  <c r="AC138" i="1"/>
  <c r="AO138" i="1"/>
  <c r="BA138" i="1"/>
  <c r="AO140" i="1"/>
  <c r="E178" i="1"/>
  <c r="E243" i="1"/>
  <c r="BD180" i="1"/>
  <c r="BC179" i="1"/>
  <c r="BC244" i="1"/>
  <c r="P179" i="1"/>
  <c r="Q180" i="1"/>
  <c r="P244" i="1"/>
  <c r="N244" i="1"/>
  <c r="T179" i="1"/>
  <c r="S178" i="1"/>
  <c r="S243" i="1"/>
  <c r="U178" i="1"/>
  <c r="U243" i="1"/>
  <c r="Z179" i="1"/>
  <c r="Y178" i="1"/>
  <c r="Y243" i="1"/>
  <c r="AF244" i="1"/>
  <c r="AN179" i="1"/>
  <c r="AO180" i="1"/>
  <c r="AN244" i="1"/>
  <c r="AL244" i="1"/>
  <c r="AR179" i="1"/>
  <c r="AQ178" i="1"/>
  <c r="AQ243" i="1"/>
  <c r="AS178" i="1"/>
  <c r="AS243" i="1"/>
  <c r="AX179" i="1"/>
  <c r="AW178" i="1"/>
  <c r="AW243" i="1"/>
  <c r="BD181" i="1"/>
  <c r="BC245" i="1"/>
  <c r="N245" i="1"/>
  <c r="AF245" i="1"/>
  <c r="AL245" i="1"/>
  <c r="Q182" i="1"/>
  <c r="P246" i="1"/>
  <c r="Q246" i="1" s="1"/>
  <c r="AC182" i="1"/>
  <c r="AB246" i="1"/>
  <c r="AC246" i="1" s="1"/>
  <c r="AO182" i="1"/>
  <c r="AN246" i="1"/>
  <c r="AO246" i="1" s="1"/>
  <c r="BA182" i="1"/>
  <c r="AZ246" i="1"/>
  <c r="BA246" i="1" s="1"/>
  <c r="BD183" i="1"/>
  <c r="BC247" i="1"/>
  <c r="N247" i="1"/>
  <c r="AF247" i="1"/>
  <c r="AL247" i="1"/>
  <c r="Q184" i="1"/>
  <c r="P248" i="1"/>
  <c r="Q248" i="1" s="1"/>
  <c r="AC184" i="1"/>
  <c r="AB248" i="1"/>
  <c r="AC248" i="1" s="1"/>
  <c r="AO184" i="1"/>
  <c r="AN248" i="1"/>
  <c r="AO248" i="1" s="1"/>
  <c r="BA184" i="1"/>
  <c r="AZ248" i="1"/>
  <c r="BA248" i="1" s="1"/>
  <c r="BD185" i="1"/>
  <c r="BC249" i="1"/>
  <c r="N249" i="1"/>
  <c r="AF249" i="1"/>
  <c r="AL249" i="1"/>
  <c r="Q186" i="1"/>
  <c r="P250" i="1"/>
  <c r="Q250" i="1" s="1"/>
  <c r="AC186" i="1"/>
  <c r="AB250" i="1"/>
  <c r="AC250" i="1" s="1"/>
  <c r="AO186" i="1"/>
  <c r="AN250" i="1"/>
  <c r="AO250" i="1" s="1"/>
  <c r="BA186" i="1"/>
  <c r="AZ250" i="1"/>
  <c r="BA250" i="1" s="1"/>
  <c r="BD187" i="1"/>
  <c r="BC251" i="1"/>
  <c r="N251" i="1"/>
  <c r="AF251" i="1"/>
  <c r="AL251" i="1"/>
  <c r="Q188" i="1"/>
  <c r="P252" i="1"/>
  <c r="Q252" i="1" s="1"/>
  <c r="AC188" i="1"/>
  <c r="AB252" i="1"/>
  <c r="AC252" i="1" s="1"/>
  <c r="AO188" i="1"/>
  <c r="AN252" i="1"/>
  <c r="AO252" i="1" s="1"/>
  <c r="BA188" i="1"/>
  <c r="AZ252" i="1"/>
  <c r="BA252" i="1" s="1"/>
  <c r="H254" i="1"/>
  <c r="H189" i="1"/>
  <c r="G253" i="1"/>
  <c r="H253" i="1" s="1"/>
  <c r="N189" i="1"/>
  <c r="M253" i="1"/>
  <c r="N253" i="1" s="1"/>
  <c r="AB189" i="1"/>
  <c r="AC190" i="1"/>
  <c r="AB254" i="1"/>
  <c r="AF189" i="1"/>
  <c r="AE253" i="1"/>
  <c r="AF253" i="1" s="1"/>
  <c r="AL189" i="1"/>
  <c r="AK253" i="1"/>
  <c r="AL253" i="1" s="1"/>
  <c r="AZ189" i="1"/>
  <c r="BA190" i="1"/>
  <c r="AZ254" i="1"/>
  <c r="H255" i="1"/>
  <c r="Q191" i="1"/>
  <c r="P255" i="1"/>
  <c r="Q255" i="1" s="1"/>
  <c r="AC191" i="1"/>
  <c r="AB255" i="1"/>
  <c r="AC255" i="1" s="1"/>
  <c r="AO191" i="1"/>
  <c r="AN255" i="1"/>
  <c r="AO255" i="1" s="1"/>
  <c r="BA191" i="1"/>
  <c r="AZ255" i="1"/>
  <c r="BA255" i="1" s="1"/>
  <c r="BD192" i="1"/>
  <c r="BC256" i="1"/>
  <c r="T256" i="1"/>
  <c r="Z256" i="1"/>
  <c r="AR256" i="1"/>
  <c r="AX256" i="1"/>
  <c r="H257" i="1"/>
  <c r="Q193" i="1"/>
  <c r="P257" i="1"/>
  <c r="Q257" i="1" s="1"/>
  <c r="AC193" i="1"/>
  <c r="AB257" i="1"/>
  <c r="AC257" i="1" s="1"/>
  <c r="AO193" i="1"/>
  <c r="AN257" i="1"/>
  <c r="AO257" i="1" s="1"/>
  <c r="BA193" i="1"/>
  <c r="AZ257" i="1"/>
  <c r="BA257" i="1" s="1"/>
  <c r="BD194" i="1"/>
  <c r="BC258" i="1"/>
  <c r="T258" i="1"/>
  <c r="Z258" i="1"/>
  <c r="AR258" i="1"/>
  <c r="AX258" i="1"/>
  <c r="H259" i="1"/>
  <c r="Q195" i="1"/>
  <c r="P259" i="1"/>
  <c r="Q259" i="1" s="1"/>
  <c r="AC195" i="1"/>
  <c r="AB259" i="1"/>
  <c r="AC259" i="1" s="1"/>
  <c r="AO195" i="1"/>
  <c r="AN259" i="1"/>
  <c r="AO259" i="1" s="1"/>
  <c r="BA195" i="1"/>
  <c r="AZ259" i="1"/>
  <c r="BA259" i="1" s="1"/>
  <c r="BD196" i="1"/>
  <c r="BC260" i="1"/>
  <c r="T260" i="1"/>
  <c r="Z260" i="1"/>
  <c r="AR260" i="1"/>
  <c r="AX260" i="1"/>
  <c r="H261" i="1"/>
  <c r="Q197" i="1"/>
  <c r="P261" i="1"/>
  <c r="Q261" i="1" s="1"/>
  <c r="AC197" i="1"/>
  <c r="AB261" i="1"/>
  <c r="AC261" i="1" s="1"/>
  <c r="AO197" i="1"/>
  <c r="AN261" i="1"/>
  <c r="AO261" i="1" s="1"/>
  <c r="BA197" i="1"/>
  <c r="AZ261" i="1"/>
  <c r="BA261" i="1" s="1"/>
  <c r="BD198" i="1"/>
  <c r="BC262" i="1"/>
  <c r="T262" i="1"/>
  <c r="Z262" i="1"/>
  <c r="AR262" i="1"/>
  <c r="AX262" i="1"/>
  <c r="H263" i="1"/>
  <c r="Q199" i="1"/>
  <c r="P263" i="1"/>
  <c r="Q263" i="1" s="1"/>
  <c r="AC199" i="1"/>
  <c r="AB263" i="1"/>
  <c r="AC263" i="1" s="1"/>
  <c r="AO199" i="1"/>
  <c r="AN263" i="1"/>
  <c r="AO263" i="1" s="1"/>
  <c r="BA199" i="1"/>
  <c r="AZ263" i="1"/>
  <c r="BA263" i="1" s="1"/>
  <c r="BD200" i="1"/>
  <c r="BC264" i="1"/>
  <c r="T264" i="1"/>
  <c r="Z264" i="1"/>
  <c r="AR264" i="1"/>
  <c r="AX264" i="1"/>
  <c r="H265" i="1"/>
  <c r="Q201" i="1"/>
  <c r="P265" i="1"/>
  <c r="Q265" i="1" s="1"/>
  <c r="AC201" i="1"/>
  <c r="AB265" i="1"/>
  <c r="AC265" i="1" s="1"/>
  <c r="AO201" i="1"/>
  <c r="AN265" i="1"/>
  <c r="AO265" i="1" s="1"/>
  <c r="BA201" i="1"/>
  <c r="AZ265" i="1"/>
  <c r="BA265" i="1" s="1"/>
  <c r="BD202" i="1"/>
  <c r="BC266" i="1"/>
  <c r="T266" i="1"/>
  <c r="Z266" i="1"/>
  <c r="AR266" i="1"/>
  <c r="AX266" i="1"/>
  <c r="H267" i="1"/>
  <c r="Q203" i="1"/>
  <c r="P267" i="1"/>
  <c r="Q267" i="1" s="1"/>
  <c r="AC203" i="1"/>
  <c r="AB267" i="1"/>
  <c r="AC267" i="1" s="1"/>
  <c r="AO203" i="1"/>
  <c r="AN267" i="1"/>
  <c r="AO267" i="1" s="1"/>
  <c r="BA203" i="1"/>
  <c r="AZ267" i="1"/>
  <c r="BA267" i="1" s="1"/>
  <c r="BD204" i="1"/>
  <c r="BC268" i="1"/>
  <c r="T268" i="1"/>
  <c r="Z268" i="1"/>
  <c r="AR268" i="1"/>
  <c r="AX268" i="1"/>
  <c r="H269" i="1"/>
  <c r="Q205" i="1"/>
  <c r="P269" i="1"/>
  <c r="Q269" i="1" s="1"/>
  <c r="AC205" i="1"/>
  <c r="AB269" i="1"/>
  <c r="AC269" i="1" s="1"/>
  <c r="AO205" i="1"/>
  <c r="AN269" i="1"/>
  <c r="AO269" i="1" s="1"/>
  <c r="BA205" i="1"/>
  <c r="AZ269" i="1"/>
  <c r="BA269" i="1" s="1"/>
  <c r="BD206" i="1"/>
  <c r="BC270" i="1"/>
  <c r="T270" i="1"/>
  <c r="Z270" i="1"/>
  <c r="AR270" i="1"/>
  <c r="AX270" i="1"/>
  <c r="H271" i="1"/>
  <c r="Q207" i="1"/>
  <c r="P271" i="1"/>
  <c r="Q271" i="1" s="1"/>
  <c r="AC207" i="1"/>
  <c r="AB271" i="1"/>
  <c r="AC271" i="1" s="1"/>
  <c r="AO207" i="1"/>
  <c r="AN271" i="1"/>
  <c r="AO271" i="1" s="1"/>
  <c r="BA207" i="1"/>
  <c r="AZ271" i="1"/>
  <c r="BA271" i="1" s="1"/>
  <c r="H208" i="1"/>
  <c r="G272" i="1"/>
  <c r="H272" i="1" s="1"/>
  <c r="N208" i="1"/>
  <c r="M272" i="1"/>
  <c r="N272" i="1" s="1"/>
  <c r="T273" i="1"/>
  <c r="AB208" i="1"/>
  <c r="AC209" i="1"/>
  <c r="AB273" i="1"/>
  <c r="Z273" i="1"/>
  <c r="AF208" i="1"/>
  <c r="AE272" i="1"/>
  <c r="AF272" i="1" s="1"/>
  <c r="AL208" i="1"/>
  <c r="AK272" i="1"/>
  <c r="AL272" i="1" s="1"/>
  <c r="AR273" i="1"/>
  <c r="AZ208" i="1"/>
  <c r="BA209" i="1"/>
  <c r="AZ273" i="1"/>
  <c r="AX273" i="1"/>
  <c r="P275" i="1"/>
  <c r="Q276" i="1"/>
  <c r="BC275" i="1"/>
  <c r="BD276" i="1"/>
  <c r="N275" i="1"/>
  <c r="M274" i="1"/>
  <c r="Z275" i="1"/>
  <c r="Y274" i="1"/>
  <c r="AK274" i="1"/>
  <c r="AL275" i="1"/>
  <c r="AW274" i="1"/>
  <c r="AX275" i="1"/>
  <c r="AC286" i="1"/>
  <c r="AB285" i="1"/>
  <c r="AO286" i="1"/>
  <c r="AN285" i="1"/>
  <c r="AO285" i="1" s="1"/>
  <c r="BA286" i="1"/>
  <c r="AZ285" i="1"/>
  <c r="BA285" i="1" s="1"/>
  <c r="AC305" i="1"/>
  <c r="AB304" i="1"/>
  <c r="AC304" i="1" s="1"/>
  <c r="AO305" i="1"/>
  <c r="AN304" i="1"/>
  <c r="AO304" i="1" s="1"/>
  <c r="BA305" i="1"/>
  <c r="AZ304" i="1"/>
  <c r="BA304" i="1" s="1"/>
  <c r="Q339" i="1"/>
  <c r="P338" i="1"/>
  <c r="P652" i="1"/>
  <c r="BC338" i="1"/>
  <c r="BD339" i="1"/>
  <c r="BC652" i="1"/>
  <c r="AC339" i="1"/>
  <c r="AB338" i="1"/>
  <c r="AB652" i="1"/>
  <c r="BA339" i="1"/>
  <c r="AZ338" i="1"/>
  <c r="AZ652" i="1"/>
  <c r="Q340" i="1"/>
  <c r="P653" i="1"/>
  <c r="Q653" i="1" s="1"/>
  <c r="BD340" i="1"/>
  <c r="BC653" i="1"/>
  <c r="AC341" i="1"/>
  <c r="AB654" i="1"/>
  <c r="AC654" i="1" s="1"/>
  <c r="AO341" i="1"/>
  <c r="AN654" i="1"/>
  <c r="AO654" i="1" s="1"/>
  <c r="BA341" i="1"/>
  <c r="AZ654" i="1"/>
  <c r="BA654" i="1" s="1"/>
  <c r="Q342" i="1"/>
  <c r="P655" i="1"/>
  <c r="Q655" i="1" s="1"/>
  <c r="BD342" i="1"/>
  <c r="BC655" i="1"/>
  <c r="AC343" i="1"/>
  <c r="AB656" i="1"/>
  <c r="AC656" i="1" s="1"/>
  <c r="AO343" i="1"/>
  <c r="AN656" i="1"/>
  <c r="AO656" i="1" s="1"/>
  <c r="BA343" i="1"/>
  <c r="AZ656" i="1"/>
  <c r="BA656" i="1" s="1"/>
  <c r="Q344" i="1"/>
  <c r="P657" i="1"/>
  <c r="Q657" i="1" s="1"/>
  <c r="BD344" i="1"/>
  <c r="BC657" i="1"/>
  <c r="E351" i="1"/>
  <c r="E382" i="1"/>
  <c r="Q384" i="1"/>
  <c r="P352" i="1"/>
  <c r="P383" i="1"/>
  <c r="BC352" i="1"/>
  <c r="BC383" i="1"/>
  <c r="BD384" i="1"/>
  <c r="M351" i="1"/>
  <c r="M382" i="1"/>
  <c r="N383" i="1"/>
  <c r="AC384" i="1"/>
  <c r="AB352" i="1"/>
  <c r="AB383" i="1"/>
  <c r="S351" i="1"/>
  <c r="S382" i="1"/>
  <c r="T383" i="1"/>
  <c r="U351" i="1"/>
  <c r="U382" i="1"/>
  <c r="AK351" i="1"/>
  <c r="AK382" i="1"/>
  <c r="AL383" i="1"/>
  <c r="BA384" i="1"/>
  <c r="AZ352" i="1"/>
  <c r="AZ383" i="1"/>
  <c r="AQ351" i="1"/>
  <c r="AQ382" i="1"/>
  <c r="AR383" i="1"/>
  <c r="AS351" i="1"/>
  <c r="AS382" i="1"/>
  <c r="Q385" i="1"/>
  <c r="P353" i="1"/>
  <c r="BC353" i="1"/>
  <c r="BD385" i="1"/>
  <c r="AC386" i="1"/>
  <c r="AB354" i="1"/>
  <c r="AC354" i="1" s="1"/>
  <c r="AO386" i="1"/>
  <c r="AN354" i="1"/>
  <c r="BA386" i="1"/>
  <c r="AZ354" i="1"/>
  <c r="Q387" i="1"/>
  <c r="P355" i="1"/>
  <c r="BC355" i="1"/>
  <c r="BD387" i="1"/>
  <c r="AC388" i="1"/>
  <c r="AB356" i="1"/>
  <c r="AC356" i="1" s="1"/>
  <c r="AO388" i="1"/>
  <c r="AN356" i="1"/>
  <c r="BA388" i="1"/>
  <c r="AZ356" i="1"/>
  <c r="Q389" i="1"/>
  <c r="P357" i="1"/>
  <c r="BC357" i="1"/>
  <c r="BD389" i="1"/>
  <c r="AC390" i="1"/>
  <c r="AB358" i="1"/>
  <c r="AC358" i="1" s="1"/>
  <c r="AO390" i="1"/>
  <c r="AN358" i="1"/>
  <c r="BA390" i="1"/>
  <c r="AZ358" i="1"/>
  <c r="Q391" i="1"/>
  <c r="P359" i="1"/>
  <c r="BC359" i="1"/>
  <c r="BD391" i="1"/>
  <c r="AC392" i="1"/>
  <c r="AB360" i="1"/>
  <c r="AC360" i="1" s="1"/>
  <c r="AO392" i="1"/>
  <c r="AN360" i="1"/>
  <c r="BA392" i="1"/>
  <c r="AZ360" i="1"/>
  <c r="G361" i="1"/>
  <c r="H393" i="1"/>
  <c r="Y361" i="1"/>
  <c r="Z393" i="1"/>
  <c r="AO394" i="1"/>
  <c r="AN362" i="1"/>
  <c r="AN393" i="1"/>
  <c r="AE361" i="1"/>
  <c r="AF393" i="1"/>
  <c r="AW361" i="1"/>
  <c r="AX393" i="1"/>
  <c r="AC395" i="1"/>
  <c r="AB363" i="1"/>
  <c r="AO395" i="1"/>
  <c r="AN363" i="1"/>
  <c r="BA395" i="1"/>
  <c r="AZ363" i="1"/>
  <c r="Q396" i="1"/>
  <c r="P364" i="1"/>
  <c r="Q364" i="1" s="1"/>
  <c r="BC364" i="1"/>
  <c r="BD396" i="1"/>
  <c r="AC397" i="1"/>
  <c r="AB365" i="1"/>
  <c r="AO397" i="1"/>
  <c r="AN365" i="1"/>
  <c r="BA397" i="1"/>
  <c r="AZ365" i="1"/>
  <c r="Q398" i="1"/>
  <c r="P366" i="1"/>
  <c r="BC366" i="1"/>
  <c r="BD398" i="1"/>
  <c r="AC399" i="1"/>
  <c r="AB367" i="1"/>
  <c r="AO399" i="1"/>
  <c r="AN367" i="1"/>
  <c r="BA399" i="1"/>
  <c r="AZ367" i="1"/>
  <c r="Q400" i="1"/>
  <c r="P368" i="1"/>
  <c r="BC368" i="1"/>
  <c r="BD400" i="1"/>
  <c r="AC401" i="1"/>
  <c r="AB369" i="1"/>
  <c r="AO401" i="1"/>
  <c r="AN369" i="1"/>
  <c r="BA401" i="1"/>
  <c r="AZ369" i="1"/>
  <c r="Q402" i="1"/>
  <c r="P370" i="1"/>
  <c r="BC370" i="1"/>
  <c r="BD402" i="1"/>
  <c r="AC403" i="1"/>
  <c r="AB371" i="1"/>
  <c r="AO403" i="1"/>
  <c r="AN371" i="1"/>
  <c r="BA403" i="1"/>
  <c r="AZ371" i="1"/>
  <c r="Q404" i="1"/>
  <c r="P372" i="1"/>
  <c r="BC372" i="1"/>
  <c r="BD404" i="1"/>
  <c r="AC405" i="1"/>
  <c r="AB373" i="1"/>
  <c r="AO405" i="1"/>
  <c r="AN373" i="1"/>
  <c r="BA405" i="1"/>
  <c r="AZ373" i="1"/>
  <c r="Q406" i="1"/>
  <c r="P374" i="1"/>
  <c r="BC374" i="1"/>
  <c r="BD406" i="1"/>
  <c r="AC407" i="1"/>
  <c r="AB375" i="1"/>
  <c r="AO407" i="1"/>
  <c r="AN375" i="1"/>
  <c r="BA407" i="1"/>
  <c r="AZ375" i="1"/>
  <c r="Q408" i="1"/>
  <c r="P376" i="1"/>
  <c r="BC376" i="1"/>
  <c r="BD408" i="1"/>
  <c r="AC409" i="1"/>
  <c r="AB377" i="1"/>
  <c r="AO409" i="1"/>
  <c r="AN377" i="1"/>
  <c r="BA409" i="1"/>
  <c r="AZ377" i="1"/>
  <c r="Q410" i="1"/>
  <c r="P378" i="1"/>
  <c r="BC378" i="1"/>
  <c r="BD410" i="1"/>
  <c r="AC411" i="1"/>
  <c r="AB379" i="1"/>
  <c r="AO411" i="1"/>
  <c r="AN379" i="1"/>
  <c r="BA411" i="1"/>
  <c r="AZ379" i="1"/>
  <c r="M380" i="1"/>
  <c r="N380" i="1" s="1"/>
  <c r="N381" i="1"/>
  <c r="S380" i="1"/>
  <c r="T380" i="1" s="1"/>
  <c r="T381" i="1"/>
  <c r="AO413" i="1"/>
  <c r="AN381" i="1"/>
  <c r="AN412" i="1"/>
  <c r="AK380" i="1"/>
  <c r="AL380" i="1" s="1"/>
  <c r="AL381" i="1"/>
  <c r="AQ380" i="1"/>
  <c r="AR380" i="1" s="1"/>
  <c r="AR381" i="1"/>
  <c r="AC415" i="1"/>
  <c r="AC414" i="1" s="1"/>
  <c r="AB414" i="1"/>
  <c r="AO415" i="1"/>
  <c r="AO414" i="1" s="1"/>
  <c r="AN414" i="1"/>
  <c r="BA415" i="1"/>
  <c r="AZ414" i="1"/>
  <c r="BB275" i="1"/>
  <c r="J274" i="1"/>
  <c r="K275" i="1"/>
  <c r="AH274" i="1"/>
  <c r="AI275" i="1"/>
  <c r="BB285" i="1"/>
  <c r="W285" i="1"/>
  <c r="AU285" i="1"/>
  <c r="K304" i="1"/>
  <c r="AI304" i="1"/>
  <c r="K652" i="1"/>
  <c r="W652" i="1"/>
  <c r="AI652" i="1"/>
  <c r="AU652" i="1"/>
  <c r="W653" i="1"/>
  <c r="AU653" i="1"/>
  <c r="W654" i="1"/>
  <c r="AU654" i="1"/>
  <c r="W655" i="1"/>
  <c r="AU655" i="1"/>
  <c r="W656" i="1"/>
  <c r="AU656" i="1"/>
  <c r="W657" i="1"/>
  <c r="AU657" i="1"/>
  <c r="F351" i="1"/>
  <c r="F382" i="1"/>
  <c r="O352" i="1"/>
  <c r="O383" i="1"/>
  <c r="K352" i="1"/>
  <c r="L351" i="1"/>
  <c r="L382" i="1"/>
  <c r="R351" i="1"/>
  <c r="R382" i="1"/>
  <c r="AA352" i="1"/>
  <c r="AA383" i="1"/>
  <c r="W352" i="1"/>
  <c r="X351" i="1"/>
  <c r="X382" i="1"/>
  <c r="AD351" i="1"/>
  <c r="AD382" i="1"/>
  <c r="AM352" i="1"/>
  <c r="AM383" i="1"/>
  <c r="AI352" i="1"/>
  <c r="AJ351" i="1"/>
  <c r="AJ382" i="1"/>
  <c r="AP351" i="1"/>
  <c r="AP382" i="1"/>
  <c r="AY352" i="1"/>
  <c r="AY383" i="1"/>
  <c r="AU352" i="1"/>
  <c r="AV351" i="1"/>
  <c r="AV382" i="1"/>
  <c r="K353" i="1"/>
  <c r="AI353" i="1"/>
  <c r="K355" i="1"/>
  <c r="AI355" i="1"/>
  <c r="K356" i="1"/>
  <c r="AI356" i="1"/>
  <c r="K357" i="1"/>
  <c r="AI357" i="1"/>
  <c r="K358" i="1"/>
  <c r="AI358" i="1"/>
  <c r="K359" i="1"/>
  <c r="AI359" i="1"/>
  <c r="K360" i="1"/>
  <c r="AI360" i="1"/>
  <c r="BB362" i="1"/>
  <c r="BB393" i="1"/>
  <c r="K393" i="1"/>
  <c r="J361" i="1"/>
  <c r="W393" i="1"/>
  <c r="V361" i="1"/>
  <c r="AI393" i="1"/>
  <c r="AH361" i="1"/>
  <c r="AU393" i="1"/>
  <c r="AT361" i="1"/>
  <c r="BB363" i="1"/>
  <c r="W363" i="1"/>
  <c r="AU363" i="1"/>
  <c r="BB364" i="1"/>
  <c r="W364" i="1"/>
  <c r="AU364" i="1"/>
  <c r="BB365" i="1"/>
  <c r="W365" i="1"/>
  <c r="W423" i="1"/>
  <c r="V422" i="1"/>
  <c r="AU423" i="1"/>
  <c r="AT422" i="1"/>
  <c r="BB433" i="1"/>
  <c r="J454" i="1"/>
  <c r="K454" i="1" s="1"/>
  <c r="K455" i="1"/>
  <c r="AH454" i="1"/>
  <c r="AI454" i="1" s="1"/>
  <c r="AI455" i="1"/>
  <c r="BB484" i="1"/>
  <c r="AO429" i="1"/>
  <c r="BD430" i="1"/>
  <c r="AC430" i="1"/>
  <c r="BA430" i="1"/>
  <c r="Q431" i="1"/>
  <c r="AO431" i="1"/>
  <c r="BD432" i="1"/>
  <c r="AC432" i="1"/>
  <c r="BA432" i="1"/>
  <c r="BD434" i="1"/>
  <c r="BC433" i="1"/>
  <c r="BD433" i="1" s="1"/>
  <c r="P433" i="1"/>
  <c r="Q433" i="1" s="1"/>
  <c r="Q434" i="1"/>
  <c r="AB433" i="1"/>
  <c r="AC433" i="1" s="1"/>
  <c r="AC434" i="1"/>
  <c r="AN433" i="1"/>
  <c r="AO434" i="1"/>
  <c r="AZ433" i="1"/>
  <c r="BA433" i="1" s="1"/>
  <c r="BA434" i="1"/>
  <c r="BD435" i="1"/>
  <c r="AC435" i="1"/>
  <c r="BA435" i="1"/>
  <c r="Q436" i="1"/>
  <c r="AO436" i="1"/>
  <c r="BD437" i="1"/>
  <c r="AC437" i="1"/>
  <c r="BA437" i="1"/>
  <c r="Q438" i="1"/>
  <c r="AO438" i="1"/>
  <c r="BD439" i="1"/>
  <c r="AC439" i="1"/>
  <c r="BA439" i="1"/>
  <c r="Q440" i="1"/>
  <c r="AO440" i="1"/>
  <c r="BD441" i="1"/>
  <c r="AC441" i="1"/>
  <c r="BA441" i="1"/>
  <c r="Q442" i="1"/>
  <c r="AO442" i="1"/>
  <c r="BD443" i="1"/>
  <c r="AC443" i="1"/>
  <c r="BA443" i="1"/>
  <c r="Q444" i="1"/>
  <c r="AO444" i="1"/>
  <c r="BD445" i="1"/>
  <c r="AC445" i="1"/>
  <c r="BA445" i="1"/>
  <c r="Q446" i="1"/>
  <c r="AO446" i="1"/>
  <c r="BD447" i="1"/>
  <c r="AC447" i="1"/>
  <c r="BA447" i="1"/>
  <c r="Q448" i="1"/>
  <c r="AO448" i="1"/>
  <c r="BD449" i="1"/>
  <c r="AC449" i="1"/>
  <c r="BA449" i="1"/>
  <c r="Q450" i="1"/>
  <c r="AO450" i="1"/>
  <c r="BD451" i="1"/>
  <c r="AC451" i="1"/>
  <c r="BA451" i="1"/>
  <c r="BD453" i="1"/>
  <c r="BC452" i="1"/>
  <c r="P452" i="1"/>
  <c r="Q452" i="1" s="1"/>
  <c r="Q453" i="1"/>
  <c r="AB452" i="1"/>
  <c r="AC452" i="1" s="1"/>
  <c r="AC453" i="1"/>
  <c r="AN452" i="1"/>
  <c r="AO452" i="1" s="1"/>
  <c r="AO453" i="1"/>
  <c r="AZ452" i="1"/>
  <c r="BA452" i="1" s="1"/>
  <c r="BA453" i="1"/>
  <c r="H455" i="1"/>
  <c r="G454" i="1"/>
  <c r="N455" i="1"/>
  <c r="M454" i="1"/>
  <c r="T455" i="1"/>
  <c r="S454" i="1"/>
  <c r="Z455" i="1"/>
  <c r="Y454" i="1"/>
  <c r="Z454" i="1" s="1"/>
  <c r="AF455" i="1"/>
  <c r="AE454" i="1"/>
  <c r="AL455" i="1"/>
  <c r="AK454" i="1"/>
  <c r="AR455" i="1"/>
  <c r="AQ454" i="1"/>
  <c r="AX455" i="1"/>
  <c r="AW454" i="1"/>
  <c r="Q457" i="1"/>
  <c r="AO457" i="1"/>
  <c r="BD458" i="1"/>
  <c r="AC458" i="1"/>
  <c r="BA458" i="1"/>
  <c r="Q459" i="1"/>
  <c r="AO459" i="1"/>
  <c r="BD460" i="1"/>
  <c r="AC460" i="1"/>
  <c r="BA460" i="1"/>
  <c r="Q461" i="1"/>
  <c r="AO461" i="1"/>
  <c r="BD462" i="1"/>
  <c r="AU365" i="1"/>
  <c r="K366" i="1"/>
  <c r="W366" i="1"/>
  <c r="AI366" i="1"/>
  <c r="AU366" i="1"/>
  <c r="K367" i="1"/>
  <c r="W367" i="1"/>
  <c r="AI367" i="1"/>
  <c r="AU367" i="1"/>
  <c r="K368" i="1"/>
  <c r="W368" i="1"/>
  <c r="AI368" i="1"/>
  <c r="AU368" i="1"/>
  <c r="K369" i="1"/>
  <c r="W369" i="1"/>
  <c r="AI369" i="1"/>
  <c r="AU369" i="1"/>
  <c r="K370" i="1"/>
  <c r="W370" i="1"/>
  <c r="AI370" i="1"/>
  <c r="AU370" i="1"/>
  <c r="K371" i="1"/>
  <c r="W371" i="1"/>
  <c r="AI371" i="1"/>
  <c r="AU371" i="1"/>
  <c r="K372" i="1"/>
  <c r="W372" i="1"/>
  <c r="AI372" i="1"/>
  <c r="AU372" i="1"/>
  <c r="K373" i="1"/>
  <c r="W373" i="1"/>
  <c r="AI373" i="1"/>
  <c r="AU373" i="1"/>
  <c r="K374" i="1"/>
  <c r="W374" i="1"/>
  <c r="AI374" i="1"/>
  <c r="AU374" i="1"/>
  <c r="K375" i="1"/>
  <c r="W375" i="1"/>
  <c r="AI375" i="1"/>
  <c r="AU375" i="1"/>
  <c r="K376" i="1"/>
  <c r="W376" i="1"/>
  <c r="AI376" i="1"/>
  <c r="AU376" i="1"/>
  <c r="K377" i="1"/>
  <c r="W377" i="1"/>
  <c r="AI377" i="1"/>
  <c r="AU377" i="1"/>
  <c r="K378" i="1"/>
  <c r="W378" i="1"/>
  <c r="AI378" i="1"/>
  <c r="AU378" i="1"/>
  <c r="K379" i="1"/>
  <c r="W379" i="1"/>
  <c r="AI379" i="1"/>
  <c r="AU379" i="1"/>
  <c r="O381" i="1"/>
  <c r="O380" i="1" s="1"/>
  <c r="O412" i="1"/>
  <c r="K381" i="1"/>
  <c r="J380" i="1"/>
  <c r="K380" i="1" s="1"/>
  <c r="AA381" i="1"/>
  <c r="AA380" i="1" s="1"/>
  <c r="AA412" i="1"/>
  <c r="W381" i="1"/>
  <c r="V380" i="1"/>
  <c r="W380" i="1" s="1"/>
  <c r="AM381" i="1"/>
  <c r="AM380" i="1" s="1"/>
  <c r="AM412" i="1"/>
  <c r="AI381" i="1"/>
  <c r="AH380" i="1"/>
  <c r="AI380" i="1" s="1"/>
  <c r="AY381" i="1"/>
  <c r="AY380" i="1" s="1"/>
  <c r="AY412" i="1"/>
  <c r="AU381" i="1"/>
  <c r="AT380" i="1"/>
  <c r="AU380" i="1" s="1"/>
  <c r="BB414" i="1"/>
  <c r="E422" i="1"/>
  <c r="P423" i="1"/>
  <c r="Q424" i="1"/>
  <c r="G422" i="1"/>
  <c r="H422" i="1" s="1"/>
  <c r="H423" i="1"/>
  <c r="AB423" i="1"/>
  <c r="AC424" i="1"/>
  <c r="S422" i="1"/>
  <c r="T422" i="1" s="1"/>
  <c r="T423" i="1"/>
  <c r="AN423" i="1"/>
  <c r="AO424" i="1"/>
  <c r="AE422" i="1"/>
  <c r="AF423" i="1"/>
  <c r="AZ423" i="1"/>
  <c r="BA424" i="1"/>
  <c r="AQ422" i="1"/>
  <c r="AR423" i="1"/>
  <c r="BE422" i="1"/>
  <c r="Q425" i="1"/>
  <c r="AO425" i="1"/>
  <c r="BD426" i="1"/>
  <c r="AC426" i="1"/>
  <c r="BA426" i="1"/>
  <c r="Q427" i="1"/>
  <c r="AO427" i="1"/>
  <c r="BD428" i="1"/>
  <c r="AC428" i="1"/>
  <c r="BA428" i="1"/>
  <c r="Q429" i="1"/>
  <c r="Q463" i="1"/>
  <c r="AC463" i="1"/>
  <c r="AO463" i="1"/>
  <c r="BA463" i="1"/>
  <c r="BD464" i="1"/>
  <c r="H465" i="1"/>
  <c r="AB465" i="1"/>
  <c r="AC466" i="1"/>
  <c r="AF465" i="1"/>
  <c r="AZ465" i="1"/>
  <c r="BA466" i="1"/>
  <c r="Q467" i="1"/>
  <c r="AC467" i="1"/>
  <c r="AO467" i="1"/>
  <c r="BA467" i="1"/>
  <c r="BD468" i="1"/>
  <c r="Q469" i="1"/>
  <c r="AC469" i="1"/>
  <c r="AO469" i="1"/>
  <c r="BA469" i="1"/>
  <c r="BD470" i="1"/>
  <c r="Q471" i="1"/>
  <c r="AC471" i="1"/>
  <c r="AO471" i="1"/>
  <c r="BA471" i="1"/>
  <c r="BD472" i="1"/>
  <c r="Q473" i="1"/>
  <c r="AC473" i="1"/>
  <c r="AO473" i="1"/>
  <c r="BA473" i="1"/>
  <c r="BD474" i="1"/>
  <c r="Q475" i="1"/>
  <c r="AC475" i="1"/>
  <c r="AO475" i="1"/>
  <c r="BA475" i="1"/>
  <c r="BD476" i="1"/>
  <c r="Q477" i="1"/>
  <c r="AC477" i="1"/>
  <c r="AO477" i="1"/>
  <c r="BA477" i="1"/>
  <c r="BD478" i="1"/>
  <c r="Q479" i="1"/>
  <c r="AC479" i="1"/>
  <c r="AO479" i="1"/>
  <c r="BA479" i="1"/>
  <c r="BD480" i="1"/>
  <c r="Q481" i="1"/>
  <c r="AC481" i="1"/>
  <c r="AO481" i="1"/>
  <c r="BA481" i="1"/>
  <c r="BD482" i="1"/>
  <c r="Q483" i="1"/>
  <c r="AC483" i="1"/>
  <c r="AO483" i="1"/>
  <c r="BA483" i="1"/>
  <c r="BD485" i="1"/>
  <c r="BC484" i="1"/>
  <c r="P484" i="1"/>
  <c r="Q484" i="1" s="1"/>
  <c r="Q485" i="1"/>
  <c r="T484" i="1"/>
  <c r="AN484" i="1"/>
  <c r="AO484" i="1" s="1"/>
  <c r="AO485" i="1"/>
  <c r="AR484" i="1"/>
  <c r="BD661" i="1"/>
  <c r="Q663" i="1"/>
  <c r="AC663" i="1"/>
  <c r="AO663" i="1"/>
  <c r="BA663" i="1"/>
  <c r="BD664" i="1"/>
  <c r="N465" i="1"/>
  <c r="AL465" i="1"/>
  <c r="Z484" i="1"/>
  <c r="AX484" i="1"/>
  <c r="AA10" i="1"/>
  <c r="AA212" i="1"/>
  <c r="BB220" i="1"/>
  <c r="O20" i="1"/>
  <c r="O222" i="1"/>
  <c r="AO17" i="1"/>
  <c r="AN218" i="1"/>
  <c r="BD18" i="1"/>
  <c r="BC219" i="1"/>
  <c r="AR219" i="1"/>
  <c r="AO19" i="1"/>
  <c r="AN220" i="1"/>
  <c r="N20" i="1"/>
  <c r="M221" i="1"/>
  <c r="AB20" i="1"/>
  <c r="AC21" i="1"/>
  <c r="AB222" i="1"/>
  <c r="AL20" i="1"/>
  <c r="AK221" i="1"/>
  <c r="AZ20" i="1"/>
  <c r="BA21" i="1"/>
  <c r="AZ222" i="1"/>
  <c r="AC22" i="1"/>
  <c r="AB223" i="1"/>
  <c r="BA22" i="1"/>
  <c r="AZ223" i="1"/>
  <c r="BD23" i="1"/>
  <c r="BC224" i="1"/>
  <c r="AF224" i="1"/>
  <c r="BA23" i="1"/>
  <c r="AZ224" i="1"/>
  <c r="BD24" i="1"/>
  <c r="BC225" i="1"/>
  <c r="BD225" i="1" s="1"/>
  <c r="AF225" i="1"/>
  <c r="BA24" i="1"/>
  <c r="AZ225" i="1"/>
  <c r="AC25" i="1"/>
  <c r="AB226" i="1"/>
  <c r="BD26" i="1"/>
  <c r="BC227" i="1"/>
  <c r="AC26" i="1"/>
  <c r="AB227" i="1"/>
  <c r="BA26" i="1"/>
  <c r="AZ227" i="1"/>
  <c r="AC27" i="1"/>
  <c r="AB228" i="1"/>
  <c r="BA27" i="1"/>
  <c r="AZ228" i="1"/>
  <c r="BD28" i="1"/>
  <c r="BC229" i="1"/>
  <c r="AF229" i="1"/>
  <c r="BA28" i="1"/>
  <c r="AZ229" i="1"/>
  <c r="AC29" i="1"/>
  <c r="AB230" i="1"/>
  <c r="BD30" i="1"/>
  <c r="BC231" i="1"/>
  <c r="AC30" i="1"/>
  <c r="AB231" i="1"/>
  <c r="BD31" i="1"/>
  <c r="BC232" i="1"/>
  <c r="AC31" i="1"/>
  <c r="AB232" i="1"/>
  <c r="BD32" i="1"/>
  <c r="BC233" i="1"/>
  <c r="AC32" i="1"/>
  <c r="AB233" i="1"/>
  <c r="BA32" i="1"/>
  <c r="AZ233" i="1"/>
  <c r="Q33" i="1"/>
  <c r="P234" i="1"/>
  <c r="AO34" i="1"/>
  <c r="AN235" i="1"/>
  <c r="AO235" i="1" s="1"/>
  <c r="BD35" i="1"/>
  <c r="BC236" i="1"/>
  <c r="AC36" i="1"/>
  <c r="AB237" i="1"/>
  <c r="AO36" i="1"/>
  <c r="AN237" i="1"/>
  <c r="BA36" i="1"/>
  <c r="AZ237" i="1"/>
  <c r="Q37" i="1"/>
  <c r="P238" i="1"/>
  <c r="H39" i="1"/>
  <c r="G240" i="1"/>
  <c r="Q43" i="1"/>
  <c r="P42" i="1"/>
  <c r="BC42" i="1"/>
  <c r="BD43" i="1"/>
  <c r="Y41" i="1"/>
  <c r="Z41" i="1" s="1"/>
  <c r="Z42" i="1"/>
  <c r="AK41" i="1"/>
  <c r="AL42" i="1"/>
  <c r="N226" i="1"/>
  <c r="N230" i="1"/>
  <c r="AL232" i="1"/>
  <c r="AC72" i="1"/>
  <c r="AB71" i="1"/>
  <c r="AC71" i="1" s="1"/>
  <c r="AO72" i="1"/>
  <c r="AN71" i="1"/>
  <c r="AO71" i="1" s="1"/>
  <c r="BA72" i="1"/>
  <c r="AZ71" i="1"/>
  <c r="BA71" i="1" s="1"/>
  <c r="BC74" i="1"/>
  <c r="BD75" i="1"/>
  <c r="BC148" i="1"/>
  <c r="BC308" i="1"/>
  <c r="BC524" i="1"/>
  <c r="I621" i="1"/>
  <c r="I588" i="1"/>
  <c r="N148" i="1"/>
  <c r="M588" i="1"/>
  <c r="M621" i="1"/>
  <c r="M73" i="1"/>
  <c r="N74" i="1"/>
  <c r="M147" i="1"/>
  <c r="M307" i="1"/>
  <c r="M523" i="1"/>
  <c r="AC75" i="1"/>
  <c r="AB74" i="1"/>
  <c r="AB148" i="1"/>
  <c r="AB308" i="1"/>
  <c r="AB524" i="1"/>
  <c r="U73" i="1"/>
  <c r="U147" i="1"/>
  <c r="U307" i="1"/>
  <c r="U523" i="1"/>
  <c r="U490" i="1" s="1"/>
  <c r="AF148" i="1"/>
  <c r="AE588" i="1"/>
  <c r="AF588" i="1" s="1"/>
  <c r="AE621" i="1"/>
  <c r="AL524" i="1"/>
  <c r="AK491" i="1"/>
  <c r="AL491" i="1" s="1"/>
  <c r="AQ73" i="1"/>
  <c r="AR74" i="1"/>
  <c r="AQ147" i="1"/>
  <c r="AQ307" i="1"/>
  <c r="AQ523" i="1"/>
  <c r="BE621" i="1"/>
  <c r="BE588" i="1"/>
  <c r="E622" i="1"/>
  <c r="E589" i="1"/>
  <c r="Q76" i="1"/>
  <c r="P149" i="1"/>
  <c r="P309" i="1"/>
  <c r="P525" i="1"/>
  <c r="N525" i="1"/>
  <c r="M492" i="1"/>
  <c r="N492" i="1" s="1"/>
  <c r="T525" i="1"/>
  <c r="S492" i="1"/>
  <c r="T492" i="1" s="1"/>
  <c r="Z149" i="1"/>
  <c r="Y589" i="1"/>
  <c r="Y622" i="1"/>
  <c r="AF149" i="1"/>
  <c r="AE589" i="1"/>
  <c r="AE622" i="1"/>
  <c r="AL149" i="1"/>
  <c r="AK622" i="1"/>
  <c r="AL622" i="1" s="1"/>
  <c r="AK589" i="1"/>
  <c r="AL589" i="1" s="1"/>
  <c r="AR149" i="1"/>
  <c r="AQ589" i="1"/>
  <c r="AQ622" i="1"/>
  <c r="AX525" i="1"/>
  <c r="AW492" i="1"/>
  <c r="AX492" i="1" s="1"/>
  <c r="AX149" i="1"/>
  <c r="AW589" i="1"/>
  <c r="AW622" i="1"/>
  <c r="BE589" i="1"/>
  <c r="BE622" i="1"/>
  <c r="H526" i="1"/>
  <c r="G493" i="1"/>
  <c r="H493" i="1" s="1"/>
  <c r="Q77" i="1"/>
  <c r="P150" i="1"/>
  <c r="P310" i="1"/>
  <c r="P526" i="1"/>
  <c r="AC77" i="1"/>
  <c r="AB150" i="1"/>
  <c r="AB310" i="1"/>
  <c r="AB526" i="1"/>
  <c r="U590" i="1"/>
  <c r="U623" i="1"/>
  <c r="N229" i="1"/>
  <c r="BB236" i="1"/>
  <c r="BB238" i="1"/>
  <c r="AI39" i="1"/>
  <c r="AH240" i="1"/>
  <c r="AI240" i="1" s="1"/>
  <c r="BB42" i="1"/>
  <c r="AU42" i="1"/>
  <c r="AT41" i="1"/>
  <c r="D588" i="1"/>
  <c r="D621" i="1"/>
  <c r="L588" i="1"/>
  <c r="L621" i="1"/>
  <c r="X588" i="1"/>
  <c r="X621" i="1"/>
  <c r="AJ588" i="1"/>
  <c r="AJ621" i="1"/>
  <c r="AV588" i="1"/>
  <c r="AV621" i="1"/>
  <c r="D589" i="1"/>
  <c r="D622" i="1"/>
  <c r="X589" i="1"/>
  <c r="X622" i="1"/>
  <c r="AV589" i="1"/>
  <c r="AV622" i="1"/>
  <c r="D590" i="1"/>
  <c r="D623" i="1"/>
  <c r="X590" i="1"/>
  <c r="X623" i="1"/>
  <c r="AM150" i="1"/>
  <c r="AM310" i="1"/>
  <c r="AM526" i="1"/>
  <c r="AM493" i="1" s="1"/>
  <c r="AP590" i="1"/>
  <c r="AP623" i="1"/>
  <c r="AT493" i="1"/>
  <c r="AU493" i="1" s="1"/>
  <c r="AU526" i="1"/>
  <c r="AU150" i="1"/>
  <c r="AT590" i="1"/>
  <c r="AT623" i="1"/>
  <c r="AV590" i="1"/>
  <c r="AV623" i="1"/>
  <c r="F591" i="1"/>
  <c r="F624" i="1"/>
  <c r="BB151" i="1"/>
  <c r="BB311" i="1"/>
  <c r="BB527" i="1"/>
  <c r="BB494" i="1" s="1"/>
  <c r="R591" i="1"/>
  <c r="R624" i="1"/>
  <c r="V494" i="1"/>
  <c r="W494" i="1" s="1"/>
  <c r="W527" i="1"/>
  <c r="W151" i="1"/>
  <c r="V591" i="1"/>
  <c r="V624" i="1"/>
  <c r="X591" i="1"/>
  <c r="X624" i="1"/>
  <c r="AM151" i="1"/>
  <c r="AM311" i="1"/>
  <c r="AM527" i="1"/>
  <c r="AM494" i="1" s="1"/>
  <c r="AP591" i="1"/>
  <c r="AP624" i="1"/>
  <c r="AT494" i="1"/>
  <c r="AU494" i="1" s="1"/>
  <c r="AU527" i="1"/>
  <c r="AU151" i="1"/>
  <c r="AT591" i="1"/>
  <c r="AT624" i="1"/>
  <c r="AV591" i="1"/>
  <c r="AV624" i="1"/>
  <c r="F592" i="1"/>
  <c r="F625" i="1"/>
  <c r="BB152" i="1"/>
  <c r="BB312" i="1"/>
  <c r="BB528" i="1"/>
  <c r="BB495" i="1" s="1"/>
  <c r="R592" i="1"/>
  <c r="R625" i="1"/>
  <c r="V495" i="1"/>
  <c r="W495" i="1" s="1"/>
  <c r="W528" i="1"/>
  <c r="X592" i="1"/>
  <c r="X625" i="1"/>
  <c r="AM152" i="1"/>
  <c r="AM312" i="1"/>
  <c r="AM528" i="1"/>
  <c r="AM495" i="1" s="1"/>
  <c r="AP592" i="1"/>
  <c r="AP625" i="1"/>
  <c r="AT495" i="1"/>
  <c r="AU495" i="1" s="1"/>
  <c r="AU528" i="1"/>
  <c r="AU152" i="1"/>
  <c r="AT592" i="1"/>
  <c r="AU592" i="1" s="1"/>
  <c r="AT625" i="1"/>
  <c r="AV592" i="1"/>
  <c r="AV625" i="1"/>
  <c r="F593" i="1"/>
  <c r="F626" i="1"/>
  <c r="BB153" i="1"/>
  <c r="BB313" i="1"/>
  <c r="BB529" i="1"/>
  <c r="BB496" i="1" s="1"/>
  <c r="R593" i="1"/>
  <c r="R626" i="1"/>
  <c r="V496" i="1"/>
  <c r="W496" i="1" s="1"/>
  <c r="W529" i="1"/>
  <c r="W153" i="1"/>
  <c r="V593" i="1"/>
  <c r="V626" i="1"/>
  <c r="X593" i="1"/>
  <c r="X626" i="1"/>
  <c r="AM153" i="1"/>
  <c r="AM313" i="1"/>
  <c r="AM529" i="1"/>
  <c r="AM496" i="1" s="1"/>
  <c r="AP593" i="1"/>
  <c r="AP626" i="1"/>
  <c r="AT496" i="1"/>
  <c r="AU496" i="1" s="1"/>
  <c r="AU529" i="1"/>
  <c r="AU153" i="1"/>
  <c r="AT593" i="1"/>
  <c r="AT626" i="1"/>
  <c r="AV593" i="1"/>
  <c r="AV626" i="1"/>
  <c r="F594" i="1"/>
  <c r="F627" i="1"/>
  <c r="BB154" i="1"/>
  <c r="BB314" i="1"/>
  <c r="BB530" i="1"/>
  <c r="BB497" i="1" s="1"/>
  <c r="R594" i="1"/>
  <c r="R627" i="1"/>
  <c r="V497" i="1"/>
  <c r="W497" i="1" s="1"/>
  <c r="W530" i="1"/>
  <c r="W154" i="1"/>
  <c r="V594" i="1"/>
  <c r="W594" i="1" s="1"/>
  <c r="V627" i="1"/>
  <c r="X594" i="1"/>
  <c r="X627" i="1"/>
  <c r="AM154" i="1"/>
  <c r="AM314" i="1"/>
  <c r="AM530" i="1"/>
  <c r="AM497" i="1" s="1"/>
  <c r="AP594" i="1"/>
  <c r="AP627" i="1"/>
  <c r="AT497" i="1"/>
  <c r="AU497" i="1" s="1"/>
  <c r="AU530" i="1"/>
  <c r="AU154" i="1"/>
  <c r="AT594" i="1"/>
  <c r="AU594" i="1" s="1"/>
  <c r="AT627" i="1"/>
  <c r="AV594" i="1"/>
  <c r="AV627" i="1"/>
  <c r="F595" i="1"/>
  <c r="F628" i="1"/>
  <c r="BB155" i="1"/>
  <c r="BB315" i="1"/>
  <c r="BB531" i="1"/>
  <c r="BB498" i="1" s="1"/>
  <c r="R595" i="1"/>
  <c r="R628" i="1"/>
  <c r="V498" i="1"/>
  <c r="W498" i="1" s="1"/>
  <c r="W531" i="1"/>
  <c r="W155" i="1"/>
  <c r="V595" i="1"/>
  <c r="V628" i="1"/>
  <c r="X595" i="1"/>
  <c r="X628" i="1"/>
  <c r="AM155" i="1"/>
  <c r="AM315" i="1"/>
  <c r="AM531" i="1"/>
  <c r="AM498" i="1" s="1"/>
  <c r="AP595" i="1"/>
  <c r="AP628" i="1"/>
  <c r="AT498" i="1"/>
  <c r="AU498" i="1" s="1"/>
  <c r="AU531" i="1"/>
  <c r="AU155" i="1"/>
  <c r="AT595" i="1"/>
  <c r="AT628" i="1"/>
  <c r="AV595" i="1"/>
  <c r="AV628" i="1"/>
  <c r="F596" i="1"/>
  <c r="F629" i="1"/>
  <c r="O156" i="1"/>
  <c r="O316" i="1"/>
  <c r="O532" i="1"/>
  <c r="O499" i="1" s="1"/>
  <c r="R596" i="1"/>
  <c r="R629" i="1"/>
  <c r="V499" i="1"/>
  <c r="W499" i="1" s="1"/>
  <c r="W532" i="1"/>
  <c r="W156" i="1"/>
  <c r="V596" i="1"/>
  <c r="W596" i="1" s="1"/>
  <c r="V629" i="1"/>
  <c r="W629" i="1" s="1"/>
  <c r="X596" i="1"/>
  <c r="X629" i="1"/>
  <c r="AM156" i="1"/>
  <c r="AM316" i="1"/>
  <c r="AM532" i="1"/>
  <c r="AM499" i="1" s="1"/>
  <c r="AP596" i="1"/>
  <c r="AP629" i="1"/>
  <c r="AT499" i="1"/>
  <c r="AU499" i="1" s="1"/>
  <c r="AU532" i="1"/>
  <c r="AU156" i="1"/>
  <c r="AT596" i="1"/>
  <c r="AU596" i="1" s="1"/>
  <c r="AT629" i="1"/>
  <c r="AU629" i="1" s="1"/>
  <c r="AV596" i="1"/>
  <c r="AV629" i="1"/>
  <c r="N227" i="1"/>
  <c r="AL229" i="1"/>
  <c r="W241" i="1"/>
  <c r="AU241" i="1"/>
  <c r="BB52" i="1"/>
  <c r="F588" i="1"/>
  <c r="F621" i="1"/>
  <c r="BB74" i="1"/>
  <c r="BB148" i="1"/>
  <c r="BB308" i="1"/>
  <c r="BB524" i="1"/>
  <c r="BB491" i="1" s="1"/>
  <c r="V491" i="1"/>
  <c r="W491" i="1" s="1"/>
  <c r="W524" i="1"/>
  <c r="W148" i="1"/>
  <c r="V588" i="1"/>
  <c r="V621" i="1"/>
  <c r="W621" i="1" s="1"/>
  <c r="AD73" i="1"/>
  <c r="AD147" i="1"/>
  <c r="AD307" i="1"/>
  <c r="AD523" i="1"/>
  <c r="AD490" i="1" s="1"/>
  <c r="AT491" i="1"/>
  <c r="AU491" i="1" s="1"/>
  <c r="AU524" i="1"/>
  <c r="AU148" i="1"/>
  <c r="AT588" i="1"/>
  <c r="AT621" i="1"/>
  <c r="K309" i="1"/>
  <c r="AA149" i="1"/>
  <c r="AA309" i="1"/>
  <c r="AA525" i="1"/>
  <c r="AA492" i="1" s="1"/>
  <c r="AI309" i="1"/>
  <c r="AY149" i="1"/>
  <c r="AY309" i="1"/>
  <c r="AY525" i="1"/>
  <c r="AY492" i="1" s="1"/>
  <c r="BB150" i="1"/>
  <c r="BB310" i="1"/>
  <c r="BB526" i="1"/>
  <c r="BB493" i="1" s="1"/>
  <c r="V493" i="1"/>
  <c r="W493" i="1" s="1"/>
  <c r="W526" i="1"/>
  <c r="W150" i="1"/>
  <c r="V590" i="1"/>
  <c r="V623" i="1"/>
  <c r="AF526" i="1"/>
  <c r="AE493" i="1"/>
  <c r="AF493" i="1" s="1"/>
  <c r="AF150" i="1"/>
  <c r="AE590" i="1"/>
  <c r="AF590" i="1" s="1"/>
  <c r="AE623" i="1"/>
  <c r="BA77" i="1"/>
  <c r="AZ150" i="1"/>
  <c r="AZ310" i="1"/>
  <c r="BA310" i="1" s="1"/>
  <c r="AZ526" i="1"/>
  <c r="H311" i="1"/>
  <c r="BD78" i="1"/>
  <c r="BC151" i="1"/>
  <c r="BC311" i="1"/>
  <c r="BC527" i="1"/>
  <c r="T311" i="1"/>
  <c r="AC78" i="1"/>
  <c r="AB151" i="1"/>
  <c r="AB311" i="1"/>
  <c r="AB527" i="1"/>
  <c r="AF527" i="1"/>
  <c r="AE494" i="1"/>
  <c r="AF494" i="1" s="1"/>
  <c r="AF151" i="1"/>
  <c r="AE591" i="1"/>
  <c r="AE624" i="1"/>
  <c r="AF624" i="1" s="1"/>
  <c r="AR311" i="1"/>
  <c r="BA78" i="1"/>
  <c r="AZ151" i="1"/>
  <c r="AZ311" i="1"/>
  <c r="AZ527" i="1"/>
  <c r="H312" i="1"/>
  <c r="BD79" i="1"/>
  <c r="BC152" i="1"/>
  <c r="BC312" i="1"/>
  <c r="BC528" i="1"/>
  <c r="T312" i="1"/>
  <c r="AC79" i="1"/>
  <c r="AB152" i="1"/>
  <c r="AB312" i="1"/>
  <c r="AC312" i="1" s="1"/>
  <c r="AB528" i="1"/>
  <c r="AF528" i="1"/>
  <c r="AE495" i="1"/>
  <c r="AF495" i="1" s="1"/>
  <c r="AF152" i="1"/>
  <c r="AE592" i="1"/>
  <c r="AE625" i="1"/>
  <c r="AR312" i="1"/>
  <c r="BA79" i="1"/>
  <c r="AZ152" i="1"/>
  <c r="AZ312" i="1"/>
  <c r="BA312" i="1" s="1"/>
  <c r="AZ528" i="1"/>
  <c r="H313" i="1"/>
  <c r="BD80" i="1"/>
  <c r="BC153" i="1"/>
  <c r="BC313" i="1"/>
  <c r="BC529" i="1"/>
  <c r="T313" i="1"/>
  <c r="AC80" i="1"/>
  <c r="AB153" i="1"/>
  <c r="AB313" i="1"/>
  <c r="AB529" i="1"/>
  <c r="AF529" i="1"/>
  <c r="AE496" i="1"/>
  <c r="AF496" i="1" s="1"/>
  <c r="AF153" i="1"/>
  <c r="AE593" i="1"/>
  <c r="AE626" i="1"/>
  <c r="AF626" i="1" s="1"/>
  <c r="AR313" i="1"/>
  <c r="BA80" i="1"/>
  <c r="AZ153" i="1"/>
  <c r="AZ313" i="1"/>
  <c r="AZ529" i="1"/>
  <c r="H314" i="1"/>
  <c r="BD81" i="1"/>
  <c r="BC154" i="1"/>
  <c r="BC314" i="1"/>
  <c r="BD314" i="1" s="1"/>
  <c r="BC530" i="1"/>
  <c r="T314" i="1"/>
  <c r="AC81" i="1"/>
  <c r="AB154" i="1"/>
  <c r="AB314" i="1"/>
  <c r="AC314" i="1" s="1"/>
  <c r="AB530" i="1"/>
  <c r="AF530" i="1"/>
  <c r="AE497" i="1"/>
  <c r="AF497" i="1" s="1"/>
  <c r="AF154" i="1"/>
  <c r="AE594" i="1"/>
  <c r="AE627" i="1"/>
  <c r="AR314" i="1"/>
  <c r="BA81" i="1"/>
  <c r="AZ154" i="1"/>
  <c r="AZ314" i="1"/>
  <c r="BA314" i="1" s="1"/>
  <c r="AZ530" i="1"/>
  <c r="H315" i="1"/>
  <c r="BD82" i="1"/>
  <c r="BC155" i="1"/>
  <c r="BC315" i="1"/>
  <c r="BC531" i="1"/>
  <c r="T315" i="1"/>
  <c r="AC82" i="1"/>
  <c r="AB155" i="1"/>
  <c r="AB315" i="1"/>
  <c r="AB531" i="1"/>
  <c r="AF531" i="1"/>
  <c r="AE498" i="1"/>
  <c r="AF498" i="1" s="1"/>
  <c r="AF155" i="1"/>
  <c r="AE595" i="1"/>
  <c r="AE628" i="1"/>
  <c r="AF628" i="1" s="1"/>
  <c r="AR315" i="1"/>
  <c r="BA82" i="1"/>
  <c r="AZ155" i="1"/>
  <c r="AZ315" i="1"/>
  <c r="AZ531" i="1"/>
  <c r="H316" i="1"/>
  <c r="BD83" i="1"/>
  <c r="BC156" i="1"/>
  <c r="BC316" i="1"/>
  <c r="BC532" i="1"/>
  <c r="T316" i="1"/>
  <c r="AC83" i="1"/>
  <c r="AB156" i="1"/>
  <c r="AB316" i="1"/>
  <c r="AC316" i="1" s="1"/>
  <c r="AB532" i="1"/>
  <c r="AF532" i="1"/>
  <c r="AE499" i="1"/>
  <c r="AF499" i="1" s="1"/>
  <c r="AF156" i="1"/>
  <c r="AE596" i="1"/>
  <c r="AE629" i="1"/>
  <c r="AR316" i="1"/>
  <c r="BA83" i="1"/>
  <c r="AZ156" i="1"/>
  <c r="AZ316" i="1"/>
  <c r="BA316" i="1" s="1"/>
  <c r="AZ532" i="1"/>
  <c r="D598" i="1"/>
  <c r="D631" i="1"/>
  <c r="F598" i="1"/>
  <c r="F631" i="1"/>
  <c r="BB84" i="1"/>
  <c r="BB158" i="1"/>
  <c r="BB318" i="1"/>
  <c r="BB534" i="1"/>
  <c r="BB501" i="1" s="1"/>
  <c r="J501" i="1"/>
  <c r="K501" i="1" s="1"/>
  <c r="K534" i="1"/>
  <c r="K158" i="1"/>
  <c r="J598" i="1"/>
  <c r="J631" i="1"/>
  <c r="K84" i="1"/>
  <c r="J157" i="1"/>
  <c r="J317" i="1"/>
  <c r="K317" i="1" s="1"/>
  <c r="J533" i="1"/>
  <c r="L157" i="1"/>
  <c r="L317" i="1"/>
  <c r="L533" i="1"/>
  <c r="L500" i="1" s="1"/>
  <c r="AA84" i="1"/>
  <c r="AA158" i="1"/>
  <c r="AA318" i="1"/>
  <c r="AA534" i="1"/>
  <c r="AA501" i="1" s="1"/>
  <c r="V501" i="1"/>
  <c r="W501" i="1" s="1"/>
  <c r="W534" i="1"/>
  <c r="W158" i="1"/>
  <c r="V598" i="1"/>
  <c r="V631" i="1"/>
  <c r="W84" i="1"/>
  <c r="V157" i="1"/>
  <c r="V317" i="1"/>
  <c r="V533" i="1"/>
  <c r="X157" i="1"/>
  <c r="X317" i="1"/>
  <c r="X533" i="1"/>
  <c r="X500" i="1" s="1"/>
  <c r="AM84" i="1"/>
  <c r="AM158" i="1"/>
  <c r="AM318" i="1"/>
  <c r="AM534" i="1"/>
  <c r="AM501" i="1" s="1"/>
  <c r="AH501" i="1"/>
  <c r="AI501" i="1" s="1"/>
  <c r="AI534" i="1"/>
  <c r="AI158" i="1"/>
  <c r="AH598" i="1"/>
  <c r="AH631" i="1"/>
  <c r="AI84" i="1"/>
  <c r="AH157" i="1"/>
  <c r="AH317" i="1"/>
  <c r="AI317" i="1" s="1"/>
  <c r="AH533" i="1"/>
  <c r="AJ157" i="1"/>
  <c r="AJ317" i="1"/>
  <c r="AJ533" i="1"/>
  <c r="AJ500" i="1" s="1"/>
  <c r="AY84" i="1"/>
  <c r="AY158" i="1"/>
  <c r="AY318" i="1"/>
  <c r="AY534" i="1"/>
  <c r="AY501" i="1" s="1"/>
  <c r="AT501" i="1"/>
  <c r="AU501" i="1" s="1"/>
  <c r="AU534" i="1"/>
  <c r="AU158" i="1"/>
  <c r="AT598" i="1"/>
  <c r="AT631" i="1"/>
  <c r="AU84" i="1"/>
  <c r="AT157" i="1"/>
  <c r="AT317" i="1"/>
  <c r="AT533" i="1"/>
  <c r="AV157" i="1"/>
  <c r="AV317" i="1"/>
  <c r="AV533" i="1"/>
  <c r="AV500" i="1" s="1"/>
  <c r="F599" i="1"/>
  <c r="F632" i="1"/>
  <c r="BB159" i="1"/>
  <c r="BB319" i="1"/>
  <c r="BB535" i="1"/>
  <c r="BB502" i="1" s="1"/>
  <c r="R599" i="1"/>
  <c r="R632" i="1"/>
  <c r="V502" i="1"/>
  <c r="W502" i="1" s="1"/>
  <c r="W535" i="1"/>
  <c r="W159" i="1"/>
  <c r="V599" i="1"/>
  <c r="W599" i="1" s="1"/>
  <c r="V632" i="1"/>
  <c r="X599" i="1"/>
  <c r="X632" i="1"/>
  <c r="AM159" i="1"/>
  <c r="AM319" i="1"/>
  <c r="AM535" i="1"/>
  <c r="AM502" i="1" s="1"/>
  <c r="AP599" i="1"/>
  <c r="AP632" i="1"/>
  <c r="AT502" i="1"/>
  <c r="AU502" i="1" s="1"/>
  <c r="AU535" i="1"/>
  <c r="AU159" i="1"/>
  <c r="AT599" i="1"/>
  <c r="AU599" i="1" s="1"/>
  <c r="AT632" i="1"/>
  <c r="AV599" i="1"/>
  <c r="AV632" i="1"/>
  <c r="F600" i="1"/>
  <c r="F633" i="1"/>
  <c r="BB160" i="1"/>
  <c r="BB320" i="1"/>
  <c r="BB536" i="1"/>
  <c r="BB503" i="1" s="1"/>
  <c r="R600" i="1"/>
  <c r="R633" i="1"/>
  <c r="V503" i="1"/>
  <c r="W503" i="1" s="1"/>
  <c r="W536" i="1"/>
  <c r="W160" i="1"/>
  <c r="V600" i="1"/>
  <c r="V633" i="1"/>
  <c r="X600" i="1"/>
  <c r="X633" i="1"/>
  <c r="AM160" i="1"/>
  <c r="AM320" i="1"/>
  <c r="AM536" i="1"/>
  <c r="AM503" i="1" s="1"/>
  <c r="AP600" i="1"/>
  <c r="AP633" i="1"/>
  <c r="AT503" i="1"/>
  <c r="AU503" i="1" s="1"/>
  <c r="AU536" i="1"/>
  <c r="AU160" i="1"/>
  <c r="AT600" i="1"/>
  <c r="AT633" i="1"/>
  <c r="AV600" i="1"/>
  <c r="AV633" i="1"/>
  <c r="F601" i="1"/>
  <c r="F634" i="1"/>
  <c r="BB161" i="1"/>
  <c r="BB321" i="1"/>
  <c r="BB537" i="1"/>
  <c r="BB504" i="1" s="1"/>
  <c r="R601" i="1"/>
  <c r="R634" i="1"/>
  <c r="V504" i="1"/>
  <c r="W504" i="1" s="1"/>
  <c r="W537" i="1"/>
  <c r="W161" i="1"/>
  <c r="V601" i="1"/>
  <c r="W601" i="1" s="1"/>
  <c r="V634" i="1"/>
  <c r="X601" i="1"/>
  <c r="X634" i="1"/>
  <c r="AM161" i="1"/>
  <c r="AM321" i="1"/>
  <c r="AM537" i="1"/>
  <c r="AM504" i="1" s="1"/>
  <c r="AP601" i="1"/>
  <c r="AP634" i="1"/>
  <c r="AT504" i="1"/>
  <c r="AU504" i="1" s="1"/>
  <c r="AU537" i="1"/>
  <c r="AU161" i="1"/>
  <c r="AT601" i="1"/>
  <c r="AU601" i="1" s="1"/>
  <c r="AT634" i="1"/>
  <c r="AV601" i="1"/>
  <c r="AV634" i="1"/>
  <c r="F602" i="1"/>
  <c r="F635" i="1"/>
  <c r="BB162" i="1"/>
  <c r="BB322" i="1"/>
  <c r="BB538" i="1"/>
  <c r="BB505" i="1" s="1"/>
  <c r="R602" i="1"/>
  <c r="R635" i="1"/>
  <c r="V505" i="1"/>
  <c r="W505" i="1" s="1"/>
  <c r="W538" i="1"/>
  <c r="W162" i="1"/>
  <c r="V602" i="1"/>
  <c r="V635" i="1"/>
  <c r="X602" i="1"/>
  <c r="X635" i="1"/>
  <c r="AM162" i="1"/>
  <c r="AM322" i="1"/>
  <c r="AM538" i="1"/>
  <c r="AM505" i="1" s="1"/>
  <c r="AP602" i="1"/>
  <c r="AP635" i="1"/>
  <c r="AT505" i="1"/>
  <c r="AU505" i="1" s="1"/>
  <c r="AU538" i="1"/>
  <c r="AU162" i="1"/>
  <c r="AT602" i="1"/>
  <c r="AT635" i="1"/>
  <c r="AV602" i="1"/>
  <c r="AV635" i="1"/>
  <c r="F603" i="1"/>
  <c r="F636" i="1"/>
  <c r="BB163" i="1"/>
  <c r="BB323" i="1"/>
  <c r="BB539" i="1"/>
  <c r="BB506" i="1" s="1"/>
  <c r="R603" i="1"/>
  <c r="R636" i="1"/>
  <c r="V506" i="1"/>
  <c r="W506" i="1" s="1"/>
  <c r="W539" i="1"/>
  <c r="W163" i="1"/>
  <c r="V603" i="1"/>
  <c r="W603" i="1" s="1"/>
  <c r="V636" i="1"/>
  <c r="X603" i="1"/>
  <c r="X636" i="1"/>
  <c r="AM163" i="1"/>
  <c r="AM323" i="1"/>
  <c r="AM539" i="1"/>
  <c r="AM506" i="1" s="1"/>
  <c r="AP603" i="1"/>
  <c r="AP636" i="1"/>
  <c r="AT506" i="1"/>
  <c r="AU506" i="1" s="1"/>
  <c r="AU539" i="1"/>
  <c r="AU163" i="1"/>
  <c r="AT603" i="1"/>
  <c r="AU603" i="1" s="1"/>
  <c r="AT636" i="1"/>
  <c r="AV603" i="1"/>
  <c r="AV636" i="1"/>
  <c r="F604" i="1"/>
  <c r="F637" i="1"/>
  <c r="BB164" i="1"/>
  <c r="BB324" i="1"/>
  <c r="BB540" i="1"/>
  <c r="BB507" i="1" s="1"/>
  <c r="R604" i="1"/>
  <c r="R637" i="1"/>
  <c r="V507" i="1"/>
  <c r="W507" i="1" s="1"/>
  <c r="W540" i="1"/>
  <c r="W164" i="1"/>
  <c r="V604" i="1"/>
  <c r="V637" i="1"/>
  <c r="X604" i="1"/>
  <c r="X637" i="1"/>
  <c r="AM164" i="1"/>
  <c r="AM324" i="1"/>
  <c r="AM540" i="1"/>
  <c r="AM507" i="1" s="1"/>
  <c r="AP604" i="1"/>
  <c r="AP637" i="1"/>
  <c r="AT507" i="1"/>
  <c r="AU507" i="1" s="1"/>
  <c r="AU540" i="1"/>
  <c r="AU164" i="1"/>
  <c r="AT604" i="1"/>
  <c r="AT637" i="1"/>
  <c r="AV604" i="1"/>
  <c r="AV637" i="1"/>
  <c r="F605" i="1"/>
  <c r="F638" i="1"/>
  <c r="BB165" i="1"/>
  <c r="BB325" i="1"/>
  <c r="BB541" i="1"/>
  <c r="BB508" i="1" s="1"/>
  <c r="R605" i="1"/>
  <c r="R638" i="1"/>
  <c r="V508" i="1"/>
  <c r="W508" i="1" s="1"/>
  <c r="W541" i="1"/>
  <c r="W165" i="1"/>
  <c r="V605" i="1"/>
  <c r="W605" i="1" s="1"/>
  <c r="V638" i="1"/>
  <c r="X605" i="1"/>
  <c r="X638" i="1"/>
  <c r="AM165" i="1"/>
  <c r="AM325" i="1"/>
  <c r="AM541" i="1"/>
  <c r="AM508" i="1" s="1"/>
  <c r="AP605" i="1"/>
  <c r="AP638" i="1"/>
  <c r="AT508" i="1"/>
  <c r="AU508" i="1" s="1"/>
  <c r="AU541" i="1"/>
  <c r="AU165" i="1"/>
  <c r="AT605" i="1"/>
  <c r="AU605" i="1" s="1"/>
  <c r="AT638" i="1"/>
  <c r="AV605" i="1"/>
  <c r="AV638" i="1"/>
  <c r="F606" i="1"/>
  <c r="F639" i="1"/>
  <c r="BB166" i="1"/>
  <c r="BB326" i="1"/>
  <c r="BB542" i="1"/>
  <c r="BB509" i="1" s="1"/>
  <c r="R606" i="1"/>
  <c r="R639" i="1"/>
  <c r="V509" i="1"/>
  <c r="W509" i="1" s="1"/>
  <c r="W542" i="1"/>
  <c r="W166" i="1"/>
  <c r="V606" i="1"/>
  <c r="V639" i="1"/>
  <c r="X606" i="1"/>
  <c r="X639" i="1"/>
  <c r="AM166" i="1"/>
  <c r="AM326" i="1"/>
  <c r="AM542" i="1"/>
  <c r="AM509" i="1" s="1"/>
  <c r="AP606" i="1"/>
  <c r="AP639" i="1"/>
  <c r="AT509" i="1"/>
  <c r="AU509" i="1" s="1"/>
  <c r="AU542" i="1"/>
  <c r="AU166" i="1"/>
  <c r="AT606" i="1"/>
  <c r="AT639" i="1"/>
  <c r="AV606" i="1"/>
  <c r="AV639" i="1"/>
  <c r="F607" i="1"/>
  <c r="F640" i="1"/>
  <c r="BB167" i="1"/>
  <c r="BB327" i="1"/>
  <c r="BB543" i="1"/>
  <c r="BB510" i="1" s="1"/>
  <c r="R607" i="1"/>
  <c r="R640" i="1"/>
  <c r="V510" i="1"/>
  <c r="W510" i="1" s="1"/>
  <c r="W543" i="1"/>
  <c r="W167" i="1"/>
  <c r="V607" i="1"/>
  <c r="W607" i="1" s="1"/>
  <c r="V640" i="1"/>
  <c r="X607" i="1"/>
  <c r="X640" i="1"/>
  <c r="AM167" i="1"/>
  <c r="AM327" i="1"/>
  <c r="AM543" i="1"/>
  <c r="AM510" i="1" s="1"/>
  <c r="AP607" i="1"/>
  <c r="AP640" i="1"/>
  <c r="AT510" i="1"/>
  <c r="AU510" i="1" s="1"/>
  <c r="AU543" i="1"/>
  <c r="AU167" i="1"/>
  <c r="AT607" i="1"/>
  <c r="AU607" i="1" s="1"/>
  <c r="AT640" i="1"/>
  <c r="AV607" i="1"/>
  <c r="AV640" i="1"/>
  <c r="F608" i="1"/>
  <c r="F641" i="1"/>
  <c r="BB168" i="1"/>
  <c r="BB328" i="1"/>
  <c r="BB544" i="1"/>
  <c r="BB511" i="1" s="1"/>
  <c r="R608" i="1"/>
  <c r="R641" i="1"/>
  <c r="V511" i="1"/>
  <c r="W511" i="1" s="1"/>
  <c r="W544" i="1"/>
  <c r="W168" i="1"/>
  <c r="V608" i="1"/>
  <c r="V641" i="1"/>
  <c r="X608" i="1"/>
  <c r="X641" i="1"/>
  <c r="AM168" i="1"/>
  <c r="AM328" i="1"/>
  <c r="AM544" i="1"/>
  <c r="AM511" i="1" s="1"/>
  <c r="AP608" i="1"/>
  <c r="AP641" i="1"/>
  <c r="AT511" i="1"/>
  <c r="AU511" i="1" s="1"/>
  <c r="AU544" i="1"/>
  <c r="AU168" i="1"/>
  <c r="AT608" i="1"/>
  <c r="AT641" i="1"/>
  <c r="AV608" i="1"/>
  <c r="AV641" i="1"/>
  <c r="F609" i="1"/>
  <c r="F642" i="1"/>
  <c r="BB169" i="1"/>
  <c r="BB329" i="1"/>
  <c r="BB545" i="1"/>
  <c r="BB512" i="1" s="1"/>
  <c r="R609" i="1"/>
  <c r="R642" i="1"/>
  <c r="V512" i="1"/>
  <c r="W512" i="1" s="1"/>
  <c r="W545" i="1"/>
  <c r="W169" i="1"/>
  <c r="V609" i="1"/>
  <c r="W609" i="1" s="1"/>
  <c r="V642" i="1"/>
  <c r="X609" i="1"/>
  <c r="X642" i="1"/>
  <c r="AM169" i="1"/>
  <c r="AM329" i="1"/>
  <c r="AM545" i="1"/>
  <c r="AM512" i="1" s="1"/>
  <c r="AP609" i="1"/>
  <c r="AP642" i="1"/>
  <c r="AT512" i="1"/>
  <c r="AU512" i="1" s="1"/>
  <c r="AU545" i="1"/>
  <c r="AU169" i="1"/>
  <c r="AT609" i="1"/>
  <c r="AU609" i="1" s="1"/>
  <c r="AT642" i="1"/>
  <c r="AV609" i="1"/>
  <c r="AV642" i="1"/>
  <c r="BB71" i="1"/>
  <c r="J491" i="1"/>
  <c r="K491" i="1" s="1"/>
  <c r="K524" i="1"/>
  <c r="K148" i="1"/>
  <c r="J588" i="1"/>
  <c r="K588" i="1" s="1"/>
  <c r="J621" i="1"/>
  <c r="K621" i="1" s="1"/>
  <c r="R73" i="1"/>
  <c r="R147" i="1"/>
  <c r="R307" i="1"/>
  <c r="R523" i="1"/>
  <c r="R490" i="1" s="1"/>
  <c r="AH491" i="1"/>
  <c r="AI491" i="1" s="1"/>
  <c r="AI524" i="1"/>
  <c r="AI148" i="1"/>
  <c r="AH588" i="1"/>
  <c r="AH621" i="1"/>
  <c r="AP73" i="1"/>
  <c r="AP147" i="1"/>
  <c r="AP307" i="1"/>
  <c r="AP523" i="1"/>
  <c r="AP490" i="1" s="1"/>
  <c r="F589" i="1"/>
  <c r="F622" i="1"/>
  <c r="O149" i="1"/>
  <c r="O309" i="1"/>
  <c r="O525" i="1"/>
  <c r="O492" i="1" s="1"/>
  <c r="W309" i="1"/>
  <c r="AM149" i="1"/>
  <c r="AM309" i="1"/>
  <c r="AM525" i="1"/>
  <c r="AM492" i="1" s="1"/>
  <c r="AU309" i="1"/>
  <c r="J493" i="1"/>
  <c r="K493" i="1" s="1"/>
  <c r="K526" i="1"/>
  <c r="K150" i="1"/>
  <c r="J590" i="1"/>
  <c r="J623" i="1"/>
  <c r="R590" i="1"/>
  <c r="R623" i="1"/>
  <c r="Z526" i="1"/>
  <c r="Y493" i="1"/>
  <c r="Z493" i="1" s="1"/>
  <c r="Z150" i="1"/>
  <c r="Y623" i="1"/>
  <c r="Y590" i="1"/>
  <c r="AG623" i="1"/>
  <c r="AG590" i="1"/>
  <c r="AL310" i="1"/>
  <c r="AX526" i="1"/>
  <c r="AW493" i="1"/>
  <c r="AX493" i="1" s="1"/>
  <c r="AX150" i="1"/>
  <c r="AW623" i="1"/>
  <c r="AW590" i="1"/>
  <c r="BE623" i="1"/>
  <c r="BE590" i="1"/>
  <c r="E624" i="1"/>
  <c r="E591" i="1"/>
  <c r="N527" i="1"/>
  <c r="M494" i="1"/>
  <c r="N494" i="1" s="1"/>
  <c r="N151" i="1"/>
  <c r="M624" i="1"/>
  <c r="M591" i="1"/>
  <c r="U624" i="1"/>
  <c r="U591" i="1"/>
  <c r="Z311" i="1"/>
  <c r="AL527" i="1"/>
  <c r="AK494" i="1"/>
  <c r="AL494" i="1" s="1"/>
  <c r="AL151" i="1"/>
  <c r="AK624" i="1"/>
  <c r="AK591" i="1"/>
  <c r="AS624" i="1"/>
  <c r="AS591" i="1"/>
  <c r="AX311" i="1"/>
  <c r="I625" i="1"/>
  <c r="I592" i="1"/>
  <c r="N312" i="1"/>
  <c r="Z528" i="1"/>
  <c r="Y495" i="1"/>
  <c r="Z495" i="1" s="1"/>
  <c r="Z152" i="1"/>
  <c r="Y625" i="1"/>
  <c r="Z625" i="1" s="1"/>
  <c r="Y592" i="1"/>
  <c r="AG625" i="1"/>
  <c r="AG592" i="1"/>
  <c r="AL312" i="1"/>
  <c r="AX528" i="1"/>
  <c r="AW495" i="1"/>
  <c r="AX495" i="1" s="1"/>
  <c r="AX152" i="1"/>
  <c r="AW625" i="1"/>
  <c r="AX625" i="1" s="1"/>
  <c r="AW592" i="1"/>
  <c r="BE625" i="1"/>
  <c r="BE592" i="1"/>
  <c r="E626" i="1"/>
  <c r="E593" i="1"/>
  <c r="N529" i="1"/>
  <c r="M496" i="1"/>
  <c r="N496" i="1" s="1"/>
  <c r="N153" i="1"/>
  <c r="M626" i="1"/>
  <c r="M593" i="1"/>
  <c r="U626" i="1"/>
  <c r="U593" i="1"/>
  <c r="Z313" i="1"/>
  <c r="AL529" i="1"/>
  <c r="AK496" i="1"/>
  <c r="AL496" i="1" s="1"/>
  <c r="AL153" i="1"/>
  <c r="AK626" i="1"/>
  <c r="AK593" i="1"/>
  <c r="AS626" i="1"/>
  <c r="AS593" i="1"/>
  <c r="AX313" i="1"/>
  <c r="I627" i="1"/>
  <c r="I594" i="1"/>
  <c r="N314" i="1"/>
  <c r="Z530" i="1"/>
  <c r="Y497" i="1"/>
  <c r="Z497" i="1" s="1"/>
  <c r="Z154" i="1"/>
  <c r="Y627" i="1"/>
  <c r="Z627" i="1" s="1"/>
  <c r="Y594" i="1"/>
  <c r="AG627" i="1"/>
  <c r="AG594" i="1"/>
  <c r="AL314" i="1"/>
  <c r="AX530" i="1"/>
  <c r="AW497" i="1"/>
  <c r="AX497" i="1" s="1"/>
  <c r="AX154" i="1"/>
  <c r="AW627" i="1"/>
  <c r="AX627" i="1" s="1"/>
  <c r="AW594" i="1"/>
  <c r="BE627" i="1"/>
  <c r="BE594" i="1"/>
  <c r="E628" i="1"/>
  <c r="E595" i="1"/>
  <c r="N531" i="1"/>
  <c r="M498" i="1"/>
  <c r="N498" i="1" s="1"/>
  <c r="N155" i="1"/>
  <c r="M628" i="1"/>
  <c r="M595" i="1"/>
  <c r="U628" i="1"/>
  <c r="U595" i="1"/>
  <c r="Z315" i="1"/>
  <c r="AL531" i="1"/>
  <c r="AK498" i="1"/>
  <c r="AL498" i="1" s="1"/>
  <c r="AL155" i="1"/>
  <c r="AK628" i="1"/>
  <c r="AK595" i="1"/>
  <c r="AS628" i="1"/>
  <c r="AS595" i="1"/>
  <c r="AX315" i="1"/>
  <c r="I629" i="1"/>
  <c r="I596" i="1"/>
  <c r="N316" i="1"/>
  <c r="Z532" i="1"/>
  <c r="Y499" i="1"/>
  <c r="Z499" i="1" s="1"/>
  <c r="Z156" i="1"/>
  <c r="Y629" i="1"/>
  <c r="Z629" i="1" s="1"/>
  <c r="Y596" i="1"/>
  <c r="Z596" i="1" s="1"/>
  <c r="AG629" i="1"/>
  <c r="AG596" i="1"/>
  <c r="AL316" i="1"/>
  <c r="AX532" i="1"/>
  <c r="AW499" i="1"/>
  <c r="AX499" i="1" s="1"/>
  <c r="AX156" i="1"/>
  <c r="AW629" i="1"/>
  <c r="AX629" i="1" s="1"/>
  <c r="AW596" i="1"/>
  <c r="AX596" i="1" s="1"/>
  <c r="BE629" i="1"/>
  <c r="BE596" i="1"/>
  <c r="E157" i="1"/>
  <c r="E317" i="1"/>
  <c r="E533" i="1"/>
  <c r="E500" i="1" s="1"/>
  <c r="H318" i="1"/>
  <c r="BD85" i="1"/>
  <c r="BC84" i="1"/>
  <c r="BC158" i="1"/>
  <c r="BC318" i="1"/>
  <c r="BD318" i="1" s="1"/>
  <c r="BC534" i="1"/>
  <c r="P84" i="1"/>
  <c r="Q85" i="1"/>
  <c r="P158" i="1"/>
  <c r="P318" i="1"/>
  <c r="P534" i="1"/>
  <c r="I631" i="1"/>
  <c r="I598" i="1"/>
  <c r="N534" i="1"/>
  <c r="M501" i="1"/>
  <c r="N501" i="1" s="1"/>
  <c r="N158" i="1"/>
  <c r="M598" i="1"/>
  <c r="M631" i="1"/>
  <c r="T318" i="1"/>
  <c r="T84" i="1"/>
  <c r="S157" i="1"/>
  <c r="S317" i="1"/>
  <c r="S533" i="1"/>
  <c r="U157" i="1"/>
  <c r="U317" i="1"/>
  <c r="U533" i="1"/>
  <c r="U500" i="1" s="1"/>
  <c r="Z318" i="1"/>
  <c r="Z84" i="1"/>
  <c r="Y157" i="1"/>
  <c r="Y317" i="1"/>
  <c r="Y533" i="1"/>
  <c r="AF534" i="1"/>
  <c r="AE501" i="1"/>
  <c r="AF501" i="1" s="1"/>
  <c r="AF158" i="1"/>
  <c r="AE598" i="1"/>
  <c r="AE631" i="1"/>
  <c r="AF631" i="1" s="1"/>
  <c r="AN84" i="1"/>
  <c r="AO85" i="1"/>
  <c r="AN158" i="1"/>
  <c r="AN318" i="1"/>
  <c r="AN534" i="1"/>
  <c r="AG631" i="1"/>
  <c r="AG598" i="1"/>
  <c r="AL534" i="1"/>
  <c r="AK501" i="1"/>
  <c r="AL501" i="1" s="1"/>
  <c r="AL158" i="1"/>
  <c r="AK598" i="1"/>
  <c r="AK631" i="1"/>
  <c r="AR318" i="1"/>
  <c r="AR84" i="1"/>
  <c r="AQ157" i="1"/>
  <c r="AQ317" i="1"/>
  <c r="AQ533" i="1"/>
  <c r="AS157" i="1"/>
  <c r="AS317" i="1"/>
  <c r="AS533" i="1"/>
  <c r="AS500" i="1" s="1"/>
  <c r="AX318" i="1"/>
  <c r="AX84" i="1"/>
  <c r="AW157" i="1"/>
  <c r="AW317" i="1"/>
  <c r="AW533" i="1"/>
  <c r="BE631" i="1"/>
  <c r="BE598" i="1"/>
  <c r="E632" i="1"/>
  <c r="E599" i="1"/>
  <c r="H319" i="1"/>
  <c r="BD86" i="1"/>
  <c r="BC159" i="1"/>
  <c r="BC319" i="1"/>
  <c r="BC535" i="1"/>
  <c r="N535" i="1"/>
  <c r="M502" i="1"/>
  <c r="N502" i="1" s="1"/>
  <c r="N159" i="1"/>
  <c r="M632" i="1"/>
  <c r="N632" i="1" s="1"/>
  <c r="M599" i="1"/>
  <c r="T535" i="1"/>
  <c r="S502" i="1"/>
  <c r="T502" i="1" s="1"/>
  <c r="T159" i="1"/>
  <c r="S599" i="1"/>
  <c r="S632" i="1"/>
  <c r="Z535" i="1"/>
  <c r="Y502" i="1"/>
  <c r="Z502" i="1" s="1"/>
  <c r="Z159" i="1"/>
  <c r="Y599" i="1"/>
  <c r="Y632" i="1"/>
  <c r="AF535" i="1"/>
  <c r="AE502" i="1"/>
  <c r="AF502" i="1" s="1"/>
  <c r="AF159" i="1"/>
  <c r="AE599" i="1"/>
  <c r="AE632" i="1"/>
  <c r="AL535" i="1"/>
  <c r="AK502" i="1"/>
  <c r="AL502" i="1" s="1"/>
  <c r="AL159" i="1"/>
  <c r="AK632" i="1"/>
  <c r="AL632" i="1" s="1"/>
  <c r="AK599" i="1"/>
  <c r="AR535" i="1"/>
  <c r="AQ502" i="1"/>
  <c r="AR502" i="1" s="1"/>
  <c r="AR159" i="1"/>
  <c r="AQ599" i="1"/>
  <c r="AQ632" i="1"/>
  <c r="AX535" i="1"/>
  <c r="AW502" i="1"/>
  <c r="AX502" i="1" s="1"/>
  <c r="AX159" i="1"/>
  <c r="AW599" i="1"/>
  <c r="AW632" i="1"/>
  <c r="BE599" i="1"/>
  <c r="BE632" i="1"/>
  <c r="H536" i="1"/>
  <c r="G503" i="1"/>
  <c r="H503" i="1" s="1"/>
  <c r="H160" i="1"/>
  <c r="G600" i="1"/>
  <c r="G633" i="1"/>
  <c r="Q87" i="1"/>
  <c r="P160" i="1"/>
  <c r="P320" i="1"/>
  <c r="P536" i="1"/>
  <c r="I633" i="1"/>
  <c r="I600" i="1"/>
  <c r="N320" i="1"/>
  <c r="T320" i="1"/>
  <c r="AC87" i="1"/>
  <c r="AB160" i="1"/>
  <c r="AB320" i="1"/>
  <c r="AB536" i="1"/>
  <c r="U600" i="1"/>
  <c r="U633" i="1"/>
  <c r="Z320" i="1"/>
  <c r="AF320" i="1"/>
  <c r="AO87" i="1"/>
  <c r="AN160" i="1"/>
  <c r="AN320" i="1"/>
  <c r="AN536" i="1"/>
  <c r="AG633" i="1"/>
  <c r="AG600" i="1"/>
  <c r="AL320" i="1"/>
  <c r="AR320" i="1"/>
  <c r="BA87" i="1"/>
  <c r="AZ160" i="1"/>
  <c r="AZ320" i="1"/>
  <c r="AZ536" i="1"/>
  <c r="AS600" i="1"/>
  <c r="AS633" i="1"/>
  <c r="AX320" i="1"/>
  <c r="E634" i="1"/>
  <c r="E601" i="1"/>
  <c r="H321" i="1"/>
  <c r="BD88" i="1"/>
  <c r="BC161" i="1"/>
  <c r="BC321" i="1"/>
  <c r="BC537" i="1"/>
  <c r="N537" i="1"/>
  <c r="M504" i="1"/>
  <c r="N504" i="1" s="1"/>
  <c r="N161" i="1"/>
  <c r="M634" i="1"/>
  <c r="N634" i="1" s="1"/>
  <c r="M601" i="1"/>
  <c r="T537" i="1"/>
  <c r="S504" i="1"/>
  <c r="T504" i="1" s="1"/>
  <c r="T161" i="1"/>
  <c r="S601" i="1"/>
  <c r="S634" i="1"/>
  <c r="Z537" i="1"/>
  <c r="Y504" i="1"/>
  <c r="Z504" i="1" s="1"/>
  <c r="Z161" i="1"/>
  <c r="Y601" i="1"/>
  <c r="Y634" i="1"/>
  <c r="AF537" i="1"/>
  <c r="AE504" i="1"/>
  <c r="AF504" i="1" s="1"/>
  <c r="AF161" i="1"/>
  <c r="AE601" i="1"/>
  <c r="AE634" i="1"/>
  <c r="AL537" i="1"/>
  <c r="AK504" i="1"/>
  <c r="AL504" i="1" s="1"/>
  <c r="AL161" i="1"/>
  <c r="AK634" i="1"/>
  <c r="AL634" i="1" s="1"/>
  <c r="AK601" i="1"/>
  <c r="AR537" i="1"/>
  <c r="AQ504" i="1"/>
  <c r="AR504" i="1" s="1"/>
  <c r="AR161" i="1"/>
  <c r="AQ601" i="1"/>
  <c r="AQ634" i="1"/>
  <c r="AX537" i="1"/>
  <c r="AW504" i="1"/>
  <c r="AX504" i="1" s="1"/>
  <c r="AX161" i="1"/>
  <c r="AW601" i="1"/>
  <c r="AW634" i="1"/>
  <c r="BE601" i="1"/>
  <c r="BE634" i="1"/>
  <c r="H538" i="1"/>
  <c r="G505" i="1"/>
  <c r="H505" i="1" s="1"/>
  <c r="H162" i="1"/>
  <c r="G602" i="1"/>
  <c r="G635" i="1"/>
  <c r="Q89" i="1"/>
  <c r="P162" i="1"/>
  <c r="P322" i="1"/>
  <c r="P538" i="1"/>
  <c r="I635" i="1"/>
  <c r="I602" i="1"/>
  <c r="N322" i="1"/>
  <c r="T322" i="1"/>
  <c r="AC89" i="1"/>
  <c r="AB162" i="1"/>
  <c r="AB322" i="1"/>
  <c r="AB538" i="1"/>
  <c r="U602" i="1"/>
  <c r="U635" i="1"/>
  <c r="Z322" i="1"/>
  <c r="AF322" i="1"/>
  <c r="AO89" i="1"/>
  <c r="AN162" i="1"/>
  <c r="AN322" i="1"/>
  <c r="AN538" i="1"/>
  <c r="AG635" i="1"/>
  <c r="AG602" i="1"/>
  <c r="AL322" i="1"/>
  <c r="AR322" i="1"/>
  <c r="BA89" i="1"/>
  <c r="AZ162" i="1"/>
  <c r="AZ322" i="1"/>
  <c r="AZ538" i="1"/>
  <c r="AS602" i="1"/>
  <c r="AS635" i="1"/>
  <c r="AX322" i="1"/>
  <c r="E636" i="1"/>
  <c r="E603" i="1"/>
  <c r="H323" i="1"/>
  <c r="BD90" i="1"/>
  <c r="BC163" i="1"/>
  <c r="BC323" i="1"/>
  <c r="BC539" i="1"/>
  <c r="N539" i="1"/>
  <c r="M506" i="1"/>
  <c r="N506" i="1" s="1"/>
  <c r="N163" i="1"/>
  <c r="M636" i="1"/>
  <c r="N636" i="1" s="1"/>
  <c r="M603" i="1"/>
  <c r="T539" i="1"/>
  <c r="S506" i="1"/>
  <c r="T506" i="1" s="1"/>
  <c r="T163" i="1"/>
  <c r="S603" i="1"/>
  <c r="S636" i="1"/>
  <c r="Z539" i="1"/>
  <c r="Y506" i="1"/>
  <c r="Z506" i="1" s="1"/>
  <c r="Z163" i="1"/>
  <c r="Y603" i="1"/>
  <c r="Y636" i="1"/>
  <c r="AF539" i="1"/>
  <c r="AE506" i="1"/>
  <c r="AF506" i="1" s="1"/>
  <c r="AF163" i="1"/>
  <c r="AE603" i="1"/>
  <c r="AE636" i="1"/>
  <c r="AL539" i="1"/>
  <c r="AK506" i="1"/>
  <c r="AL506" i="1" s="1"/>
  <c r="AL163" i="1"/>
  <c r="AK636" i="1"/>
  <c r="AL636" i="1" s="1"/>
  <c r="AK603" i="1"/>
  <c r="AR539" i="1"/>
  <c r="AQ506" i="1"/>
  <c r="AR506" i="1" s="1"/>
  <c r="AR163" i="1"/>
  <c r="AQ603" i="1"/>
  <c r="AQ636" i="1"/>
  <c r="AX539" i="1"/>
  <c r="AW506" i="1"/>
  <c r="AX506" i="1" s="1"/>
  <c r="AX163" i="1"/>
  <c r="AW603" i="1"/>
  <c r="AW636" i="1"/>
  <c r="BE603" i="1"/>
  <c r="BE636" i="1"/>
  <c r="H540" i="1"/>
  <c r="G507" i="1"/>
  <c r="H507" i="1" s="1"/>
  <c r="H164" i="1"/>
  <c r="G604" i="1"/>
  <c r="G637" i="1"/>
  <c r="Q91" i="1"/>
  <c r="P164" i="1"/>
  <c r="P324" i="1"/>
  <c r="P540" i="1"/>
  <c r="I637" i="1"/>
  <c r="I604" i="1"/>
  <c r="N324" i="1"/>
  <c r="T324" i="1"/>
  <c r="AC91" i="1"/>
  <c r="AB164" i="1"/>
  <c r="AB324" i="1"/>
  <c r="AB540" i="1"/>
  <c r="U604" i="1"/>
  <c r="U637" i="1"/>
  <c r="Z324" i="1"/>
  <c r="AF324" i="1"/>
  <c r="AO91" i="1"/>
  <c r="AN164" i="1"/>
  <c r="AN324" i="1"/>
  <c r="AN540" i="1"/>
  <c r="AG637" i="1"/>
  <c r="AG604" i="1"/>
  <c r="AL324" i="1"/>
  <c r="AR324" i="1"/>
  <c r="BA91" i="1"/>
  <c r="AZ164" i="1"/>
  <c r="AZ324" i="1"/>
  <c r="AZ540" i="1"/>
  <c r="AS604" i="1"/>
  <c r="AS637" i="1"/>
  <c r="AX324" i="1"/>
  <c r="E638" i="1"/>
  <c r="E605" i="1"/>
  <c r="H325" i="1"/>
  <c r="BD92" i="1"/>
  <c r="BC165" i="1"/>
  <c r="BC325" i="1"/>
  <c r="BC541" i="1"/>
  <c r="N541" i="1"/>
  <c r="M508" i="1"/>
  <c r="N508" i="1" s="1"/>
  <c r="N165" i="1"/>
  <c r="M638" i="1"/>
  <c r="N638" i="1" s="1"/>
  <c r="M605" i="1"/>
  <c r="T541" i="1"/>
  <c r="S508" i="1"/>
  <c r="T508" i="1" s="1"/>
  <c r="T165" i="1"/>
  <c r="S605" i="1"/>
  <c r="S638" i="1"/>
  <c r="Z541" i="1"/>
  <c r="Y508" i="1"/>
  <c r="Z508" i="1" s="1"/>
  <c r="Z165" i="1"/>
  <c r="Y605" i="1"/>
  <c r="Y638" i="1"/>
  <c r="AF541" i="1"/>
  <c r="AE508" i="1"/>
  <c r="AF508" i="1" s="1"/>
  <c r="AF165" i="1"/>
  <c r="AE605" i="1"/>
  <c r="AE638" i="1"/>
  <c r="AL541" i="1"/>
  <c r="AK508" i="1"/>
  <c r="AL508" i="1" s="1"/>
  <c r="AL165" i="1"/>
  <c r="AK638" i="1"/>
  <c r="AL638" i="1" s="1"/>
  <c r="AK605" i="1"/>
  <c r="AR541" i="1"/>
  <c r="AQ508" i="1"/>
  <c r="AR508" i="1" s="1"/>
  <c r="AR165" i="1"/>
  <c r="AQ605" i="1"/>
  <c r="AQ638" i="1"/>
  <c r="AX541" i="1"/>
  <c r="AW508" i="1"/>
  <c r="AX508" i="1" s="1"/>
  <c r="AX165" i="1"/>
  <c r="AW605" i="1"/>
  <c r="AW638" i="1"/>
  <c r="BE605" i="1"/>
  <c r="BE638" i="1"/>
  <c r="H542" i="1"/>
  <c r="G509" i="1"/>
  <c r="H509" i="1" s="1"/>
  <c r="H166" i="1"/>
  <c r="G606" i="1"/>
  <c r="G639" i="1"/>
  <c r="Q93" i="1"/>
  <c r="P166" i="1"/>
  <c r="P326" i="1"/>
  <c r="P542" i="1"/>
  <c r="I639" i="1"/>
  <c r="I606" i="1"/>
  <c r="N326" i="1"/>
  <c r="T326" i="1"/>
  <c r="AC93" i="1"/>
  <c r="AB166" i="1"/>
  <c r="AB326" i="1"/>
  <c r="AB542" i="1"/>
  <c r="U606" i="1"/>
  <c r="U639" i="1"/>
  <c r="Z326" i="1"/>
  <c r="AF326" i="1"/>
  <c r="AO93" i="1"/>
  <c r="AN166" i="1"/>
  <c r="AN326" i="1"/>
  <c r="AN542" i="1"/>
  <c r="AG639" i="1"/>
  <c r="AG606" i="1"/>
  <c r="AL326" i="1"/>
  <c r="AR326" i="1"/>
  <c r="BA93" i="1"/>
  <c r="AZ166" i="1"/>
  <c r="AZ326" i="1"/>
  <c r="AZ542" i="1"/>
  <c r="AS606" i="1"/>
  <c r="AS639" i="1"/>
  <c r="AX326" i="1"/>
  <c r="E640" i="1"/>
  <c r="E607" i="1"/>
  <c r="H327" i="1"/>
  <c r="BD94" i="1"/>
  <c r="BC167" i="1"/>
  <c r="BC327" i="1"/>
  <c r="BC543" i="1"/>
  <c r="N543" i="1"/>
  <c r="M510" i="1"/>
  <c r="N510" i="1" s="1"/>
  <c r="N167" i="1"/>
  <c r="M640" i="1"/>
  <c r="N640" i="1" s="1"/>
  <c r="M607" i="1"/>
  <c r="T543" i="1"/>
  <c r="S510" i="1"/>
  <c r="T510" i="1" s="1"/>
  <c r="T167" i="1"/>
  <c r="S607" i="1"/>
  <c r="S640" i="1"/>
  <c r="Z543" i="1"/>
  <c r="Y510" i="1"/>
  <c r="Z510" i="1" s="1"/>
  <c r="Z167" i="1"/>
  <c r="Y607" i="1"/>
  <c r="Y640" i="1"/>
  <c r="AF543" i="1"/>
  <c r="AE510" i="1"/>
  <c r="AF510" i="1" s="1"/>
  <c r="AF167" i="1"/>
  <c r="AE607" i="1"/>
  <c r="AE640" i="1"/>
  <c r="AL543" i="1"/>
  <c r="AK510" i="1"/>
  <c r="AL510" i="1" s="1"/>
  <c r="AL167" i="1"/>
  <c r="AK640" i="1"/>
  <c r="AL640" i="1" s="1"/>
  <c r="AK607" i="1"/>
  <c r="AR543" i="1"/>
  <c r="AQ510" i="1"/>
  <c r="AR510" i="1" s="1"/>
  <c r="AR167" i="1"/>
  <c r="AQ607" i="1"/>
  <c r="AQ640" i="1"/>
  <c r="AX543" i="1"/>
  <c r="AW510" i="1"/>
  <c r="AX510" i="1" s="1"/>
  <c r="AX167" i="1"/>
  <c r="AW607" i="1"/>
  <c r="AW640" i="1"/>
  <c r="BE607" i="1"/>
  <c r="BE640" i="1"/>
  <c r="H544" i="1"/>
  <c r="G511" i="1"/>
  <c r="H511" i="1" s="1"/>
  <c r="H168" i="1"/>
  <c r="G608" i="1"/>
  <c r="G641" i="1"/>
  <c r="Q95" i="1"/>
  <c r="P168" i="1"/>
  <c r="P328" i="1"/>
  <c r="P544" i="1"/>
  <c r="I641" i="1"/>
  <c r="I608" i="1"/>
  <c r="N328" i="1"/>
  <c r="T328" i="1"/>
  <c r="AC95" i="1"/>
  <c r="AB168" i="1"/>
  <c r="AB328" i="1"/>
  <c r="AB544" i="1"/>
  <c r="U608" i="1"/>
  <c r="U641" i="1"/>
  <c r="Z328" i="1"/>
  <c r="AF328" i="1"/>
  <c r="AO95" i="1"/>
  <c r="AN168" i="1"/>
  <c r="AN328" i="1"/>
  <c r="AN544" i="1"/>
  <c r="AG641" i="1"/>
  <c r="AG608" i="1"/>
  <c r="AL328" i="1"/>
  <c r="AR328" i="1"/>
  <c r="BA95" i="1"/>
  <c r="AZ168" i="1"/>
  <c r="AZ328" i="1"/>
  <c r="AZ544" i="1"/>
  <c r="AS608" i="1"/>
  <c r="AS641" i="1"/>
  <c r="AX328" i="1"/>
  <c r="E642" i="1"/>
  <c r="E609" i="1"/>
  <c r="H329" i="1"/>
  <c r="BD96" i="1"/>
  <c r="BC169" i="1"/>
  <c r="BC329" i="1"/>
  <c r="BC545" i="1"/>
  <c r="N545" i="1"/>
  <c r="M512" i="1"/>
  <c r="N512" i="1" s="1"/>
  <c r="N169" i="1"/>
  <c r="M642" i="1"/>
  <c r="N642" i="1" s="1"/>
  <c r="M609" i="1"/>
  <c r="T545" i="1"/>
  <c r="S512" i="1"/>
  <c r="T512" i="1" s="1"/>
  <c r="T169" i="1"/>
  <c r="S609" i="1"/>
  <c r="S642" i="1"/>
  <c r="Z545" i="1"/>
  <c r="Y512" i="1"/>
  <c r="Z512" i="1" s="1"/>
  <c r="Z169" i="1"/>
  <c r="Y609" i="1"/>
  <c r="Y642" i="1"/>
  <c r="AG609" i="1"/>
  <c r="AG642" i="1"/>
  <c r="AL329" i="1"/>
  <c r="AX545" i="1"/>
  <c r="AW512" i="1"/>
  <c r="AX512" i="1" s="1"/>
  <c r="AX169" i="1"/>
  <c r="AW609" i="1"/>
  <c r="AW642" i="1"/>
  <c r="BE609" i="1"/>
  <c r="BE642" i="1"/>
  <c r="H546" i="1"/>
  <c r="G513" i="1"/>
  <c r="H513" i="1" s="1"/>
  <c r="H170" i="1"/>
  <c r="G610" i="1"/>
  <c r="G643" i="1"/>
  <c r="I643" i="1"/>
  <c r="I610" i="1"/>
  <c r="AC97" i="1"/>
  <c r="AB170" i="1"/>
  <c r="AB330" i="1"/>
  <c r="AB546" i="1"/>
  <c r="U610" i="1"/>
  <c r="U643" i="1"/>
  <c r="AO97" i="1"/>
  <c r="AN170" i="1"/>
  <c r="AN330" i="1"/>
  <c r="AN546" i="1"/>
  <c r="AG643" i="1"/>
  <c r="AG610" i="1"/>
  <c r="BA97" i="1"/>
  <c r="AZ170" i="1"/>
  <c r="AZ330" i="1"/>
  <c r="AZ546" i="1"/>
  <c r="AS610" i="1"/>
  <c r="AS643" i="1"/>
  <c r="E644" i="1"/>
  <c r="E611" i="1"/>
  <c r="Q98" i="1"/>
  <c r="P171" i="1"/>
  <c r="P331" i="1"/>
  <c r="P547" i="1"/>
  <c r="BD98" i="1"/>
  <c r="BC171" i="1"/>
  <c r="BC331" i="1"/>
  <c r="BD331" i="1" s="1"/>
  <c r="BC547" i="1"/>
  <c r="N547" i="1"/>
  <c r="M514" i="1"/>
  <c r="N514" i="1" s="1"/>
  <c r="N171" i="1"/>
  <c r="M644" i="1"/>
  <c r="M611" i="1"/>
  <c r="T547" i="1"/>
  <c r="S514" i="1"/>
  <c r="T514" i="1" s="1"/>
  <c r="T171" i="1"/>
  <c r="S611" i="1"/>
  <c r="S644" i="1"/>
  <c r="Z547" i="1"/>
  <c r="Y514" i="1"/>
  <c r="Z514" i="1" s="1"/>
  <c r="Z171" i="1"/>
  <c r="Y611" i="1"/>
  <c r="Y644" i="1"/>
  <c r="AF547" i="1"/>
  <c r="AE514" i="1"/>
  <c r="AF514" i="1" s="1"/>
  <c r="AF171" i="1"/>
  <c r="AE611" i="1"/>
  <c r="AE644" i="1"/>
  <c r="AL547" i="1"/>
  <c r="AK514" i="1"/>
  <c r="AL514" i="1" s="1"/>
  <c r="AL171" i="1"/>
  <c r="AK644" i="1"/>
  <c r="AL644" i="1" s="1"/>
  <c r="AK611" i="1"/>
  <c r="AL611" i="1" s="1"/>
  <c r="AR547" i="1"/>
  <c r="AQ514" i="1"/>
  <c r="AR514" i="1" s="1"/>
  <c r="AR171" i="1"/>
  <c r="AQ611" i="1"/>
  <c r="AQ644" i="1"/>
  <c r="AX547" i="1"/>
  <c r="AW514" i="1"/>
  <c r="AX514" i="1" s="1"/>
  <c r="AX171" i="1"/>
  <c r="AW611" i="1"/>
  <c r="AW644" i="1"/>
  <c r="BE611" i="1"/>
  <c r="BE644" i="1"/>
  <c r="H548" i="1"/>
  <c r="G515" i="1"/>
  <c r="H515" i="1" s="1"/>
  <c r="H172" i="1"/>
  <c r="G612" i="1"/>
  <c r="G645" i="1"/>
  <c r="I645" i="1"/>
  <c r="I612" i="1"/>
  <c r="AC99" i="1"/>
  <c r="AB172" i="1"/>
  <c r="AB332" i="1"/>
  <c r="AB548" i="1"/>
  <c r="U612" i="1"/>
  <c r="U645" i="1"/>
  <c r="AO99" i="1"/>
  <c r="AN172" i="1"/>
  <c r="AN332" i="1"/>
  <c r="AN548" i="1"/>
  <c r="AG645" i="1"/>
  <c r="AG612" i="1"/>
  <c r="BA99" i="1"/>
  <c r="AZ172" i="1"/>
  <c r="AZ332" i="1"/>
  <c r="AZ548" i="1"/>
  <c r="AS612" i="1"/>
  <c r="AS645" i="1"/>
  <c r="E646" i="1"/>
  <c r="E613" i="1"/>
  <c r="Q100" i="1"/>
  <c r="P173" i="1"/>
  <c r="P333" i="1"/>
  <c r="P549" i="1"/>
  <c r="BD100" i="1"/>
  <c r="BC173" i="1"/>
  <c r="BC333" i="1"/>
  <c r="BD333" i="1" s="1"/>
  <c r="BC549" i="1"/>
  <c r="N549" i="1"/>
  <c r="M516" i="1"/>
  <c r="N516" i="1" s="1"/>
  <c r="N173" i="1"/>
  <c r="M646" i="1"/>
  <c r="M613" i="1"/>
  <c r="T549" i="1"/>
  <c r="S516" i="1"/>
  <c r="T516" i="1" s="1"/>
  <c r="T173" i="1"/>
  <c r="S613" i="1"/>
  <c r="S646" i="1"/>
  <c r="Z549" i="1"/>
  <c r="Y516" i="1"/>
  <c r="Z516" i="1" s="1"/>
  <c r="Z173" i="1"/>
  <c r="Y613" i="1"/>
  <c r="Y646" i="1"/>
  <c r="AF549" i="1"/>
  <c r="AE516" i="1"/>
  <c r="AF516" i="1" s="1"/>
  <c r="AF173" i="1"/>
  <c r="AE613" i="1"/>
  <c r="AE646" i="1"/>
  <c r="AL549" i="1"/>
  <c r="AK516" i="1"/>
  <c r="AL516" i="1" s="1"/>
  <c r="AL173" i="1"/>
  <c r="AK646" i="1"/>
  <c r="AL646" i="1" s="1"/>
  <c r="AK613" i="1"/>
  <c r="AL613" i="1" s="1"/>
  <c r="AR549" i="1"/>
  <c r="AQ516" i="1"/>
  <c r="AR516" i="1" s="1"/>
  <c r="AR173" i="1"/>
  <c r="AQ613" i="1"/>
  <c r="AQ646" i="1"/>
  <c r="AX549" i="1"/>
  <c r="AW516" i="1"/>
  <c r="AX516" i="1" s="1"/>
  <c r="AX173" i="1"/>
  <c r="AW613" i="1"/>
  <c r="AW646" i="1"/>
  <c r="BE613" i="1"/>
  <c r="BE646" i="1"/>
  <c r="H550" i="1"/>
  <c r="G517" i="1"/>
  <c r="H517" i="1" s="1"/>
  <c r="H174" i="1"/>
  <c r="G614" i="1"/>
  <c r="G647" i="1"/>
  <c r="I647" i="1"/>
  <c r="I614" i="1"/>
  <c r="AC101" i="1"/>
  <c r="AB174" i="1"/>
  <c r="AB334" i="1"/>
  <c r="AB550" i="1"/>
  <c r="U614" i="1"/>
  <c r="U647" i="1"/>
  <c r="AO101" i="1"/>
  <c r="AN174" i="1"/>
  <c r="AN334" i="1"/>
  <c r="AN550" i="1"/>
  <c r="AG647" i="1"/>
  <c r="AG614" i="1"/>
  <c r="BA101" i="1"/>
  <c r="AZ174" i="1"/>
  <c r="AZ334" i="1"/>
  <c r="AZ550" i="1"/>
  <c r="AS614" i="1"/>
  <c r="AS647" i="1"/>
  <c r="E648" i="1"/>
  <c r="E615" i="1"/>
  <c r="Q102" i="1"/>
  <c r="P175" i="1"/>
  <c r="P335" i="1"/>
  <c r="P551" i="1"/>
  <c r="BD102" i="1"/>
  <c r="BC175" i="1"/>
  <c r="BC335" i="1"/>
  <c r="BD335" i="1" s="1"/>
  <c r="BC551" i="1"/>
  <c r="N551" i="1"/>
  <c r="M518" i="1"/>
  <c r="N518" i="1" s="1"/>
  <c r="N175" i="1"/>
  <c r="M648" i="1"/>
  <c r="M615" i="1"/>
  <c r="T551" i="1"/>
  <c r="S518" i="1"/>
  <c r="T518" i="1" s="1"/>
  <c r="T175" i="1"/>
  <c r="S615" i="1"/>
  <c r="S648" i="1"/>
  <c r="Z551" i="1"/>
  <c r="Y518" i="1"/>
  <c r="Z518" i="1" s="1"/>
  <c r="Z175" i="1"/>
  <c r="Y615" i="1"/>
  <c r="Y648" i="1"/>
  <c r="AF551" i="1"/>
  <c r="AE518" i="1"/>
  <c r="AF518" i="1" s="1"/>
  <c r="AF175" i="1"/>
  <c r="AE615" i="1"/>
  <c r="AE648" i="1"/>
  <c r="AL551" i="1"/>
  <c r="AK518" i="1"/>
  <c r="AL518" i="1" s="1"/>
  <c r="AL175" i="1"/>
  <c r="AK648" i="1"/>
  <c r="AL648" i="1" s="1"/>
  <c r="AK615" i="1"/>
  <c r="AL615" i="1" s="1"/>
  <c r="AR551" i="1"/>
  <c r="AQ518" i="1"/>
  <c r="AR518" i="1" s="1"/>
  <c r="AR175" i="1"/>
  <c r="AQ615" i="1"/>
  <c r="AQ648" i="1"/>
  <c r="AX551" i="1"/>
  <c r="AW518" i="1"/>
  <c r="AX518" i="1" s="1"/>
  <c r="AX175" i="1"/>
  <c r="AW615" i="1"/>
  <c r="AW648" i="1"/>
  <c r="BE615" i="1"/>
  <c r="BE648" i="1"/>
  <c r="E176" i="1"/>
  <c r="E336" i="1"/>
  <c r="E552" i="1"/>
  <c r="E519" i="1" s="1"/>
  <c r="Q104" i="1"/>
  <c r="P103" i="1"/>
  <c r="P177" i="1"/>
  <c r="P337" i="1"/>
  <c r="P553" i="1"/>
  <c r="BC103" i="1"/>
  <c r="BD104" i="1"/>
  <c r="BC177" i="1"/>
  <c r="BC337" i="1"/>
  <c r="BC553" i="1"/>
  <c r="I617" i="1"/>
  <c r="I650" i="1"/>
  <c r="N553" i="1"/>
  <c r="M520" i="1"/>
  <c r="N520" i="1" s="1"/>
  <c r="N177" i="1"/>
  <c r="M650" i="1"/>
  <c r="M617" i="1"/>
  <c r="N103" i="1"/>
  <c r="M176" i="1"/>
  <c r="M336" i="1"/>
  <c r="N336" i="1" s="1"/>
  <c r="M552" i="1"/>
  <c r="AC104" i="1"/>
  <c r="AB103" i="1"/>
  <c r="AB177" i="1"/>
  <c r="AB337" i="1"/>
  <c r="AB553" i="1"/>
  <c r="T103" i="1"/>
  <c r="S176" i="1"/>
  <c r="S336" i="1"/>
  <c r="T336" i="1" s="1"/>
  <c r="S552" i="1"/>
  <c r="U176" i="1"/>
  <c r="U336" i="1"/>
  <c r="U552" i="1"/>
  <c r="U519" i="1" s="1"/>
  <c r="AF553" i="1"/>
  <c r="AE520" i="1"/>
  <c r="AF520" i="1" s="1"/>
  <c r="AF177" i="1"/>
  <c r="AE617" i="1"/>
  <c r="AE650" i="1"/>
  <c r="AG617" i="1"/>
  <c r="AG650" i="1"/>
  <c r="AL553" i="1"/>
  <c r="AK520" i="1"/>
  <c r="AL520" i="1" s="1"/>
  <c r="AL177" i="1"/>
  <c r="AK650" i="1"/>
  <c r="AK617" i="1"/>
  <c r="AL103" i="1"/>
  <c r="AK176" i="1"/>
  <c r="AK336" i="1"/>
  <c r="AL336" i="1" s="1"/>
  <c r="AK552" i="1"/>
  <c r="BA104" i="1"/>
  <c r="AZ103" i="1"/>
  <c r="AZ177" i="1"/>
  <c r="AZ337" i="1"/>
  <c r="AZ553" i="1"/>
  <c r="AR103" i="1"/>
  <c r="AQ176" i="1"/>
  <c r="AQ336" i="1"/>
  <c r="AR336" i="1" s="1"/>
  <c r="AQ552" i="1"/>
  <c r="AS176" i="1"/>
  <c r="AS336" i="1"/>
  <c r="AS552" i="1"/>
  <c r="AS519" i="1" s="1"/>
  <c r="BE617" i="1"/>
  <c r="BE650" i="1"/>
  <c r="G105" i="1"/>
  <c r="H106" i="1"/>
  <c r="G555" i="1"/>
  <c r="I105" i="1"/>
  <c r="I554" i="1" s="1"/>
  <c r="I555" i="1"/>
  <c r="Y105" i="1"/>
  <c r="Z106" i="1"/>
  <c r="Y555" i="1"/>
  <c r="AO107" i="1"/>
  <c r="AN106" i="1"/>
  <c r="AN556" i="1"/>
  <c r="AO556" i="1" s="1"/>
  <c r="AE105" i="1"/>
  <c r="AF106" i="1"/>
  <c r="AE555" i="1"/>
  <c r="AG105" i="1"/>
  <c r="AG554" i="1" s="1"/>
  <c r="AG555" i="1"/>
  <c r="AW105" i="1"/>
  <c r="AX106" i="1"/>
  <c r="AW555" i="1"/>
  <c r="BE105" i="1"/>
  <c r="BE554" i="1" s="1"/>
  <c r="BE555" i="1"/>
  <c r="AC108" i="1"/>
  <c r="AB557" i="1"/>
  <c r="AC557" i="1" s="1"/>
  <c r="AO108" i="1"/>
  <c r="AN557" i="1"/>
  <c r="AO557" i="1" s="1"/>
  <c r="BA108" i="1"/>
  <c r="AZ557" i="1"/>
  <c r="BA557" i="1" s="1"/>
  <c r="Q109" i="1"/>
  <c r="P558" i="1"/>
  <c r="Q558" i="1" s="1"/>
  <c r="BD109" i="1"/>
  <c r="BC558" i="1"/>
  <c r="BD558" i="1" s="1"/>
  <c r="AC110" i="1"/>
  <c r="AB559" i="1"/>
  <c r="AC559" i="1" s="1"/>
  <c r="AO110" i="1"/>
  <c r="AN559" i="1"/>
  <c r="AO559" i="1" s="1"/>
  <c r="BA110" i="1"/>
  <c r="AZ559" i="1"/>
  <c r="BA559" i="1" s="1"/>
  <c r="Q111" i="1"/>
  <c r="P560" i="1"/>
  <c r="Q560" i="1" s="1"/>
  <c r="BD111" i="1"/>
  <c r="BC560" i="1"/>
  <c r="BD560" i="1" s="1"/>
  <c r="AC112" i="1"/>
  <c r="AB561" i="1"/>
  <c r="AC561" i="1" s="1"/>
  <c r="AO112" i="1"/>
  <c r="AN561" i="1"/>
  <c r="AO561" i="1" s="1"/>
  <c r="BA112" i="1"/>
  <c r="AZ561" i="1"/>
  <c r="BA561" i="1" s="1"/>
  <c r="Q113" i="1"/>
  <c r="P562" i="1"/>
  <c r="Q562" i="1" s="1"/>
  <c r="BD113" i="1"/>
  <c r="BC562" i="1"/>
  <c r="BD562" i="1" s="1"/>
  <c r="AC114" i="1"/>
  <c r="AB563" i="1"/>
  <c r="AC563" i="1" s="1"/>
  <c r="AO114" i="1"/>
  <c r="AN563" i="1"/>
  <c r="AO563" i="1" s="1"/>
  <c r="BA114" i="1"/>
  <c r="AZ563" i="1"/>
  <c r="BA563" i="1" s="1"/>
  <c r="Q115" i="1"/>
  <c r="P564" i="1"/>
  <c r="Q564" i="1" s="1"/>
  <c r="BD115" i="1"/>
  <c r="BC564" i="1"/>
  <c r="BD564" i="1" s="1"/>
  <c r="AC115" i="1"/>
  <c r="AB564" i="1"/>
  <c r="AC564" i="1" s="1"/>
  <c r="AF143" i="1"/>
  <c r="BA115" i="1"/>
  <c r="AZ564" i="1"/>
  <c r="BA564" i="1" s="1"/>
  <c r="Q117" i="1"/>
  <c r="P116" i="1"/>
  <c r="P566" i="1"/>
  <c r="BC116" i="1"/>
  <c r="BD117" i="1"/>
  <c r="BC566" i="1"/>
  <c r="BD566" i="1" s="1"/>
  <c r="N116" i="1"/>
  <c r="M565" i="1"/>
  <c r="N565" i="1" s="1"/>
  <c r="AC117" i="1"/>
  <c r="AB116" i="1"/>
  <c r="AB566" i="1"/>
  <c r="T116" i="1"/>
  <c r="S565" i="1"/>
  <c r="T565" i="1" s="1"/>
  <c r="AL116" i="1"/>
  <c r="AK565" i="1"/>
  <c r="AL565" i="1" s="1"/>
  <c r="BA117" i="1"/>
  <c r="AZ116" i="1"/>
  <c r="AZ566" i="1"/>
  <c r="BA566" i="1" s="1"/>
  <c r="AR116" i="1"/>
  <c r="AQ565" i="1"/>
  <c r="AR565" i="1" s="1"/>
  <c r="Q118" i="1"/>
  <c r="P567" i="1"/>
  <c r="Q567" i="1" s="1"/>
  <c r="BD118" i="1"/>
  <c r="BC567" i="1"/>
  <c r="AC119" i="1"/>
  <c r="AB568" i="1"/>
  <c r="AC568" i="1" s="1"/>
  <c r="AO119" i="1"/>
  <c r="AN568" i="1"/>
  <c r="AO568" i="1" s="1"/>
  <c r="BA119" i="1"/>
  <c r="AZ568" i="1"/>
  <c r="BA568" i="1" s="1"/>
  <c r="Q120" i="1"/>
  <c r="P569" i="1"/>
  <c r="Q569" i="1" s="1"/>
  <c r="BD120" i="1"/>
  <c r="BC569" i="1"/>
  <c r="AC121" i="1"/>
  <c r="AB570" i="1"/>
  <c r="AC570" i="1" s="1"/>
  <c r="AO121" i="1"/>
  <c r="AN570" i="1"/>
  <c r="AO570" i="1" s="1"/>
  <c r="BA121" i="1"/>
  <c r="AZ570" i="1"/>
  <c r="BA570" i="1" s="1"/>
  <c r="Q122" i="1"/>
  <c r="P571" i="1"/>
  <c r="Q571" i="1" s="1"/>
  <c r="BD122" i="1"/>
  <c r="BC571" i="1"/>
  <c r="AC123" i="1"/>
  <c r="AB572" i="1"/>
  <c r="AC572" i="1" s="1"/>
  <c r="AO123" i="1"/>
  <c r="AN572" i="1"/>
  <c r="AO572" i="1" s="1"/>
  <c r="BA123" i="1"/>
  <c r="AZ572" i="1"/>
  <c r="BA572" i="1" s="1"/>
  <c r="Q124" i="1"/>
  <c r="P573" i="1"/>
  <c r="Q573" i="1" s="1"/>
  <c r="BD124" i="1"/>
  <c r="BC573" i="1"/>
  <c r="AC125" i="1"/>
  <c r="AB574" i="1"/>
  <c r="AC574" i="1" s="1"/>
  <c r="AO125" i="1"/>
  <c r="AN574" i="1"/>
  <c r="AO574" i="1" s="1"/>
  <c r="BA125" i="1"/>
  <c r="AZ574" i="1"/>
  <c r="BA574" i="1" s="1"/>
  <c r="Q126" i="1"/>
  <c r="P575" i="1"/>
  <c r="Q575" i="1" s="1"/>
  <c r="BD126" i="1"/>
  <c r="BC575" i="1"/>
  <c r="AC127" i="1"/>
  <c r="AB576" i="1"/>
  <c r="AC576" i="1" s="1"/>
  <c r="AO127" i="1"/>
  <c r="AN576" i="1"/>
  <c r="AO576" i="1" s="1"/>
  <c r="BA127" i="1"/>
  <c r="AZ576" i="1"/>
  <c r="BA576" i="1" s="1"/>
  <c r="Q128" i="1"/>
  <c r="P577" i="1"/>
  <c r="Q577" i="1" s="1"/>
  <c r="BD128" i="1"/>
  <c r="BC577" i="1"/>
  <c r="AC129" i="1"/>
  <c r="AB578" i="1"/>
  <c r="AC578" i="1" s="1"/>
  <c r="AO129" i="1"/>
  <c r="AN578" i="1"/>
  <c r="AO578" i="1" s="1"/>
  <c r="BA129" i="1"/>
  <c r="AZ578" i="1"/>
  <c r="BA578" i="1" s="1"/>
  <c r="Q130" i="1"/>
  <c r="P579" i="1"/>
  <c r="Q579" i="1" s="1"/>
  <c r="BD130" i="1"/>
  <c r="BC579" i="1"/>
  <c r="AC131" i="1"/>
  <c r="AB580" i="1"/>
  <c r="AC580" i="1" s="1"/>
  <c r="AO131" i="1"/>
  <c r="AN580" i="1"/>
  <c r="AO580" i="1" s="1"/>
  <c r="BA131" i="1"/>
  <c r="AZ580" i="1"/>
  <c r="BA580" i="1" s="1"/>
  <c r="Q132" i="1"/>
  <c r="P581" i="1"/>
  <c r="Q581" i="1" s="1"/>
  <c r="BD132" i="1"/>
  <c r="BC581" i="1"/>
  <c r="AC133" i="1"/>
  <c r="AB582" i="1"/>
  <c r="AC582" i="1" s="1"/>
  <c r="AO133" i="1"/>
  <c r="AN582" i="1"/>
  <c r="AO582" i="1" s="1"/>
  <c r="BA133" i="1"/>
  <c r="AZ582" i="1"/>
  <c r="BA582" i="1" s="1"/>
  <c r="Q134" i="1"/>
  <c r="P583" i="1"/>
  <c r="Q583" i="1" s="1"/>
  <c r="BD134" i="1"/>
  <c r="BC583" i="1"/>
  <c r="BC135" i="1"/>
  <c r="BD136" i="1"/>
  <c r="BC585" i="1"/>
  <c r="N135" i="1"/>
  <c r="M584" i="1"/>
  <c r="N584" i="1" s="1"/>
  <c r="T144" i="1"/>
  <c r="Z135" i="1"/>
  <c r="Y584" i="1"/>
  <c r="Z584" i="1" s="1"/>
  <c r="AF144" i="1"/>
  <c r="AL135" i="1"/>
  <c r="AK584" i="1"/>
  <c r="AL584" i="1" s="1"/>
  <c r="AR144" i="1"/>
  <c r="AF329" i="1"/>
  <c r="AO96" i="1"/>
  <c r="AN169" i="1"/>
  <c r="AN329" i="1"/>
  <c r="AN545" i="1"/>
  <c r="AR545" i="1"/>
  <c r="AQ512" i="1"/>
  <c r="AR512" i="1" s="1"/>
  <c r="AR169" i="1"/>
  <c r="AQ609" i="1"/>
  <c r="AR609" i="1" s="1"/>
  <c r="AQ642" i="1"/>
  <c r="F610" i="1"/>
  <c r="F643" i="1"/>
  <c r="O170" i="1"/>
  <c r="O330" i="1"/>
  <c r="O546" i="1"/>
  <c r="O513" i="1" s="1"/>
  <c r="K330" i="1"/>
  <c r="R610" i="1"/>
  <c r="R643" i="1"/>
  <c r="V513" i="1"/>
  <c r="W513" i="1" s="1"/>
  <c r="W546" i="1"/>
  <c r="W170" i="1"/>
  <c r="V610" i="1"/>
  <c r="W610" i="1" s="1"/>
  <c r="V643" i="1"/>
  <c r="W643" i="1" s="1"/>
  <c r="X610" i="1"/>
  <c r="X643" i="1"/>
  <c r="AM170" i="1"/>
  <c r="AM330" i="1"/>
  <c r="AM546" i="1"/>
  <c r="AM513" i="1" s="1"/>
  <c r="AI330" i="1"/>
  <c r="AP610" i="1"/>
  <c r="AP643" i="1"/>
  <c r="AT513" i="1"/>
  <c r="AU513" i="1" s="1"/>
  <c r="AU546" i="1"/>
  <c r="AU170" i="1"/>
  <c r="AT610" i="1"/>
  <c r="AT643" i="1"/>
  <c r="AV610" i="1"/>
  <c r="AV643" i="1"/>
  <c r="F611" i="1"/>
  <c r="F644" i="1"/>
  <c r="O171" i="1"/>
  <c r="O331" i="1"/>
  <c r="O547" i="1"/>
  <c r="O514" i="1" s="1"/>
  <c r="K331" i="1"/>
  <c r="R611" i="1"/>
  <c r="R644" i="1"/>
  <c r="V514" i="1"/>
  <c r="W514" i="1" s="1"/>
  <c r="W547" i="1"/>
  <c r="W171" i="1"/>
  <c r="V611" i="1"/>
  <c r="V644" i="1"/>
  <c r="X611" i="1"/>
  <c r="X644" i="1"/>
  <c r="AM171" i="1"/>
  <c r="AM331" i="1"/>
  <c r="AM547" i="1"/>
  <c r="AM514" i="1" s="1"/>
  <c r="AI331" i="1"/>
  <c r="AP611" i="1"/>
  <c r="AP644" i="1"/>
  <c r="AT514" i="1"/>
  <c r="AU514" i="1" s="1"/>
  <c r="AU547" i="1"/>
  <c r="AU171" i="1"/>
  <c r="AT611" i="1"/>
  <c r="AU611" i="1" s="1"/>
  <c r="AT644" i="1"/>
  <c r="AU644" i="1" s="1"/>
  <c r="AV611" i="1"/>
  <c r="AV644" i="1"/>
  <c r="F612" i="1"/>
  <c r="F645" i="1"/>
  <c r="O172" i="1"/>
  <c r="O332" i="1"/>
  <c r="O548" i="1"/>
  <c r="O515" i="1" s="1"/>
  <c r="K332" i="1"/>
  <c r="R612" i="1"/>
  <c r="R645" i="1"/>
  <c r="V515" i="1"/>
  <c r="W515" i="1" s="1"/>
  <c r="W548" i="1"/>
  <c r="W172" i="1"/>
  <c r="V612" i="1"/>
  <c r="W612" i="1" s="1"/>
  <c r="V645" i="1"/>
  <c r="W645" i="1" s="1"/>
  <c r="X612" i="1"/>
  <c r="X645" i="1"/>
  <c r="AM172" i="1"/>
  <c r="AM332" i="1"/>
  <c r="AM548" i="1"/>
  <c r="AM515" i="1" s="1"/>
  <c r="AI332" i="1"/>
  <c r="AP612" i="1"/>
  <c r="AP645" i="1"/>
  <c r="AT515" i="1"/>
  <c r="AU515" i="1" s="1"/>
  <c r="AU548" i="1"/>
  <c r="AU172" i="1"/>
  <c r="AT612" i="1"/>
  <c r="AT645" i="1"/>
  <c r="AV612" i="1"/>
  <c r="AV645" i="1"/>
  <c r="F613" i="1"/>
  <c r="F646" i="1"/>
  <c r="O173" i="1"/>
  <c r="O333" i="1"/>
  <c r="O549" i="1"/>
  <c r="O516" i="1" s="1"/>
  <c r="K333" i="1"/>
  <c r="R613" i="1"/>
  <c r="R646" i="1"/>
  <c r="V516" i="1"/>
  <c r="W516" i="1" s="1"/>
  <c r="W549" i="1"/>
  <c r="W173" i="1"/>
  <c r="V613" i="1"/>
  <c r="V646" i="1"/>
  <c r="X613" i="1"/>
  <c r="X646" i="1"/>
  <c r="AM173" i="1"/>
  <c r="AM333" i="1"/>
  <c r="AM549" i="1"/>
  <c r="AM516" i="1" s="1"/>
  <c r="AI333" i="1"/>
  <c r="AP613" i="1"/>
  <c r="AP646" i="1"/>
  <c r="AT516" i="1"/>
  <c r="AU516" i="1" s="1"/>
  <c r="AU549" i="1"/>
  <c r="AU173" i="1"/>
  <c r="AT613" i="1"/>
  <c r="AU613" i="1" s="1"/>
  <c r="AT646" i="1"/>
  <c r="AU646" i="1" s="1"/>
  <c r="AV613" i="1"/>
  <c r="AV646" i="1"/>
  <c r="F614" i="1"/>
  <c r="F647" i="1"/>
  <c r="O174" i="1"/>
  <c r="O334" i="1"/>
  <c r="O550" i="1"/>
  <c r="O517" i="1" s="1"/>
  <c r="K334" i="1"/>
  <c r="R614" i="1"/>
  <c r="R647" i="1"/>
  <c r="V517" i="1"/>
  <c r="W517" i="1" s="1"/>
  <c r="W550" i="1"/>
  <c r="W174" i="1"/>
  <c r="V614" i="1"/>
  <c r="W614" i="1" s="1"/>
  <c r="V647" i="1"/>
  <c r="W647" i="1" s="1"/>
  <c r="X614" i="1"/>
  <c r="X647" i="1"/>
  <c r="AM174" i="1"/>
  <c r="AM334" i="1"/>
  <c r="AM550" i="1"/>
  <c r="AM517" i="1" s="1"/>
  <c r="AI334" i="1"/>
  <c r="AP614" i="1"/>
  <c r="AP647" i="1"/>
  <c r="AT517" i="1"/>
  <c r="AU517" i="1" s="1"/>
  <c r="AU550" i="1"/>
  <c r="AU174" i="1"/>
  <c r="AT614" i="1"/>
  <c r="AT647" i="1"/>
  <c r="AV614" i="1"/>
  <c r="AV647" i="1"/>
  <c r="F615" i="1"/>
  <c r="F648" i="1"/>
  <c r="O175" i="1"/>
  <c r="O335" i="1"/>
  <c r="O551" i="1"/>
  <c r="O518" i="1" s="1"/>
  <c r="K335" i="1"/>
  <c r="R615" i="1"/>
  <c r="R648" i="1"/>
  <c r="V518" i="1"/>
  <c r="W518" i="1" s="1"/>
  <c r="W551" i="1"/>
  <c r="W175" i="1"/>
  <c r="V615" i="1"/>
  <c r="V648" i="1"/>
  <c r="X615" i="1"/>
  <c r="X648" i="1"/>
  <c r="AM175" i="1"/>
  <c r="AM335" i="1"/>
  <c r="AM551" i="1"/>
  <c r="AM518" i="1" s="1"/>
  <c r="AI335" i="1"/>
  <c r="AP615" i="1"/>
  <c r="AP648" i="1"/>
  <c r="AT518" i="1"/>
  <c r="AU518" i="1" s="1"/>
  <c r="AU551" i="1"/>
  <c r="AU175" i="1"/>
  <c r="AT615" i="1"/>
  <c r="AU615" i="1" s="1"/>
  <c r="AT648" i="1"/>
  <c r="AU648" i="1" s="1"/>
  <c r="AV615" i="1"/>
  <c r="AV648" i="1"/>
  <c r="D176" i="1"/>
  <c r="D336" i="1"/>
  <c r="D552" i="1"/>
  <c r="D519" i="1" s="1"/>
  <c r="BB103" i="1"/>
  <c r="BB177" i="1"/>
  <c r="BB337" i="1"/>
  <c r="BB553" i="1"/>
  <c r="BB520" i="1" s="1"/>
  <c r="O103" i="1"/>
  <c r="O177" i="1"/>
  <c r="O337" i="1"/>
  <c r="O553" i="1"/>
  <c r="O520" i="1" s="1"/>
  <c r="K337" i="1"/>
  <c r="K103" i="1"/>
  <c r="J176" i="1"/>
  <c r="J336" i="1"/>
  <c r="J552" i="1"/>
  <c r="L617" i="1"/>
  <c r="L650" i="1"/>
  <c r="R617" i="1"/>
  <c r="R650" i="1"/>
  <c r="AA103" i="1"/>
  <c r="AA177" i="1"/>
  <c r="AA337" i="1"/>
  <c r="AA553" i="1"/>
  <c r="AA520" i="1" s="1"/>
  <c r="W337" i="1"/>
  <c r="W103" i="1"/>
  <c r="V176" i="1"/>
  <c r="V336" i="1"/>
  <c r="V552" i="1"/>
  <c r="X617" i="1"/>
  <c r="X650" i="1"/>
  <c r="AD617" i="1"/>
  <c r="AD650" i="1"/>
  <c r="AM103" i="1"/>
  <c r="AM177" i="1"/>
  <c r="AM337" i="1"/>
  <c r="AM553" i="1"/>
  <c r="AM520" i="1" s="1"/>
  <c r="AI337" i="1"/>
  <c r="AI103" i="1"/>
  <c r="AH176" i="1"/>
  <c r="AH336" i="1"/>
  <c r="AH552" i="1"/>
  <c r="AJ617" i="1"/>
  <c r="AJ650" i="1"/>
  <c r="AP617" i="1"/>
  <c r="AP650" i="1"/>
  <c r="AY103" i="1"/>
  <c r="AY177" i="1"/>
  <c r="AY337" i="1"/>
  <c r="AY553" i="1"/>
  <c r="AY520" i="1" s="1"/>
  <c r="AU337" i="1"/>
  <c r="AU103" i="1"/>
  <c r="AT176" i="1"/>
  <c r="AT336" i="1"/>
  <c r="AT552" i="1"/>
  <c r="AV617" i="1"/>
  <c r="AV650" i="1"/>
  <c r="F105" i="1"/>
  <c r="F554" i="1" s="1"/>
  <c r="F555" i="1"/>
  <c r="K556" i="1"/>
  <c r="L105" i="1"/>
  <c r="L554" i="1" s="1"/>
  <c r="L555" i="1"/>
  <c r="R105" i="1"/>
  <c r="R554" i="1" s="1"/>
  <c r="R555" i="1"/>
  <c r="W556" i="1"/>
  <c r="X105" i="1"/>
  <c r="X554" i="1" s="1"/>
  <c r="X555" i="1"/>
  <c r="AD105" i="1"/>
  <c r="AD554" i="1" s="1"/>
  <c r="AD555" i="1"/>
  <c r="AI556" i="1"/>
  <c r="AJ105" i="1"/>
  <c r="AJ554" i="1" s="1"/>
  <c r="AJ555" i="1"/>
  <c r="AP105" i="1"/>
  <c r="AP554" i="1" s="1"/>
  <c r="AP555" i="1"/>
  <c r="AU556" i="1"/>
  <c r="AV105" i="1"/>
  <c r="AV554" i="1" s="1"/>
  <c r="AV555" i="1"/>
  <c r="W557" i="1"/>
  <c r="AU557" i="1"/>
  <c r="W558" i="1"/>
  <c r="AU558" i="1"/>
  <c r="W559" i="1"/>
  <c r="AU559" i="1"/>
  <c r="W560" i="1"/>
  <c r="AU560" i="1"/>
  <c r="W561" i="1"/>
  <c r="AU561" i="1"/>
  <c r="W562" i="1"/>
  <c r="AU562" i="1"/>
  <c r="W563" i="1"/>
  <c r="AU563" i="1"/>
  <c r="BG143" i="1"/>
  <c r="BG137" i="1" s="1"/>
  <c r="O143" i="1"/>
  <c r="O137" i="1" s="1"/>
  <c r="K143" i="1"/>
  <c r="W143" i="1"/>
  <c r="AI143" i="1"/>
  <c r="AU143" i="1"/>
  <c r="K566" i="1"/>
  <c r="W566" i="1"/>
  <c r="AI566" i="1"/>
  <c r="AU566" i="1"/>
  <c r="W567" i="1"/>
  <c r="AU567" i="1"/>
  <c r="W568" i="1"/>
  <c r="AU568" i="1"/>
  <c r="W569" i="1"/>
  <c r="AU569" i="1"/>
  <c r="W570" i="1"/>
  <c r="AU570" i="1"/>
  <c r="W571" i="1"/>
  <c r="AU571" i="1"/>
  <c r="W572" i="1"/>
  <c r="AU572" i="1"/>
  <c r="W573" i="1"/>
  <c r="AU573" i="1"/>
  <c r="W574" i="1"/>
  <c r="AU574" i="1"/>
  <c r="W575" i="1"/>
  <c r="AU575" i="1"/>
  <c r="W576" i="1"/>
  <c r="AU576" i="1"/>
  <c r="W577" i="1"/>
  <c r="AU577" i="1"/>
  <c r="W578" i="1"/>
  <c r="AU578" i="1"/>
  <c r="W579" i="1"/>
  <c r="AU579" i="1"/>
  <c r="W580" i="1"/>
  <c r="AU580" i="1"/>
  <c r="W581" i="1"/>
  <c r="AU581" i="1"/>
  <c r="W582" i="1"/>
  <c r="AU582" i="1"/>
  <c r="W583" i="1"/>
  <c r="AU583" i="1"/>
  <c r="BB135" i="1"/>
  <c r="BB584" i="1" s="1"/>
  <c r="BB585" i="1"/>
  <c r="O135" i="1"/>
  <c r="O584" i="1" s="1"/>
  <c r="O585" i="1"/>
  <c r="K144" i="1"/>
  <c r="W585" i="1"/>
  <c r="W135" i="1"/>
  <c r="V584" i="1"/>
  <c r="W584" i="1" s="1"/>
  <c r="AM135" i="1"/>
  <c r="AM584" i="1" s="1"/>
  <c r="AM585" i="1"/>
  <c r="AI144" i="1"/>
  <c r="AU585" i="1"/>
  <c r="AU144" i="1"/>
  <c r="K137" i="1"/>
  <c r="BB179" i="1"/>
  <c r="BB244" i="1"/>
  <c r="K244" i="1"/>
  <c r="J178" i="1"/>
  <c r="K179" i="1"/>
  <c r="J243" i="1"/>
  <c r="L178" i="1"/>
  <c r="L243" i="1"/>
  <c r="AA179" i="1"/>
  <c r="AA244" i="1"/>
  <c r="V178" i="1"/>
  <c r="W179" i="1"/>
  <c r="V243" i="1"/>
  <c r="X178" i="1"/>
  <c r="X243" i="1"/>
  <c r="AM179" i="1"/>
  <c r="AM244" i="1"/>
  <c r="AI244" i="1"/>
  <c r="AH178" i="1"/>
  <c r="AI179" i="1"/>
  <c r="AH243" i="1"/>
  <c r="AJ178" i="1"/>
  <c r="AJ243" i="1"/>
  <c r="AY179" i="1"/>
  <c r="AY244" i="1"/>
  <c r="AT178" i="1"/>
  <c r="AU179" i="1"/>
  <c r="AT243" i="1"/>
  <c r="AV178" i="1"/>
  <c r="AV243" i="1"/>
  <c r="BB245" i="1"/>
  <c r="BB246" i="1"/>
  <c r="W246" i="1"/>
  <c r="AU246" i="1"/>
  <c r="BB247" i="1"/>
  <c r="BB248" i="1"/>
  <c r="W248" i="1"/>
  <c r="AU248" i="1"/>
  <c r="BB249" i="1"/>
  <c r="BB250" i="1"/>
  <c r="W250" i="1"/>
  <c r="AU250" i="1"/>
  <c r="BB251" i="1"/>
  <c r="BB252" i="1"/>
  <c r="W252" i="1"/>
  <c r="AU252" i="1"/>
  <c r="O189" i="1"/>
  <c r="O253" i="1" s="1"/>
  <c r="O254" i="1"/>
  <c r="K255" i="1"/>
  <c r="AI255" i="1"/>
  <c r="K257" i="1"/>
  <c r="AI257" i="1"/>
  <c r="K259" i="1"/>
  <c r="AI259" i="1"/>
  <c r="K261" i="1"/>
  <c r="AI261" i="1"/>
  <c r="K263" i="1"/>
  <c r="AI263" i="1"/>
  <c r="K265" i="1"/>
  <c r="AI265" i="1"/>
  <c r="K267" i="1"/>
  <c r="AI267" i="1"/>
  <c r="K269" i="1"/>
  <c r="AI269" i="1"/>
  <c r="K271" i="1"/>
  <c r="AI271" i="1"/>
  <c r="BB208" i="1"/>
  <c r="BB272" i="1" s="1"/>
  <c r="BB273" i="1"/>
  <c r="K208" i="1"/>
  <c r="J272" i="1"/>
  <c r="K272" i="1" s="1"/>
  <c r="AA208" i="1"/>
  <c r="AA272" i="1" s="1"/>
  <c r="AA273" i="1"/>
  <c r="W273" i="1"/>
  <c r="W208" i="1"/>
  <c r="V272" i="1"/>
  <c r="W272" i="1" s="1"/>
  <c r="AM208" i="1"/>
  <c r="AM272" i="1" s="1"/>
  <c r="AM273" i="1"/>
  <c r="AI208" i="1"/>
  <c r="AH272" i="1"/>
  <c r="AI272" i="1" s="1"/>
  <c r="AY208" i="1"/>
  <c r="AY272" i="1" s="1"/>
  <c r="AY273" i="1"/>
  <c r="AU273" i="1"/>
  <c r="AU208" i="1"/>
  <c r="AT272" i="1"/>
  <c r="AU272" i="1" s="1"/>
  <c r="AX144" i="1"/>
  <c r="AX135" i="1"/>
  <c r="AW584" i="1"/>
  <c r="AX584" i="1" s="1"/>
  <c r="Z137" i="1"/>
  <c r="AL137" i="1"/>
  <c r="AX137" i="1"/>
  <c r="Q139" i="1"/>
  <c r="AO139" i="1"/>
  <c r="BD140" i="1"/>
  <c r="AC140" i="1"/>
  <c r="BA140" i="1"/>
  <c r="Q141" i="1"/>
  <c r="AO141" i="1"/>
  <c r="H244" i="1"/>
  <c r="H179" i="1"/>
  <c r="G178" i="1"/>
  <c r="G243" i="1"/>
  <c r="H243" i="1" s="1"/>
  <c r="I178" i="1"/>
  <c r="I243" i="1"/>
  <c r="N179" i="1"/>
  <c r="M178" i="1"/>
  <c r="M243" i="1"/>
  <c r="T244" i="1"/>
  <c r="AB179" i="1"/>
  <c r="AC180" i="1"/>
  <c r="AB244" i="1"/>
  <c r="Z244" i="1"/>
  <c r="AF179" i="1"/>
  <c r="AE178" i="1"/>
  <c r="AE243" i="1"/>
  <c r="AG178" i="1"/>
  <c r="AG243" i="1"/>
  <c r="AL179" i="1"/>
  <c r="AK178" i="1"/>
  <c r="AK243" i="1"/>
  <c r="AR244" i="1"/>
  <c r="AZ179" i="1"/>
  <c r="BA180" i="1"/>
  <c r="AZ244" i="1"/>
  <c r="AX244" i="1"/>
  <c r="BE178" i="1"/>
  <c r="BE243" i="1"/>
  <c r="H245" i="1"/>
  <c r="Q181" i="1"/>
  <c r="P245" i="1"/>
  <c r="Q245" i="1" s="1"/>
  <c r="AC181" i="1"/>
  <c r="AB245" i="1"/>
  <c r="AC245" i="1" s="1"/>
  <c r="AO181" i="1"/>
  <c r="AN245" i="1"/>
  <c r="AO245" i="1" s="1"/>
  <c r="BA181" i="1"/>
  <c r="AZ245" i="1"/>
  <c r="BA245" i="1" s="1"/>
  <c r="BD182" i="1"/>
  <c r="BC246" i="1"/>
  <c r="N246" i="1"/>
  <c r="T246" i="1"/>
  <c r="Z246" i="1"/>
  <c r="AF246" i="1"/>
  <c r="AL246" i="1"/>
  <c r="AR246" i="1"/>
  <c r="AX246" i="1"/>
  <c r="H247" i="1"/>
  <c r="Q183" i="1"/>
  <c r="P247" i="1"/>
  <c r="Q247" i="1" s="1"/>
  <c r="AC183" i="1"/>
  <c r="AB247" i="1"/>
  <c r="AC247" i="1" s="1"/>
  <c r="AO183" i="1"/>
  <c r="AN247" i="1"/>
  <c r="AO247" i="1" s="1"/>
  <c r="BA183" i="1"/>
  <c r="AZ247" i="1"/>
  <c r="BA247" i="1" s="1"/>
  <c r="BD184" i="1"/>
  <c r="BC248" i="1"/>
  <c r="N248" i="1"/>
  <c r="T248" i="1"/>
  <c r="Z248" i="1"/>
  <c r="AF248" i="1"/>
  <c r="AL248" i="1"/>
  <c r="AR248" i="1"/>
  <c r="AX248" i="1"/>
  <c r="H249" i="1"/>
  <c r="Q185" i="1"/>
  <c r="P249" i="1"/>
  <c r="Q249" i="1" s="1"/>
  <c r="AC185" i="1"/>
  <c r="AB249" i="1"/>
  <c r="AC249" i="1" s="1"/>
  <c r="AO185" i="1"/>
  <c r="AN249" i="1"/>
  <c r="AO249" i="1" s="1"/>
  <c r="BA185" i="1"/>
  <c r="AZ249" i="1"/>
  <c r="BA249" i="1" s="1"/>
  <c r="BD186" i="1"/>
  <c r="BC250" i="1"/>
  <c r="N250" i="1"/>
  <c r="T250" i="1"/>
  <c r="Z250" i="1"/>
  <c r="AF250" i="1"/>
  <c r="AL250" i="1"/>
  <c r="AR250" i="1"/>
  <c r="AX250" i="1"/>
  <c r="H251" i="1"/>
  <c r="Q187" i="1"/>
  <c r="P251" i="1"/>
  <c r="Q251" i="1" s="1"/>
  <c r="AC187" i="1"/>
  <c r="AB251" i="1"/>
  <c r="AC251" i="1" s="1"/>
  <c r="AO187" i="1"/>
  <c r="AN251" i="1"/>
  <c r="AO251" i="1" s="1"/>
  <c r="BA187" i="1"/>
  <c r="AZ251" i="1"/>
  <c r="BA251" i="1" s="1"/>
  <c r="BD188" i="1"/>
  <c r="BC252" i="1"/>
  <c r="N252" i="1"/>
  <c r="T252" i="1"/>
  <c r="Z252" i="1"/>
  <c r="AF252" i="1"/>
  <c r="AL252" i="1"/>
  <c r="AR252" i="1"/>
  <c r="AX252" i="1"/>
  <c r="BD190" i="1"/>
  <c r="BC189" i="1"/>
  <c r="BC254" i="1"/>
  <c r="P189" i="1"/>
  <c r="Q190" i="1"/>
  <c r="P254" i="1"/>
  <c r="N254" i="1"/>
  <c r="T189" i="1"/>
  <c r="S253" i="1"/>
  <c r="T253" i="1" s="1"/>
  <c r="Z189" i="1"/>
  <c r="Y253" i="1"/>
  <c r="Z253" i="1" s="1"/>
  <c r="AF254" i="1"/>
  <c r="AN189" i="1"/>
  <c r="AO190" i="1"/>
  <c r="AN254" i="1"/>
  <c r="AL254" i="1"/>
  <c r="AR189" i="1"/>
  <c r="AQ253" i="1"/>
  <c r="AR253" i="1" s="1"/>
  <c r="AX189" i="1"/>
  <c r="AW253" i="1"/>
  <c r="AX253" i="1" s="1"/>
  <c r="BD191" i="1"/>
  <c r="BC255" i="1"/>
  <c r="N255" i="1"/>
  <c r="T255" i="1"/>
  <c r="Z255" i="1"/>
  <c r="AF255" i="1"/>
  <c r="AL255" i="1"/>
  <c r="AR255" i="1"/>
  <c r="AX255" i="1"/>
  <c r="H256" i="1"/>
  <c r="Q192" i="1"/>
  <c r="P256" i="1"/>
  <c r="Q256" i="1" s="1"/>
  <c r="AC192" i="1"/>
  <c r="AB256" i="1"/>
  <c r="AC256" i="1" s="1"/>
  <c r="AO192" i="1"/>
  <c r="AN256" i="1"/>
  <c r="AO256" i="1" s="1"/>
  <c r="BA192" i="1"/>
  <c r="AZ256" i="1"/>
  <c r="BA256" i="1" s="1"/>
  <c r="BD193" i="1"/>
  <c r="BC257" i="1"/>
  <c r="N257" i="1"/>
  <c r="T257" i="1"/>
  <c r="Z257" i="1"/>
  <c r="AF257" i="1"/>
  <c r="AL257" i="1"/>
  <c r="AR257" i="1"/>
  <c r="AX257" i="1"/>
  <c r="H258" i="1"/>
  <c r="Q194" i="1"/>
  <c r="P258" i="1"/>
  <c r="Q258" i="1" s="1"/>
  <c r="AC194" i="1"/>
  <c r="AB258" i="1"/>
  <c r="AC258" i="1" s="1"/>
  <c r="AO194" i="1"/>
  <c r="AN258" i="1"/>
  <c r="AO258" i="1" s="1"/>
  <c r="BA194" i="1"/>
  <c r="AZ258" i="1"/>
  <c r="BA258" i="1" s="1"/>
  <c r="BD195" i="1"/>
  <c r="BC259" i="1"/>
  <c r="N259" i="1"/>
  <c r="T259" i="1"/>
  <c r="Z259" i="1"/>
  <c r="AF259" i="1"/>
  <c r="AL259" i="1"/>
  <c r="AR259" i="1"/>
  <c r="AX259" i="1"/>
  <c r="H260" i="1"/>
  <c r="Q196" i="1"/>
  <c r="P260" i="1"/>
  <c r="Q260" i="1" s="1"/>
  <c r="AC196" i="1"/>
  <c r="AB260" i="1"/>
  <c r="AC260" i="1" s="1"/>
  <c r="AO196" i="1"/>
  <c r="AN260" i="1"/>
  <c r="AO260" i="1" s="1"/>
  <c r="BA196" i="1"/>
  <c r="AZ260" i="1"/>
  <c r="BA260" i="1" s="1"/>
  <c r="BD197" i="1"/>
  <c r="BC261" i="1"/>
  <c r="N261" i="1"/>
  <c r="T261" i="1"/>
  <c r="Z261" i="1"/>
  <c r="AF261" i="1"/>
  <c r="AL261" i="1"/>
  <c r="AR261" i="1"/>
  <c r="AX261" i="1"/>
  <c r="H262" i="1"/>
  <c r="Q198" i="1"/>
  <c r="P262" i="1"/>
  <c r="Q262" i="1" s="1"/>
  <c r="AC198" i="1"/>
  <c r="AB262" i="1"/>
  <c r="AC262" i="1" s="1"/>
  <c r="AO198" i="1"/>
  <c r="AN262" i="1"/>
  <c r="AO262" i="1" s="1"/>
  <c r="BA198" i="1"/>
  <c r="AZ262" i="1"/>
  <c r="BA262" i="1" s="1"/>
  <c r="BD199" i="1"/>
  <c r="BC263" i="1"/>
  <c r="N263" i="1"/>
  <c r="T263" i="1"/>
  <c r="Z263" i="1"/>
  <c r="AF263" i="1"/>
  <c r="AL263" i="1"/>
  <c r="AR263" i="1"/>
  <c r="AX263" i="1"/>
  <c r="H264" i="1"/>
  <c r="Q200" i="1"/>
  <c r="P264" i="1"/>
  <c r="Q264" i="1" s="1"/>
  <c r="AC200" i="1"/>
  <c r="AB264" i="1"/>
  <c r="AC264" i="1" s="1"/>
  <c r="AO200" i="1"/>
  <c r="AN264" i="1"/>
  <c r="AO264" i="1" s="1"/>
  <c r="BA200" i="1"/>
  <c r="AZ264" i="1"/>
  <c r="BA264" i="1" s="1"/>
  <c r="BD201" i="1"/>
  <c r="BC265" i="1"/>
  <c r="N265" i="1"/>
  <c r="T265" i="1"/>
  <c r="Z265" i="1"/>
  <c r="AF265" i="1"/>
  <c r="AL265" i="1"/>
  <c r="AR265" i="1"/>
  <c r="AX265" i="1"/>
  <c r="H266" i="1"/>
  <c r="Q202" i="1"/>
  <c r="P266" i="1"/>
  <c r="Q266" i="1" s="1"/>
  <c r="AC202" i="1"/>
  <c r="AB266" i="1"/>
  <c r="AC266" i="1" s="1"/>
  <c r="AO202" i="1"/>
  <c r="AN266" i="1"/>
  <c r="AO266" i="1" s="1"/>
  <c r="BA202" i="1"/>
  <c r="AZ266" i="1"/>
  <c r="BA266" i="1" s="1"/>
  <c r="BD203" i="1"/>
  <c r="BC267" i="1"/>
  <c r="N267" i="1"/>
  <c r="T267" i="1"/>
  <c r="Z267" i="1"/>
  <c r="AF267" i="1"/>
  <c r="AL267" i="1"/>
  <c r="AR267" i="1"/>
  <c r="AX267" i="1"/>
  <c r="H268" i="1"/>
  <c r="Q204" i="1"/>
  <c r="P268" i="1"/>
  <c r="Q268" i="1" s="1"/>
  <c r="AC204" i="1"/>
  <c r="AB268" i="1"/>
  <c r="AC268" i="1" s="1"/>
  <c r="AO204" i="1"/>
  <c r="AN268" i="1"/>
  <c r="AO268" i="1" s="1"/>
  <c r="BA204" i="1"/>
  <c r="AZ268" i="1"/>
  <c r="BA268" i="1" s="1"/>
  <c r="BD205" i="1"/>
  <c r="BC269" i="1"/>
  <c r="N269" i="1"/>
  <c r="T269" i="1"/>
  <c r="Z269" i="1"/>
  <c r="AF269" i="1"/>
  <c r="AL269" i="1"/>
  <c r="AR269" i="1"/>
  <c r="AX269" i="1"/>
  <c r="H270" i="1"/>
  <c r="Q206" i="1"/>
  <c r="P270" i="1"/>
  <c r="Q270" i="1" s="1"/>
  <c r="AC206" i="1"/>
  <c r="AB270" i="1"/>
  <c r="AC270" i="1" s="1"/>
  <c r="AO206" i="1"/>
  <c r="AN270" i="1"/>
  <c r="AO270" i="1" s="1"/>
  <c r="BA206" i="1"/>
  <c r="AZ270" i="1"/>
  <c r="BA270" i="1" s="1"/>
  <c r="BD207" i="1"/>
  <c r="BC271" i="1"/>
  <c r="N271" i="1"/>
  <c r="T271" i="1"/>
  <c r="Z271" i="1"/>
  <c r="AF271" i="1"/>
  <c r="AL271" i="1"/>
  <c r="AR271" i="1"/>
  <c r="AX271" i="1"/>
  <c r="BD209" i="1"/>
  <c r="BC208" i="1"/>
  <c r="BC273" i="1"/>
  <c r="P208" i="1"/>
  <c r="Q209" i="1"/>
  <c r="P273" i="1"/>
  <c r="N273" i="1"/>
  <c r="T208" i="1"/>
  <c r="S272" i="1"/>
  <c r="T272" i="1" s="1"/>
  <c r="Z208" i="1"/>
  <c r="Y272" i="1"/>
  <c r="Z272" i="1" s="1"/>
  <c r="AF273" i="1"/>
  <c r="AN208" i="1"/>
  <c r="AO209" i="1"/>
  <c r="AN273" i="1"/>
  <c r="AO273" i="1" s="1"/>
  <c r="AL273" i="1"/>
  <c r="AR208" i="1"/>
  <c r="AQ272" i="1"/>
  <c r="AR272" i="1" s="1"/>
  <c r="AX208" i="1"/>
  <c r="AW272" i="1"/>
  <c r="AX272" i="1" s="1"/>
  <c r="E274" i="1"/>
  <c r="H275" i="1"/>
  <c r="G274" i="1"/>
  <c r="AC276" i="1"/>
  <c r="AB275" i="1"/>
  <c r="T275" i="1"/>
  <c r="S274" i="1"/>
  <c r="AO276" i="1"/>
  <c r="AN275" i="1"/>
  <c r="AE274" i="1"/>
  <c r="AF274" i="1" s="1"/>
  <c r="AF275" i="1"/>
  <c r="BA276" i="1"/>
  <c r="AZ275" i="1"/>
  <c r="AQ274" i="1"/>
  <c r="AR275" i="1"/>
  <c r="BE274" i="1"/>
  <c r="Q286" i="1"/>
  <c r="P285" i="1"/>
  <c r="Q285" i="1" s="1"/>
  <c r="BC285" i="1"/>
  <c r="BD286" i="1"/>
  <c r="Q305" i="1"/>
  <c r="P304" i="1"/>
  <c r="Q304" i="1" s="1"/>
  <c r="BC304" i="1"/>
  <c r="BD305" i="1"/>
  <c r="AO339" i="1"/>
  <c r="AN338" i="1"/>
  <c r="AN652" i="1"/>
  <c r="AC340" i="1"/>
  <c r="AB653" i="1"/>
  <c r="AC653" i="1" s="1"/>
  <c r="AO340" i="1"/>
  <c r="AN653" i="1"/>
  <c r="AO653" i="1" s="1"/>
  <c r="BA340" i="1"/>
  <c r="AZ653" i="1"/>
  <c r="BA653" i="1" s="1"/>
  <c r="Q341" i="1"/>
  <c r="P654" i="1"/>
  <c r="Q654" i="1" s="1"/>
  <c r="BD341" i="1"/>
  <c r="BC654" i="1"/>
  <c r="AC342" i="1"/>
  <c r="AB655" i="1"/>
  <c r="AC655" i="1" s="1"/>
  <c r="AO342" i="1"/>
  <c r="AN655" i="1"/>
  <c r="AO655" i="1" s="1"/>
  <c r="BA342" i="1"/>
  <c r="AZ655" i="1"/>
  <c r="BA655" i="1" s="1"/>
  <c r="Q343" i="1"/>
  <c r="P656" i="1"/>
  <c r="Q656" i="1" s="1"/>
  <c r="BD343" i="1"/>
  <c r="BC656" i="1"/>
  <c r="AC344" i="1"/>
  <c r="AB657" i="1"/>
  <c r="AC657" i="1" s="1"/>
  <c r="AO344" i="1"/>
  <c r="AN657" i="1"/>
  <c r="AO657" i="1" s="1"/>
  <c r="BA344" i="1"/>
  <c r="AZ657" i="1"/>
  <c r="BA657" i="1" s="1"/>
  <c r="G351" i="1"/>
  <c r="G382" i="1"/>
  <c r="H383" i="1"/>
  <c r="I351" i="1"/>
  <c r="I350" i="1" s="1"/>
  <c r="I660" i="1" s="1"/>
  <c r="I662" i="1" s="1"/>
  <c r="I382" i="1"/>
  <c r="Y351" i="1"/>
  <c r="Y382" i="1"/>
  <c r="Z383" i="1"/>
  <c r="AO384" i="1"/>
  <c r="AN352" i="1"/>
  <c r="AN383" i="1"/>
  <c r="AE351" i="1"/>
  <c r="AE382" i="1"/>
  <c r="AF383" i="1"/>
  <c r="AG351" i="1"/>
  <c r="AG350" i="1" s="1"/>
  <c r="AG660" i="1" s="1"/>
  <c r="AG662" i="1" s="1"/>
  <c r="AG382" i="1"/>
  <c r="AW351" i="1"/>
  <c r="AW382" i="1"/>
  <c r="AX383" i="1"/>
  <c r="BE351" i="1"/>
  <c r="BE382" i="1"/>
  <c r="H353" i="1"/>
  <c r="AC385" i="1"/>
  <c r="AB353" i="1"/>
  <c r="AO385" i="1"/>
  <c r="AN353" i="1"/>
  <c r="AO353" i="1" s="1"/>
  <c r="AF353" i="1"/>
  <c r="BA385" i="1"/>
  <c r="AZ353" i="1"/>
  <c r="Q386" i="1"/>
  <c r="P354" i="1"/>
  <c r="Q354" i="1" s="1"/>
  <c r="BC354" i="1"/>
  <c r="BD386" i="1"/>
  <c r="N354" i="1"/>
  <c r="AL354" i="1"/>
  <c r="H355" i="1"/>
  <c r="AC387" i="1"/>
  <c r="AB355" i="1"/>
  <c r="AO387" i="1"/>
  <c r="AN355" i="1"/>
  <c r="AO355" i="1" s="1"/>
  <c r="AF355" i="1"/>
  <c r="BA387" i="1"/>
  <c r="AZ355" i="1"/>
  <c r="Q388" i="1"/>
  <c r="P356" i="1"/>
  <c r="Q356" i="1" s="1"/>
  <c r="BC356" i="1"/>
  <c r="BD388" i="1"/>
  <c r="AC389" i="1"/>
  <c r="AB357" i="1"/>
  <c r="AO389" i="1"/>
  <c r="AN357" i="1"/>
  <c r="BA389" i="1"/>
  <c r="AZ357" i="1"/>
  <c r="Q390" i="1"/>
  <c r="P358" i="1"/>
  <c r="Q358" i="1" s="1"/>
  <c r="BC358" i="1"/>
  <c r="BD390" i="1"/>
  <c r="AC391" i="1"/>
  <c r="AB359" i="1"/>
  <c r="AO391" i="1"/>
  <c r="AN359" i="1"/>
  <c r="BA391" i="1"/>
  <c r="AZ359" i="1"/>
  <c r="Q392" i="1"/>
  <c r="P360" i="1"/>
  <c r="Q360" i="1" s="1"/>
  <c r="BC360" i="1"/>
  <c r="BD392" i="1"/>
  <c r="Q394" i="1"/>
  <c r="P362" i="1"/>
  <c r="P393" i="1"/>
  <c r="BC362" i="1"/>
  <c r="BC393" i="1"/>
  <c r="BD394" i="1"/>
  <c r="M361" i="1"/>
  <c r="N361" i="1" s="1"/>
  <c r="N393" i="1"/>
  <c r="AC394" i="1"/>
  <c r="AB362" i="1"/>
  <c r="AB393" i="1"/>
  <c r="S361" i="1"/>
  <c r="T361" i="1" s="1"/>
  <c r="T393" i="1"/>
  <c r="AK361" i="1"/>
  <c r="AL393" i="1"/>
  <c r="BA394" i="1"/>
  <c r="AZ362" i="1"/>
  <c r="AZ393" i="1"/>
  <c r="AQ361" i="1"/>
  <c r="AR393" i="1"/>
  <c r="Q395" i="1"/>
  <c r="P363" i="1"/>
  <c r="Q363" i="1" s="1"/>
  <c r="BC363" i="1"/>
  <c r="BD395" i="1"/>
  <c r="AC396" i="1"/>
  <c r="AB364" i="1"/>
  <c r="AO396" i="1"/>
  <c r="AN364" i="1"/>
  <c r="BA396" i="1"/>
  <c r="AZ364" i="1"/>
  <c r="Q397" i="1"/>
  <c r="P365" i="1"/>
  <c r="Q365" i="1" s="1"/>
  <c r="BC365" i="1"/>
  <c r="BD397" i="1"/>
  <c r="AC398" i="1"/>
  <c r="AB366" i="1"/>
  <c r="AO398" i="1"/>
  <c r="AN366" i="1"/>
  <c r="BA398" i="1"/>
  <c r="AZ366" i="1"/>
  <c r="Q399" i="1"/>
  <c r="P367" i="1"/>
  <c r="BC367" i="1"/>
  <c r="BD399" i="1"/>
  <c r="AC400" i="1"/>
  <c r="AB368" i="1"/>
  <c r="AO400" i="1"/>
  <c r="AN368" i="1"/>
  <c r="BA400" i="1"/>
  <c r="AZ368" i="1"/>
  <c r="Q401" i="1"/>
  <c r="P369" i="1"/>
  <c r="BC369" i="1"/>
  <c r="BD401" i="1"/>
  <c r="AC402" i="1"/>
  <c r="AB370" i="1"/>
  <c r="AO402" i="1"/>
  <c r="AN370" i="1"/>
  <c r="BA402" i="1"/>
  <c r="AZ370" i="1"/>
  <c r="Q403" i="1"/>
  <c r="P371" i="1"/>
  <c r="BC371" i="1"/>
  <c r="BD403" i="1"/>
  <c r="AC404" i="1"/>
  <c r="AB372" i="1"/>
  <c r="AO404" i="1"/>
  <c r="AN372" i="1"/>
  <c r="BA404" i="1"/>
  <c r="AZ372" i="1"/>
  <c r="Q405" i="1"/>
  <c r="P373" i="1"/>
  <c r="BC373" i="1"/>
  <c r="BD405" i="1"/>
  <c r="AC406" i="1"/>
  <c r="AB374" i="1"/>
  <c r="AO406" i="1"/>
  <c r="AN374" i="1"/>
  <c r="BA406" i="1"/>
  <c r="AZ374" i="1"/>
  <c r="Q407" i="1"/>
  <c r="P375" i="1"/>
  <c r="BC375" i="1"/>
  <c r="BD407" i="1"/>
  <c r="AC408" i="1"/>
  <c r="AB376" i="1"/>
  <c r="AO408" i="1"/>
  <c r="AN376" i="1"/>
  <c r="BA408" i="1"/>
  <c r="AZ376" i="1"/>
  <c r="Q409" i="1"/>
  <c r="P377" i="1"/>
  <c r="BC377" i="1"/>
  <c r="BD409" i="1"/>
  <c r="AC410" i="1"/>
  <c r="AB378" i="1"/>
  <c r="AO410" i="1"/>
  <c r="AN378" i="1"/>
  <c r="BA410" i="1"/>
  <c r="AZ378" i="1"/>
  <c r="Q411" i="1"/>
  <c r="P379" i="1"/>
  <c r="BC379" i="1"/>
  <c r="BD411" i="1"/>
  <c r="Q413" i="1"/>
  <c r="P381" i="1"/>
  <c r="P412" i="1"/>
  <c r="BC381" i="1"/>
  <c r="BC412" i="1"/>
  <c r="BD413" i="1"/>
  <c r="G380" i="1"/>
  <c r="H380" i="1" s="1"/>
  <c r="H381" i="1"/>
  <c r="AC413" i="1"/>
  <c r="AB381" i="1"/>
  <c r="AB412" i="1"/>
  <c r="Y380" i="1"/>
  <c r="Z380" i="1" s="1"/>
  <c r="Z381" i="1"/>
  <c r="AE380" i="1"/>
  <c r="AF380" i="1" s="1"/>
  <c r="AF381" i="1"/>
  <c r="BA413" i="1"/>
  <c r="AZ381" i="1"/>
  <c r="AZ412" i="1"/>
  <c r="AW380" i="1"/>
  <c r="AX380" i="1" s="1"/>
  <c r="AX381" i="1"/>
  <c r="Q415" i="1"/>
  <c r="Q414" i="1" s="1"/>
  <c r="P414" i="1"/>
  <c r="BC414" i="1"/>
  <c r="BD415" i="1"/>
  <c r="D274" i="1"/>
  <c r="O274" i="1"/>
  <c r="L274" i="1"/>
  <c r="R274" i="1"/>
  <c r="V274" i="1"/>
  <c r="W275" i="1"/>
  <c r="AJ274" i="1"/>
  <c r="AP274" i="1"/>
  <c r="AT274" i="1"/>
  <c r="AU275" i="1"/>
  <c r="K285" i="1"/>
  <c r="AI285" i="1"/>
  <c r="BB304" i="1"/>
  <c r="W304" i="1"/>
  <c r="AU304" i="1"/>
  <c r="BB338" i="1"/>
  <c r="BB652" i="1"/>
  <c r="O338" i="1"/>
  <c r="O652" i="1"/>
  <c r="K338" i="1"/>
  <c r="AA338" i="1"/>
  <c r="AA652" i="1"/>
  <c r="W338" i="1"/>
  <c r="AM338" i="1"/>
  <c r="AM652" i="1"/>
  <c r="AI338" i="1"/>
  <c r="AY338" i="1"/>
  <c r="AY652" i="1"/>
  <c r="AU338" i="1"/>
  <c r="BB653" i="1"/>
  <c r="K653" i="1"/>
  <c r="AI653" i="1"/>
  <c r="BB654" i="1"/>
  <c r="K654" i="1"/>
  <c r="AI654" i="1"/>
  <c r="BB655" i="1"/>
  <c r="K655" i="1"/>
  <c r="AI655" i="1"/>
  <c r="BB656" i="1"/>
  <c r="K656" i="1"/>
  <c r="AI656" i="1"/>
  <c r="BB657" i="1"/>
  <c r="K657" i="1"/>
  <c r="AI657" i="1"/>
  <c r="D351" i="1"/>
  <c r="D382" i="1"/>
  <c r="BB352" i="1"/>
  <c r="BB383" i="1"/>
  <c r="K383" i="1"/>
  <c r="J351" i="1"/>
  <c r="J382" i="1"/>
  <c r="W383" i="1"/>
  <c r="V351" i="1"/>
  <c r="V382" i="1"/>
  <c r="AI383" i="1"/>
  <c r="AH351" i="1"/>
  <c r="AH382" i="1"/>
  <c r="AU383" i="1"/>
  <c r="AT351" i="1"/>
  <c r="AT382" i="1"/>
  <c r="BB353" i="1"/>
  <c r="W353" i="1"/>
  <c r="AU353" i="1"/>
  <c r="BB354" i="1"/>
  <c r="W354" i="1"/>
  <c r="AU354" i="1"/>
  <c r="BB355" i="1"/>
  <c r="W355" i="1"/>
  <c r="AU355" i="1"/>
  <c r="BB356" i="1"/>
  <c r="W356" i="1"/>
  <c r="AU356" i="1"/>
  <c r="BB357" i="1"/>
  <c r="W357" i="1"/>
  <c r="AU357" i="1"/>
  <c r="BB358" i="1"/>
  <c r="W358" i="1"/>
  <c r="AU358" i="1"/>
  <c r="BB359" i="1"/>
  <c r="W359" i="1"/>
  <c r="AU359" i="1"/>
  <c r="BB360" i="1"/>
  <c r="W360" i="1"/>
  <c r="AU360" i="1"/>
  <c r="O362" i="1"/>
  <c r="O393" i="1"/>
  <c r="O361" i="1" s="1"/>
  <c r="K362" i="1"/>
  <c r="AA362" i="1"/>
  <c r="AA393" i="1"/>
  <c r="AA361" i="1" s="1"/>
  <c r="W362" i="1"/>
  <c r="AM362" i="1"/>
  <c r="AM393" i="1"/>
  <c r="AI362" i="1"/>
  <c r="AY362" i="1"/>
  <c r="AY393" i="1"/>
  <c r="AY361" i="1" s="1"/>
  <c r="AU362" i="1"/>
  <c r="K363" i="1"/>
  <c r="AI363" i="1"/>
  <c r="K364" i="1"/>
  <c r="AA364" i="1"/>
  <c r="AI364" i="1"/>
  <c r="AY364" i="1"/>
  <c r="K365" i="1"/>
  <c r="AI365" i="1"/>
  <c r="O422" i="1"/>
  <c r="BB423" i="1"/>
  <c r="K423" i="1"/>
  <c r="J422" i="1"/>
  <c r="AA422" i="1"/>
  <c r="X422" i="1"/>
  <c r="AD422" i="1"/>
  <c r="AI423" i="1"/>
  <c r="AH422" i="1"/>
  <c r="AY422" i="1"/>
  <c r="AV422" i="1"/>
  <c r="BB452" i="1"/>
  <c r="D454" i="1"/>
  <c r="BB455" i="1"/>
  <c r="L454" i="1"/>
  <c r="R454" i="1"/>
  <c r="V454" i="1"/>
  <c r="W455" i="1"/>
  <c r="AM454" i="1"/>
  <c r="AJ454" i="1"/>
  <c r="AP454" i="1"/>
  <c r="AT454" i="1"/>
  <c r="AU455" i="1"/>
  <c r="BB465" i="1"/>
  <c r="AC429" i="1"/>
  <c r="BA429" i="1"/>
  <c r="Q430" i="1"/>
  <c r="AO430" i="1"/>
  <c r="BD431" i="1"/>
  <c r="AC431" i="1"/>
  <c r="BA431" i="1"/>
  <c r="Q432" i="1"/>
  <c r="AO432" i="1"/>
  <c r="H433" i="1"/>
  <c r="N433" i="1"/>
  <c r="T433" i="1"/>
  <c r="Z433" i="1"/>
  <c r="AF433" i="1"/>
  <c r="AL433" i="1"/>
  <c r="AR433" i="1"/>
  <c r="AX433" i="1"/>
  <c r="Q435" i="1"/>
  <c r="AO435" i="1"/>
  <c r="BD436" i="1"/>
  <c r="AC436" i="1"/>
  <c r="BA436" i="1"/>
  <c r="Q437" i="1"/>
  <c r="AO437" i="1"/>
  <c r="BD438" i="1"/>
  <c r="AC438" i="1"/>
  <c r="BA438" i="1"/>
  <c r="Q439" i="1"/>
  <c r="AO439" i="1"/>
  <c r="BD440" i="1"/>
  <c r="AC440" i="1"/>
  <c r="BA440" i="1"/>
  <c r="Q441" i="1"/>
  <c r="AO441" i="1"/>
  <c r="BD442" i="1"/>
  <c r="AC442" i="1"/>
  <c r="BA442" i="1"/>
  <c r="Q443" i="1"/>
  <c r="AO443" i="1"/>
  <c r="BD444" i="1"/>
  <c r="AC444" i="1"/>
  <c r="BA444" i="1"/>
  <c r="Q445" i="1"/>
  <c r="AO445" i="1"/>
  <c r="BD446" i="1"/>
  <c r="AC446" i="1"/>
  <c r="BA446" i="1"/>
  <c r="Q447" i="1"/>
  <c r="AO447" i="1"/>
  <c r="BD448" i="1"/>
  <c r="AC448" i="1"/>
  <c r="BA448" i="1"/>
  <c r="Q449" i="1"/>
  <c r="AO449" i="1"/>
  <c r="BD450" i="1"/>
  <c r="AC450" i="1"/>
  <c r="BA450" i="1"/>
  <c r="Q451" i="1"/>
  <c r="AO451" i="1"/>
  <c r="H452" i="1"/>
  <c r="N452" i="1"/>
  <c r="T452" i="1"/>
  <c r="Z452" i="1"/>
  <c r="AF452" i="1"/>
  <c r="AL452" i="1"/>
  <c r="AR452" i="1"/>
  <c r="AX452" i="1"/>
  <c r="BD456" i="1"/>
  <c r="BC455" i="1"/>
  <c r="P455" i="1"/>
  <c r="Q456" i="1"/>
  <c r="AB455" i="1"/>
  <c r="AC456" i="1"/>
  <c r="AN455" i="1"/>
  <c r="AO456" i="1"/>
  <c r="AZ455" i="1"/>
  <c r="BA456" i="1"/>
  <c r="BD457" i="1"/>
  <c r="AC457" i="1"/>
  <c r="BA457" i="1"/>
  <c r="Q458" i="1"/>
  <c r="AO458" i="1"/>
  <c r="BD459" i="1"/>
  <c r="AC459" i="1"/>
  <c r="BA459" i="1"/>
  <c r="Q460" i="1"/>
  <c r="AO460" i="1"/>
  <c r="BD461" i="1"/>
  <c r="AC461" i="1"/>
  <c r="BA461" i="1"/>
  <c r="Q462" i="1"/>
  <c r="AY365" i="1"/>
  <c r="BB366" i="1"/>
  <c r="O366" i="1"/>
  <c r="AA366" i="1"/>
  <c r="AM366" i="1"/>
  <c r="AY366" i="1"/>
  <c r="BB367" i="1"/>
  <c r="O367" i="1"/>
  <c r="AA367" i="1"/>
  <c r="AM367" i="1"/>
  <c r="AY367" i="1"/>
  <c r="BB368" i="1"/>
  <c r="O368" i="1"/>
  <c r="AA368" i="1"/>
  <c r="AM368" i="1"/>
  <c r="AY368" i="1"/>
  <c r="BB369" i="1"/>
  <c r="O369" i="1"/>
  <c r="AA369" i="1"/>
  <c r="AM369" i="1"/>
  <c r="AY369" i="1"/>
  <c r="BB370" i="1"/>
  <c r="O370" i="1"/>
  <c r="AA370" i="1"/>
  <c r="AM370" i="1"/>
  <c r="AY370" i="1"/>
  <c r="BB371" i="1"/>
  <c r="O371" i="1"/>
  <c r="AA371" i="1"/>
  <c r="AM371" i="1"/>
  <c r="AY371" i="1"/>
  <c r="BB372" i="1"/>
  <c r="O372" i="1"/>
  <c r="AA372" i="1"/>
  <c r="AM372" i="1"/>
  <c r="AY372" i="1"/>
  <c r="BB373" i="1"/>
  <c r="O373" i="1"/>
  <c r="AA373" i="1"/>
  <c r="AM373" i="1"/>
  <c r="AY373" i="1"/>
  <c r="BB374" i="1"/>
  <c r="O374" i="1"/>
  <c r="AA374" i="1"/>
  <c r="AM374" i="1"/>
  <c r="AY374" i="1"/>
  <c r="BB375" i="1"/>
  <c r="O375" i="1"/>
  <c r="AA375" i="1"/>
  <c r="AM375" i="1"/>
  <c r="AY375" i="1"/>
  <c r="BB376" i="1"/>
  <c r="O376" i="1"/>
  <c r="AA376" i="1"/>
  <c r="AM376" i="1"/>
  <c r="AY376" i="1"/>
  <c r="BB377" i="1"/>
  <c r="O377" i="1"/>
  <c r="AA377" i="1"/>
  <c r="AM377" i="1"/>
  <c r="AY377" i="1"/>
  <c r="BB378" i="1"/>
  <c r="O378" i="1"/>
  <c r="AA378" i="1"/>
  <c r="AM378" i="1"/>
  <c r="AY378" i="1"/>
  <c r="BB379" i="1"/>
  <c r="O379" i="1"/>
  <c r="AA379" i="1"/>
  <c r="AM379" i="1"/>
  <c r="AY379" i="1"/>
  <c r="BB381" i="1"/>
  <c r="BB380" i="1" s="1"/>
  <c r="BB412" i="1"/>
  <c r="K412" i="1"/>
  <c r="W412" i="1"/>
  <c r="AI412" i="1"/>
  <c r="AU412" i="1"/>
  <c r="BC423" i="1"/>
  <c r="BD424" i="1"/>
  <c r="I422" i="1"/>
  <c r="M422" i="1"/>
  <c r="N423" i="1"/>
  <c r="U422" i="1"/>
  <c r="Y422" i="1"/>
  <c r="Z423" i="1"/>
  <c r="AG422" i="1"/>
  <c r="AK422" i="1"/>
  <c r="AL423" i="1"/>
  <c r="AS422" i="1"/>
  <c r="AW422" i="1"/>
  <c r="AX423" i="1"/>
  <c r="BD425" i="1"/>
  <c r="AC425" i="1"/>
  <c r="BA425" i="1"/>
  <c r="Q426" i="1"/>
  <c r="AO426" i="1"/>
  <c r="BD427" i="1"/>
  <c r="AC427" i="1"/>
  <c r="BA427" i="1"/>
  <c r="Q428" i="1"/>
  <c r="AO428" i="1"/>
  <c r="BD429" i="1"/>
  <c r="AC462" i="1"/>
  <c r="AO462" i="1"/>
  <c r="BA462" i="1"/>
  <c r="BD463" i="1"/>
  <c r="Q464" i="1"/>
  <c r="AC464" i="1"/>
  <c r="AO464" i="1"/>
  <c r="BA464" i="1"/>
  <c r="BD466" i="1"/>
  <c r="BC465" i="1"/>
  <c r="P465" i="1"/>
  <c r="Q465" i="1" s="1"/>
  <c r="Q466" i="1"/>
  <c r="T465" i="1"/>
  <c r="AN465" i="1"/>
  <c r="AO465" i="1" s="1"/>
  <c r="AO466" i="1"/>
  <c r="AR465" i="1"/>
  <c r="BD467" i="1"/>
  <c r="Q468" i="1"/>
  <c r="AC468" i="1"/>
  <c r="AO468" i="1"/>
  <c r="BA468" i="1"/>
  <c r="BD469" i="1"/>
  <c r="Q470" i="1"/>
  <c r="AC470" i="1"/>
  <c r="AO470" i="1"/>
  <c r="BA470" i="1"/>
  <c r="BD471" i="1"/>
  <c r="Q472" i="1"/>
  <c r="AC472" i="1"/>
  <c r="AO472" i="1"/>
  <c r="BA472" i="1"/>
  <c r="BD473" i="1"/>
  <c r="Q474" i="1"/>
  <c r="AC474" i="1"/>
  <c r="AO474" i="1"/>
  <c r="BA474" i="1"/>
  <c r="BD475" i="1"/>
  <c r="Q476" i="1"/>
  <c r="AC476" i="1"/>
  <c r="AO476" i="1"/>
  <c r="BA476" i="1"/>
  <c r="BD477" i="1"/>
  <c r="Q478" i="1"/>
  <c r="AC478" i="1"/>
  <c r="AO478" i="1"/>
  <c r="BA478" i="1"/>
  <c r="BD479" i="1"/>
  <c r="Q480" i="1"/>
  <c r="AC480" i="1"/>
  <c r="AO480" i="1"/>
  <c r="BA480" i="1"/>
  <c r="BD481" i="1"/>
  <c r="Q482" i="1"/>
  <c r="AC482" i="1"/>
  <c r="AO482" i="1"/>
  <c r="BA482" i="1"/>
  <c r="BD483" i="1"/>
  <c r="H484" i="1"/>
  <c r="AB484" i="1"/>
  <c r="AC484" i="1" s="1"/>
  <c r="AC485" i="1"/>
  <c r="AF484" i="1"/>
  <c r="AZ484" i="1"/>
  <c r="BA484" i="1" s="1"/>
  <c r="BA485" i="1"/>
  <c r="Q661" i="1"/>
  <c r="AC661" i="1"/>
  <c r="AO661" i="1"/>
  <c r="BA661" i="1"/>
  <c r="BD663" i="1"/>
  <c r="Q664" i="1"/>
  <c r="AC664" i="1"/>
  <c r="AO664" i="1"/>
  <c r="BA664" i="1"/>
  <c r="Z465" i="1"/>
  <c r="AX465" i="1"/>
  <c r="N484" i="1"/>
  <c r="AL484" i="1"/>
  <c r="P137" i="1" l="1"/>
  <c r="AG242" i="1"/>
  <c r="AG345" i="1"/>
  <c r="J345" i="1"/>
  <c r="AS242" i="1"/>
  <c r="AS345" i="1"/>
  <c r="BD223" i="1"/>
  <c r="BG599" i="1"/>
  <c r="BG632" i="1"/>
  <c r="BG598" i="1"/>
  <c r="BG631" i="1"/>
  <c r="BG590" i="1"/>
  <c r="BG623" i="1"/>
  <c r="BG588" i="1"/>
  <c r="BG621" i="1"/>
  <c r="BG382" i="1"/>
  <c r="BG646" i="1"/>
  <c r="BG613" i="1"/>
  <c r="BG274" i="1"/>
  <c r="AK345" i="1"/>
  <c r="I242" i="1"/>
  <c r="I345" i="1"/>
  <c r="AH345" i="1"/>
  <c r="V345" i="1"/>
  <c r="L242" i="1"/>
  <c r="L345" i="1"/>
  <c r="AW345" i="1"/>
  <c r="U242" i="1"/>
  <c r="U345" i="1"/>
  <c r="E242" i="1"/>
  <c r="E345" i="1"/>
  <c r="AP242" i="1"/>
  <c r="AR346" i="1"/>
  <c r="R242" i="1"/>
  <c r="BG336" i="1"/>
  <c r="BG552" i="1"/>
  <c r="BG519" i="1" s="1"/>
  <c r="BG176" i="1"/>
  <c r="BG622" i="1"/>
  <c r="BG589" i="1"/>
  <c r="BG642" i="1"/>
  <c r="BG609" i="1"/>
  <c r="BG638" i="1"/>
  <c r="BG605" i="1"/>
  <c r="BG600" i="1"/>
  <c r="BG633" i="1"/>
  <c r="BG591" i="1"/>
  <c r="BG624" i="1"/>
  <c r="BG615" i="1"/>
  <c r="BG648" i="1"/>
  <c r="BG614" i="1"/>
  <c r="BG647" i="1"/>
  <c r="BG610" i="1"/>
  <c r="BG643" i="1"/>
  <c r="BG625" i="1"/>
  <c r="BG592" i="1"/>
  <c r="BG221" i="1"/>
  <c r="BE242" i="1"/>
  <c r="BE345" i="1"/>
  <c r="AE345" i="1"/>
  <c r="AN346" i="1"/>
  <c r="M345" i="1"/>
  <c r="N346" i="1"/>
  <c r="AT345" i="1"/>
  <c r="AU345" i="1" s="1"/>
  <c r="AJ242" i="1"/>
  <c r="AJ345" i="1"/>
  <c r="X242" i="1"/>
  <c r="X345" i="1"/>
  <c r="AZ346" i="1"/>
  <c r="AQ345" i="1"/>
  <c r="Y345" i="1"/>
  <c r="BG607" i="1"/>
  <c r="BG640" i="1"/>
  <c r="BG634" i="1"/>
  <c r="BG601" i="1"/>
  <c r="BG626" i="1"/>
  <c r="BG593" i="1"/>
  <c r="BG645" i="1"/>
  <c r="BG612" i="1"/>
  <c r="BG611" i="1"/>
  <c r="BG644" i="1"/>
  <c r="BG596" i="1"/>
  <c r="BG629" i="1"/>
  <c r="AX422" i="1"/>
  <c r="P346" i="1"/>
  <c r="G345" i="1"/>
  <c r="BC346" i="1"/>
  <c r="H346" i="1"/>
  <c r="AV242" i="1"/>
  <c r="AV345" i="1"/>
  <c r="T346" i="1"/>
  <c r="AB346" i="1"/>
  <c r="S345" i="1"/>
  <c r="AD242" i="1"/>
  <c r="F242" i="1"/>
  <c r="D242" i="1"/>
  <c r="D345" i="1"/>
  <c r="BG650" i="1"/>
  <c r="BG617" i="1"/>
  <c r="BG641" i="1"/>
  <c r="BG608" i="1"/>
  <c r="BG606" i="1"/>
  <c r="BG639" i="1"/>
  <c r="BG637" i="1"/>
  <c r="BG604" i="1"/>
  <c r="BG603" i="1"/>
  <c r="BG636" i="1"/>
  <c r="BG602" i="1"/>
  <c r="BG635" i="1"/>
  <c r="BG533" i="1"/>
  <c r="BG500" i="1" s="1"/>
  <c r="BG317" i="1"/>
  <c r="BG157" i="1"/>
  <c r="BG307" i="1"/>
  <c r="BG523" i="1"/>
  <c r="BG490" i="1" s="1"/>
  <c r="BG147" i="1"/>
  <c r="BG73" i="1"/>
  <c r="BG595" i="1"/>
  <c r="BG628" i="1"/>
  <c r="BG594" i="1"/>
  <c r="BG627" i="1"/>
  <c r="BG351" i="1"/>
  <c r="BG350" i="1" s="1"/>
  <c r="BG660" i="1" s="1"/>
  <c r="BG662" i="1" s="1"/>
  <c r="BG243" i="1"/>
  <c r="BG178" i="1"/>
  <c r="BG555" i="1"/>
  <c r="BG105" i="1"/>
  <c r="BG554" i="1" s="1"/>
  <c r="BG211" i="1"/>
  <c r="BG9" i="1"/>
  <c r="BG210" i="1" s="1"/>
  <c r="AL422" i="1"/>
  <c r="AM361" i="1"/>
  <c r="W274" i="1"/>
  <c r="AC355" i="1"/>
  <c r="AC353" i="1"/>
  <c r="AO352" i="1"/>
  <c r="H274" i="1"/>
  <c r="AO144" i="1"/>
  <c r="AC144" i="1"/>
  <c r="Q238" i="1"/>
  <c r="BA237" i="1"/>
  <c r="AO237" i="1"/>
  <c r="BA233" i="1"/>
  <c r="AC232" i="1"/>
  <c r="AC231" i="1"/>
  <c r="BA229" i="1"/>
  <c r="BA465" i="1"/>
  <c r="AO433" i="1"/>
  <c r="AU361" i="1"/>
  <c r="AI361" i="1"/>
  <c r="AP350" i="1"/>
  <c r="R350" i="1"/>
  <c r="R660" i="1" s="1"/>
  <c r="R662" i="1" s="1"/>
  <c r="BA414" i="1"/>
  <c r="AC365" i="1"/>
  <c r="AC363" i="1"/>
  <c r="H361" i="1"/>
  <c r="AS350" i="1"/>
  <c r="AS660" i="1" s="1"/>
  <c r="AS662" i="1" s="1"/>
  <c r="K41" i="1"/>
  <c r="AL240" i="1"/>
  <c r="T240" i="1"/>
  <c r="AC241" i="1"/>
  <c r="AO232" i="1"/>
  <c r="AO230" i="1"/>
  <c r="AO228" i="1"/>
  <c r="Q227" i="1"/>
  <c r="Q225" i="1"/>
  <c r="AO224" i="1"/>
  <c r="Z221" i="1"/>
  <c r="T221" i="1"/>
  <c r="AC219" i="1"/>
  <c r="AO52" i="1"/>
  <c r="AA41" i="1"/>
  <c r="AF382" i="1"/>
  <c r="Z382" i="1"/>
  <c r="T137" i="1"/>
  <c r="AO143" i="1"/>
  <c r="AI588" i="1"/>
  <c r="AL41" i="1"/>
  <c r="AC227" i="1"/>
  <c r="AC226" i="1"/>
  <c r="N221" i="1"/>
  <c r="AO220" i="1"/>
  <c r="AC465" i="1"/>
  <c r="X350" i="1"/>
  <c r="X660" i="1" s="1"/>
  <c r="X662" i="1" s="1"/>
  <c r="AO360" i="1"/>
  <c r="AO358" i="1"/>
  <c r="AO356" i="1"/>
  <c r="AO354" i="1"/>
  <c r="U350" i="1"/>
  <c r="U660" i="1" s="1"/>
  <c r="U662" i="1" s="1"/>
  <c r="AC285" i="1"/>
  <c r="Z274" i="1"/>
  <c r="AC143" i="1"/>
  <c r="AF41" i="1"/>
  <c r="AR240" i="1"/>
  <c r="Q239" i="1"/>
  <c r="AO236" i="1"/>
  <c r="AC236" i="1"/>
  <c r="Q235" i="1"/>
  <c r="AO233" i="1"/>
  <c r="AO229" i="1"/>
  <c r="AO225" i="1"/>
  <c r="Q218" i="1"/>
  <c r="O454" i="1"/>
  <c r="AY274" i="1"/>
  <c r="AA454" i="1"/>
  <c r="H454" i="1"/>
  <c r="AU307" i="1"/>
  <c r="AP660" i="1"/>
  <c r="AP662" i="1" s="1"/>
  <c r="BB361" i="1"/>
  <c r="BB351" i="1"/>
  <c r="BD414" i="1"/>
  <c r="AU382" i="1"/>
  <c r="BD285" i="1"/>
  <c r="AR243" i="1"/>
  <c r="BA412" i="1"/>
  <c r="BA359" i="1"/>
  <c r="BA357" i="1"/>
  <c r="BA355" i="1"/>
  <c r="BA353" i="1"/>
  <c r="AU243" i="1"/>
  <c r="BA144" i="1"/>
  <c r="BD271" i="1"/>
  <c r="BD269" i="1"/>
  <c r="BD267" i="1"/>
  <c r="BD265" i="1"/>
  <c r="BD263" i="1"/>
  <c r="BD261" i="1"/>
  <c r="BD259" i="1"/>
  <c r="BD257" i="1"/>
  <c r="BD255" i="1"/>
  <c r="BD229" i="1"/>
  <c r="BA227" i="1"/>
  <c r="BA225" i="1"/>
  <c r="BA222" i="1"/>
  <c r="AV350" i="1"/>
  <c r="AV660" i="1" s="1"/>
  <c r="AV662" i="1" s="1"/>
  <c r="AX361" i="1"/>
  <c r="AU137" i="1"/>
  <c r="AX631" i="1"/>
  <c r="AF137" i="1"/>
  <c r="N422" i="1"/>
  <c r="AU454" i="1"/>
  <c r="AR361" i="1"/>
  <c r="BE350" i="1"/>
  <c r="BE660" i="1" s="1"/>
  <c r="BE662" i="1" s="1"/>
  <c r="N137" i="1"/>
  <c r="AI137" i="1"/>
  <c r="W382" i="1"/>
  <c r="AF640" i="1"/>
  <c r="AF638" i="1"/>
  <c r="AF636" i="1"/>
  <c r="AF634" i="1"/>
  <c r="AF632" i="1"/>
  <c r="AR317" i="1"/>
  <c r="AL631" i="1"/>
  <c r="T317" i="1"/>
  <c r="N631" i="1"/>
  <c r="Q318" i="1"/>
  <c r="AL595" i="1"/>
  <c r="N595" i="1"/>
  <c r="AL593" i="1"/>
  <c r="N593" i="1"/>
  <c r="AL591" i="1"/>
  <c r="N591" i="1"/>
  <c r="K623" i="1"/>
  <c r="BA228" i="1"/>
  <c r="AC228" i="1"/>
  <c r="BA223" i="1"/>
  <c r="AC223" i="1"/>
  <c r="BA236" i="1"/>
  <c r="W454" i="1"/>
  <c r="D350" i="1"/>
  <c r="D660" i="1" s="1"/>
  <c r="D662" i="1" s="1"/>
  <c r="AU274" i="1"/>
  <c r="AO364" i="1"/>
  <c r="AL361" i="1"/>
  <c r="AO359" i="1"/>
  <c r="AC359" i="1"/>
  <c r="AO357" i="1"/>
  <c r="AC357" i="1"/>
  <c r="AF607" i="1"/>
  <c r="AF605" i="1"/>
  <c r="AF603" i="1"/>
  <c r="AF601" i="1"/>
  <c r="AF599" i="1"/>
  <c r="AL598" i="1"/>
  <c r="N598" i="1"/>
  <c r="K590" i="1"/>
  <c r="AU41" i="1"/>
  <c r="H240" i="1"/>
  <c r="Q234" i="1"/>
  <c r="AL221" i="1"/>
  <c r="AO218" i="1"/>
  <c r="AX454" i="1"/>
  <c r="AF454" i="1"/>
  <c r="W361" i="1"/>
  <c r="K361" i="1"/>
  <c r="AI382" i="1"/>
  <c r="AU336" i="1"/>
  <c r="W336" i="1"/>
  <c r="AO329" i="1"/>
  <c r="AC334" i="1"/>
  <c r="AC332" i="1"/>
  <c r="AC330" i="1"/>
  <c r="AX642" i="1"/>
  <c r="Z642" i="1"/>
  <c r="T609" i="1"/>
  <c r="BD329" i="1"/>
  <c r="AX640" i="1"/>
  <c r="AR607" i="1"/>
  <c r="Z640" i="1"/>
  <c r="T607" i="1"/>
  <c r="BD327" i="1"/>
  <c r="AX638" i="1"/>
  <c r="AR605" i="1"/>
  <c r="Z638" i="1"/>
  <c r="T605" i="1"/>
  <c r="BD325" i="1"/>
  <c r="AX636" i="1"/>
  <c r="AR603" i="1"/>
  <c r="Z636" i="1"/>
  <c r="T603" i="1"/>
  <c r="BD323" i="1"/>
  <c r="AX634" i="1"/>
  <c r="AR601" i="1"/>
  <c r="Z634" i="1"/>
  <c r="T601" i="1"/>
  <c r="BD321" i="1"/>
  <c r="AX632" i="1"/>
  <c r="AR599" i="1"/>
  <c r="Z632" i="1"/>
  <c r="T599" i="1"/>
  <c r="BD319" i="1"/>
  <c r="AX590" i="1"/>
  <c r="Z590" i="1"/>
  <c r="AF629" i="1"/>
  <c r="BA315" i="1"/>
  <c r="AC315" i="1"/>
  <c r="AF627" i="1"/>
  <c r="BA313" i="1"/>
  <c r="AC313" i="1"/>
  <c r="AF625" i="1"/>
  <c r="BA311" i="1"/>
  <c r="AC311" i="1"/>
  <c r="AU621" i="1"/>
  <c r="AU623" i="1"/>
  <c r="AR589" i="1"/>
  <c r="AC308" i="1"/>
  <c r="AJ350" i="1"/>
  <c r="AJ660" i="1" s="1"/>
  <c r="AJ662" i="1" s="1"/>
  <c r="L350" i="1"/>
  <c r="L660" i="1" s="1"/>
  <c r="L662" i="1" s="1"/>
  <c r="BA363" i="1"/>
  <c r="Z361" i="1"/>
  <c r="E350" i="1"/>
  <c r="E660" i="1" s="1"/>
  <c r="E662" i="1" s="1"/>
  <c r="BA329" i="1"/>
  <c r="AL608" i="1"/>
  <c r="AF641" i="1"/>
  <c r="N608" i="1"/>
  <c r="AL606" i="1"/>
  <c r="AF639" i="1"/>
  <c r="N606" i="1"/>
  <c r="AL604" i="1"/>
  <c r="AF637" i="1"/>
  <c r="N604" i="1"/>
  <c r="AL602" i="1"/>
  <c r="AF635" i="1"/>
  <c r="N602" i="1"/>
  <c r="AL600" i="1"/>
  <c r="AF633" i="1"/>
  <c r="N600" i="1"/>
  <c r="AF317" i="1"/>
  <c r="H317" i="1"/>
  <c r="AL596" i="1"/>
  <c r="N596" i="1"/>
  <c r="W622" i="1"/>
  <c r="Q315" i="1"/>
  <c r="Q313" i="1"/>
  <c r="Q311" i="1"/>
  <c r="K589" i="1"/>
  <c r="Q231" i="1"/>
  <c r="Q229" i="1"/>
  <c r="AO226" i="1"/>
  <c r="AO222" i="1"/>
  <c r="BA219" i="1"/>
  <c r="Q219" i="1"/>
  <c r="AX211" i="1"/>
  <c r="AC239" i="1"/>
  <c r="AC235" i="1"/>
  <c r="AC229" i="1"/>
  <c r="BA226" i="1"/>
  <c r="BD273" i="1"/>
  <c r="Q254" i="1"/>
  <c r="AF243" i="1"/>
  <c r="AC244" i="1"/>
  <c r="N243" i="1"/>
  <c r="AI336" i="1"/>
  <c r="K336" i="1"/>
  <c r="W648" i="1"/>
  <c r="W646" i="1"/>
  <c r="W644" i="1"/>
  <c r="BD583" i="1"/>
  <c r="BD581" i="1"/>
  <c r="BD579" i="1"/>
  <c r="BD577" i="1"/>
  <c r="BD575" i="1"/>
  <c r="BD573" i="1"/>
  <c r="BD571" i="1"/>
  <c r="BD569" i="1"/>
  <c r="BD567" i="1"/>
  <c r="AF648" i="1"/>
  <c r="N648" i="1"/>
  <c r="AF646" i="1"/>
  <c r="N646" i="1"/>
  <c r="AF644" i="1"/>
  <c r="N644" i="1"/>
  <c r="AX609" i="1"/>
  <c r="Z609" i="1"/>
  <c r="T642" i="1"/>
  <c r="AX607" i="1"/>
  <c r="AR640" i="1"/>
  <c r="Z607" i="1"/>
  <c r="T640" i="1"/>
  <c r="AX605" i="1"/>
  <c r="AR638" i="1"/>
  <c r="Z605" i="1"/>
  <c r="T638" i="1"/>
  <c r="AX603" i="1"/>
  <c r="AR636" i="1"/>
  <c r="Z603" i="1"/>
  <c r="T636" i="1"/>
  <c r="AX601" i="1"/>
  <c r="AR634" i="1"/>
  <c r="Z601" i="1"/>
  <c r="T634" i="1"/>
  <c r="AX599" i="1"/>
  <c r="AR632" i="1"/>
  <c r="Z599" i="1"/>
  <c r="T632" i="1"/>
  <c r="AX623" i="1"/>
  <c r="Z623" i="1"/>
  <c r="AU598" i="1"/>
  <c r="W598" i="1"/>
  <c r="AF594" i="1"/>
  <c r="AF592" i="1"/>
  <c r="BD311" i="1"/>
  <c r="AU588" i="1"/>
  <c r="AU590" i="1"/>
  <c r="AC310" i="1"/>
  <c r="Q310" i="1"/>
  <c r="AR622" i="1"/>
  <c r="AF622" i="1"/>
  <c r="N307" i="1"/>
  <c r="BD227" i="1"/>
  <c r="BD224" i="1"/>
  <c r="BD484" i="1"/>
  <c r="AR422" i="1"/>
  <c r="AD350" i="1"/>
  <c r="AD660" i="1" s="1"/>
  <c r="AD662" i="1" s="1"/>
  <c r="F350" i="1"/>
  <c r="F660" i="1" s="1"/>
  <c r="F662" i="1" s="1"/>
  <c r="AF361" i="1"/>
  <c r="BA360" i="1"/>
  <c r="Q359" i="1"/>
  <c r="BA358" i="1"/>
  <c r="Q357" i="1"/>
  <c r="BA356" i="1"/>
  <c r="Q355" i="1"/>
  <c r="BA354" i="1"/>
  <c r="Q353" i="1"/>
  <c r="T243" i="1"/>
  <c r="Q244" i="1"/>
  <c r="AU555" i="1"/>
  <c r="AU617" i="1"/>
  <c r="W617" i="1"/>
  <c r="K615" i="1"/>
  <c r="K613" i="1"/>
  <c r="K611" i="1"/>
  <c r="AL641" i="1"/>
  <c r="AF608" i="1"/>
  <c r="N641" i="1"/>
  <c r="AL639" i="1"/>
  <c r="AF606" i="1"/>
  <c r="N639" i="1"/>
  <c r="AL637" i="1"/>
  <c r="AF604" i="1"/>
  <c r="N637" i="1"/>
  <c r="AL635" i="1"/>
  <c r="AF602" i="1"/>
  <c r="N635" i="1"/>
  <c r="AL633" i="1"/>
  <c r="AF600" i="1"/>
  <c r="N633" i="1"/>
  <c r="AL629" i="1"/>
  <c r="N629" i="1"/>
  <c r="AL627" i="1"/>
  <c r="N627" i="1"/>
  <c r="AL625" i="1"/>
  <c r="N625" i="1"/>
  <c r="AL623" i="1"/>
  <c r="W589" i="1"/>
  <c r="AI41" i="1"/>
  <c r="H41" i="1"/>
  <c r="BA241" i="1"/>
  <c r="AO231" i="1"/>
  <c r="Q228" i="1"/>
  <c r="AO227" i="1"/>
  <c r="Q226" i="1"/>
  <c r="AO223" i="1"/>
  <c r="AX221" i="1"/>
  <c r="AR221" i="1"/>
  <c r="BD217" i="1"/>
  <c r="BD215" i="1"/>
  <c r="AF240" i="1"/>
  <c r="BA230" i="1"/>
  <c r="AC225" i="1"/>
  <c r="AC224" i="1"/>
  <c r="BA220" i="1"/>
  <c r="Q220" i="1"/>
  <c r="BA218" i="1"/>
  <c r="BD465" i="1"/>
  <c r="BA244" i="1"/>
  <c r="AL243" i="1"/>
  <c r="N41" i="1"/>
  <c r="Z240" i="1"/>
  <c r="BA239" i="1"/>
  <c r="BA235" i="1"/>
  <c r="BA231" i="1"/>
  <c r="AL211" i="1"/>
  <c r="AC412" i="1"/>
  <c r="Q412" i="1"/>
  <c r="BD365" i="1"/>
  <c r="BD363" i="1"/>
  <c r="BD393" i="1"/>
  <c r="AX382" i="1"/>
  <c r="H382" i="1"/>
  <c r="Q273" i="1"/>
  <c r="AO254" i="1"/>
  <c r="BD254" i="1"/>
  <c r="AR137" i="1"/>
  <c r="W243" i="1"/>
  <c r="Q137" i="1"/>
  <c r="W615" i="1"/>
  <c r="AU647" i="1"/>
  <c r="W613" i="1"/>
  <c r="AU645" i="1"/>
  <c r="W611" i="1"/>
  <c r="AU643" i="1"/>
  <c r="AR642" i="1"/>
  <c r="AC566" i="1"/>
  <c r="Q566" i="1"/>
  <c r="AF615" i="1"/>
  <c r="N615" i="1"/>
  <c r="BA334" i="1"/>
  <c r="AF613" i="1"/>
  <c r="N613" i="1"/>
  <c r="BA332" i="1"/>
  <c r="AF611" i="1"/>
  <c r="N611" i="1"/>
  <c r="BA330" i="1"/>
  <c r="N609" i="1"/>
  <c r="BA328" i="1"/>
  <c r="AO328" i="1"/>
  <c r="AC328" i="1"/>
  <c r="Q328" i="1"/>
  <c r="H608" i="1"/>
  <c r="AL607" i="1"/>
  <c r="N607" i="1"/>
  <c r="BA326" i="1"/>
  <c r="AO326" i="1"/>
  <c r="AC326" i="1"/>
  <c r="Q326" i="1"/>
  <c r="H606" i="1"/>
  <c r="AL605" i="1"/>
  <c r="N605" i="1"/>
  <c r="BA324" i="1"/>
  <c r="AO324" i="1"/>
  <c r="AC324" i="1"/>
  <c r="Q324" i="1"/>
  <c r="H604" i="1"/>
  <c r="AL603" i="1"/>
  <c r="N603" i="1"/>
  <c r="BA322" i="1"/>
  <c r="AO322" i="1"/>
  <c r="AC322" i="1"/>
  <c r="Q322" i="1"/>
  <c r="H602" i="1"/>
  <c r="AL601" i="1"/>
  <c r="N601" i="1"/>
  <c r="BA320" i="1"/>
  <c r="AO320" i="1"/>
  <c r="AC320" i="1"/>
  <c r="Q320" i="1"/>
  <c r="H600" i="1"/>
  <c r="AL599" i="1"/>
  <c r="N599" i="1"/>
  <c r="AF598" i="1"/>
  <c r="AL628" i="1"/>
  <c r="N628" i="1"/>
  <c r="AX594" i="1"/>
  <c r="Z594" i="1"/>
  <c r="AL626" i="1"/>
  <c r="N626" i="1"/>
  <c r="AX592" i="1"/>
  <c r="Z592" i="1"/>
  <c r="AL624" i="1"/>
  <c r="N624" i="1"/>
  <c r="AI621" i="1"/>
  <c r="AU642" i="1"/>
  <c r="W642" i="1"/>
  <c r="AU640" i="1"/>
  <c r="W640" i="1"/>
  <c r="AU638" i="1"/>
  <c r="W638" i="1"/>
  <c r="AU636" i="1"/>
  <c r="W636" i="1"/>
  <c r="AU634" i="1"/>
  <c r="W634" i="1"/>
  <c r="AU632" i="1"/>
  <c r="W632" i="1"/>
  <c r="AU631" i="1"/>
  <c r="W631" i="1"/>
  <c r="AF596" i="1"/>
  <c r="BD316" i="1"/>
  <c r="AF595" i="1"/>
  <c r="BD315" i="1"/>
  <c r="AF593" i="1"/>
  <c r="BD313" i="1"/>
  <c r="BD312" i="1"/>
  <c r="AF591" i="1"/>
  <c r="AF623" i="1"/>
  <c r="W590" i="1"/>
  <c r="W588" i="1"/>
  <c r="AU627" i="1"/>
  <c r="W627" i="1"/>
  <c r="AU625" i="1"/>
  <c r="AF589" i="1"/>
  <c r="AF621" i="1"/>
  <c r="AC237" i="1"/>
  <c r="AC233" i="1"/>
  <c r="BD233" i="1"/>
  <c r="BD232" i="1"/>
  <c r="BD231" i="1"/>
  <c r="AC230" i="1"/>
  <c r="BA224" i="1"/>
  <c r="AC222" i="1"/>
  <c r="BD219" i="1"/>
  <c r="AI274" i="1"/>
  <c r="K274" i="1"/>
  <c r="AO365" i="1"/>
  <c r="AO363" i="1"/>
  <c r="AX274" i="1"/>
  <c r="BD270" i="1"/>
  <c r="BD266" i="1"/>
  <c r="BD262" i="1"/>
  <c r="BD258" i="1"/>
  <c r="BA254" i="1"/>
  <c r="W555" i="1"/>
  <c r="AU650" i="1"/>
  <c r="W650" i="1"/>
  <c r="K648" i="1"/>
  <c r="K646" i="1"/>
  <c r="K644" i="1"/>
  <c r="AF642" i="1"/>
  <c r="AL609" i="1"/>
  <c r="AX598" i="1"/>
  <c r="AR631" i="1"/>
  <c r="Z598" i="1"/>
  <c r="T631" i="1"/>
  <c r="AL594" i="1"/>
  <c r="N594" i="1"/>
  <c r="AL592" i="1"/>
  <c r="N592" i="1"/>
  <c r="AL590" i="1"/>
  <c r="AU589" i="1"/>
  <c r="K622" i="1"/>
  <c r="N240" i="1"/>
  <c r="Q237" i="1"/>
  <c r="Q232" i="1"/>
  <c r="Q230" i="1"/>
  <c r="Q224" i="1"/>
  <c r="AO219" i="1"/>
  <c r="AR211" i="1"/>
  <c r="AO212" i="1"/>
  <c r="Z211" i="1"/>
  <c r="BD212" i="1"/>
  <c r="W41" i="1"/>
  <c r="BA232" i="1"/>
  <c r="BD585" i="1"/>
  <c r="AF617" i="1"/>
  <c r="BD337" i="1"/>
  <c r="Z648" i="1"/>
  <c r="T615" i="1"/>
  <c r="AO334" i="1"/>
  <c r="H614" i="1"/>
  <c r="Z646" i="1"/>
  <c r="T613" i="1"/>
  <c r="AO332" i="1"/>
  <c r="H612" i="1"/>
  <c r="Z644" i="1"/>
  <c r="T611" i="1"/>
  <c r="AO330" i="1"/>
  <c r="H610" i="1"/>
  <c r="AI631" i="1"/>
  <c r="K631" i="1"/>
  <c r="AX622" i="1"/>
  <c r="Z622" i="1"/>
  <c r="BD236" i="1"/>
  <c r="AC352" i="1"/>
  <c r="Q144" i="1"/>
  <c r="BD582" i="1"/>
  <c r="BD580" i="1"/>
  <c r="BD578" i="1"/>
  <c r="BD576" i="1"/>
  <c r="BD574" i="1"/>
  <c r="BD572" i="1"/>
  <c r="BD570" i="1"/>
  <c r="K422" i="1"/>
  <c r="BB422" i="1"/>
  <c r="BA378" i="1"/>
  <c r="AC378" i="1"/>
  <c r="BA376" i="1"/>
  <c r="AC376" i="1"/>
  <c r="BA374" i="1"/>
  <c r="AC374" i="1"/>
  <c r="BA372" i="1"/>
  <c r="AC372" i="1"/>
  <c r="BA370" i="1"/>
  <c r="AC370" i="1"/>
  <c r="BA368" i="1"/>
  <c r="AC368" i="1"/>
  <c r="BA366" i="1"/>
  <c r="AC366" i="1"/>
  <c r="BA364" i="1"/>
  <c r="AC364" i="1"/>
  <c r="Q362" i="1"/>
  <c r="K243" i="1"/>
  <c r="BB454" i="1"/>
  <c r="K351" i="1"/>
  <c r="J350" i="1"/>
  <c r="BB350" i="1"/>
  <c r="BB660" i="1" s="1"/>
  <c r="BB662" i="1" s="1"/>
  <c r="BC380" i="1"/>
  <c r="BD380" i="1" s="1"/>
  <c r="BD381" i="1"/>
  <c r="Q379" i="1"/>
  <c r="AO378" i="1"/>
  <c r="Q377" i="1"/>
  <c r="AO376" i="1"/>
  <c r="Q375" i="1"/>
  <c r="AO374" i="1"/>
  <c r="Q373" i="1"/>
  <c r="AO372" i="1"/>
  <c r="AO368" i="1"/>
  <c r="Q367" i="1"/>
  <c r="AO366" i="1"/>
  <c r="BA393" i="1"/>
  <c r="AZ361" i="1"/>
  <c r="BA361" i="1" s="1"/>
  <c r="AC362" i="1"/>
  <c r="BC361" i="1"/>
  <c r="BD361" i="1" s="1"/>
  <c r="BD362" i="1"/>
  <c r="AW350" i="1"/>
  <c r="AX351" i="1"/>
  <c r="AO383" i="1"/>
  <c r="AN351" i="1"/>
  <c r="AN382" i="1"/>
  <c r="G350" i="1"/>
  <c r="H351" i="1"/>
  <c r="AO338" i="1"/>
  <c r="AZ274" i="1"/>
  <c r="BA274" i="1" s="1"/>
  <c r="BA275" i="1"/>
  <c r="AN274" i="1"/>
  <c r="AO274" i="1" s="1"/>
  <c r="AO275" i="1"/>
  <c r="T274" i="1"/>
  <c r="AB274" i="1"/>
  <c r="AC274" i="1" s="1"/>
  <c r="AC275" i="1"/>
  <c r="AO208" i="1"/>
  <c r="AN272" i="1"/>
  <c r="AO272" i="1" s="1"/>
  <c r="Q189" i="1"/>
  <c r="P253" i="1"/>
  <c r="Q253" i="1" s="1"/>
  <c r="BD189" i="1"/>
  <c r="BC253" i="1"/>
  <c r="BD253" i="1" s="1"/>
  <c r="AL178" i="1"/>
  <c r="AK242" i="1"/>
  <c r="AL242" i="1" s="1"/>
  <c r="AB178" i="1"/>
  <c r="AC179" i="1"/>
  <c r="AB243" i="1"/>
  <c r="H178" i="1"/>
  <c r="G242" i="1"/>
  <c r="H242" i="1" s="1"/>
  <c r="AU178" i="1"/>
  <c r="AT242" i="1"/>
  <c r="AU242" i="1" s="1"/>
  <c r="AY178" i="1"/>
  <c r="AY242" i="1" s="1"/>
  <c r="AY243" i="1"/>
  <c r="AM178" i="1"/>
  <c r="AM242" i="1" s="1"/>
  <c r="AM243" i="1"/>
  <c r="K178" i="1"/>
  <c r="J242" i="1"/>
  <c r="K242" i="1" s="1"/>
  <c r="BB178" i="1"/>
  <c r="BB242" i="1" s="1"/>
  <c r="BB243" i="1"/>
  <c r="AT519" i="1"/>
  <c r="AU519" i="1" s="1"/>
  <c r="AU552" i="1"/>
  <c r="AU176" i="1"/>
  <c r="AT616" i="1"/>
  <c r="AT649" i="1"/>
  <c r="AY176" i="1"/>
  <c r="AY336" i="1"/>
  <c r="AY552" i="1"/>
  <c r="AY519" i="1" s="1"/>
  <c r="AM617" i="1"/>
  <c r="AM650" i="1"/>
  <c r="V519" i="1"/>
  <c r="W519" i="1" s="1"/>
  <c r="W552" i="1"/>
  <c r="W176" i="1"/>
  <c r="V616" i="1"/>
  <c r="V649" i="1"/>
  <c r="AA176" i="1"/>
  <c r="AA336" i="1"/>
  <c r="AA552" i="1"/>
  <c r="AA519" i="1" s="1"/>
  <c r="O617" i="1"/>
  <c r="O650" i="1"/>
  <c r="BB617" i="1"/>
  <c r="BB650" i="1"/>
  <c r="BB176" i="1"/>
  <c r="BB336" i="1"/>
  <c r="BB552" i="1"/>
  <c r="BB519" i="1" s="1"/>
  <c r="AM615" i="1"/>
  <c r="AM648" i="1"/>
  <c r="AM614" i="1"/>
  <c r="AM647" i="1"/>
  <c r="AM613" i="1"/>
  <c r="AM646" i="1"/>
  <c r="AM612" i="1"/>
  <c r="AM645" i="1"/>
  <c r="AM611" i="1"/>
  <c r="AM644" i="1"/>
  <c r="AM610" i="1"/>
  <c r="AM643" i="1"/>
  <c r="BD135" i="1"/>
  <c r="BC584" i="1"/>
  <c r="BD584" i="1" s="1"/>
  <c r="BA116" i="1"/>
  <c r="AZ565" i="1"/>
  <c r="BA565" i="1" s="1"/>
  <c r="AF555" i="1"/>
  <c r="AF105" i="1"/>
  <c r="AE554" i="1"/>
  <c r="AF554" i="1" s="1"/>
  <c r="AO106" i="1"/>
  <c r="AN105" i="1"/>
  <c r="AN555" i="1"/>
  <c r="Z555" i="1"/>
  <c r="Z105" i="1"/>
  <c r="Y554" i="1"/>
  <c r="Z554" i="1" s="1"/>
  <c r="AS616" i="1"/>
  <c r="AS649" i="1"/>
  <c r="BA337" i="1"/>
  <c r="BA103" i="1"/>
  <c r="AZ176" i="1"/>
  <c r="AZ336" i="1"/>
  <c r="AZ552" i="1"/>
  <c r="AL552" i="1"/>
  <c r="AK519" i="1"/>
  <c r="AL519" i="1" s="1"/>
  <c r="AL176" i="1"/>
  <c r="AK616" i="1"/>
  <c r="AK649" i="1"/>
  <c r="AL617" i="1"/>
  <c r="U616" i="1"/>
  <c r="U649" i="1"/>
  <c r="AC337" i="1"/>
  <c r="AC103" i="1"/>
  <c r="AB176" i="1"/>
  <c r="AB336" i="1"/>
  <c r="AC336" i="1" s="1"/>
  <c r="AB552" i="1"/>
  <c r="N552" i="1"/>
  <c r="M519" i="1"/>
  <c r="N519" i="1" s="1"/>
  <c r="N176" i="1"/>
  <c r="M616" i="1"/>
  <c r="M649" i="1"/>
  <c r="N617" i="1"/>
  <c r="P520" i="1"/>
  <c r="Q520" i="1" s="1"/>
  <c r="Q553" i="1"/>
  <c r="Q177" i="1"/>
  <c r="P617" i="1"/>
  <c r="P650" i="1"/>
  <c r="AX648" i="1"/>
  <c r="AR615" i="1"/>
  <c r="Q335" i="1"/>
  <c r="AX646" i="1"/>
  <c r="AR613" i="1"/>
  <c r="Q333" i="1"/>
  <c r="AX644" i="1"/>
  <c r="AR611" i="1"/>
  <c r="Q331" i="1"/>
  <c r="AX533" i="1"/>
  <c r="AW500" i="1"/>
  <c r="AX500" i="1" s="1"/>
  <c r="AX157" i="1"/>
  <c r="AW597" i="1"/>
  <c r="AW630" i="1"/>
  <c r="AR533" i="1"/>
  <c r="AQ500" i="1"/>
  <c r="AR500" i="1" s="1"/>
  <c r="AR157" i="1"/>
  <c r="AQ597" i="1"/>
  <c r="AQ630" i="1"/>
  <c r="AN501" i="1"/>
  <c r="AO501" i="1" s="1"/>
  <c r="AO534" i="1"/>
  <c r="AO158" i="1"/>
  <c r="AN598" i="1"/>
  <c r="AN631" i="1"/>
  <c r="AO84" i="1"/>
  <c r="AN157" i="1"/>
  <c r="AN317" i="1"/>
  <c r="AN533" i="1"/>
  <c r="Z533" i="1"/>
  <c r="Y500" i="1"/>
  <c r="Z500" i="1" s="1"/>
  <c r="Z157" i="1"/>
  <c r="Y597" i="1"/>
  <c r="Y630" i="1"/>
  <c r="T533" i="1"/>
  <c r="S500" i="1"/>
  <c r="T500" i="1" s="1"/>
  <c r="T157" i="1"/>
  <c r="S597" i="1"/>
  <c r="S630" i="1"/>
  <c r="P501" i="1"/>
  <c r="Q501" i="1" s="1"/>
  <c r="Q534" i="1"/>
  <c r="Q158" i="1"/>
  <c r="P598" i="1"/>
  <c r="P631" i="1"/>
  <c r="Q84" i="1"/>
  <c r="P157" i="1"/>
  <c r="P317" i="1"/>
  <c r="P533" i="1"/>
  <c r="BD84" i="1"/>
  <c r="BC157" i="1"/>
  <c r="BC317" i="1"/>
  <c r="BC533" i="1"/>
  <c r="AP587" i="1"/>
  <c r="AP620" i="1"/>
  <c r="R146" i="1"/>
  <c r="R306" i="1"/>
  <c r="R521" i="1"/>
  <c r="R522" i="1"/>
  <c r="R489" i="1" s="1"/>
  <c r="AU608" i="1"/>
  <c r="AM608" i="1"/>
  <c r="AM641" i="1"/>
  <c r="W608" i="1"/>
  <c r="BB608" i="1"/>
  <c r="BB641" i="1"/>
  <c r="AU606" i="1"/>
  <c r="AM606" i="1"/>
  <c r="AM639" i="1"/>
  <c r="W606" i="1"/>
  <c r="BB606" i="1"/>
  <c r="BB639" i="1"/>
  <c r="AU604" i="1"/>
  <c r="AM604" i="1"/>
  <c r="AM637" i="1"/>
  <c r="W604" i="1"/>
  <c r="BB604" i="1"/>
  <c r="BB637" i="1"/>
  <c r="AU602" i="1"/>
  <c r="AM602" i="1"/>
  <c r="AM635" i="1"/>
  <c r="W602" i="1"/>
  <c r="BB602" i="1"/>
  <c r="BB635" i="1"/>
  <c r="AU600" i="1"/>
  <c r="AM600" i="1"/>
  <c r="AM633" i="1"/>
  <c r="W600" i="1"/>
  <c r="BB600" i="1"/>
  <c r="BB633" i="1"/>
  <c r="AT500" i="1"/>
  <c r="AU500" i="1" s="1"/>
  <c r="AU533" i="1"/>
  <c r="AU157" i="1"/>
  <c r="AT597" i="1"/>
  <c r="AT630" i="1"/>
  <c r="AY157" i="1"/>
  <c r="AY317" i="1"/>
  <c r="AY533" i="1"/>
  <c r="AY500" i="1" s="1"/>
  <c r="AH500" i="1"/>
  <c r="AI500" i="1" s="1"/>
  <c r="AI533" i="1"/>
  <c r="AI157" i="1"/>
  <c r="AH597" i="1"/>
  <c r="AH630" i="1"/>
  <c r="AM157" i="1"/>
  <c r="AM317" i="1"/>
  <c r="AM533" i="1"/>
  <c r="AM500" i="1" s="1"/>
  <c r="V500" i="1"/>
  <c r="W500" i="1" s="1"/>
  <c r="W533" i="1"/>
  <c r="W157" i="1"/>
  <c r="V597" i="1"/>
  <c r="V630" i="1"/>
  <c r="AA157" i="1"/>
  <c r="AA317" i="1"/>
  <c r="AA533" i="1"/>
  <c r="AA500" i="1" s="1"/>
  <c r="J500" i="1"/>
  <c r="K500" i="1" s="1"/>
  <c r="K533" i="1"/>
  <c r="K157" i="1"/>
  <c r="J597" i="1"/>
  <c r="J630" i="1"/>
  <c r="AZ499" i="1"/>
  <c r="BA499" i="1" s="1"/>
  <c r="BA532" i="1"/>
  <c r="BA156" i="1"/>
  <c r="AZ596" i="1"/>
  <c r="AZ629" i="1"/>
  <c r="AB499" i="1"/>
  <c r="AC499" i="1" s="1"/>
  <c r="AC532" i="1"/>
  <c r="AC156" i="1"/>
  <c r="AB596" i="1"/>
  <c r="AB629" i="1"/>
  <c r="AZ498" i="1"/>
  <c r="BA498" i="1" s="1"/>
  <c r="BA531" i="1"/>
  <c r="BA155" i="1"/>
  <c r="AZ595" i="1"/>
  <c r="AZ628" i="1"/>
  <c r="AB498" i="1"/>
  <c r="AC498" i="1" s="1"/>
  <c r="AC531" i="1"/>
  <c r="AC155" i="1"/>
  <c r="AB595" i="1"/>
  <c r="AB628" i="1"/>
  <c r="AZ497" i="1"/>
  <c r="BA497" i="1" s="1"/>
  <c r="BA530" i="1"/>
  <c r="BA154" i="1"/>
  <c r="AZ594" i="1"/>
  <c r="AZ627" i="1"/>
  <c r="AB497" i="1"/>
  <c r="AC497" i="1" s="1"/>
  <c r="AC530" i="1"/>
  <c r="AC154" i="1"/>
  <c r="AB594" i="1"/>
  <c r="AB627" i="1"/>
  <c r="AZ496" i="1"/>
  <c r="BA496" i="1" s="1"/>
  <c r="BA529" i="1"/>
  <c r="BA153" i="1"/>
  <c r="AZ593" i="1"/>
  <c r="AZ626" i="1"/>
  <c r="AB496" i="1"/>
  <c r="AC496" i="1" s="1"/>
  <c r="AC529" i="1"/>
  <c r="AC153" i="1"/>
  <c r="AB593" i="1"/>
  <c r="AB626" i="1"/>
  <c r="AZ495" i="1"/>
  <c r="BA495" i="1" s="1"/>
  <c r="BA528" i="1"/>
  <c r="BA152" i="1"/>
  <c r="AZ592" i="1"/>
  <c r="AZ625" i="1"/>
  <c r="AB495" i="1"/>
  <c r="AC495" i="1" s="1"/>
  <c r="AC528" i="1"/>
  <c r="AC152" i="1"/>
  <c r="AB592" i="1"/>
  <c r="AB625" i="1"/>
  <c r="AZ494" i="1"/>
  <c r="BA494" i="1" s="1"/>
  <c r="BA527" i="1"/>
  <c r="BA151" i="1"/>
  <c r="AZ591" i="1"/>
  <c r="AZ624" i="1"/>
  <c r="AB494" i="1"/>
  <c r="AC494" i="1" s="1"/>
  <c r="AC527" i="1"/>
  <c r="AC151" i="1"/>
  <c r="AB591" i="1"/>
  <c r="AB624" i="1"/>
  <c r="AZ493" i="1"/>
  <c r="BA493" i="1" s="1"/>
  <c r="BA526" i="1"/>
  <c r="BA150" i="1"/>
  <c r="AZ590" i="1"/>
  <c r="AZ623" i="1"/>
  <c r="BB590" i="1"/>
  <c r="BB623" i="1"/>
  <c r="AY589" i="1"/>
  <c r="AY622" i="1"/>
  <c r="AA589" i="1"/>
  <c r="AA622" i="1"/>
  <c r="AD146" i="1"/>
  <c r="AD306" i="1"/>
  <c r="AD521" i="1"/>
  <c r="AD522" i="1"/>
  <c r="AD489" i="1" s="1"/>
  <c r="BB588" i="1"/>
  <c r="BB621" i="1"/>
  <c r="AM596" i="1"/>
  <c r="AM629" i="1"/>
  <c r="O596" i="1"/>
  <c r="O629" i="1"/>
  <c r="AU595" i="1"/>
  <c r="AM595" i="1"/>
  <c r="AM628" i="1"/>
  <c r="W595" i="1"/>
  <c r="BB595" i="1"/>
  <c r="BB628" i="1"/>
  <c r="AU593" i="1"/>
  <c r="AM593" i="1"/>
  <c r="AM626" i="1"/>
  <c r="W593" i="1"/>
  <c r="BB593" i="1"/>
  <c r="BB626" i="1"/>
  <c r="BB592" i="1"/>
  <c r="BB625" i="1"/>
  <c r="AU624" i="1"/>
  <c r="W624" i="1"/>
  <c r="AM590" i="1"/>
  <c r="AM623" i="1"/>
  <c r="AB493" i="1"/>
  <c r="AC493" i="1" s="1"/>
  <c r="AC526" i="1"/>
  <c r="AC150" i="1"/>
  <c r="AB590" i="1"/>
  <c r="AB623" i="1"/>
  <c r="P493" i="1"/>
  <c r="Q493" i="1" s="1"/>
  <c r="Q526" i="1"/>
  <c r="Q150" i="1"/>
  <c r="P590" i="1"/>
  <c r="P623" i="1"/>
  <c r="Q309" i="1"/>
  <c r="AR307" i="1"/>
  <c r="U146" i="1"/>
  <c r="U306" i="1"/>
  <c r="U521" i="1"/>
  <c r="U522" i="1"/>
  <c r="U489" i="1" s="1"/>
  <c r="AC74" i="1"/>
  <c r="AB73" i="1"/>
  <c r="AB147" i="1"/>
  <c r="AB307" i="1"/>
  <c r="AB523" i="1"/>
  <c r="N523" i="1"/>
  <c r="M490" i="1"/>
  <c r="N490" i="1" s="1"/>
  <c r="N147" i="1"/>
  <c r="M620" i="1"/>
  <c r="M587" i="1"/>
  <c r="N73" i="1"/>
  <c r="M146" i="1"/>
  <c r="M306" i="1"/>
  <c r="M521" i="1"/>
  <c r="M522" i="1"/>
  <c r="N588" i="1"/>
  <c r="BD524" i="1"/>
  <c r="BC491" i="1"/>
  <c r="BD491" i="1" s="1"/>
  <c r="BD148" i="1"/>
  <c r="BC588" i="1"/>
  <c r="BC621" i="1"/>
  <c r="BC73" i="1"/>
  <c r="BD74" i="1"/>
  <c r="BC147" i="1"/>
  <c r="BC307" i="1"/>
  <c r="BC523" i="1"/>
  <c r="Q42" i="1"/>
  <c r="P41" i="1"/>
  <c r="Q41" i="1" s="1"/>
  <c r="AC20" i="1"/>
  <c r="AB221" i="1"/>
  <c r="AY351" i="1"/>
  <c r="AY350" i="1" s="1"/>
  <c r="AY660" i="1" s="1"/>
  <c r="AY662" i="1" s="1"/>
  <c r="AY382" i="1"/>
  <c r="AA351" i="1"/>
  <c r="AA350" i="1" s="1"/>
  <c r="AA660" i="1" s="1"/>
  <c r="AA662" i="1" s="1"/>
  <c r="AA382" i="1"/>
  <c r="BB274" i="1"/>
  <c r="AO381" i="1"/>
  <c r="AN380" i="1"/>
  <c r="AO380" i="1" s="1"/>
  <c r="BA379" i="1"/>
  <c r="AO379" i="1"/>
  <c r="AC379" i="1"/>
  <c r="Q378" i="1"/>
  <c r="BA377" i="1"/>
  <c r="AO377" i="1"/>
  <c r="AC377" i="1"/>
  <c r="Q376" i="1"/>
  <c r="BA375" i="1"/>
  <c r="AO375" i="1"/>
  <c r="AC375" i="1"/>
  <c r="Q374" i="1"/>
  <c r="BA373" i="1"/>
  <c r="AO373" i="1"/>
  <c r="AC373" i="1"/>
  <c r="Q372" i="1"/>
  <c r="BA371" i="1"/>
  <c r="AO371" i="1"/>
  <c r="AC371" i="1"/>
  <c r="Q370" i="1"/>
  <c r="BA369" i="1"/>
  <c r="AO369" i="1"/>
  <c r="AC369" i="1"/>
  <c r="Q368" i="1"/>
  <c r="BA367" i="1"/>
  <c r="AO367" i="1"/>
  <c r="AC367" i="1"/>
  <c r="Q366" i="1"/>
  <c r="BA365" i="1"/>
  <c r="AO393" i="1"/>
  <c r="AN361" i="1"/>
  <c r="AO361" i="1" s="1"/>
  <c r="BD359" i="1"/>
  <c r="BD357" i="1"/>
  <c r="BD355" i="1"/>
  <c r="BD353" i="1"/>
  <c r="AR382" i="1"/>
  <c r="BA383" i="1"/>
  <c r="AZ351" i="1"/>
  <c r="AZ382" i="1"/>
  <c r="BA382" i="1" s="1"/>
  <c r="AL382" i="1"/>
  <c r="S350" i="1"/>
  <c r="T351" i="1"/>
  <c r="M350" i="1"/>
  <c r="N351" i="1"/>
  <c r="BC382" i="1"/>
  <c r="BD383" i="1"/>
  <c r="Q383" i="1"/>
  <c r="P351" i="1"/>
  <c r="P382" i="1"/>
  <c r="BA338" i="1"/>
  <c r="AC652" i="1"/>
  <c r="Q652" i="1"/>
  <c r="AL274" i="1"/>
  <c r="BC274" i="1"/>
  <c r="BD275" i="1"/>
  <c r="P274" i="1"/>
  <c r="Q274" i="1" s="1"/>
  <c r="Q275" i="1"/>
  <c r="BA273" i="1"/>
  <c r="BA208" i="1"/>
  <c r="AZ272" i="1"/>
  <c r="BA272" i="1" s="1"/>
  <c r="BA189" i="1"/>
  <c r="AZ253" i="1"/>
  <c r="BA253" i="1" s="1"/>
  <c r="BD251" i="1"/>
  <c r="BD247" i="1"/>
  <c r="AX178" i="1"/>
  <c r="AW242" i="1"/>
  <c r="AX242" i="1" s="1"/>
  <c r="AO244" i="1"/>
  <c r="AN178" i="1"/>
  <c r="AO179" i="1"/>
  <c r="AN243" i="1"/>
  <c r="Z243" i="1"/>
  <c r="T178" i="1"/>
  <c r="S242" i="1"/>
  <c r="T242" i="1" s="1"/>
  <c r="BD244" i="1"/>
  <c r="O178" i="1"/>
  <c r="O242" i="1" s="1"/>
  <c r="O243" i="1"/>
  <c r="AY105" i="1"/>
  <c r="AY554" i="1" s="1"/>
  <c r="AY555" i="1"/>
  <c r="AI105" i="1"/>
  <c r="AH554" i="1"/>
  <c r="AI554" i="1" s="1"/>
  <c r="AA105" i="1"/>
  <c r="AA554" i="1" s="1"/>
  <c r="AA555" i="1"/>
  <c r="K105" i="1"/>
  <c r="J554" i="1"/>
  <c r="K554" i="1" s="1"/>
  <c r="BB105" i="1"/>
  <c r="BB554" i="1" s="1"/>
  <c r="BB555" i="1"/>
  <c r="AJ616" i="1"/>
  <c r="AJ649" i="1"/>
  <c r="AI617" i="1"/>
  <c r="AD616" i="1"/>
  <c r="AD649" i="1"/>
  <c r="L616" i="1"/>
  <c r="L649" i="1"/>
  <c r="K617" i="1"/>
  <c r="F616" i="1"/>
  <c r="F649" i="1"/>
  <c r="AY615" i="1"/>
  <c r="AY648" i="1"/>
  <c r="AY614" i="1"/>
  <c r="AY647" i="1"/>
  <c r="AI614" i="1"/>
  <c r="K647" i="1"/>
  <c r="AY613" i="1"/>
  <c r="AY646" i="1"/>
  <c r="AY612" i="1"/>
  <c r="AY645" i="1"/>
  <c r="AI612" i="1"/>
  <c r="K645" i="1"/>
  <c r="AY611" i="1"/>
  <c r="AY644" i="1"/>
  <c r="AY610" i="1"/>
  <c r="AY643" i="1"/>
  <c r="AI610" i="1"/>
  <c r="K643" i="1"/>
  <c r="AO585" i="1"/>
  <c r="AC135" i="1"/>
  <c r="AB584" i="1"/>
  <c r="AC584" i="1" s="1"/>
  <c r="Q585" i="1"/>
  <c r="BD568" i="1"/>
  <c r="AO566" i="1"/>
  <c r="Q143" i="1"/>
  <c r="BD563" i="1"/>
  <c r="BD561" i="1"/>
  <c r="BD559" i="1"/>
  <c r="BD557" i="1"/>
  <c r="AR555" i="1"/>
  <c r="AR105" i="1"/>
  <c r="AQ554" i="1"/>
  <c r="AR554" i="1" s="1"/>
  <c r="BA106" i="1"/>
  <c r="AZ105" i="1"/>
  <c r="AZ555" i="1"/>
  <c r="AL555" i="1"/>
  <c r="AL105" i="1"/>
  <c r="AK554" i="1"/>
  <c r="AL554" i="1" s="1"/>
  <c r="AC556" i="1"/>
  <c r="BD556" i="1"/>
  <c r="BC105" i="1"/>
  <c r="BD106" i="1"/>
  <c r="BC555" i="1"/>
  <c r="Q106" i="1"/>
  <c r="P105" i="1"/>
  <c r="P555" i="1"/>
  <c r="BE649" i="1"/>
  <c r="BE616" i="1"/>
  <c r="AX336" i="1"/>
  <c r="AX617" i="1"/>
  <c r="AR650" i="1"/>
  <c r="AF552" i="1"/>
  <c r="AE519" i="1"/>
  <c r="AF519" i="1" s="1"/>
  <c r="AF176" i="1"/>
  <c r="AE616" i="1"/>
  <c r="AE649" i="1"/>
  <c r="AN520" i="1"/>
  <c r="AO520" i="1" s="1"/>
  <c r="AO553" i="1"/>
  <c r="AO177" i="1"/>
  <c r="AN617" i="1"/>
  <c r="AN650" i="1"/>
  <c r="Z336" i="1"/>
  <c r="Z617" i="1"/>
  <c r="T650" i="1"/>
  <c r="H552" i="1"/>
  <c r="G519" i="1"/>
  <c r="H519" i="1" s="1"/>
  <c r="H176" i="1"/>
  <c r="G616" i="1"/>
  <c r="G649" i="1"/>
  <c r="H650" i="1"/>
  <c r="BA335" i="1"/>
  <c r="AO335" i="1"/>
  <c r="AC335" i="1"/>
  <c r="H615" i="1"/>
  <c r="AX614" i="1"/>
  <c r="AR614" i="1"/>
  <c r="AL647" i="1"/>
  <c r="AF614" i="1"/>
  <c r="Z614" i="1"/>
  <c r="T614" i="1"/>
  <c r="N647" i="1"/>
  <c r="BD334" i="1"/>
  <c r="Q334" i="1"/>
  <c r="BA333" i="1"/>
  <c r="AO333" i="1"/>
  <c r="AC333" i="1"/>
  <c r="H613" i="1"/>
  <c r="AX612" i="1"/>
  <c r="AR612" i="1"/>
  <c r="AL645" i="1"/>
  <c r="AF612" i="1"/>
  <c r="Z612" i="1"/>
  <c r="T612" i="1"/>
  <c r="N645" i="1"/>
  <c r="BD332" i="1"/>
  <c r="Q332" i="1"/>
  <c r="BA331" i="1"/>
  <c r="AO331" i="1"/>
  <c r="AC331" i="1"/>
  <c r="H611" i="1"/>
  <c r="AX610" i="1"/>
  <c r="AR610" i="1"/>
  <c r="AL643" i="1"/>
  <c r="AF610" i="1"/>
  <c r="Z610" i="1"/>
  <c r="T610" i="1"/>
  <c r="N643" i="1"/>
  <c r="BD330" i="1"/>
  <c r="Q330" i="1"/>
  <c r="AB512" i="1"/>
  <c r="AC512" i="1" s="1"/>
  <c r="AC545" i="1"/>
  <c r="AC169" i="1"/>
  <c r="AB609" i="1"/>
  <c r="AB642" i="1"/>
  <c r="P512" i="1"/>
  <c r="Q512" i="1" s="1"/>
  <c r="Q545" i="1"/>
  <c r="Q169" i="1"/>
  <c r="P609" i="1"/>
  <c r="P642" i="1"/>
  <c r="H642" i="1"/>
  <c r="AX641" i="1"/>
  <c r="AR641" i="1"/>
  <c r="Z641" i="1"/>
  <c r="T641" i="1"/>
  <c r="BD544" i="1"/>
  <c r="BC511" i="1"/>
  <c r="BD511" i="1" s="1"/>
  <c r="BD168" i="1"/>
  <c r="BC608" i="1"/>
  <c r="BC641" i="1"/>
  <c r="AZ510" i="1"/>
  <c r="BA510" i="1" s="1"/>
  <c r="BA543" i="1"/>
  <c r="BA167" i="1"/>
  <c r="AZ607" i="1"/>
  <c r="AZ640" i="1"/>
  <c r="AN510" i="1"/>
  <c r="AO510" i="1" s="1"/>
  <c r="AO543" i="1"/>
  <c r="AO167" i="1"/>
  <c r="AN607" i="1"/>
  <c r="AN640" i="1"/>
  <c r="AB510" i="1"/>
  <c r="AC510" i="1" s="1"/>
  <c r="AC543" i="1"/>
  <c r="AC167" i="1"/>
  <c r="AB607" i="1"/>
  <c r="AB640" i="1"/>
  <c r="P510" i="1"/>
  <c r="Q510" i="1" s="1"/>
  <c r="Q543" i="1"/>
  <c r="Q167" i="1"/>
  <c r="P607" i="1"/>
  <c r="P640" i="1"/>
  <c r="H640" i="1"/>
  <c r="AX639" i="1"/>
  <c r="AR639" i="1"/>
  <c r="Z639" i="1"/>
  <c r="T639" i="1"/>
  <c r="BD542" i="1"/>
  <c r="BC509" i="1"/>
  <c r="BD509" i="1" s="1"/>
  <c r="BD166" i="1"/>
  <c r="BC606" i="1"/>
  <c r="BC639" i="1"/>
  <c r="AZ508" i="1"/>
  <c r="BA508" i="1" s="1"/>
  <c r="BA541" i="1"/>
  <c r="BA165" i="1"/>
  <c r="AZ605" i="1"/>
  <c r="AZ638" i="1"/>
  <c r="AN508" i="1"/>
  <c r="AO508" i="1" s="1"/>
  <c r="AO541" i="1"/>
  <c r="AO165" i="1"/>
  <c r="AN605" i="1"/>
  <c r="AN638" i="1"/>
  <c r="AB508" i="1"/>
  <c r="AC508" i="1" s="1"/>
  <c r="AC541" i="1"/>
  <c r="AC165" i="1"/>
  <c r="AB605" i="1"/>
  <c r="AB638" i="1"/>
  <c r="P508" i="1"/>
  <c r="Q508" i="1" s="1"/>
  <c r="Q541" i="1"/>
  <c r="Q165" i="1"/>
  <c r="P605" i="1"/>
  <c r="P638" i="1"/>
  <c r="H638" i="1"/>
  <c r="AX637" i="1"/>
  <c r="AR637" i="1"/>
  <c r="Z637" i="1"/>
  <c r="T637" i="1"/>
  <c r="BD540" i="1"/>
  <c r="BC507" i="1"/>
  <c r="BD507" i="1" s="1"/>
  <c r="BD164" i="1"/>
  <c r="BC604" i="1"/>
  <c r="BC637" i="1"/>
  <c r="AZ506" i="1"/>
  <c r="BA506" i="1" s="1"/>
  <c r="BA539" i="1"/>
  <c r="BA163" i="1"/>
  <c r="AZ603" i="1"/>
  <c r="AZ636" i="1"/>
  <c r="AN506" i="1"/>
  <c r="AO506" i="1" s="1"/>
  <c r="AO539" i="1"/>
  <c r="AO163" i="1"/>
  <c r="AN603" i="1"/>
  <c r="AN636" i="1"/>
  <c r="AB506" i="1"/>
  <c r="AC506" i="1" s="1"/>
  <c r="AC539" i="1"/>
  <c r="AC163" i="1"/>
  <c r="AB603" i="1"/>
  <c r="AB636" i="1"/>
  <c r="P506" i="1"/>
  <c r="Q506" i="1" s="1"/>
  <c r="Q539" i="1"/>
  <c r="Q163" i="1"/>
  <c r="P603" i="1"/>
  <c r="P636" i="1"/>
  <c r="H636" i="1"/>
  <c r="AX635" i="1"/>
  <c r="AR635" i="1"/>
  <c r="Z635" i="1"/>
  <c r="T635" i="1"/>
  <c r="BD538" i="1"/>
  <c r="BC505" i="1"/>
  <c r="BD505" i="1" s="1"/>
  <c r="BD162" i="1"/>
  <c r="BC602" i="1"/>
  <c r="BC635" i="1"/>
  <c r="AZ504" i="1"/>
  <c r="BA504" i="1" s="1"/>
  <c r="BA537" i="1"/>
  <c r="BA161" i="1"/>
  <c r="AZ601" i="1"/>
  <c r="AZ634" i="1"/>
  <c r="AN504" i="1"/>
  <c r="AO504" i="1" s="1"/>
  <c r="AO537" i="1"/>
  <c r="AO161" i="1"/>
  <c r="AN601" i="1"/>
  <c r="AN634" i="1"/>
  <c r="AB504" i="1"/>
  <c r="AC504" i="1" s="1"/>
  <c r="AC537" i="1"/>
  <c r="AC161" i="1"/>
  <c r="AB601" i="1"/>
  <c r="AB634" i="1"/>
  <c r="P504" i="1"/>
  <c r="Q504" i="1" s="1"/>
  <c r="Q537" i="1"/>
  <c r="Q161" i="1"/>
  <c r="P601" i="1"/>
  <c r="P634" i="1"/>
  <c r="H634" i="1"/>
  <c r="AX633" i="1"/>
  <c r="AR633" i="1"/>
  <c r="Z633" i="1"/>
  <c r="T633" i="1"/>
  <c r="BD536" i="1"/>
  <c r="BC503" i="1"/>
  <c r="BD503" i="1" s="1"/>
  <c r="BD160" i="1"/>
  <c r="BC600" i="1"/>
  <c r="BC633" i="1"/>
  <c r="AZ502" i="1"/>
  <c r="BA502" i="1" s="1"/>
  <c r="BA535" i="1"/>
  <c r="BA159" i="1"/>
  <c r="AZ599" i="1"/>
  <c r="AZ632" i="1"/>
  <c r="AN502" i="1"/>
  <c r="AO502" i="1" s="1"/>
  <c r="AO535" i="1"/>
  <c r="AO159" i="1"/>
  <c r="AN599" i="1"/>
  <c r="AN632" i="1"/>
  <c r="AB502" i="1"/>
  <c r="AC502" i="1" s="1"/>
  <c r="AC535" i="1"/>
  <c r="AC159" i="1"/>
  <c r="AB599" i="1"/>
  <c r="AB632" i="1"/>
  <c r="P502" i="1"/>
  <c r="Q502" i="1" s="1"/>
  <c r="Q535" i="1"/>
  <c r="Q159" i="1"/>
  <c r="P599" i="1"/>
  <c r="P632" i="1"/>
  <c r="H632" i="1"/>
  <c r="BA318" i="1"/>
  <c r="AL317" i="1"/>
  <c r="AG597" i="1"/>
  <c r="AG630" i="1"/>
  <c r="AC318" i="1"/>
  <c r="N317" i="1"/>
  <c r="I597" i="1"/>
  <c r="I630" i="1"/>
  <c r="H598" i="1"/>
  <c r="AX628" i="1"/>
  <c r="Z628" i="1"/>
  <c r="AX626" i="1"/>
  <c r="Z626" i="1"/>
  <c r="AX624" i="1"/>
  <c r="Z624" i="1"/>
  <c r="AY73" i="1"/>
  <c r="AY147" i="1"/>
  <c r="AY307" i="1"/>
  <c r="AY523" i="1"/>
  <c r="AY490" i="1" s="1"/>
  <c r="AI73" i="1"/>
  <c r="AH146" i="1"/>
  <c r="AH306" i="1"/>
  <c r="AH521" i="1"/>
  <c r="AH522" i="1"/>
  <c r="AA73" i="1"/>
  <c r="AA147" i="1"/>
  <c r="AA307" i="1"/>
  <c r="AA523" i="1"/>
  <c r="AA490" i="1" s="1"/>
  <c r="K73" i="1"/>
  <c r="J146" i="1"/>
  <c r="J306" i="1"/>
  <c r="J521" i="1"/>
  <c r="J522" i="1"/>
  <c r="AI642" i="1"/>
  <c r="K642" i="1"/>
  <c r="AY608" i="1"/>
  <c r="AY641" i="1"/>
  <c r="AI608" i="1"/>
  <c r="AA608" i="1"/>
  <c r="AA641" i="1"/>
  <c r="K608" i="1"/>
  <c r="O608" i="1"/>
  <c r="O641" i="1"/>
  <c r="AI640" i="1"/>
  <c r="K640" i="1"/>
  <c r="AY606" i="1"/>
  <c r="AY639" i="1"/>
  <c r="AI606" i="1"/>
  <c r="AA606" i="1"/>
  <c r="AA639" i="1"/>
  <c r="K606" i="1"/>
  <c r="O606" i="1"/>
  <c r="O639" i="1"/>
  <c r="AI638" i="1"/>
  <c r="K638" i="1"/>
  <c r="AY604" i="1"/>
  <c r="AY637" i="1"/>
  <c r="AI604" i="1"/>
  <c r="AA604" i="1"/>
  <c r="AA637" i="1"/>
  <c r="K604" i="1"/>
  <c r="O604" i="1"/>
  <c r="O637" i="1"/>
  <c r="AI636" i="1"/>
  <c r="K636" i="1"/>
  <c r="AY602" i="1"/>
  <c r="AY635" i="1"/>
  <c r="AI602" i="1"/>
  <c r="AA602" i="1"/>
  <c r="AA635" i="1"/>
  <c r="K602" i="1"/>
  <c r="O602" i="1"/>
  <c r="O635" i="1"/>
  <c r="AI634" i="1"/>
  <c r="K634" i="1"/>
  <c r="AY600" i="1"/>
  <c r="AY633" i="1"/>
  <c r="AI600" i="1"/>
  <c r="AA600" i="1"/>
  <c r="AA633" i="1"/>
  <c r="K600" i="1"/>
  <c r="O600" i="1"/>
  <c r="O633" i="1"/>
  <c r="AI632" i="1"/>
  <c r="K632" i="1"/>
  <c r="AP597" i="1"/>
  <c r="AP630" i="1"/>
  <c r="R597" i="1"/>
  <c r="R630" i="1"/>
  <c r="O598" i="1"/>
  <c r="O631" i="1"/>
  <c r="D597" i="1"/>
  <c r="D630" i="1"/>
  <c r="AR596" i="1"/>
  <c r="AN499" i="1"/>
  <c r="AO499" i="1" s="1"/>
  <c r="AO532" i="1"/>
  <c r="AO156" i="1"/>
  <c r="AN596" i="1"/>
  <c r="AN629" i="1"/>
  <c r="T596" i="1"/>
  <c r="P499" i="1"/>
  <c r="Q499" i="1" s="1"/>
  <c r="Q532" i="1"/>
  <c r="Q156" i="1"/>
  <c r="P596" i="1"/>
  <c r="P629" i="1"/>
  <c r="H629" i="1"/>
  <c r="AR595" i="1"/>
  <c r="AN498" i="1"/>
  <c r="AO498" i="1" s="1"/>
  <c r="AO531" i="1"/>
  <c r="AO155" i="1"/>
  <c r="AN595" i="1"/>
  <c r="AN628" i="1"/>
  <c r="T595" i="1"/>
  <c r="P498" i="1"/>
  <c r="Q498" i="1" s="1"/>
  <c r="Q531" i="1"/>
  <c r="Q155" i="1"/>
  <c r="P595" i="1"/>
  <c r="P628" i="1"/>
  <c r="H628" i="1"/>
  <c r="AR594" i="1"/>
  <c r="AN497" i="1"/>
  <c r="AO497" i="1" s="1"/>
  <c r="AO530" i="1"/>
  <c r="AO154" i="1"/>
  <c r="AN594" i="1"/>
  <c r="AN627" i="1"/>
  <c r="T594" i="1"/>
  <c r="P497" i="1"/>
  <c r="Q497" i="1" s="1"/>
  <c r="Q530" i="1"/>
  <c r="Q154" i="1"/>
  <c r="P594" i="1"/>
  <c r="P627" i="1"/>
  <c r="H627" i="1"/>
  <c r="AR593" i="1"/>
  <c r="AN496" i="1"/>
  <c r="AO496" i="1" s="1"/>
  <c r="AO529" i="1"/>
  <c r="AO153" i="1"/>
  <c r="AN593" i="1"/>
  <c r="AN626" i="1"/>
  <c r="T593" i="1"/>
  <c r="P496" i="1"/>
  <c r="Q496" i="1" s="1"/>
  <c r="Q529" i="1"/>
  <c r="Q153" i="1"/>
  <c r="P593" i="1"/>
  <c r="P626" i="1"/>
  <c r="H626" i="1"/>
  <c r="AR592" i="1"/>
  <c r="AN495" i="1"/>
  <c r="AO495" i="1" s="1"/>
  <c r="AO528" i="1"/>
  <c r="AO152" i="1"/>
  <c r="AN592" i="1"/>
  <c r="AN625" i="1"/>
  <c r="T592" i="1"/>
  <c r="P495" i="1"/>
  <c r="Q495" i="1" s="1"/>
  <c r="Q528" i="1"/>
  <c r="Q152" i="1"/>
  <c r="P592" i="1"/>
  <c r="P625" i="1"/>
  <c r="H625" i="1"/>
  <c r="AR591" i="1"/>
  <c r="AN494" i="1"/>
  <c r="AO494" i="1" s="1"/>
  <c r="AO527" i="1"/>
  <c r="AO151" i="1"/>
  <c r="AN591" i="1"/>
  <c r="AN624" i="1"/>
  <c r="T591" i="1"/>
  <c r="P494" i="1"/>
  <c r="Q494" i="1" s="1"/>
  <c r="Q527" i="1"/>
  <c r="Q151" i="1"/>
  <c r="P591" i="1"/>
  <c r="P624" i="1"/>
  <c r="H624" i="1"/>
  <c r="AR590" i="1"/>
  <c r="AN493" i="1"/>
  <c r="AO493" i="1" s="1"/>
  <c r="AO526" i="1"/>
  <c r="AO150" i="1"/>
  <c r="AN590" i="1"/>
  <c r="AN623" i="1"/>
  <c r="O590" i="1"/>
  <c r="O623" i="1"/>
  <c r="AU73" i="1"/>
  <c r="AT146" i="1"/>
  <c r="AT306" i="1"/>
  <c r="AT521" i="1"/>
  <c r="AT522" i="1"/>
  <c r="AM73" i="1"/>
  <c r="AM147" i="1"/>
  <c r="AM307" i="1"/>
  <c r="AM523" i="1"/>
  <c r="AM490" i="1" s="1"/>
  <c r="W307" i="1"/>
  <c r="W73" i="1"/>
  <c r="V146" i="1"/>
  <c r="V306" i="1"/>
  <c r="V521" i="1"/>
  <c r="V522" i="1"/>
  <c r="O73" i="1"/>
  <c r="O147" i="1"/>
  <c r="O307" i="1"/>
  <c r="O523" i="1"/>
  <c r="O490" i="1" s="1"/>
  <c r="F146" i="1"/>
  <c r="F306" i="1"/>
  <c r="F521" i="1"/>
  <c r="F522" i="1"/>
  <c r="F489" i="1" s="1"/>
  <c r="AM240" i="1"/>
  <c r="O240" i="1"/>
  <c r="AY596" i="1"/>
  <c r="AY629" i="1"/>
  <c r="AI596" i="1"/>
  <c r="AA596" i="1"/>
  <c r="AA629" i="1"/>
  <c r="K596" i="1"/>
  <c r="BB596" i="1"/>
  <c r="BB629" i="1"/>
  <c r="AY595" i="1"/>
  <c r="AY628" i="1"/>
  <c r="AI595" i="1"/>
  <c r="AA595" i="1"/>
  <c r="AA628" i="1"/>
  <c r="K595" i="1"/>
  <c r="O595" i="1"/>
  <c r="O628" i="1"/>
  <c r="AI627" i="1"/>
  <c r="K627" i="1"/>
  <c r="AY593" i="1"/>
  <c r="AY626" i="1"/>
  <c r="AI593" i="1"/>
  <c r="AA593" i="1"/>
  <c r="AA626" i="1"/>
  <c r="K593" i="1"/>
  <c r="O593" i="1"/>
  <c r="O626" i="1"/>
  <c r="AI625" i="1"/>
  <c r="K625" i="1"/>
  <c r="AY591" i="1"/>
  <c r="AY624" i="1"/>
  <c r="AI591" i="1"/>
  <c r="AA591" i="1"/>
  <c r="AA624" i="1"/>
  <c r="K591" i="1"/>
  <c r="O591" i="1"/>
  <c r="O624" i="1"/>
  <c r="AI623" i="1"/>
  <c r="AV146" i="1"/>
  <c r="AV306" i="1"/>
  <c r="AV521" i="1"/>
  <c r="AV522" i="1"/>
  <c r="AV489" i="1" s="1"/>
  <c r="AJ146" i="1"/>
  <c r="AJ306" i="1"/>
  <c r="AJ521" i="1"/>
  <c r="AJ522" i="1"/>
  <c r="AJ489" i="1" s="1"/>
  <c r="X146" i="1"/>
  <c r="X306" i="1"/>
  <c r="X521" i="1"/>
  <c r="X522" i="1"/>
  <c r="X489" i="1" s="1"/>
  <c r="L146" i="1"/>
  <c r="L306" i="1"/>
  <c r="L521" i="1"/>
  <c r="L522" i="1"/>
  <c r="L489" i="1" s="1"/>
  <c r="D146" i="1"/>
  <c r="D306" i="1"/>
  <c r="D521" i="1"/>
  <c r="D522" i="1"/>
  <c r="D489" i="1" s="1"/>
  <c r="T623" i="1"/>
  <c r="N590" i="1"/>
  <c r="BD526" i="1"/>
  <c r="BC493" i="1"/>
  <c r="BD493" i="1" s="1"/>
  <c r="BD150" i="1"/>
  <c r="BC590" i="1"/>
  <c r="BC623" i="1"/>
  <c r="BA309" i="1"/>
  <c r="AO309" i="1"/>
  <c r="AC309" i="1"/>
  <c r="H589" i="1"/>
  <c r="BE587" i="1"/>
  <c r="BE620" i="1"/>
  <c r="AX523" i="1"/>
  <c r="AW490" i="1"/>
  <c r="AX490" i="1" s="1"/>
  <c r="AX147" i="1"/>
  <c r="AW587" i="1"/>
  <c r="AW620" i="1"/>
  <c r="AX73" i="1"/>
  <c r="AW146" i="1"/>
  <c r="AW306" i="1"/>
  <c r="AW521" i="1"/>
  <c r="AW522" i="1"/>
  <c r="AX621" i="1"/>
  <c r="AR621" i="1"/>
  <c r="AG146" i="1"/>
  <c r="AG306" i="1"/>
  <c r="AG521" i="1"/>
  <c r="AG522" i="1"/>
  <c r="AG489" i="1" s="1"/>
  <c r="AF307" i="1"/>
  <c r="AN491" i="1"/>
  <c r="AO491" i="1" s="1"/>
  <c r="AO524" i="1"/>
  <c r="AO148" i="1"/>
  <c r="AN588" i="1"/>
  <c r="AN621" i="1"/>
  <c r="Z523" i="1"/>
  <c r="Y490" i="1"/>
  <c r="Z490" i="1" s="1"/>
  <c r="Z147" i="1"/>
  <c r="Y587" i="1"/>
  <c r="Y620" i="1"/>
  <c r="Z73" i="1"/>
  <c r="Y146" i="1"/>
  <c r="Y306" i="1"/>
  <c r="Y521" i="1"/>
  <c r="Y522" i="1"/>
  <c r="Z621" i="1"/>
  <c r="T621" i="1"/>
  <c r="I146" i="1"/>
  <c r="I306" i="1"/>
  <c r="I521" i="1"/>
  <c r="I522" i="1"/>
  <c r="I489" i="1" s="1"/>
  <c r="H307" i="1"/>
  <c r="H621" i="1"/>
  <c r="BD71" i="1"/>
  <c r="AR41" i="1"/>
  <c r="T41" i="1"/>
  <c r="AC39" i="1"/>
  <c r="AB240" i="1"/>
  <c r="BD241" i="1"/>
  <c r="BD39" i="1"/>
  <c r="BC240" i="1"/>
  <c r="Q39" i="1"/>
  <c r="P240" i="1"/>
  <c r="BD239" i="1"/>
  <c r="BD237" i="1"/>
  <c r="BD235" i="1"/>
  <c r="AO20" i="1"/>
  <c r="AN221" i="1"/>
  <c r="BD222" i="1"/>
  <c r="BD220" i="1"/>
  <c r="AA221" i="1"/>
  <c r="AR9" i="1"/>
  <c r="AQ210" i="1"/>
  <c r="AN9" i="1"/>
  <c r="AO10" i="1"/>
  <c r="AN211" i="1"/>
  <c r="Z9" i="1"/>
  <c r="Y210" i="1"/>
  <c r="U210" i="1"/>
  <c r="E210" i="1"/>
  <c r="AP210" i="1"/>
  <c r="AD210" i="1"/>
  <c r="R210" i="1"/>
  <c r="F210" i="1"/>
  <c r="O9" i="1"/>
  <c r="O211" i="1"/>
  <c r="D210" i="1"/>
  <c r="W592" i="1"/>
  <c r="H623" i="1"/>
  <c r="T589" i="1"/>
  <c r="N589" i="1"/>
  <c r="BD309" i="1"/>
  <c r="AS146" i="1"/>
  <c r="AS306" i="1"/>
  <c r="AS521" i="1"/>
  <c r="AS522" i="1"/>
  <c r="AS489" i="1" s="1"/>
  <c r="BA308" i="1"/>
  <c r="BA74" i="1"/>
  <c r="AZ73" i="1"/>
  <c r="AZ147" i="1"/>
  <c r="AZ307" i="1"/>
  <c r="AZ523" i="1"/>
  <c r="AL523" i="1"/>
  <c r="AK490" i="1"/>
  <c r="AL490" i="1" s="1"/>
  <c r="AL147" i="1"/>
  <c r="AK620" i="1"/>
  <c r="AK587" i="1"/>
  <c r="AL73" i="1"/>
  <c r="AK146" i="1"/>
  <c r="AK306" i="1"/>
  <c r="AK521" i="1"/>
  <c r="AK522" i="1"/>
  <c r="AL588" i="1"/>
  <c r="T523" i="1"/>
  <c r="S490" i="1"/>
  <c r="T490" i="1" s="1"/>
  <c r="T147" i="1"/>
  <c r="S587" i="1"/>
  <c r="S620" i="1"/>
  <c r="T73" i="1"/>
  <c r="S146" i="1"/>
  <c r="S306" i="1"/>
  <c r="S521" i="1"/>
  <c r="S522" i="1"/>
  <c r="Q308" i="1"/>
  <c r="Q74" i="1"/>
  <c r="P73" i="1"/>
  <c r="P147" i="1"/>
  <c r="P307" i="1"/>
  <c r="P523" i="1"/>
  <c r="E620" i="1"/>
  <c r="E587" i="1"/>
  <c r="AO241" i="1"/>
  <c r="BD228" i="1"/>
  <c r="BD226" i="1"/>
  <c r="BD214" i="1"/>
  <c r="AZ9" i="1"/>
  <c r="BA10" i="1"/>
  <c r="AZ211" i="1"/>
  <c r="AF211" i="1"/>
  <c r="AF9" i="1"/>
  <c r="AE210" i="1"/>
  <c r="N9" i="1"/>
  <c r="M210" i="1"/>
  <c r="I210" i="1"/>
  <c r="AV210" i="1"/>
  <c r="AI211" i="1"/>
  <c r="AI9" i="1"/>
  <c r="AH210" i="1"/>
  <c r="AM9" i="1"/>
  <c r="AM210" i="1" s="1"/>
  <c r="AM211" i="1"/>
  <c r="X210" i="1"/>
  <c r="K211" i="1"/>
  <c r="K9" i="1"/>
  <c r="J210" i="1"/>
  <c r="BD455" i="1"/>
  <c r="BC454" i="1"/>
  <c r="AI351" i="1"/>
  <c r="AH350" i="1"/>
  <c r="AC381" i="1"/>
  <c r="AB380" i="1"/>
  <c r="AC380" i="1" s="1"/>
  <c r="Q381" i="1"/>
  <c r="P380" i="1"/>
  <c r="Q380" i="1" s="1"/>
  <c r="Q371" i="1"/>
  <c r="AO370" i="1"/>
  <c r="Q369" i="1"/>
  <c r="Z422" i="1"/>
  <c r="BC422" i="1"/>
  <c r="BD423" i="1"/>
  <c r="AZ454" i="1"/>
  <c r="BA454" i="1" s="1"/>
  <c r="BA455" i="1"/>
  <c r="AN454" i="1"/>
  <c r="AO454" i="1" s="1"/>
  <c r="AO455" i="1"/>
  <c r="AB454" i="1"/>
  <c r="AC454" i="1" s="1"/>
  <c r="AC455" i="1"/>
  <c r="P454" i="1"/>
  <c r="Q454" i="1" s="1"/>
  <c r="Q455" i="1"/>
  <c r="AI422" i="1"/>
  <c r="AU351" i="1"/>
  <c r="AT350" i="1"/>
  <c r="W351" i="1"/>
  <c r="V350" i="1"/>
  <c r="K382" i="1"/>
  <c r="BB382" i="1"/>
  <c r="BA381" i="1"/>
  <c r="AZ380" i="1"/>
  <c r="BA380" i="1" s="1"/>
  <c r="BD412" i="1"/>
  <c r="BD379" i="1"/>
  <c r="BD377" i="1"/>
  <c r="BD375" i="1"/>
  <c r="BD373" i="1"/>
  <c r="BD371" i="1"/>
  <c r="BD369" i="1"/>
  <c r="BD367" i="1"/>
  <c r="BA362" i="1"/>
  <c r="AC393" i="1"/>
  <c r="AB361" i="1"/>
  <c r="AC361" i="1" s="1"/>
  <c r="Q393" i="1"/>
  <c r="P361" i="1"/>
  <c r="Q361" i="1" s="1"/>
  <c r="BD360" i="1"/>
  <c r="BD358" i="1"/>
  <c r="BD356" i="1"/>
  <c r="BD354" i="1"/>
  <c r="AE350" i="1"/>
  <c r="AF351" i="1"/>
  <c r="Y350" i="1"/>
  <c r="Z351" i="1"/>
  <c r="BD656" i="1"/>
  <c r="BD654" i="1"/>
  <c r="AO652" i="1"/>
  <c r="BD304" i="1"/>
  <c r="AR274" i="1"/>
  <c r="Q208" i="1"/>
  <c r="P272" i="1"/>
  <c r="Q272" i="1" s="1"/>
  <c r="BD208" i="1"/>
  <c r="BC272" i="1"/>
  <c r="BD272" i="1" s="1"/>
  <c r="AO189" i="1"/>
  <c r="AN253" i="1"/>
  <c r="AO253" i="1" s="1"/>
  <c r="BD252" i="1"/>
  <c r="BD250" i="1"/>
  <c r="BD248" i="1"/>
  <c r="BD246" i="1"/>
  <c r="AZ178" i="1"/>
  <c r="BA179" i="1"/>
  <c r="AZ243" i="1"/>
  <c r="AF178" i="1"/>
  <c r="AE242" i="1"/>
  <c r="AF242" i="1" s="1"/>
  <c r="N178" i="1"/>
  <c r="M242" i="1"/>
  <c r="N242" i="1" s="1"/>
  <c r="H137" i="1"/>
  <c r="AI243" i="1"/>
  <c r="AI178" i="1"/>
  <c r="AH242" i="1"/>
  <c r="AI242" i="1" s="1"/>
  <c r="W178" i="1"/>
  <c r="V242" i="1"/>
  <c r="W242" i="1" s="1"/>
  <c r="AA178" i="1"/>
  <c r="AA242" i="1" s="1"/>
  <c r="AA243" i="1"/>
  <c r="AY617" i="1"/>
  <c r="AY650" i="1"/>
  <c r="AH519" i="1"/>
  <c r="AI519" i="1" s="1"/>
  <c r="AI552" i="1"/>
  <c r="AI176" i="1"/>
  <c r="AH616" i="1"/>
  <c r="AH649" i="1"/>
  <c r="AM176" i="1"/>
  <c r="AM336" i="1"/>
  <c r="AM552" i="1"/>
  <c r="AM519" i="1" s="1"/>
  <c r="AA617" i="1"/>
  <c r="AA650" i="1"/>
  <c r="J519" i="1"/>
  <c r="K519" i="1" s="1"/>
  <c r="K552" i="1"/>
  <c r="K176" i="1"/>
  <c r="J616" i="1"/>
  <c r="J649" i="1"/>
  <c r="O176" i="1"/>
  <c r="O336" i="1"/>
  <c r="O552" i="1"/>
  <c r="O519" i="1" s="1"/>
  <c r="D616" i="1"/>
  <c r="D649" i="1"/>
  <c r="O615" i="1"/>
  <c r="O648" i="1"/>
  <c r="AU614" i="1"/>
  <c r="O614" i="1"/>
  <c r="O647" i="1"/>
  <c r="O613" i="1"/>
  <c r="O646" i="1"/>
  <c r="AU612" i="1"/>
  <c r="O612" i="1"/>
  <c r="O645" i="1"/>
  <c r="O611" i="1"/>
  <c r="O644" i="1"/>
  <c r="AU610" i="1"/>
  <c r="O610" i="1"/>
  <c r="O643" i="1"/>
  <c r="AN512" i="1"/>
  <c r="AO512" i="1" s="1"/>
  <c r="AO545" i="1"/>
  <c r="AO169" i="1"/>
  <c r="AN609" i="1"/>
  <c r="AN642" i="1"/>
  <c r="AC116" i="1"/>
  <c r="AB565" i="1"/>
  <c r="AC565" i="1" s="1"/>
  <c r="BD116" i="1"/>
  <c r="BC565" i="1"/>
  <c r="BD565" i="1" s="1"/>
  <c r="Q116" i="1"/>
  <c r="P565" i="1"/>
  <c r="Q565" i="1" s="1"/>
  <c r="AX555" i="1"/>
  <c r="AX105" i="1"/>
  <c r="AW554" i="1"/>
  <c r="AX554" i="1" s="1"/>
  <c r="H555" i="1"/>
  <c r="H105" i="1"/>
  <c r="G554" i="1"/>
  <c r="H554" i="1" s="1"/>
  <c r="AR552" i="1"/>
  <c r="AQ519" i="1"/>
  <c r="AR519" i="1" s="1"/>
  <c r="AR176" i="1"/>
  <c r="AQ616" i="1"/>
  <c r="AQ649" i="1"/>
  <c r="AZ520" i="1"/>
  <c r="BA520" i="1" s="1"/>
  <c r="BA553" i="1"/>
  <c r="BA177" i="1"/>
  <c r="AZ617" i="1"/>
  <c r="AZ650" i="1"/>
  <c r="AL650" i="1"/>
  <c r="AF650" i="1"/>
  <c r="T552" i="1"/>
  <c r="S519" i="1"/>
  <c r="T519" i="1" s="1"/>
  <c r="T176" i="1"/>
  <c r="S616" i="1"/>
  <c r="S649" i="1"/>
  <c r="AB520" i="1"/>
  <c r="AC520" i="1" s="1"/>
  <c r="AC553" i="1"/>
  <c r="AC177" i="1"/>
  <c r="AB617" i="1"/>
  <c r="AB650" i="1"/>
  <c r="N650" i="1"/>
  <c r="BD553" i="1"/>
  <c r="BC520" i="1"/>
  <c r="BD520" i="1" s="1"/>
  <c r="BD177" i="1"/>
  <c r="BC617" i="1"/>
  <c r="BD617" i="1" s="1"/>
  <c r="BC650" i="1"/>
  <c r="BD650" i="1" s="1"/>
  <c r="BD103" i="1"/>
  <c r="BC176" i="1"/>
  <c r="BC336" i="1"/>
  <c r="BC552" i="1"/>
  <c r="Q337" i="1"/>
  <c r="Q103" i="1"/>
  <c r="P176" i="1"/>
  <c r="P336" i="1"/>
  <c r="P552" i="1"/>
  <c r="E616" i="1"/>
  <c r="E649" i="1"/>
  <c r="AX615" i="1"/>
  <c r="AR648" i="1"/>
  <c r="Z615" i="1"/>
  <c r="T648" i="1"/>
  <c r="BD551" i="1"/>
  <c r="BC518" i="1"/>
  <c r="BD518" i="1" s="1"/>
  <c r="BD175" i="1"/>
  <c r="BC615" i="1"/>
  <c r="BC648" i="1"/>
  <c r="P518" i="1"/>
  <c r="Q518" i="1" s="1"/>
  <c r="Q551" i="1"/>
  <c r="Q175" i="1"/>
  <c r="P615" i="1"/>
  <c r="P648" i="1"/>
  <c r="AZ517" i="1"/>
  <c r="BA517" i="1" s="1"/>
  <c r="BA550" i="1"/>
  <c r="BA174" i="1"/>
  <c r="AZ614" i="1"/>
  <c r="BA614" i="1" s="1"/>
  <c r="AZ647" i="1"/>
  <c r="AN517" i="1"/>
  <c r="AO517" i="1" s="1"/>
  <c r="AO550" i="1"/>
  <c r="AO174" i="1"/>
  <c r="AN614" i="1"/>
  <c r="AO614" i="1" s="1"/>
  <c r="AN647" i="1"/>
  <c r="AO647" i="1" s="1"/>
  <c r="AB517" i="1"/>
  <c r="AC517" i="1" s="1"/>
  <c r="AC550" i="1"/>
  <c r="AC174" i="1"/>
  <c r="AB614" i="1"/>
  <c r="AB647" i="1"/>
  <c r="H647" i="1"/>
  <c r="AX613" i="1"/>
  <c r="AR646" i="1"/>
  <c r="Z613" i="1"/>
  <c r="T646" i="1"/>
  <c r="BD549" i="1"/>
  <c r="BC516" i="1"/>
  <c r="BD516" i="1" s="1"/>
  <c r="BD173" i="1"/>
  <c r="BC613" i="1"/>
  <c r="BC646" i="1"/>
  <c r="P516" i="1"/>
  <c r="Q516" i="1" s="1"/>
  <c r="Q549" i="1"/>
  <c r="Q173" i="1"/>
  <c r="P613" i="1"/>
  <c r="Q613" i="1" s="1"/>
  <c r="P646" i="1"/>
  <c r="Q646" i="1" s="1"/>
  <c r="AZ515" i="1"/>
  <c r="BA515" i="1" s="1"/>
  <c r="BA548" i="1"/>
  <c r="BA172" i="1"/>
  <c r="AZ612" i="1"/>
  <c r="AZ645" i="1"/>
  <c r="AN515" i="1"/>
  <c r="AO515" i="1" s="1"/>
  <c r="AO548" i="1"/>
  <c r="AO172" i="1"/>
  <c r="AN612" i="1"/>
  <c r="AO612" i="1" s="1"/>
  <c r="AN645" i="1"/>
  <c r="AO645" i="1" s="1"/>
  <c r="AB515" i="1"/>
  <c r="AC515" i="1" s="1"/>
  <c r="AC548" i="1"/>
  <c r="AC172" i="1"/>
  <c r="AB612" i="1"/>
  <c r="AB645" i="1"/>
  <c r="H645" i="1"/>
  <c r="AX611" i="1"/>
  <c r="AR644" i="1"/>
  <c r="Z611" i="1"/>
  <c r="T644" i="1"/>
  <c r="BD547" i="1"/>
  <c r="BC514" i="1"/>
  <c r="BD514" i="1" s="1"/>
  <c r="BD171" i="1"/>
  <c r="BC611" i="1"/>
  <c r="BC644" i="1"/>
  <c r="P514" i="1"/>
  <c r="Q514" i="1" s="1"/>
  <c r="Q547" i="1"/>
  <c r="Q171" i="1"/>
  <c r="P611" i="1"/>
  <c r="P644" i="1"/>
  <c r="AZ513" i="1"/>
  <c r="BA513" i="1" s="1"/>
  <c r="BA546" i="1"/>
  <c r="BA170" i="1"/>
  <c r="AZ610" i="1"/>
  <c r="BA610" i="1" s="1"/>
  <c r="AZ643" i="1"/>
  <c r="AN513" i="1"/>
  <c r="AO513" i="1" s="1"/>
  <c r="AO546" i="1"/>
  <c r="AO170" i="1"/>
  <c r="AN610" i="1"/>
  <c r="AO610" i="1" s="1"/>
  <c r="AN643" i="1"/>
  <c r="AO643" i="1" s="1"/>
  <c r="AB513" i="1"/>
  <c r="AC513" i="1" s="1"/>
  <c r="AC546" i="1"/>
  <c r="AC170" i="1"/>
  <c r="AB610" i="1"/>
  <c r="AB643" i="1"/>
  <c r="H643" i="1"/>
  <c r="BD545" i="1"/>
  <c r="BC512" i="1"/>
  <c r="BD512" i="1" s="1"/>
  <c r="BD169" i="1"/>
  <c r="BC609" i="1"/>
  <c r="BC642" i="1"/>
  <c r="AZ511" i="1"/>
  <c r="BA511" i="1" s="1"/>
  <c r="BA544" i="1"/>
  <c r="BA168" i="1"/>
  <c r="AZ608" i="1"/>
  <c r="AZ641" i="1"/>
  <c r="BA641" i="1" s="1"/>
  <c r="AN511" i="1"/>
  <c r="AO511" i="1" s="1"/>
  <c r="AO544" i="1"/>
  <c r="AO168" i="1"/>
  <c r="AN608" i="1"/>
  <c r="AN641" i="1"/>
  <c r="AB511" i="1"/>
  <c r="AC511" i="1" s="1"/>
  <c r="AC544" i="1"/>
  <c r="AC168" i="1"/>
  <c r="AB608" i="1"/>
  <c r="AB641" i="1"/>
  <c r="P511" i="1"/>
  <c r="Q511" i="1" s="1"/>
  <c r="Q544" i="1"/>
  <c r="Q168" i="1"/>
  <c r="P608" i="1"/>
  <c r="P641" i="1"/>
  <c r="Q641" i="1" s="1"/>
  <c r="H641" i="1"/>
  <c r="BD543" i="1"/>
  <c r="BC510" i="1"/>
  <c r="BD510" i="1" s="1"/>
  <c r="BD167" i="1"/>
  <c r="BC607" i="1"/>
  <c r="BC640" i="1"/>
  <c r="AZ509" i="1"/>
  <c r="BA509" i="1" s="1"/>
  <c r="BA542" i="1"/>
  <c r="BA166" i="1"/>
  <c r="AZ606" i="1"/>
  <c r="AZ639" i="1"/>
  <c r="BA639" i="1" s="1"/>
  <c r="AN509" i="1"/>
  <c r="AO509" i="1" s="1"/>
  <c r="AO542" i="1"/>
  <c r="AO166" i="1"/>
  <c r="AN606" i="1"/>
  <c r="AN639" i="1"/>
  <c r="AB509" i="1"/>
  <c r="AC509" i="1" s="1"/>
  <c r="AC542" i="1"/>
  <c r="AC166" i="1"/>
  <c r="AB606" i="1"/>
  <c r="AB639" i="1"/>
  <c r="P509" i="1"/>
  <c r="Q509" i="1" s="1"/>
  <c r="Q542" i="1"/>
  <c r="Q166" i="1"/>
  <c r="P606" i="1"/>
  <c r="P639" i="1"/>
  <c r="Q639" i="1" s="1"/>
  <c r="H639" i="1"/>
  <c r="BD541" i="1"/>
  <c r="BC508" i="1"/>
  <c r="BD508" i="1" s="1"/>
  <c r="BD165" i="1"/>
  <c r="BC605" i="1"/>
  <c r="BC638" i="1"/>
  <c r="AZ507" i="1"/>
  <c r="BA507" i="1" s="1"/>
  <c r="BA540" i="1"/>
  <c r="BA164" i="1"/>
  <c r="AZ604" i="1"/>
  <c r="AZ637" i="1"/>
  <c r="BA637" i="1" s="1"/>
  <c r="AN507" i="1"/>
  <c r="AO507" i="1" s="1"/>
  <c r="AO540" i="1"/>
  <c r="AO164" i="1"/>
  <c r="AN604" i="1"/>
  <c r="AN637" i="1"/>
  <c r="AB507" i="1"/>
  <c r="AC507" i="1" s="1"/>
  <c r="AC540" i="1"/>
  <c r="AC164" i="1"/>
  <c r="AB604" i="1"/>
  <c r="AB637" i="1"/>
  <c r="P507" i="1"/>
  <c r="Q507" i="1" s="1"/>
  <c r="Q540" i="1"/>
  <c r="Q164" i="1"/>
  <c r="P604" i="1"/>
  <c r="P637" i="1"/>
  <c r="Q637" i="1" s="1"/>
  <c r="H637" i="1"/>
  <c r="BD539" i="1"/>
  <c r="BC506" i="1"/>
  <c r="BD506" i="1" s="1"/>
  <c r="BD163" i="1"/>
  <c r="BC603" i="1"/>
  <c r="BC636" i="1"/>
  <c r="AZ505" i="1"/>
  <c r="BA505" i="1" s="1"/>
  <c r="BA538" i="1"/>
  <c r="BA162" i="1"/>
  <c r="AZ602" i="1"/>
  <c r="AZ635" i="1"/>
  <c r="BA635" i="1" s="1"/>
  <c r="AN505" i="1"/>
  <c r="AO505" i="1" s="1"/>
  <c r="AO538" i="1"/>
  <c r="AO162" i="1"/>
  <c r="AN602" i="1"/>
  <c r="AN635" i="1"/>
  <c r="AB505" i="1"/>
  <c r="AC505" i="1" s="1"/>
  <c r="AC538" i="1"/>
  <c r="AC162" i="1"/>
  <c r="AB602" i="1"/>
  <c r="AB635" i="1"/>
  <c r="P505" i="1"/>
  <c r="Q505" i="1" s="1"/>
  <c r="Q538" i="1"/>
  <c r="Q162" i="1"/>
  <c r="P602" i="1"/>
  <c r="P635" i="1"/>
  <c r="Q635" i="1" s="1"/>
  <c r="H635" i="1"/>
  <c r="BD537" i="1"/>
  <c r="BC504" i="1"/>
  <c r="BD504" i="1" s="1"/>
  <c r="BD161" i="1"/>
  <c r="BC601" i="1"/>
  <c r="BC634" i="1"/>
  <c r="AZ503" i="1"/>
  <c r="BA503" i="1" s="1"/>
  <c r="BA536" i="1"/>
  <c r="BA160" i="1"/>
  <c r="AZ600" i="1"/>
  <c r="AZ633" i="1"/>
  <c r="BA633" i="1" s="1"/>
  <c r="AN503" i="1"/>
  <c r="AO503" i="1" s="1"/>
  <c r="AO536" i="1"/>
  <c r="AO160" i="1"/>
  <c r="AN600" i="1"/>
  <c r="AN633" i="1"/>
  <c r="AB503" i="1"/>
  <c r="AC503" i="1" s="1"/>
  <c r="AC536" i="1"/>
  <c r="AC160" i="1"/>
  <c r="AB600" i="1"/>
  <c r="AB633" i="1"/>
  <c r="P503" i="1"/>
  <c r="Q503" i="1" s="1"/>
  <c r="Q536" i="1"/>
  <c r="Q160" i="1"/>
  <c r="P600" i="1"/>
  <c r="P633" i="1"/>
  <c r="H633" i="1"/>
  <c r="BD535" i="1"/>
  <c r="BC502" i="1"/>
  <c r="BD502" i="1" s="1"/>
  <c r="BD159" i="1"/>
  <c r="BC599" i="1"/>
  <c r="BC632" i="1"/>
  <c r="AX317" i="1"/>
  <c r="AS630" i="1"/>
  <c r="AS597" i="1"/>
  <c r="AO318" i="1"/>
  <c r="Z317" i="1"/>
  <c r="U630" i="1"/>
  <c r="U597" i="1"/>
  <c r="BD534" i="1"/>
  <c r="BC501" i="1"/>
  <c r="BD501" i="1" s="1"/>
  <c r="BD158" i="1"/>
  <c r="BC598" i="1"/>
  <c r="BC631" i="1"/>
  <c r="E630" i="1"/>
  <c r="E597" i="1"/>
  <c r="AM589" i="1"/>
  <c r="AM622" i="1"/>
  <c r="O589" i="1"/>
  <c r="O622" i="1"/>
  <c r="AP146" i="1"/>
  <c r="AP306" i="1"/>
  <c r="AP521" i="1"/>
  <c r="AP522" i="1"/>
  <c r="AP489" i="1" s="1"/>
  <c r="R587" i="1"/>
  <c r="R620" i="1"/>
  <c r="AM609" i="1"/>
  <c r="AM642" i="1"/>
  <c r="BB609" i="1"/>
  <c r="BB642" i="1"/>
  <c r="AU641" i="1"/>
  <c r="W641" i="1"/>
  <c r="AM607" i="1"/>
  <c r="AM640" i="1"/>
  <c r="BB607" i="1"/>
  <c r="BB640" i="1"/>
  <c r="AU639" i="1"/>
  <c r="W639" i="1"/>
  <c r="AM605" i="1"/>
  <c r="AM638" i="1"/>
  <c r="BB605" i="1"/>
  <c r="BB638" i="1"/>
  <c r="AU637" i="1"/>
  <c r="W637" i="1"/>
  <c r="AM603" i="1"/>
  <c r="AM636" i="1"/>
  <c r="BB603" i="1"/>
  <c r="BB636" i="1"/>
  <c r="AU635" i="1"/>
  <c r="W635" i="1"/>
  <c r="AM601" i="1"/>
  <c r="AM634" i="1"/>
  <c r="BB601" i="1"/>
  <c r="BB634" i="1"/>
  <c r="AU633" i="1"/>
  <c r="W633" i="1"/>
  <c r="AM599" i="1"/>
  <c r="AM632" i="1"/>
  <c r="BB599" i="1"/>
  <c r="BB632" i="1"/>
  <c r="AV597" i="1"/>
  <c r="AV630" i="1"/>
  <c r="AU317" i="1"/>
  <c r="AY598" i="1"/>
  <c r="AY631" i="1"/>
  <c r="AJ597" i="1"/>
  <c r="AJ630" i="1"/>
  <c r="AI598" i="1"/>
  <c r="AM598" i="1"/>
  <c r="AM631" i="1"/>
  <c r="X597" i="1"/>
  <c r="X630" i="1"/>
  <c r="W317" i="1"/>
  <c r="AA598" i="1"/>
  <c r="AA631" i="1"/>
  <c r="L597" i="1"/>
  <c r="L630" i="1"/>
  <c r="K598" i="1"/>
  <c r="BB598" i="1"/>
  <c r="BB631" i="1"/>
  <c r="BB157" i="1"/>
  <c r="BB317" i="1"/>
  <c r="BB533" i="1"/>
  <c r="BB500" i="1" s="1"/>
  <c r="BD532" i="1"/>
  <c r="BC499" i="1"/>
  <c r="BD499" i="1" s="1"/>
  <c r="BD156" i="1"/>
  <c r="BC596" i="1"/>
  <c r="BC629" i="1"/>
  <c r="BD531" i="1"/>
  <c r="BC498" i="1"/>
  <c r="BD498" i="1" s="1"/>
  <c r="BD155" i="1"/>
  <c r="BC595" i="1"/>
  <c r="BC628" i="1"/>
  <c r="BD530" i="1"/>
  <c r="BC497" i="1"/>
  <c r="BD497" i="1" s="1"/>
  <c r="BD154" i="1"/>
  <c r="BC594" i="1"/>
  <c r="BC627" i="1"/>
  <c r="BD529" i="1"/>
  <c r="BC496" i="1"/>
  <c r="BD496" i="1" s="1"/>
  <c r="BD153" i="1"/>
  <c r="BC593" i="1"/>
  <c r="BC626" i="1"/>
  <c r="BD528" i="1"/>
  <c r="BC495" i="1"/>
  <c r="BD495" i="1" s="1"/>
  <c r="BD152" i="1"/>
  <c r="BC592" i="1"/>
  <c r="BD592" i="1" s="1"/>
  <c r="BC625" i="1"/>
  <c r="BD625" i="1" s="1"/>
  <c r="BD527" i="1"/>
  <c r="BC494" i="1"/>
  <c r="BD494" i="1" s="1"/>
  <c r="BD151" i="1"/>
  <c r="BC591" i="1"/>
  <c r="BC624" i="1"/>
  <c r="W623" i="1"/>
  <c r="AD587" i="1"/>
  <c r="AD620" i="1"/>
  <c r="BB73" i="1"/>
  <c r="BB147" i="1"/>
  <c r="BB307" i="1"/>
  <c r="BB523" i="1"/>
  <c r="BB490" i="1" s="1"/>
  <c r="AU628" i="1"/>
  <c r="W628" i="1"/>
  <c r="AM594" i="1"/>
  <c r="AM627" i="1"/>
  <c r="BB594" i="1"/>
  <c r="BB627" i="1"/>
  <c r="AU626" i="1"/>
  <c r="W626" i="1"/>
  <c r="AM592" i="1"/>
  <c r="AM625" i="1"/>
  <c r="AU591" i="1"/>
  <c r="AM591" i="1"/>
  <c r="AM624" i="1"/>
  <c r="W591" i="1"/>
  <c r="BB591" i="1"/>
  <c r="BB624" i="1"/>
  <c r="BB41" i="1"/>
  <c r="AX589" i="1"/>
  <c r="Z589" i="1"/>
  <c r="P492" i="1"/>
  <c r="Q492" i="1" s="1"/>
  <c r="Q525" i="1"/>
  <c r="Q149" i="1"/>
  <c r="P589" i="1"/>
  <c r="Q589" i="1" s="1"/>
  <c r="P622" i="1"/>
  <c r="Q622" i="1" s="1"/>
  <c r="AR523" i="1"/>
  <c r="AQ490" i="1"/>
  <c r="AR490" i="1" s="1"/>
  <c r="AR147" i="1"/>
  <c r="AQ587" i="1"/>
  <c r="AQ620" i="1"/>
  <c r="AR73" i="1"/>
  <c r="AQ146" i="1"/>
  <c r="AQ306" i="1"/>
  <c r="AQ521" i="1"/>
  <c r="AQ522" i="1"/>
  <c r="U620" i="1"/>
  <c r="U587" i="1"/>
  <c r="AB491" i="1"/>
  <c r="AC491" i="1" s="1"/>
  <c r="AC524" i="1"/>
  <c r="AC148" i="1"/>
  <c r="AB588" i="1"/>
  <c r="AB621" i="1"/>
  <c r="N621" i="1"/>
  <c r="BD308" i="1"/>
  <c r="BC41" i="1"/>
  <c r="BD42" i="1"/>
  <c r="BA20" i="1"/>
  <c r="AZ221" i="1"/>
  <c r="O221" i="1"/>
  <c r="AA9" i="1"/>
  <c r="AA210" i="1" s="1"/>
  <c r="AA211" i="1"/>
  <c r="BA423" i="1"/>
  <c r="AZ422" i="1"/>
  <c r="BA422" i="1" s="1"/>
  <c r="AF422" i="1"/>
  <c r="AO423" i="1"/>
  <c r="AN422" i="1"/>
  <c r="AO422" i="1" s="1"/>
  <c r="AC423" i="1"/>
  <c r="AB422" i="1"/>
  <c r="AC422" i="1" s="1"/>
  <c r="Q423" i="1"/>
  <c r="P422" i="1"/>
  <c r="Q422" i="1" s="1"/>
  <c r="AR454" i="1"/>
  <c r="AL454" i="1"/>
  <c r="T454" i="1"/>
  <c r="N454" i="1"/>
  <c r="BD452" i="1"/>
  <c r="AU422" i="1"/>
  <c r="W422" i="1"/>
  <c r="AM351" i="1"/>
  <c r="AM350" i="1" s="1"/>
  <c r="AM660" i="1" s="1"/>
  <c r="AM662" i="1" s="1"/>
  <c r="AM382" i="1"/>
  <c r="O351" i="1"/>
  <c r="O350" i="1" s="1"/>
  <c r="O660" i="1" s="1"/>
  <c r="O662" i="1" s="1"/>
  <c r="O382" i="1"/>
  <c r="AO412" i="1"/>
  <c r="BD378" i="1"/>
  <c r="BD376" i="1"/>
  <c r="BD374" i="1"/>
  <c r="BD372" i="1"/>
  <c r="BD370" i="1"/>
  <c r="BD368" i="1"/>
  <c r="BD366" i="1"/>
  <c r="BD364" i="1"/>
  <c r="AO362" i="1"/>
  <c r="AQ350" i="1"/>
  <c r="AQ660" i="1" s="1"/>
  <c r="AR351" i="1"/>
  <c r="BA352" i="1"/>
  <c r="AK350" i="1"/>
  <c r="AL351" i="1"/>
  <c r="T382" i="1"/>
  <c r="AC383" i="1"/>
  <c r="AB351" i="1"/>
  <c r="AB382" i="1"/>
  <c r="N382" i="1"/>
  <c r="BC351" i="1"/>
  <c r="BD352" i="1"/>
  <c r="Q352" i="1"/>
  <c r="BD657" i="1"/>
  <c r="BD655" i="1"/>
  <c r="BD653" i="1"/>
  <c r="BA652" i="1"/>
  <c r="AC338" i="1"/>
  <c r="BD652" i="1"/>
  <c r="BD338" i="1"/>
  <c r="Q338" i="1"/>
  <c r="N274" i="1"/>
  <c r="AC273" i="1"/>
  <c r="AC208" i="1"/>
  <c r="AB272" i="1"/>
  <c r="AC272" i="1" s="1"/>
  <c r="BD268" i="1"/>
  <c r="BD264" i="1"/>
  <c r="BD260" i="1"/>
  <c r="BD256" i="1"/>
  <c r="AC254" i="1"/>
  <c r="AC189" i="1"/>
  <c r="AB253" i="1"/>
  <c r="AC253" i="1" s="1"/>
  <c r="BD249" i="1"/>
  <c r="BD245" i="1"/>
  <c r="AX243" i="1"/>
  <c r="AR178" i="1"/>
  <c r="AQ242" i="1"/>
  <c r="AR242" i="1" s="1"/>
  <c r="Z178" i="1"/>
  <c r="Y242" i="1"/>
  <c r="Z242" i="1" s="1"/>
  <c r="P178" i="1"/>
  <c r="Q179" i="1"/>
  <c r="P243" i="1"/>
  <c r="Q243" i="1" s="1"/>
  <c r="BD179" i="1"/>
  <c r="BC178" i="1"/>
  <c r="BC243" i="1"/>
  <c r="BA137" i="1"/>
  <c r="AO137" i="1"/>
  <c r="AC137" i="1"/>
  <c r="BD137" i="1"/>
  <c r="AU105" i="1"/>
  <c r="AT554" i="1"/>
  <c r="AU554" i="1" s="1"/>
  <c r="AI555" i="1"/>
  <c r="AM105" i="1"/>
  <c r="AM554" i="1" s="1"/>
  <c r="AM555" i="1"/>
  <c r="W105" i="1"/>
  <c r="V554" i="1"/>
  <c r="W554" i="1" s="1"/>
  <c r="K555" i="1"/>
  <c r="O105" i="1"/>
  <c r="O554" i="1" s="1"/>
  <c r="O555" i="1"/>
  <c r="AV616" i="1"/>
  <c r="AV649" i="1"/>
  <c r="AP616" i="1"/>
  <c r="AP649" i="1"/>
  <c r="AI650" i="1"/>
  <c r="X616" i="1"/>
  <c r="X649" i="1"/>
  <c r="R616" i="1"/>
  <c r="R649" i="1"/>
  <c r="K650" i="1"/>
  <c r="AA615" i="1"/>
  <c r="AA648" i="1"/>
  <c r="BB615" i="1"/>
  <c r="BB648" i="1"/>
  <c r="AI647" i="1"/>
  <c r="AA614" i="1"/>
  <c r="AA647" i="1"/>
  <c r="K614" i="1"/>
  <c r="BB614" i="1"/>
  <c r="BB647" i="1"/>
  <c r="AA613" i="1"/>
  <c r="AA646" i="1"/>
  <c r="BB613" i="1"/>
  <c r="BB646" i="1"/>
  <c r="AI645" i="1"/>
  <c r="AA612" i="1"/>
  <c r="AA645" i="1"/>
  <c r="K612" i="1"/>
  <c r="BB612" i="1"/>
  <c r="BB645" i="1"/>
  <c r="AA611" i="1"/>
  <c r="AA644" i="1"/>
  <c r="BB611" i="1"/>
  <c r="BB644" i="1"/>
  <c r="AI643" i="1"/>
  <c r="AA610" i="1"/>
  <c r="AA643" i="1"/>
  <c r="K610" i="1"/>
  <c r="BB610" i="1"/>
  <c r="BB643" i="1"/>
  <c r="AZ512" i="1"/>
  <c r="BA512" i="1" s="1"/>
  <c r="BA545" i="1"/>
  <c r="BA169" i="1"/>
  <c r="AZ609" i="1"/>
  <c r="AZ642" i="1"/>
  <c r="BA585" i="1"/>
  <c r="BA135" i="1"/>
  <c r="AZ584" i="1"/>
  <c r="BA584" i="1" s="1"/>
  <c r="AO135" i="1"/>
  <c r="AN584" i="1"/>
  <c r="AO584" i="1" s="1"/>
  <c r="AC585" i="1"/>
  <c r="Q135" i="1"/>
  <c r="P584" i="1"/>
  <c r="Q584" i="1" s="1"/>
  <c r="BD144" i="1"/>
  <c r="AO116" i="1"/>
  <c r="AN565" i="1"/>
  <c r="AO565" i="1" s="1"/>
  <c r="BD143" i="1"/>
  <c r="BA556" i="1"/>
  <c r="T555" i="1"/>
  <c r="T105" i="1"/>
  <c r="S554" i="1"/>
  <c r="T554" i="1" s="1"/>
  <c r="AC106" i="1"/>
  <c r="AB105" i="1"/>
  <c r="AB555" i="1"/>
  <c r="N555" i="1"/>
  <c r="N105" i="1"/>
  <c r="M554" i="1"/>
  <c r="N554" i="1" s="1"/>
  <c r="Q556" i="1"/>
  <c r="AX552" i="1"/>
  <c r="AW519" i="1"/>
  <c r="AX519" i="1" s="1"/>
  <c r="AX176" i="1"/>
  <c r="AW649" i="1"/>
  <c r="AX649" i="1" s="1"/>
  <c r="AW616" i="1"/>
  <c r="AX616" i="1" s="1"/>
  <c r="AX650" i="1"/>
  <c r="AR617" i="1"/>
  <c r="AG649" i="1"/>
  <c r="AG616" i="1"/>
  <c r="AF336" i="1"/>
  <c r="AO337" i="1"/>
  <c r="AO103" i="1"/>
  <c r="AN176" i="1"/>
  <c r="AN336" i="1"/>
  <c r="AO336" i="1" s="1"/>
  <c r="AN552" i="1"/>
  <c r="Z552" i="1"/>
  <c r="Y519" i="1"/>
  <c r="Z519" i="1" s="1"/>
  <c r="Z176" i="1"/>
  <c r="Y649" i="1"/>
  <c r="Z649" i="1" s="1"/>
  <c r="Y616" i="1"/>
  <c r="Z616" i="1" s="1"/>
  <c r="Z650" i="1"/>
  <c r="T617" i="1"/>
  <c r="I649" i="1"/>
  <c r="I616" i="1"/>
  <c r="H336" i="1"/>
  <c r="H617" i="1"/>
  <c r="AZ518" i="1"/>
  <c r="BA518" i="1" s="1"/>
  <c r="BA551" i="1"/>
  <c r="BA175" i="1"/>
  <c r="AZ615" i="1"/>
  <c r="AZ648" i="1"/>
  <c r="AN518" i="1"/>
  <c r="AO518" i="1" s="1"/>
  <c r="AO551" i="1"/>
  <c r="AO175" i="1"/>
  <c r="AN615" i="1"/>
  <c r="AN648" i="1"/>
  <c r="AB518" i="1"/>
  <c r="AC518" i="1" s="1"/>
  <c r="AC551" i="1"/>
  <c r="AC175" i="1"/>
  <c r="AB615" i="1"/>
  <c r="AB648" i="1"/>
  <c r="H648" i="1"/>
  <c r="AX647" i="1"/>
  <c r="AR647" i="1"/>
  <c r="AL614" i="1"/>
  <c r="AF647" i="1"/>
  <c r="Z647" i="1"/>
  <c r="T647" i="1"/>
  <c r="N614" i="1"/>
  <c r="BD550" i="1"/>
  <c r="BC517" i="1"/>
  <c r="BD517" i="1" s="1"/>
  <c r="BD174" i="1"/>
  <c r="BC614" i="1"/>
  <c r="BC647" i="1"/>
  <c r="BD647" i="1" s="1"/>
  <c r="P517" i="1"/>
  <c r="Q517" i="1" s="1"/>
  <c r="Q550" i="1"/>
  <c r="Q174" i="1"/>
  <c r="P614" i="1"/>
  <c r="P647" i="1"/>
  <c r="Q647" i="1" s="1"/>
  <c r="AZ516" i="1"/>
  <c r="BA516" i="1" s="1"/>
  <c r="BA549" i="1"/>
  <c r="BA173" i="1"/>
  <c r="AZ613" i="1"/>
  <c r="AZ646" i="1"/>
  <c r="AN516" i="1"/>
  <c r="AO516" i="1" s="1"/>
  <c r="AO549" i="1"/>
  <c r="AO173" i="1"/>
  <c r="AN613" i="1"/>
  <c r="AN646" i="1"/>
  <c r="AB516" i="1"/>
  <c r="AC516" i="1" s="1"/>
  <c r="AC549" i="1"/>
  <c r="AC173" i="1"/>
  <c r="AB613" i="1"/>
  <c r="AC613" i="1" s="1"/>
  <c r="AB646" i="1"/>
  <c r="AC646" i="1" s="1"/>
  <c r="H646" i="1"/>
  <c r="AX645" i="1"/>
  <c r="AR645" i="1"/>
  <c r="AL612" i="1"/>
  <c r="AF645" i="1"/>
  <c r="Z645" i="1"/>
  <c r="T645" i="1"/>
  <c r="N612" i="1"/>
  <c r="BD548" i="1"/>
  <c r="BC515" i="1"/>
  <c r="BD515" i="1" s="1"/>
  <c r="BD172" i="1"/>
  <c r="BC612" i="1"/>
  <c r="BC645" i="1"/>
  <c r="P515" i="1"/>
  <c r="Q515" i="1" s="1"/>
  <c r="Q548" i="1"/>
  <c r="Q172" i="1"/>
  <c r="P612" i="1"/>
  <c r="P645" i="1"/>
  <c r="AZ514" i="1"/>
  <c r="BA514" i="1" s="1"/>
  <c r="BA547" i="1"/>
  <c r="BA171" i="1"/>
  <c r="AZ611" i="1"/>
  <c r="AZ644" i="1"/>
  <c r="AN514" i="1"/>
  <c r="AO514" i="1" s="1"/>
  <c r="AO547" i="1"/>
  <c r="AO171" i="1"/>
  <c r="AN611" i="1"/>
  <c r="AN644" i="1"/>
  <c r="AB514" i="1"/>
  <c r="AC514" i="1" s="1"/>
  <c r="AC547" i="1"/>
  <c r="AC171" i="1"/>
  <c r="AB611" i="1"/>
  <c r="AB644" i="1"/>
  <c r="H644" i="1"/>
  <c r="AX643" i="1"/>
  <c r="AR643" i="1"/>
  <c r="AL610" i="1"/>
  <c r="AF643" i="1"/>
  <c r="Z643" i="1"/>
  <c r="T643" i="1"/>
  <c r="N610" i="1"/>
  <c r="BD546" i="1"/>
  <c r="BC513" i="1"/>
  <c r="BD513" i="1" s="1"/>
  <c r="BD170" i="1"/>
  <c r="BC610" i="1"/>
  <c r="BD610" i="1" s="1"/>
  <c r="BC643" i="1"/>
  <c r="BD643" i="1" s="1"/>
  <c r="P513" i="1"/>
  <c r="Q513" i="1" s="1"/>
  <c r="Q546" i="1"/>
  <c r="Q170" i="1"/>
  <c r="P610" i="1"/>
  <c r="P643" i="1"/>
  <c r="Q643" i="1" s="1"/>
  <c r="H609" i="1"/>
  <c r="AX608" i="1"/>
  <c r="AR608" i="1"/>
  <c r="Z608" i="1"/>
  <c r="T608" i="1"/>
  <c r="BD328" i="1"/>
  <c r="AO327" i="1"/>
  <c r="H607" i="1"/>
  <c r="AX606" i="1"/>
  <c r="AR606" i="1"/>
  <c r="Z606" i="1"/>
  <c r="T606" i="1"/>
  <c r="BD326" i="1"/>
  <c r="AO325" i="1"/>
  <c r="H605" i="1"/>
  <c r="AX604" i="1"/>
  <c r="AR604" i="1"/>
  <c r="Z604" i="1"/>
  <c r="T604" i="1"/>
  <c r="BD324" i="1"/>
  <c r="AO323" i="1"/>
  <c r="H603" i="1"/>
  <c r="AX602" i="1"/>
  <c r="AR602" i="1"/>
  <c r="Z602" i="1"/>
  <c r="T602" i="1"/>
  <c r="BD322" i="1"/>
  <c r="AO321" i="1"/>
  <c r="H601" i="1"/>
  <c r="AX600" i="1"/>
  <c r="AR600" i="1"/>
  <c r="Z600" i="1"/>
  <c r="T600" i="1"/>
  <c r="BD320" i="1"/>
  <c r="AO319" i="1"/>
  <c r="H599" i="1"/>
  <c r="BE597" i="1"/>
  <c r="BE630" i="1"/>
  <c r="AZ501" i="1"/>
  <c r="BA501" i="1" s="1"/>
  <c r="BA534" i="1"/>
  <c r="BA158" i="1"/>
  <c r="AZ598" i="1"/>
  <c r="AZ631" i="1"/>
  <c r="BA84" i="1"/>
  <c r="AZ157" i="1"/>
  <c r="AZ317" i="1"/>
  <c r="AZ533" i="1"/>
  <c r="AL533" i="1"/>
  <c r="AK500" i="1"/>
  <c r="AL500" i="1" s="1"/>
  <c r="AL157" i="1"/>
  <c r="AK630" i="1"/>
  <c r="AK597" i="1"/>
  <c r="AF533" i="1"/>
  <c r="AE500" i="1"/>
  <c r="AF500" i="1" s="1"/>
  <c r="AF157" i="1"/>
  <c r="AE597" i="1"/>
  <c r="AE630" i="1"/>
  <c r="AB501" i="1"/>
  <c r="AC501" i="1" s="1"/>
  <c r="AC534" i="1"/>
  <c r="AC158" i="1"/>
  <c r="AB598" i="1"/>
  <c r="AB631" i="1"/>
  <c r="AC84" i="1"/>
  <c r="AB157" i="1"/>
  <c r="AB317" i="1"/>
  <c r="AB533" i="1"/>
  <c r="N533" i="1"/>
  <c r="M500" i="1"/>
  <c r="N500" i="1" s="1"/>
  <c r="N157" i="1"/>
  <c r="M630" i="1"/>
  <c r="M597" i="1"/>
  <c r="H533" i="1"/>
  <c r="G500" i="1"/>
  <c r="H500" i="1" s="1"/>
  <c r="H157" i="1"/>
  <c r="G597" i="1"/>
  <c r="G630" i="1"/>
  <c r="H631" i="1"/>
  <c r="AX595" i="1"/>
  <c r="Z595" i="1"/>
  <c r="AX593" i="1"/>
  <c r="Z593" i="1"/>
  <c r="AX591" i="1"/>
  <c r="Z591" i="1"/>
  <c r="AA590" i="1"/>
  <c r="AA623" i="1"/>
  <c r="BB589" i="1"/>
  <c r="BB622" i="1"/>
  <c r="AY588" i="1"/>
  <c r="AY621" i="1"/>
  <c r="AH490" i="1"/>
  <c r="AI490" i="1" s="1"/>
  <c r="AI523" i="1"/>
  <c r="AI147" i="1"/>
  <c r="AH587" i="1"/>
  <c r="AH620" i="1"/>
  <c r="AA588" i="1"/>
  <c r="AA621" i="1"/>
  <c r="J490" i="1"/>
  <c r="K490" i="1" s="1"/>
  <c r="K523" i="1"/>
  <c r="K147" i="1"/>
  <c r="J587" i="1"/>
  <c r="J620" i="1"/>
  <c r="AY609" i="1"/>
  <c r="AY642" i="1"/>
  <c r="AI609" i="1"/>
  <c r="AA609" i="1"/>
  <c r="AA642" i="1"/>
  <c r="K609" i="1"/>
  <c r="O609" i="1"/>
  <c r="O642" i="1"/>
  <c r="AI641" i="1"/>
  <c r="K641" i="1"/>
  <c r="AY607" i="1"/>
  <c r="AY640" i="1"/>
  <c r="AI607" i="1"/>
  <c r="AA607" i="1"/>
  <c r="AA640" i="1"/>
  <c r="K607" i="1"/>
  <c r="O607" i="1"/>
  <c r="O640" i="1"/>
  <c r="AI639" i="1"/>
  <c r="K639" i="1"/>
  <c r="AY605" i="1"/>
  <c r="AY638" i="1"/>
  <c r="AI605" i="1"/>
  <c r="AA605" i="1"/>
  <c r="AA638" i="1"/>
  <c r="K605" i="1"/>
  <c r="O605" i="1"/>
  <c r="O638" i="1"/>
  <c r="AI637" i="1"/>
  <c r="K637" i="1"/>
  <c r="AY603" i="1"/>
  <c r="AY636" i="1"/>
  <c r="AI603" i="1"/>
  <c r="AA603" i="1"/>
  <c r="AA636" i="1"/>
  <c r="K603" i="1"/>
  <c r="O603" i="1"/>
  <c r="O636" i="1"/>
  <c r="AI635" i="1"/>
  <c r="K635" i="1"/>
  <c r="AY601" i="1"/>
  <c r="AY634" i="1"/>
  <c r="AI601" i="1"/>
  <c r="AA601" i="1"/>
  <c r="AA634" i="1"/>
  <c r="K601" i="1"/>
  <c r="O601" i="1"/>
  <c r="O634" i="1"/>
  <c r="AI633" i="1"/>
  <c r="K633" i="1"/>
  <c r="AY599" i="1"/>
  <c r="AY632" i="1"/>
  <c r="AI599" i="1"/>
  <c r="AA599" i="1"/>
  <c r="AA632" i="1"/>
  <c r="K599" i="1"/>
  <c r="O599" i="1"/>
  <c r="O632" i="1"/>
  <c r="AD597" i="1"/>
  <c r="AD630" i="1"/>
  <c r="F597" i="1"/>
  <c r="F630" i="1"/>
  <c r="O157" i="1"/>
  <c r="O317" i="1"/>
  <c r="O533" i="1"/>
  <c r="O500" i="1" s="1"/>
  <c r="AR629" i="1"/>
  <c r="AO316" i="1"/>
  <c r="T629" i="1"/>
  <c r="Q316" i="1"/>
  <c r="H596" i="1"/>
  <c r="AR628" i="1"/>
  <c r="AO315" i="1"/>
  <c r="T628" i="1"/>
  <c r="H595" i="1"/>
  <c r="AR627" i="1"/>
  <c r="AO314" i="1"/>
  <c r="T627" i="1"/>
  <c r="H594" i="1"/>
  <c r="AR626" i="1"/>
  <c r="AO313" i="1"/>
  <c r="T626" i="1"/>
  <c r="H593" i="1"/>
  <c r="AR625" i="1"/>
  <c r="AO312" i="1"/>
  <c r="T625" i="1"/>
  <c r="H592" i="1"/>
  <c r="AR624" i="1"/>
  <c r="AO311" i="1"/>
  <c r="T624" i="1"/>
  <c r="H591" i="1"/>
  <c r="AR623" i="1"/>
  <c r="AO310" i="1"/>
  <c r="AT490" i="1"/>
  <c r="AU490" i="1" s="1"/>
  <c r="AU523" i="1"/>
  <c r="AU147" i="1"/>
  <c r="AT587" i="1"/>
  <c r="AT620" i="1"/>
  <c r="AM588" i="1"/>
  <c r="AM621" i="1"/>
  <c r="V490" i="1"/>
  <c r="W490" i="1" s="1"/>
  <c r="W523" i="1"/>
  <c r="W147" i="1"/>
  <c r="V587" i="1"/>
  <c r="V620" i="1"/>
  <c r="O588" i="1"/>
  <c r="O621" i="1"/>
  <c r="F587" i="1"/>
  <c r="F620" i="1"/>
  <c r="BB240" i="1"/>
  <c r="AI629" i="1"/>
  <c r="K629" i="1"/>
  <c r="AI628" i="1"/>
  <c r="K628" i="1"/>
  <c r="AY594" i="1"/>
  <c r="AY627" i="1"/>
  <c r="AI594" i="1"/>
  <c r="AA594" i="1"/>
  <c r="AA627" i="1"/>
  <c r="K594" i="1"/>
  <c r="O594" i="1"/>
  <c r="O627" i="1"/>
  <c r="AI626" i="1"/>
  <c r="K626" i="1"/>
  <c r="AY592" i="1"/>
  <c r="AY625" i="1"/>
  <c r="AI592" i="1"/>
  <c r="AA592" i="1"/>
  <c r="AA625" i="1"/>
  <c r="K592" i="1"/>
  <c r="O592" i="1"/>
  <c r="O625" i="1"/>
  <c r="AI624" i="1"/>
  <c r="K624" i="1"/>
  <c r="AY590" i="1"/>
  <c r="AY623" i="1"/>
  <c r="AI590" i="1"/>
  <c r="AV587" i="1"/>
  <c r="AV620" i="1"/>
  <c r="AJ587" i="1"/>
  <c r="AJ620" i="1"/>
  <c r="X587" i="1"/>
  <c r="X620" i="1"/>
  <c r="L587" i="1"/>
  <c r="L620" i="1"/>
  <c r="D587" i="1"/>
  <c r="D620" i="1"/>
  <c r="T590" i="1"/>
  <c r="N623" i="1"/>
  <c r="BD310" i="1"/>
  <c r="AZ492" i="1"/>
  <c r="BA492" i="1" s="1"/>
  <c r="BA525" i="1"/>
  <c r="BA149" i="1"/>
  <c r="AZ589" i="1"/>
  <c r="AZ622" i="1"/>
  <c r="AN492" i="1"/>
  <c r="AO492" i="1" s="1"/>
  <c r="AO525" i="1"/>
  <c r="AO149" i="1"/>
  <c r="AN589" i="1"/>
  <c r="AN622" i="1"/>
  <c r="AB492" i="1"/>
  <c r="AC492" i="1" s="1"/>
  <c r="AC525" i="1"/>
  <c r="AC149" i="1"/>
  <c r="AB589" i="1"/>
  <c r="AB622" i="1"/>
  <c r="H622" i="1"/>
  <c r="BE146" i="1"/>
  <c r="BE306" i="1"/>
  <c r="BE521" i="1"/>
  <c r="BE522" i="1"/>
  <c r="BE489" i="1" s="1"/>
  <c r="AX307" i="1"/>
  <c r="AX588" i="1"/>
  <c r="AR588" i="1"/>
  <c r="AG587" i="1"/>
  <c r="AG620" i="1"/>
  <c r="AF523" i="1"/>
  <c r="AE490" i="1"/>
  <c r="AF490" i="1" s="1"/>
  <c r="AF147" i="1"/>
  <c r="AE587" i="1"/>
  <c r="AE620" i="1"/>
  <c r="AF73" i="1"/>
  <c r="AE146" i="1"/>
  <c r="AE306" i="1"/>
  <c r="AE521" i="1"/>
  <c r="AE522" i="1"/>
  <c r="AO308" i="1"/>
  <c r="AO74" i="1"/>
  <c r="AN73" i="1"/>
  <c r="AN147" i="1"/>
  <c r="AN307" i="1"/>
  <c r="AN523" i="1"/>
  <c r="Z307" i="1"/>
  <c r="Z588" i="1"/>
  <c r="T588" i="1"/>
  <c r="I587" i="1"/>
  <c r="I620" i="1"/>
  <c r="H523" i="1"/>
  <c r="G490" i="1"/>
  <c r="H490" i="1" s="1"/>
  <c r="H147" i="1"/>
  <c r="G587" i="1"/>
  <c r="H587" i="1" s="1"/>
  <c r="G620" i="1"/>
  <c r="H620" i="1" s="1"/>
  <c r="H73" i="1"/>
  <c r="G146" i="1"/>
  <c r="G306" i="1"/>
  <c r="G521" i="1"/>
  <c r="G522" i="1"/>
  <c r="H588" i="1"/>
  <c r="BD52" i="1"/>
  <c r="BA42" i="1"/>
  <c r="AZ41" i="1"/>
  <c r="BA41" i="1" s="1"/>
  <c r="AO42" i="1"/>
  <c r="AN41" i="1"/>
  <c r="AO41" i="1" s="1"/>
  <c r="AC42" i="1"/>
  <c r="AB41" i="1"/>
  <c r="AC41" i="1" s="1"/>
  <c r="BA39" i="1"/>
  <c r="AZ240" i="1"/>
  <c r="Q241" i="1"/>
  <c r="Q222" i="1"/>
  <c r="Q20" i="1"/>
  <c r="P221" i="1"/>
  <c r="BD20" i="1"/>
  <c r="BC221" i="1"/>
  <c r="AY221" i="1"/>
  <c r="AM221" i="1"/>
  <c r="BB221" i="1"/>
  <c r="BD213" i="1"/>
  <c r="AX9" i="1"/>
  <c r="AW210" i="1"/>
  <c r="AS210" i="1"/>
  <c r="T9" i="1"/>
  <c r="S210" i="1"/>
  <c r="P9" i="1"/>
  <c r="Q10" i="1"/>
  <c r="P211" i="1"/>
  <c r="Q211" i="1" s="1"/>
  <c r="BC9" i="1"/>
  <c r="BD10" i="1"/>
  <c r="BC211" i="1"/>
  <c r="W625" i="1"/>
  <c r="AY240" i="1"/>
  <c r="AA240" i="1"/>
  <c r="H590" i="1"/>
  <c r="T622" i="1"/>
  <c r="N622" i="1"/>
  <c r="BD525" i="1"/>
  <c r="BC492" i="1"/>
  <c r="BD492" i="1" s="1"/>
  <c r="BD149" i="1"/>
  <c r="BC589" i="1"/>
  <c r="BC622" i="1"/>
  <c r="AS620" i="1"/>
  <c r="AS587" i="1"/>
  <c r="AZ491" i="1"/>
  <c r="BA491" i="1" s="1"/>
  <c r="BA524" i="1"/>
  <c r="BA148" i="1"/>
  <c r="AZ588" i="1"/>
  <c r="AZ621" i="1"/>
  <c r="BA621" i="1" s="1"/>
  <c r="AL307" i="1"/>
  <c r="AL621" i="1"/>
  <c r="T307" i="1"/>
  <c r="P491" i="1"/>
  <c r="Q491" i="1" s="1"/>
  <c r="Q524" i="1"/>
  <c r="Q148" i="1"/>
  <c r="P588" i="1"/>
  <c r="Q588" i="1" s="1"/>
  <c r="P621" i="1"/>
  <c r="Q621" i="1" s="1"/>
  <c r="E146" i="1"/>
  <c r="E306" i="1"/>
  <c r="E521" i="1"/>
  <c r="E522" i="1"/>
  <c r="E489" i="1" s="1"/>
  <c r="AX41" i="1"/>
  <c r="AO39" i="1"/>
  <c r="AN240" i="1"/>
  <c r="BD238" i="1"/>
  <c r="BD234" i="1"/>
  <c r="BD230" i="1"/>
  <c r="BD216" i="1"/>
  <c r="BE210" i="1"/>
  <c r="AL9" i="1"/>
  <c r="AK210" i="1"/>
  <c r="AG210" i="1"/>
  <c r="AC212" i="1"/>
  <c r="AB9" i="1"/>
  <c r="AC10" i="1"/>
  <c r="AB211" i="1"/>
  <c r="H211" i="1"/>
  <c r="H9" i="1"/>
  <c r="G210" i="1"/>
  <c r="AU211" i="1"/>
  <c r="AU9" i="1"/>
  <c r="AT210" i="1"/>
  <c r="AY9" i="1"/>
  <c r="AY210" i="1" s="1"/>
  <c r="AY211" i="1"/>
  <c r="AJ210" i="1"/>
  <c r="W211" i="1"/>
  <c r="W9" i="1"/>
  <c r="V210" i="1"/>
  <c r="L210" i="1"/>
  <c r="BB9" i="1"/>
  <c r="BB211" i="1"/>
  <c r="Z345" i="1" l="1"/>
  <c r="N345" i="1"/>
  <c r="Q612" i="1"/>
  <c r="BD590" i="1"/>
  <c r="AR521" i="1"/>
  <c r="BD629" i="1"/>
  <c r="H521" i="1"/>
  <c r="BA611" i="1"/>
  <c r="BD596" i="1"/>
  <c r="W306" i="1"/>
  <c r="BA615" i="1"/>
  <c r="BA612" i="1"/>
  <c r="BD614" i="1"/>
  <c r="AR306" i="1"/>
  <c r="Q633" i="1"/>
  <c r="AU346" i="1"/>
  <c r="W346" i="1"/>
  <c r="W345" i="1"/>
  <c r="Z346" i="1"/>
  <c r="AB345" i="1"/>
  <c r="AZ345" i="1"/>
  <c r="AI346" i="1"/>
  <c r="AL345" i="1"/>
  <c r="K345" i="1"/>
  <c r="AM346" i="1"/>
  <c r="AM345" i="1" s="1"/>
  <c r="AD345" i="1"/>
  <c r="AF345" i="1" s="1"/>
  <c r="BC345" i="1"/>
  <c r="AA346" i="1"/>
  <c r="AA345" i="1" s="1"/>
  <c r="R345" i="1"/>
  <c r="T345" i="1" s="1"/>
  <c r="AX346" i="1"/>
  <c r="K346" i="1"/>
  <c r="BG146" i="1"/>
  <c r="BG522" i="1"/>
  <c r="BG489" i="1" s="1"/>
  <c r="BG306" i="1"/>
  <c r="BG521" i="1"/>
  <c r="BG630" i="1"/>
  <c r="BG597" i="1"/>
  <c r="AN345" i="1"/>
  <c r="BG649" i="1"/>
  <c r="BG616" i="1"/>
  <c r="AX345" i="1"/>
  <c r="BA588" i="1"/>
  <c r="K210" i="1"/>
  <c r="BG242" i="1"/>
  <c r="BG587" i="1"/>
  <c r="BG620" i="1"/>
  <c r="BB346" i="1"/>
  <c r="O346" i="1"/>
  <c r="O345" i="1" s="1"/>
  <c r="F345" i="1"/>
  <c r="H345" i="1" s="1"/>
  <c r="P345" i="1"/>
  <c r="AF346" i="1"/>
  <c r="AP345" i="1"/>
  <c r="AR345" i="1" s="1"/>
  <c r="AY346" i="1"/>
  <c r="AY345" i="1" s="1"/>
  <c r="AI345" i="1"/>
  <c r="AL346" i="1"/>
  <c r="H210" i="1"/>
  <c r="AF210" i="1"/>
  <c r="AO613" i="1"/>
  <c r="BB210" i="1"/>
  <c r="AO240" i="1"/>
  <c r="AX210" i="1"/>
  <c r="AO307" i="1"/>
  <c r="AF521" i="1"/>
  <c r="AC589" i="1"/>
  <c r="BA589" i="1"/>
  <c r="BA317" i="1"/>
  <c r="AO646" i="1"/>
  <c r="BA613" i="1"/>
  <c r="AO590" i="1"/>
  <c r="AC600" i="1"/>
  <c r="AC602" i="1"/>
  <c r="AC604" i="1"/>
  <c r="AC606" i="1"/>
  <c r="AC608" i="1"/>
  <c r="N630" i="1"/>
  <c r="AC631" i="1"/>
  <c r="N597" i="1"/>
  <c r="AC598" i="1"/>
  <c r="Q610" i="1"/>
  <c r="Q645" i="1"/>
  <c r="Q614" i="1"/>
  <c r="W210" i="1"/>
  <c r="AC211" i="1"/>
  <c r="Q221" i="1"/>
  <c r="H306" i="1"/>
  <c r="AF620" i="1"/>
  <c r="AO622" i="1"/>
  <c r="W587" i="1"/>
  <c r="AL597" i="1"/>
  <c r="BA598" i="1"/>
  <c r="AO611" i="1"/>
  <c r="BA644" i="1"/>
  <c r="AO615" i="1"/>
  <c r="BA648" i="1"/>
  <c r="BD243" i="1"/>
  <c r="AC382" i="1"/>
  <c r="AR620" i="1"/>
  <c r="BD626" i="1"/>
  <c r="BD628" i="1"/>
  <c r="Q600" i="1"/>
  <c r="AC633" i="1"/>
  <c r="AO600" i="1"/>
  <c r="Q602" i="1"/>
  <c r="AC635" i="1"/>
  <c r="AO602" i="1"/>
  <c r="Q604" i="1"/>
  <c r="AC637" i="1"/>
  <c r="AO604" i="1"/>
  <c r="Q606" i="1"/>
  <c r="AC639" i="1"/>
  <c r="AO606" i="1"/>
  <c r="Q608" i="1"/>
  <c r="AC641" i="1"/>
  <c r="AO608" i="1"/>
  <c r="BD336" i="1"/>
  <c r="BD422" i="1"/>
  <c r="T306" i="1"/>
  <c r="AL521" i="1"/>
  <c r="AO623" i="1"/>
  <c r="AO593" i="1"/>
  <c r="AO595" i="1"/>
  <c r="Q629" i="1"/>
  <c r="AO629" i="1"/>
  <c r="BD633" i="1"/>
  <c r="BD635" i="1"/>
  <c r="BD637" i="1"/>
  <c r="BD639" i="1"/>
  <c r="BD641" i="1"/>
  <c r="AO650" i="1"/>
  <c r="O210" i="1"/>
  <c r="Q307" i="1"/>
  <c r="AO626" i="1"/>
  <c r="AO628" i="1"/>
  <c r="Q596" i="1"/>
  <c r="AO596" i="1"/>
  <c r="BD600" i="1"/>
  <c r="BD602" i="1"/>
  <c r="BD604" i="1"/>
  <c r="BD606" i="1"/>
  <c r="BD608" i="1"/>
  <c r="AO617" i="1"/>
  <c r="Z521" i="1"/>
  <c r="AX521" i="1"/>
  <c r="BD621" i="1"/>
  <c r="Q650" i="1"/>
  <c r="Q336" i="1"/>
  <c r="H616" i="1"/>
  <c r="AF649" i="1"/>
  <c r="BD588" i="1"/>
  <c r="AU210" i="1"/>
  <c r="BD622" i="1"/>
  <c r="BD221" i="1"/>
  <c r="AC644" i="1"/>
  <c r="BD645" i="1"/>
  <c r="AC648" i="1"/>
  <c r="Q644" i="1"/>
  <c r="Q648" i="1"/>
  <c r="AC617" i="1"/>
  <c r="BA617" i="1"/>
  <c r="BA307" i="1"/>
  <c r="BD589" i="1"/>
  <c r="T210" i="1"/>
  <c r="AF306" i="1"/>
  <c r="AF587" i="1"/>
  <c r="AC622" i="1"/>
  <c r="AO589" i="1"/>
  <c r="BA622" i="1"/>
  <c r="W620" i="1"/>
  <c r="AC317" i="1"/>
  <c r="AL630" i="1"/>
  <c r="BA631" i="1"/>
  <c r="AC611" i="1"/>
  <c r="AO644" i="1"/>
  <c r="BD612" i="1"/>
  <c r="BA646" i="1"/>
  <c r="AC615" i="1"/>
  <c r="AO648" i="1"/>
  <c r="AC555" i="1"/>
  <c r="BD41" i="1"/>
  <c r="AR587" i="1"/>
  <c r="BD593" i="1"/>
  <c r="BD595" i="1"/>
  <c r="AO633" i="1"/>
  <c r="BA600" i="1"/>
  <c r="AO635" i="1"/>
  <c r="BA602" i="1"/>
  <c r="AO637" i="1"/>
  <c r="BA604" i="1"/>
  <c r="AO639" i="1"/>
  <c r="BA606" i="1"/>
  <c r="AO641" i="1"/>
  <c r="BA608" i="1"/>
  <c r="BA643" i="1"/>
  <c r="Q611" i="1"/>
  <c r="BA645" i="1"/>
  <c r="BA647" i="1"/>
  <c r="Q615" i="1"/>
  <c r="AC650" i="1"/>
  <c r="BA650" i="1"/>
  <c r="BA243" i="1"/>
  <c r="BD454" i="1"/>
  <c r="T521" i="1"/>
  <c r="AL306" i="1"/>
  <c r="Q240" i="1"/>
  <c r="Z306" i="1"/>
  <c r="AX306" i="1"/>
  <c r="BD623" i="1"/>
  <c r="W521" i="1"/>
  <c r="H649" i="1"/>
  <c r="AF616" i="1"/>
  <c r="BD555" i="1"/>
  <c r="BA555" i="1"/>
  <c r="AO243" i="1"/>
  <c r="BD274" i="1"/>
  <c r="Q617" i="1"/>
  <c r="BA336" i="1"/>
  <c r="AC9" i="1"/>
  <c r="AB210" i="1"/>
  <c r="AC210" i="1" s="1"/>
  <c r="E586" i="1"/>
  <c r="E618" i="1"/>
  <c r="E619" i="1"/>
  <c r="Q9" i="1"/>
  <c r="P210" i="1"/>
  <c r="BA240" i="1"/>
  <c r="H522" i="1"/>
  <c r="G489" i="1"/>
  <c r="H489" i="1" s="1"/>
  <c r="AO73" i="1"/>
  <c r="AN146" i="1"/>
  <c r="AN306" i="1"/>
  <c r="AN521" i="1"/>
  <c r="AN522" i="1"/>
  <c r="AF146" i="1"/>
  <c r="AE586" i="1"/>
  <c r="AE618" i="1"/>
  <c r="AE619" i="1"/>
  <c r="AU620" i="1"/>
  <c r="O597" i="1"/>
  <c r="O630" i="1"/>
  <c r="K587" i="1"/>
  <c r="AI620" i="1"/>
  <c r="H630" i="1"/>
  <c r="AB500" i="1"/>
  <c r="AC500" i="1" s="1"/>
  <c r="AC533" i="1"/>
  <c r="AC157" i="1"/>
  <c r="AB597" i="1"/>
  <c r="AB630" i="1"/>
  <c r="AF597" i="1"/>
  <c r="AN519" i="1"/>
  <c r="AO519" i="1" s="1"/>
  <c r="AO552" i="1"/>
  <c r="AO176" i="1"/>
  <c r="AN616" i="1"/>
  <c r="AN649" i="1"/>
  <c r="AC105" i="1"/>
  <c r="AB554" i="1"/>
  <c r="AC554" i="1" s="1"/>
  <c r="BA642" i="1"/>
  <c r="BC350" i="1"/>
  <c r="BD351" i="1"/>
  <c r="AR350" i="1"/>
  <c r="AR660" i="1" s="1"/>
  <c r="AQ662" i="1"/>
  <c r="AR662" i="1" s="1"/>
  <c r="BA221" i="1"/>
  <c r="AC621" i="1"/>
  <c r="AR146" i="1"/>
  <c r="AQ586" i="1"/>
  <c r="AQ618" i="1"/>
  <c r="AQ619" i="1"/>
  <c r="BB146" i="1"/>
  <c r="BB306" i="1"/>
  <c r="BB521" i="1"/>
  <c r="BB522" i="1"/>
  <c r="BB489" i="1" s="1"/>
  <c r="BD624" i="1"/>
  <c r="BD594" i="1"/>
  <c r="BB597" i="1"/>
  <c r="BB630" i="1"/>
  <c r="AP586" i="1"/>
  <c r="AP618" i="1"/>
  <c r="AP619" i="1"/>
  <c r="BD598" i="1"/>
  <c r="BD599" i="1"/>
  <c r="BD601" i="1"/>
  <c r="BD603" i="1"/>
  <c r="BD605" i="1"/>
  <c r="BD607" i="1"/>
  <c r="BD609" i="1"/>
  <c r="AC610" i="1"/>
  <c r="BD611" i="1"/>
  <c r="AC612" i="1"/>
  <c r="BD613" i="1"/>
  <c r="AC614" i="1"/>
  <c r="BD615" i="1"/>
  <c r="P519" i="1"/>
  <c r="Q519" i="1" s="1"/>
  <c r="Q552" i="1"/>
  <c r="Q176" i="1"/>
  <c r="P616" i="1"/>
  <c r="P649" i="1"/>
  <c r="T649" i="1"/>
  <c r="AR649" i="1"/>
  <c r="AO609" i="1"/>
  <c r="O616" i="1"/>
  <c r="O649" i="1"/>
  <c r="K616" i="1"/>
  <c r="AM616" i="1"/>
  <c r="AM649" i="1"/>
  <c r="AI616" i="1"/>
  <c r="Z350" i="1"/>
  <c r="Z660" i="1" s="1"/>
  <c r="Y660" i="1"/>
  <c r="Y662" i="1" s="1"/>
  <c r="Z662" i="1" s="1"/>
  <c r="AF350" i="1"/>
  <c r="AF660" i="1" s="1"/>
  <c r="AE660" i="1"/>
  <c r="AE662" i="1" s="1"/>
  <c r="AF662" i="1" s="1"/>
  <c r="W350" i="1"/>
  <c r="W660" i="1" s="1"/>
  <c r="V660" i="1"/>
  <c r="V662" i="1" s="1"/>
  <c r="W662" i="1" s="1"/>
  <c r="AU350" i="1"/>
  <c r="AU660" i="1" s="1"/>
  <c r="AT660" i="1"/>
  <c r="AT662" i="1" s="1"/>
  <c r="AU662" i="1" s="1"/>
  <c r="N210" i="1"/>
  <c r="P490" i="1"/>
  <c r="Q490" i="1" s="1"/>
  <c r="Q523" i="1"/>
  <c r="Q147" i="1"/>
  <c r="P587" i="1"/>
  <c r="P620" i="1"/>
  <c r="T522" i="1"/>
  <c r="S489" i="1"/>
  <c r="T489" i="1" s="1"/>
  <c r="T587" i="1"/>
  <c r="AL146" i="1"/>
  <c r="AK586" i="1"/>
  <c r="AK618" i="1"/>
  <c r="AK619" i="1"/>
  <c r="AL587" i="1"/>
  <c r="BA73" i="1"/>
  <c r="AZ146" i="1"/>
  <c r="AZ306" i="1"/>
  <c r="AZ521" i="1"/>
  <c r="AZ522" i="1"/>
  <c r="AS586" i="1"/>
  <c r="AS618" i="1"/>
  <c r="AS619" i="1"/>
  <c r="AR210" i="1"/>
  <c r="AO221" i="1"/>
  <c r="AC240" i="1"/>
  <c r="I619" i="1"/>
  <c r="I586" i="1"/>
  <c r="I618" i="1"/>
  <c r="Z146" i="1"/>
  <c r="Y619" i="1"/>
  <c r="Y586" i="1"/>
  <c r="Y618" i="1"/>
  <c r="Z620" i="1"/>
  <c r="AO588" i="1"/>
  <c r="AG619" i="1"/>
  <c r="AG586" i="1"/>
  <c r="AG618" i="1"/>
  <c r="AX146" i="1"/>
  <c r="AW619" i="1"/>
  <c r="AW586" i="1"/>
  <c r="AW618" i="1"/>
  <c r="AX620" i="1"/>
  <c r="O587" i="1"/>
  <c r="O620" i="1"/>
  <c r="V489" i="1"/>
  <c r="W489" i="1" s="1"/>
  <c r="W522" i="1"/>
  <c r="AM587" i="1"/>
  <c r="AM620" i="1"/>
  <c r="AT489" i="1"/>
  <c r="AU489" i="1" s="1"/>
  <c r="AU522" i="1"/>
  <c r="AU306" i="1"/>
  <c r="Q624" i="1"/>
  <c r="AO624" i="1"/>
  <c r="Q592" i="1"/>
  <c r="AO592" i="1"/>
  <c r="Q626" i="1"/>
  <c r="Q594" i="1"/>
  <c r="AO594" i="1"/>
  <c r="Q628" i="1"/>
  <c r="K521" i="1"/>
  <c r="K146" i="1"/>
  <c r="J586" i="1"/>
  <c r="J618" i="1"/>
  <c r="J619" i="1"/>
  <c r="AA587" i="1"/>
  <c r="AA620" i="1"/>
  <c r="AH489" i="1"/>
  <c r="AI489" i="1" s="1"/>
  <c r="AI522" i="1"/>
  <c r="AI306" i="1"/>
  <c r="AY146" i="1"/>
  <c r="AY306" i="1"/>
  <c r="AY521" i="1"/>
  <c r="AY522" i="1"/>
  <c r="AY489" i="1" s="1"/>
  <c r="Q599" i="1"/>
  <c r="AC632" i="1"/>
  <c r="AO599" i="1"/>
  <c r="BA632" i="1"/>
  <c r="Q601" i="1"/>
  <c r="AC634" i="1"/>
  <c r="AO601" i="1"/>
  <c r="BA634" i="1"/>
  <c r="Q603" i="1"/>
  <c r="AC636" i="1"/>
  <c r="AO603" i="1"/>
  <c r="BA636" i="1"/>
  <c r="Q605" i="1"/>
  <c r="AC638" i="1"/>
  <c r="AO605" i="1"/>
  <c r="BA638" i="1"/>
  <c r="Q607" i="1"/>
  <c r="AC640" i="1"/>
  <c r="AO607" i="1"/>
  <c r="BA640" i="1"/>
  <c r="Q609" i="1"/>
  <c r="AC642" i="1"/>
  <c r="Q555" i="1"/>
  <c r="BA105" i="1"/>
  <c r="AZ554" i="1"/>
  <c r="BA554" i="1" s="1"/>
  <c r="AO178" i="1"/>
  <c r="AN242" i="1"/>
  <c r="AO242" i="1" s="1"/>
  <c r="Q382" i="1"/>
  <c r="BD382" i="1"/>
  <c r="N350" i="1"/>
  <c r="N660" i="1" s="1"/>
  <c r="M660" i="1"/>
  <c r="M662" i="1" s="1"/>
  <c r="N662" i="1" s="1"/>
  <c r="T350" i="1"/>
  <c r="T660" i="1" s="1"/>
  <c r="S660" i="1"/>
  <c r="S662" i="1" s="1"/>
  <c r="T662" i="1" s="1"/>
  <c r="AC221" i="1"/>
  <c r="BD523" i="1"/>
  <c r="BC490" i="1"/>
  <c r="BD490" i="1" s="1"/>
  <c r="BD147" i="1"/>
  <c r="BC587" i="1"/>
  <c r="BC620" i="1"/>
  <c r="BD73" i="1"/>
  <c r="BC146" i="1"/>
  <c r="BC306" i="1"/>
  <c r="BC521" i="1"/>
  <c r="BC522" i="1"/>
  <c r="N521" i="1"/>
  <c r="N146" i="1"/>
  <c r="M586" i="1"/>
  <c r="M618" i="1"/>
  <c r="M619" i="1"/>
  <c r="N587" i="1"/>
  <c r="AC307" i="1"/>
  <c r="AC73" i="1"/>
  <c r="AB146" i="1"/>
  <c r="AB306" i="1"/>
  <c r="AB521" i="1"/>
  <c r="AB522" i="1"/>
  <c r="Q623" i="1"/>
  <c r="AC590" i="1"/>
  <c r="AD586" i="1"/>
  <c r="AD618" i="1"/>
  <c r="AD619" i="1"/>
  <c r="BA590" i="1"/>
  <c r="AC624" i="1"/>
  <c r="BA591" i="1"/>
  <c r="AC625" i="1"/>
  <c r="BA592" i="1"/>
  <c r="AC626" i="1"/>
  <c r="BA593" i="1"/>
  <c r="AC627" i="1"/>
  <c r="BA594" i="1"/>
  <c r="AC628" i="1"/>
  <c r="BA595" i="1"/>
  <c r="AC629" i="1"/>
  <c r="BA596" i="1"/>
  <c r="K597" i="1"/>
  <c r="AA597" i="1"/>
  <c r="AA630" i="1"/>
  <c r="W597" i="1"/>
  <c r="AM597" i="1"/>
  <c r="AM630" i="1"/>
  <c r="AI597" i="1"/>
  <c r="AY597" i="1"/>
  <c r="AY630" i="1"/>
  <c r="AU597" i="1"/>
  <c r="BD533" i="1"/>
  <c r="BC500" i="1"/>
  <c r="BD500" i="1" s="1"/>
  <c r="BD157" i="1"/>
  <c r="BC597" i="1"/>
  <c r="BD597" i="1" s="1"/>
  <c r="BC630" i="1"/>
  <c r="BD630" i="1" s="1"/>
  <c r="P500" i="1"/>
  <c r="Q500" i="1" s="1"/>
  <c r="Q533" i="1"/>
  <c r="Q157" i="1"/>
  <c r="P597" i="1"/>
  <c r="Q597" i="1" s="1"/>
  <c r="P630" i="1"/>
  <c r="Q631" i="1"/>
  <c r="T597" i="1"/>
  <c r="Z630" i="1"/>
  <c r="AO317" i="1"/>
  <c r="AO598" i="1"/>
  <c r="AR630" i="1"/>
  <c r="AX597" i="1"/>
  <c r="N616" i="1"/>
  <c r="AB519" i="1"/>
  <c r="AC519" i="1" s="1"/>
  <c r="AC552" i="1"/>
  <c r="AC176" i="1"/>
  <c r="AB616" i="1"/>
  <c r="AB649" i="1"/>
  <c r="AL649" i="1"/>
  <c r="AO105" i="1"/>
  <c r="AN554" i="1"/>
  <c r="AO554" i="1" s="1"/>
  <c r="AA616" i="1"/>
  <c r="AA649" i="1"/>
  <c r="W616" i="1"/>
  <c r="AY616" i="1"/>
  <c r="AY649" i="1"/>
  <c r="AU616" i="1"/>
  <c r="AC243" i="1"/>
  <c r="AC178" i="1"/>
  <c r="AB242" i="1"/>
  <c r="AC242" i="1" s="1"/>
  <c r="H350" i="1"/>
  <c r="H660" i="1" s="1"/>
  <c r="G660" i="1"/>
  <c r="G662" i="1" s="1"/>
  <c r="H662" i="1" s="1"/>
  <c r="AO351" i="1"/>
  <c r="AN350" i="1"/>
  <c r="AL210" i="1"/>
  <c r="BD211" i="1"/>
  <c r="BD9" i="1"/>
  <c r="BC210" i="1"/>
  <c r="BD210" i="1" s="1"/>
  <c r="H146" i="1"/>
  <c r="G586" i="1"/>
  <c r="G618" i="1"/>
  <c r="G619" i="1"/>
  <c r="AN490" i="1"/>
  <c r="AO490" i="1" s="1"/>
  <c r="AO523" i="1"/>
  <c r="AO147" i="1"/>
  <c r="AN587" i="1"/>
  <c r="AN620" i="1"/>
  <c r="AF522" i="1"/>
  <c r="AE489" i="1"/>
  <c r="AF489" i="1" s="1"/>
  <c r="BE619" i="1"/>
  <c r="BE586" i="1"/>
  <c r="BE618" i="1"/>
  <c r="AU587" i="1"/>
  <c r="K620" i="1"/>
  <c r="AI587" i="1"/>
  <c r="H597" i="1"/>
  <c r="AF630" i="1"/>
  <c r="AZ500" i="1"/>
  <c r="BA500" i="1" s="1"/>
  <c r="BA533" i="1"/>
  <c r="BA157" i="1"/>
  <c r="AZ597" i="1"/>
  <c r="AZ630" i="1"/>
  <c r="BA609" i="1"/>
  <c r="BD178" i="1"/>
  <c r="BC242" i="1"/>
  <c r="BD242" i="1" s="1"/>
  <c r="Q178" i="1"/>
  <c r="P242" i="1"/>
  <c r="Q242" i="1" s="1"/>
  <c r="AC351" i="1"/>
  <c r="AB350" i="1"/>
  <c r="AL350" i="1"/>
  <c r="AL660" i="1" s="1"/>
  <c r="AK660" i="1"/>
  <c r="AK662" i="1" s="1"/>
  <c r="AL662" i="1" s="1"/>
  <c r="AC588" i="1"/>
  <c r="AR522" i="1"/>
  <c r="AQ489" i="1"/>
  <c r="AR489" i="1" s="1"/>
  <c r="BB587" i="1"/>
  <c r="BB620" i="1"/>
  <c r="BD591" i="1"/>
  <c r="BD627" i="1"/>
  <c r="BD631" i="1"/>
  <c r="BD632" i="1"/>
  <c r="BD634" i="1"/>
  <c r="BD636" i="1"/>
  <c r="BD638" i="1"/>
  <c r="BD640" i="1"/>
  <c r="BD642" i="1"/>
  <c r="AC643" i="1"/>
  <c r="BD644" i="1"/>
  <c r="AC645" i="1"/>
  <c r="BD646" i="1"/>
  <c r="AC647" i="1"/>
  <c r="BD648" i="1"/>
  <c r="BD552" i="1"/>
  <c r="BC519" i="1"/>
  <c r="BD519" i="1" s="1"/>
  <c r="BD176" i="1"/>
  <c r="BC616" i="1"/>
  <c r="BC649" i="1"/>
  <c r="T616" i="1"/>
  <c r="AR616" i="1"/>
  <c r="AO642" i="1"/>
  <c r="K649" i="1"/>
  <c r="AI649" i="1"/>
  <c r="BA178" i="1"/>
  <c r="AZ242" i="1"/>
  <c r="BA242" i="1" s="1"/>
  <c r="AI350" i="1"/>
  <c r="AI660" i="1" s="1"/>
  <c r="AH660" i="1"/>
  <c r="AH662" i="1" s="1"/>
  <c r="AI662" i="1" s="1"/>
  <c r="AI210" i="1"/>
  <c r="BA211" i="1"/>
  <c r="BA9" i="1"/>
  <c r="AZ210" i="1"/>
  <c r="BA210" i="1" s="1"/>
  <c r="Q73" i="1"/>
  <c r="P146" i="1"/>
  <c r="P306" i="1"/>
  <c r="P521" i="1"/>
  <c r="P522" i="1"/>
  <c r="T146" i="1"/>
  <c r="S586" i="1"/>
  <c r="S618" i="1"/>
  <c r="S619" i="1"/>
  <c r="T620" i="1"/>
  <c r="AL522" i="1"/>
  <c r="AK489" i="1"/>
  <c r="AL489" i="1" s="1"/>
  <c r="AL620" i="1"/>
  <c r="AZ490" i="1"/>
  <c r="BA490" i="1" s="1"/>
  <c r="BA523" i="1"/>
  <c r="BA147" i="1"/>
  <c r="AZ587" i="1"/>
  <c r="AZ620" i="1"/>
  <c r="Z210" i="1"/>
  <c r="AO211" i="1"/>
  <c r="AO9" i="1"/>
  <c r="AN210" i="1"/>
  <c r="AO210" i="1" s="1"/>
  <c r="BD240" i="1"/>
  <c r="Z522" i="1"/>
  <c r="Y489" i="1"/>
  <c r="Z489" i="1" s="1"/>
  <c r="Z587" i="1"/>
  <c r="AO621" i="1"/>
  <c r="AX522" i="1"/>
  <c r="AW489" i="1"/>
  <c r="AX489" i="1" s="1"/>
  <c r="AX587" i="1"/>
  <c r="D586" i="1"/>
  <c r="D618" i="1"/>
  <c r="D619" i="1"/>
  <c r="L586" i="1"/>
  <c r="L618" i="1"/>
  <c r="L619" i="1"/>
  <c r="X586" i="1"/>
  <c r="X618" i="1"/>
  <c r="X619" i="1"/>
  <c r="AJ586" i="1"/>
  <c r="AJ618" i="1"/>
  <c r="AJ619" i="1"/>
  <c r="AV586" i="1"/>
  <c r="AV618" i="1"/>
  <c r="AV619" i="1"/>
  <c r="F586" i="1"/>
  <c r="F618" i="1"/>
  <c r="F619" i="1"/>
  <c r="O146" i="1"/>
  <c r="O306" i="1"/>
  <c r="O521" i="1"/>
  <c r="O522" i="1"/>
  <c r="O489" i="1" s="1"/>
  <c r="W146" i="1"/>
  <c r="V586" i="1"/>
  <c r="V618" i="1"/>
  <c r="V619" i="1"/>
  <c r="AM146" i="1"/>
  <c r="AM306" i="1"/>
  <c r="AM521" i="1"/>
  <c r="AM522" i="1"/>
  <c r="AM489" i="1" s="1"/>
  <c r="AU521" i="1"/>
  <c r="AU146" i="1"/>
  <c r="AT586" i="1"/>
  <c r="AT618" i="1"/>
  <c r="AU618" i="1" s="1"/>
  <c r="AT619" i="1"/>
  <c r="Q591" i="1"/>
  <c r="AO591" i="1"/>
  <c r="Q625" i="1"/>
  <c r="AO625" i="1"/>
  <c r="Q593" i="1"/>
  <c r="Q627" i="1"/>
  <c r="AO627" i="1"/>
  <c r="Q595" i="1"/>
  <c r="J489" i="1"/>
  <c r="K489" i="1" s="1"/>
  <c r="K522" i="1"/>
  <c r="K306" i="1"/>
  <c r="AA146" i="1"/>
  <c r="AA306" i="1"/>
  <c r="AA521" i="1"/>
  <c r="AA522" i="1"/>
  <c r="AA489" i="1" s="1"/>
  <c r="AI521" i="1"/>
  <c r="AI146" i="1"/>
  <c r="AH586" i="1"/>
  <c r="AH618" i="1"/>
  <c r="AI618" i="1" s="1"/>
  <c r="AH619" i="1"/>
  <c r="AY587" i="1"/>
  <c r="AY620" i="1"/>
  <c r="Q632" i="1"/>
  <c r="AC599" i="1"/>
  <c r="AO632" i="1"/>
  <c r="BA599" i="1"/>
  <c r="Q634" i="1"/>
  <c r="AC601" i="1"/>
  <c r="AO634" i="1"/>
  <c r="BA601" i="1"/>
  <c r="Q636" i="1"/>
  <c r="AC603" i="1"/>
  <c r="AO636" i="1"/>
  <c r="BA603" i="1"/>
  <c r="Q638" i="1"/>
  <c r="AC605" i="1"/>
  <c r="AO638" i="1"/>
  <c r="BA605" i="1"/>
  <c r="Q640" i="1"/>
  <c r="AC607" i="1"/>
  <c r="AO640" i="1"/>
  <c r="BA607" i="1"/>
  <c r="Q642" i="1"/>
  <c r="AC609" i="1"/>
  <c r="Q105" i="1"/>
  <c r="P554" i="1"/>
  <c r="Q554" i="1" s="1"/>
  <c r="BD105" i="1"/>
  <c r="BC554" i="1"/>
  <c r="BD554" i="1" s="1"/>
  <c r="Q351" i="1"/>
  <c r="P350" i="1"/>
  <c r="BA351" i="1"/>
  <c r="AZ350" i="1"/>
  <c r="BD307" i="1"/>
  <c r="N522" i="1"/>
  <c r="M489" i="1"/>
  <c r="N489" i="1" s="1"/>
  <c r="N306" i="1"/>
  <c r="N620" i="1"/>
  <c r="AB490" i="1"/>
  <c r="AC490" i="1" s="1"/>
  <c r="AC523" i="1"/>
  <c r="AC147" i="1"/>
  <c r="AB587" i="1"/>
  <c r="AB620" i="1"/>
  <c r="AC620" i="1" s="1"/>
  <c r="U586" i="1"/>
  <c r="U618" i="1"/>
  <c r="U619" i="1"/>
  <c r="Q590" i="1"/>
  <c r="AC623" i="1"/>
  <c r="BA623" i="1"/>
  <c r="AC591" i="1"/>
  <c r="BA624" i="1"/>
  <c r="AC592" i="1"/>
  <c r="BA625" i="1"/>
  <c r="AC593" i="1"/>
  <c r="BA626" i="1"/>
  <c r="AC594" i="1"/>
  <c r="BA627" i="1"/>
  <c r="AC595" i="1"/>
  <c r="BA628" i="1"/>
  <c r="AC596" i="1"/>
  <c r="BA629" i="1"/>
  <c r="K630" i="1"/>
  <c r="W630" i="1"/>
  <c r="AI630" i="1"/>
  <c r="AU630" i="1"/>
  <c r="R586" i="1"/>
  <c r="R618" i="1"/>
  <c r="R619" i="1"/>
  <c r="BD317" i="1"/>
  <c r="Q317" i="1"/>
  <c r="Q598" i="1"/>
  <c r="T630" i="1"/>
  <c r="Z597" i="1"/>
  <c r="AN500" i="1"/>
  <c r="AO500" i="1" s="1"/>
  <c r="AO533" i="1"/>
  <c r="AO157" i="1"/>
  <c r="AN597" i="1"/>
  <c r="AN630" i="1"/>
  <c r="AO630" i="1" s="1"/>
  <c r="AO631" i="1"/>
  <c r="AR597" i="1"/>
  <c r="AX630" i="1"/>
  <c r="N649" i="1"/>
  <c r="AL616" i="1"/>
  <c r="AZ519" i="1"/>
  <c r="BA519" i="1" s="1"/>
  <c r="BA552" i="1"/>
  <c r="BA176" i="1"/>
  <c r="AZ616" i="1"/>
  <c r="AZ649" i="1"/>
  <c r="AO555" i="1"/>
  <c r="BB616" i="1"/>
  <c r="BB649" i="1"/>
  <c r="W649" i="1"/>
  <c r="AU649" i="1"/>
  <c r="AO382" i="1"/>
  <c r="AX350" i="1"/>
  <c r="AX660" i="1" s="1"/>
  <c r="AW660" i="1"/>
  <c r="AW662" i="1" s="1"/>
  <c r="AX662" i="1" s="1"/>
  <c r="K350" i="1"/>
  <c r="K660" i="1" s="1"/>
  <c r="J660" i="1"/>
  <c r="J662" i="1" s="1"/>
  <c r="K662" i="1" s="1"/>
  <c r="AI586" i="1" l="1"/>
  <c r="BB345" i="1"/>
  <c r="BD345" i="1" s="1"/>
  <c r="BG346" i="1"/>
  <c r="BG345" i="1" s="1"/>
  <c r="Q345" i="1"/>
  <c r="K619" i="1"/>
  <c r="Q346" i="1"/>
  <c r="AO346" i="1"/>
  <c r="BA346" i="1"/>
  <c r="AO345" i="1"/>
  <c r="AC345" i="1"/>
  <c r="BD346" i="1"/>
  <c r="BA345" i="1"/>
  <c r="BG619" i="1"/>
  <c r="BG618" i="1"/>
  <c r="BG586" i="1"/>
  <c r="AC346" i="1"/>
  <c r="BA649" i="1"/>
  <c r="AO620" i="1"/>
  <c r="BA597" i="1"/>
  <c r="K618" i="1"/>
  <c r="BD521" i="1"/>
  <c r="AO587" i="1"/>
  <c r="Q210" i="1"/>
  <c r="BA616" i="1"/>
  <c r="AC649" i="1"/>
  <c r="AO597" i="1"/>
  <c r="AC587" i="1"/>
  <c r="AI619" i="1"/>
  <c r="AU619" i="1"/>
  <c r="AU586" i="1"/>
  <c r="BA630" i="1"/>
  <c r="Q630" i="1"/>
  <c r="BD306" i="1"/>
  <c r="W619" i="1"/>
  <c r="W586" i="1"/>
  <c r="BA620" i="1"/>
  <c r="Q521" i="1"/>
  <c r="T618" i="1"/>
  <c r="Q146" i="1"/>
  <c r="P586" i="1"/>
  <c r="P618" i="1"/>
  <c r="P619" i="1"/>
  <c r="BD616" i="1"/>
  <c r="AC350" i="1"/>
  <c r="AC660" i="1" s="1"/>
  <c r="AB660" i="1"/>
  <c r="AB662" i="1" s="1"/>
  <c r="AC662" i="1" s="1"/>
  <c r="H619" i="1"/>
  <c r="H586" i="1"/>
  <c r="AO350" i="1"/>
  <c r="AO660" i="1" s="1"/>
  <c r="AN660" i="1"/>
  <c r="AN662" i="1" s="1"/>
  <c r="AO662" i="1" s="1"/>
  <c r="AC521" i="1"/>
  <c r="AC146" i="1"/>
  <c r="AB586" i="1"/>
  <c r="AB618" i="1"/>
  <c r="AB619" i="1"/>
  <c r="N619" i="1"/>
  <c r="N586" i="1"/>
  <c r="BD146" i="1"/>
  <c r="BC586" i="1"/>
  <c r="BC618" i="1"/>
  <c r="BC619" i="1"/>
  <c r="BD620" i="1"/>
  <c r="AX618" i="1"/>
  <c r="AX619" i="1"/>
  <c r="Z586" i="1"/>
  <c r="BA521" i="1"/>
  <c r="BA146" i="1"/>
  <c r="AZ586" i="1"/>
  <c r="AZ618" i="1"/>
  <c r="AZ619" i="1"/>
  <c r="AL618" i="1"/>
  <c r="Q620" i="1"/>
  <c r="Q649" i="1"/>
  <c r="AR618" i="1"/>
  <c r="BD350" i="1"/>
  <c r="BC660" i="1"/>
  <c r="AO649" i="1"/>
  <c r="AC630" i="1"/>
  <c r="AF618" i="1"/>
  <c r="AO521" i="1"/>
  <c r="AO146" i="1"/>
  <c r="AN586" i="1"/>
  <c r="AN618" i="1"/>
  <c r="AN619" i="1"/>
  <c r="BA350" i="1"/>
  <c r="BA660" i="1" s="1"/>
  <c r="AZ660" i="1"/>
  <c r="AZ662" i="1" s="1"/>
  <c r="BA662" i="1" s="1"/>
  <c r="Q350" i="1"/>
  <c r="Q660" i="1" s="1"/>
  <c r="P660" i="1"/>
  <c r="P662" i="1" s="1"/>
  <c r="Q662" i="1" s="1"/>
  <c r="AA586" i="1"/>
  <c r="AA618" i="1"/>
  <c r="AA619" i="1"/>
  <c r="AM586" i="1"/>
  <c r="AM618" i="1"/>
  <c r="AM619" i="1"/>
  <c r="W618" i="1"/>
  <c r="O586" i="1"/>
  <c r="O618" i="1"/>
  <c r="O619" i="1"/>
  <c r="BA587" i="1"/>
  <c r="T619" i="1"/>
  <c r="T586" i="1"/>
  <c r="P489" i="1"/>
  <c r="Q489" i="1" s="1"/>
  <c r="Q522" i="1"/>
  <c r="Q306" i="1"/>
  <c r="BD649" i="1"/>
  <c r="H618" i="1"/>
  <c r="AC616" i="1"/>
  <c r="AB489" i="1"/>
  <c r="AC489" i="1" s="1"/>
  <c r="AC522" i="1"/>
  <c r="AC306" i="1"/>
  <c r="N618" i="1"/>
  <c r="BD522" i="1"/>
  <c r="BC489" i="1"/>
  <c r="BD489" i="1" s="1"/>
  <c r="BD587" i="1"/>
  <c r="AY586" i="1"/>
  <c r="AY618" i="1"/>
  <c r="AY619" i="1"/>
  <c r="K586" i="1"/>
  <c r="AX586" i="1"/>
  <c r="Z618" i="1"/>
  <c r="Z619" i="1"/>
  <c r="AZ489" i="1"/>
  <c r="BA489" i="1" s="1"/>
  <c r="BA522" i="1"/>
  <c r="BA306" i="1"/>
  <c r="AL619" i="1"/>
  <c r="AL586" i="1"/>
  <c r="Q587" i="1"/>
  <c r="Q616" i="1"/>
  <c r="BB586" i="1"/>
  <c r="BB618" i="1"/>
  <c r="BB619" i="1"/>
  <c r="AR619" i="1"/>
  <c r="AR586" i="1"/>
  <c r="AO616" i="1"/>
  <c r="AC597" i="1"/>
  <c r="AF619" i="1"/>
  <c r="AF586" i="1"/>
  <c r="AN489" i="1"/>
  <c r="AO489" i="1" s="1"/>
  <c r="AO522" i="1"/>
  <c r="AO306" i="1"/>
  <c r="AO618" i="1" l="1"/>
  <c r="BA618" i="1"/>
  <c r="BD619" i="1"/>
  <c r="BD586" i="1"/>
  <c r="AC619" i="1"/>
  <c r="AC586" i="1"/>
  <c r="Q619" i="1"/>
  <c r="Q586" i="1"/>
  <c r="AO619" i="1"/>
  <c r="AO586" i="1"/>
  <c r="BD660" i="1"/>
  <c r="BC662" i="1"/>
  <c r="BD662" i="1" s="1"/>
  <c r="BA619" i="1"/>
  <c r="BA586" i="1"/>
  <c r="BD618" i="1"/>
  <c r="AC618" i="1"/>
  <c r="Q618" i="1"/>
</calcChain>
</file>

<file path=xl/sharedStrings.xml><?xml version="1.0" encoding="utf-8"?>
<sst xmlns="http://schemas.openxmlformats.org/spreadsheetml/2006/main" count="1407" uniqueCount="144">
  <si>
    <t>ППДН-7 "Строительство скважин"</t>
  </si>
  <si>
    <t>800.M.DATE_INPUT_LAST_CURRENCY_NA</t>
  </si>
  <si>
    <t>800.M.START_DATE_BMP_NA</t>
  </si>
  <si>
    <t>800.M.START_DATE_DRILLING_NA</t>
  </si>
  <si>
    <t>800.M.END_DATE_BMP_NA</t>
  </si>
  <si>
    <t>800.M.END_DATE_DRILLING_NA</t>
  </si>
  <si>
    <t>№ п/п</t>
  </si>
  <si>
    <t>Показатель</t>
  </si>
  <si>
    <t>ед.изм.</t>
  </si>
  <si>
    <t>январь</t>
  </si>
  <si>
    <t>февраль</t>
  </si>
  <si>
    <t>март</t>
  </si>
  <si>
    <t>1 квартал</t>
  </si>
  <si>
    <t>апрель</t>
  </si>
  <si>
    <t>май</t>
  </si>
  <si>
    <t>июнь</t>
  </si>
  <si>
    <t>2 квартал</t>
  </si>
  <si>
    <t>июль</t>
  </si>
  <si>
    <t>август</t>
  </si>
  <si>
    <t>сентябрь</t>
  </si>
  <si>
    <t>3 квартал</t>
  </si>
  <si>
    <t>октябрь</t>
  </si>
  <si>
    <t>ноябрь</t>
  </si>
  <si>
    <t>декабрь</t>
  </si>
  <si>
    <t>4 квартал</t>
  </si>
  <si>
    <t>ИТОГО</t>
  </si>
  <si>
    <t>Факт</t>
  </si>
  <si>
    <t>План</t>
  </si>
  <si>
    <t>Отклонение</t>
  </si>
  <si>
    <t>1. Производственные показатели</t>
  </si>
  <si>
    <t>1.1.</t>
  </si>
  <si>
    <t>Проходка (выполненный объем)</t>
  </si>
  <si>
    <t>м.</t>
  </si>
  <si>
    <t xml:space="preserve">       -наклонно-направленные, в т.ч.</t>
  </si>
  <si>
    <t xml:space="preserve">   -наклонно направленные</t>
  </si>
  <si>
    <t xml:space="preserve">   -наклонно направленные Юра</t>
  </si>
  <si>
    <t xml:space="preserve">   -наклонно направленные Бажен</t>
  </si>
  <si>
    <t xml:space="preserve">   -наклонно направленные Палеозой</t>
  </si>
  <si>
    <t xml:space="preserve">   -наклонно направленные c ГРП </t>
  </si>
  <si>
    <t xml:space="preserve">   -наклонно направленные c ГРП Юра</t>
  </si>
  <si>
    <t xml:space="preserve">   -наклонно направленные c ГРП Бажен</t>
  </si>
  <si>
    <t xml:space="preserve">   -наклонно направленные c ГРП Палеозой</t>
  </si>
  <si>
    <t xml:space="preserve">   -водозаборные</t>
  </si>
  <si>
    <t xml:space="preserve">       -горизонтальные</t>
  </si>
  <si>
    <t xml:space="preserve">   -горизонтальные пилотные</t>
  </si>
  <si>
    <t xml:space="preserve">   -горизонтальные безпилотные</t>
  </si>
  <si>
    <t xml:space="preserve">   -горизонтальные пилотные Юра</t>
  </si>
  <si>
    <t xml:space="preserve">   -горизонтальные безпилотные Юра</t>
  </si>
  <si>
    <t xml:space="preserve">   -горизонтальные пилотные Бажен</t>
  </si>
  <si>
    <t xml:space="preserve">   -горизонтальные безпилотные Бажен</t>
  </si>
  <si>
    <t xml:space="preserve">   -горизонтальные пилотные Палеозой</t>
  </si>
  <si>
    <t xml:space="preserve">   -горизонтальные безпилотные Палеозой</t>
  </si>
  <si>
    <t xml:space="preserve">   -многозабойные пилотные</t>
  </si>
  <si>
    <t xml:space="preserve">   -многозабойные безпилотные</t>
  </si>
  <si>
    <t xml:space="preserve">   -МГРП пилотная</t>
  </si>
  <si>
    <t xml:space="preserve">   -МГРП безпилотная</t>
  </si>
  <si>
    <t xml:space="preserve">   -МГРП пилотная Юра</t>
  </si>
  <si>
    <t xml:space="preserve">   -МГРП безпилотная Юра</t>
  </si>
  <si>
    <t xml:space="preserve">   -МГРП пилотная Бажен</t>
  </si>
  <si>
    <t xml:space="preserve">   -МГРП безпилотная Бажен</t>
  </si>
  <si>
    <t xml:space="preserve">   -МГРП пилотная Палеозой</t>
  </si>
  <si>
    <t xml:space="preserve">   -МГРП безпилотная Палеозой</t>
  </si>
  <si>
    <t xml:space="preserve">       -газовые скважины, в т.ч.</t>
  </si>
  <si>
    <t xml:space="preserve">    -газовые скважины</t>
  </si>
  <si>
    <t>1.2.</t>
  </si>
  <si>
    <t>Проходка (по зак.бурением скважинам)</t>
  </si>
  <si>
    <t>1.3.</t>
  </si>
  <si>
    <t>Скважины законченые бурением</t>
  </si>
  <si>
    <t>шт.</t>
  </si>
  <si>
    <t>1.4.</t>
  </si>
  <si>
    <t>Сдача скважин</t>
  </si>
  <si>
    <t>1.5.</t>
  </si>
  <si>
    <t>Ввод скважин</t>
  </si>
  <si>
    <t>Добывающие</t>
  </si>
  <si>
    <t xml:space="preserve">   -наклонно направленные (в т.ч. ППД с отраб)</t>
  </si>
  <si>
    <t xml:space="preserve">   -горизонтальное</t>
  </si>
  <si>
    <t>Нагнетательные</t>
  </si>
  <si>
    <t>Водозаборные</t>
  </si>
  <si>
    <t>Газовые</t>
  </si>
  <si>
    <t>Прочие</t>
  </si>
  <si>
    <t>1.6.</t>
  </si>
  <si>
    <t>Средняя проходка по скв.зак.бур.</t>
  </si>
  <si>
    <t>1.7.</t>
  </si>
  <si>
    <t>Сутки бурения выполненный объем</t>
  </si>
  <si>
    <t>сут.</t>
  </si>
  <si>
    <t>1.8.</t>
  </si>
  <si>
    <t xml:space="preserve">Сутки бурения 1 000 м. </t>
  </si>
  <si>
    <t>1.9.</t>
  </si>
  <si>
    <t>Коммерческая скорость бурения 1 скважины</t>
  </si>
  <si>
    <t>м/ст.мес.</t>
  </si>
  <si>
    <t>1.10.</t>
  </si>
  <si>
    <t>Сутки бурения по зак.бур.скв.</t>
  </si>
  <si>
    <t>1.11.</t>
  </si>
  <si>
    <t>Сутки бурения 1 скважины зак.бур.</t>
  </si>
  <si>
    <t>1.12.</t>
  </si>
  <si>
    <t>Количество операций ВМР</t>
  </si>
  <si>
    <t>шт</t>
  </si>
  <si>
    <t xml:space="preserve"> - Мобилизация</t>
  </si>
  <si>
    <t xml:space="preserve"> - Переезд</t>
  </si>
  <si>
    <t xml:space="preserve"> - Первичный монтаж</t>
  </si>
  <si>
    <t xml:space="preserve"> - Монтаж</t>
  </si>
  <si>
    <t xml:space="preserve"> - Демонтаж</t>
  </si>
  <si>
    <t xml:space="preserve"> - Передвижки</t>
  </si>
  <si>
    <t>1.13.</t>
  </si>
  <si>
    <t>Среднемесячное кол-во бригад бурения</t>
  </si>
  <si>
    <t>бр/мес</t>
  </si>
  <si>
    <t xml:space="preserve"> - Среднемесячное кол-во бригад бурения</t>
  </si>
  <si>
    <t>2. Финансовые показатели</t>
  </si>
  <si>
    <t>2.1.</t>
  </si>
  <si>
    <t>ВМР+Бурение+Освоение</t>
  </si>
  <si>
    <t>т.р.</t>
  </si>
  <si>
    <t>2.2.</t>
  </si>
  <si>
    <t>ВМР</t>
  </si>
  <si>
    <t>ВМР по операциям</t>
  </si>
  <si>
    <t xml:space="preserve"> - Прочие</t>
  </si>
  <si>
    <t>2.3.</t>
  </si>
  <si>
    <t>Раздел "Бурение скважин" в т.ч.:</t>
  </si>
  <si>
    <t>2.4.</t>
  </si>
  <si>
    <t>Раздел "Освоение с учетом ГРП" в т.ч.:</t>
  </si>
  <si>
    <t>3. Удельные финансовые показатели</t>
  </si>
  <si>
    <t>3.1.</t>
  </si>
  <si>
    <t xml:space="preserve">Стоимость 1 скв всего </t>
  </si>
  <si>
    <t>3.2.</t>
  </si>
  <si>
    <t>Стоимость ВМР на 1 скв</t>
  </si>
  <si>
    <t>3.3.</t>
  </si>
  <si>
    <t>Стоимость Бурения на 1 скв</t>
  </si>
  <si>
    <t>3.4.</t>
  </si>
  <si>
    <t>Стоимость освоения на 1 скв</t>
  </si>
  <si>
    <t>3.5.</t>
  </si>
  <si>
    <t xml:space="preserve">Стоимость 1 метра всего </t>
  </si>
  <si>
    <t>3.6.</t>
  </si>
  <si>
    <t>Стоимость ВМР на 1 метр</t>
  </si>
  <si>
    <t>3.7.</t>
  </si>
  <si>
    <t>Стоимость Бурения на 1 метр</t>
  </si>
  <si>
    <t>3.8.</t>
  </si>
  <si>
    <t>Стоимость операций ВМР</t>
  </si>
  <si>
    <t>4. Справочная информация</t>
  </si>
  <si>
    <t>4.1.</t>
  </si>
  <si>
    <t>Каптильные вложения на бурение с учетом челлендж</t>
  </si>
  <si>
    <t>В том числе челленж</t>
  </si>
  <si>
    <t>4.2.</t>
  </si>
  <si>
    <t>Каптильные вложения на бурение с учетом челлендж, ОХР, Рентабельность</t>
  </si>
  <si>
    <t>ОХР</t>
  </si>
  <si>
    <t>Рентабельность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</si>
</sst>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р_._-;\-* #,##0.00_р_._-;_-* &quot;-&quot;??_р_._-;_-@_-"/>
    <numFmt numFmtId="165" formatCode="#,##0.0"/>
  </numFmts>
  <fonts count="37" x14ac:knownFonts="1">
    <font>
      <sz val="11"/>
      <color indexed="8"/>
      <name val="Calibri"/>
      <charset val="204"/>
    </font>
    <font>
      <b/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sz val="11"/>
      <color indexed="64"/>
      <name val="Arial"/>
      <family val="2"/>
      <charset val="204"/>
    </font>
    <font>
      <b/>
      <sz val="10"/>
      <color indexed="64"/>
      <name val="Arial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u/>
      <sz val="16"/>
      <color indexed="9"/>
      <name val="Times New Roman"/>
      <family val="1"/>
      <charset val="204"/>
    </font>
    <font>
      <b/>
      <i/>
      <sz val="11"/>
      <color indexed="9"/>
      <name val="Times New Roman"/>
      <family val="1"/>
      <charset val="204"/>
    </font>
    <font>
      <sz val="10"/>
      <color indexed="9"/>
      <name val="Times New Roman"/>
      <family val="1"/>
      <charset val="204"/>
    </font>
    <font>
      <b/>
      <sz val="10"/>
      <color indexed="9"/>
      <name val="Times New Roman"/>
      <family val="1"/>
      <charset val="204"/>
    </font>
    <font>
      <sz val="11"/>
      <color indexed="9"/>
      <name val="Times New Roman"/>
      <family val="1"/>
      <charset val="204"/>
    </font>
    <font>
      <b/>
      <sz val="11"/>
      <color indexed="9"/>
      <name val="Arial"/>
      <family val="2"/>
      <charset val="204"/>
    </font>
    <font>
      <sz val="11"/>
      <color indexed="9"/>
      <name val="Arial"/>
      <family val="2"/>
      <charset val="204"/>
    </font>
    <font>
      <b/>
      <sz val="10"/>
      <color indexed="9"/>
      <name val="Arial"/>
      <family val="2"/>
      <charset val="204"/>
    </font>
    <font>
      <b/>
      <i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color indexed="64"/>
      <name val="Arial Cyr"/>
      <charset val="204"/>
    </font>
    <font>
      <sz val="11"/>
      <color indexed="8"/>
      <name val="Calibri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164" fontId="36" fillId="0" borderId="0" applyFont="0" applyFill="0" applyBorder="0" applyAlignment="0" applyProtection="0"/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5" borderId="0" applyNumberFormat="0" applyBorder="0" applyAlignment="0" applyProtection="0"/>
    <xf numFmtId="0" fontId="36" fillId="8" borderId="0" applyNumberFormat="0" applyBorder="0" applyAlignment="0" applyProtection="0"/>
    <xf numFmtId="0" fontId="36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7" borderId="1" applyNumberFormat="0" applyAlignment="0" applyProtection="0"/>
    <xf numFmtId="0" fontId="11" fillId="20" borderId="2" applyNumberFormat="0" applyAlignment="0" applyProtection="0"/>
    <xf numFmtId="0" fontId="12" fillId="20" borderId="1" applyNumberFormat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21" borderId="7" applyNumberFormat="0" applyAlignment="0" applyProtection="0"/>
    <xf numFmtId="0" fontId="1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35" fillId="0" borderId="0"/>
    <xf numFmtId="0" fontId="36" fillId="0" borderId="0"/>
    <xf numFmtId="0" fontId="20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36" fillId="23" borderId="8" applyNumberFormat="0" applyFont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</cellStyleXfs>
  <cellXfs count="287">
    <xf numFmtId="0" fontId="0" fillId="0" borderId="0" xfId="0"/>
    <xf numFmtId="0" fontId="4" fillId="0" borderId="11" xfId="0" applyNumberFormat="1" applyFont="1" applyFill="1" applyBorder="1" applyAlignment="1" applyProtection="1">
      <alignment horizontal="center" vertical="center" wrapText="1"/>
    </xf>
    <xf numFmtId="3" fontId="4" fillId="0" borderId="13" xfId="1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3" fontId="2" fillId="0" borderId="14" xfId="0" applyNumberFormat="1" applyFont="1" applyFill="1" applyBorder="1" applyAlignment="1" applyProtection="1">
      <alignment horizontal="center" vertical="center" wrapText="1"/>
    </xf>
    <xf numFmtId="3" fontId="2" fillId="0" borderId="16" xfId="0" applyNumberFormat="1" applyFont="1" applyFill="1" applyBorder="1" applyAlignment="1" applyProtection="1">
      <alignment horizontal="center" vertical="center" wrapText="1"/>
    </xf>
    <xf numFmtId="3" fontId="2" fillId="0" borderId="17" xfId="0" applyNumberFormat="1" applyFont="1" applyFill="1" applyBorder="1" applyAlignment="1" applyProtection="1">
      <alignment horizontal="center" vertical="center" wrapText="1"/>
    </xf>
    <xf numFmtId="3" fontId="2" fillId="0" borderId="18" xfId="0" applyNumberFormat="1" applyFont="1" applyFill="1" applyBorder="1" applyAlignment="1" applyProtection="1">
      <alignment horizontal="center" vertical="center" wrapText="1"/>
    </xf>
    <xf numFmtId="3" fontId="4" fillId="0" borderId="14" xfId="0" applyNumberFormat="1" applyFont="1" applyFill="1" applyBorder="1" applyAlignment="1" applyProtection="1">
      <alignment horizontal="center" vertical="center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0" fontId="4" fillId="0" borderId="15" xfId="0" applyNumberFormat="1" applyFont="1" applyFill="1" applyBorder="1" applyAlignment="1" applyProtection="1">
      <alignment horizontal="left" vertical="center" wrapText="1"/>
    </xf>
    <xf numFmtId="0" fontId="4" fillId="0" borderId="18" xfId="0" applyNumberFormat="1" applyFont="1" applyFill="1" applyBorder="1" applyAlignment="1" applyProtection="1">
      <alignment horizontal="center" vertical="center" wrapText="1"/>
    </xf>
    <xf numFmtId="3" fontId="4" fillId="25" borderId="10" xfId="0" applyNumberFormat="1" applyFont="1" applyFill="1" applyBorder="1" applyAlignment="1" applyProtection="1">
      <alignment horizontal="center" vertical="center" wrapText="1"/>
    </xf>
    <xf numFmtId="3" fontId="4" fillId="25" borderId="20" xfId="0" applyNumberFormat="1" applyFont="1" applyFill="1" applyBorder="1" applyAlignment="1" applyProtection="1">
      <alignment horizontal="center" vertical="center" wrapText="1"/>
    </xf>
    <xf numFmtId="3" fontId="4" fillId="25" borderId="21" xfId="0" applyNumberFormat="1" applyFont="1" applyFill="1" applyBorder="1" applyAlignment="1" applyProtection="1">
      <alignment horizontal="center" vertical="center" wrapText="1"/>
    </xf>
    <xf numFmtId="3" fontId="4" fillId="25" borderId="22" xfId="0" applyNumberFormat="1" applyFont="1" applyFill="1" applyBorder="1" applyAlignment="1" applyProtection="1">
      <alignment horizontal="center" vertical="center" wrapText="1"/>
    </xf>
    <xf numFmtId="3" fontId="4" fillId="25" borderId="23" xfId="0" applyNumberFormat="1" applyFont="1" applyFill="1" applyBorder="1" applyAlignment="1" applyProtection="1">
      <alignment horizontal="center" vertical="center" wrapText="1"/>
    </xf>
    <xf numFmtId="0" fontId="4" fillId="25" borderId="24" xfId="0" applyNumberFormat="1" applyFont="1" applyFill="1" applyBorder="1" applyAlignment="1" applyProtection="1">
      <alignment horizontal="center" vertical="center" wrapText="1"/>
    </xf>
    <xf numFmtId="0" fontId="4" fillId="25" borderId="10" xfId="0" applyNumberFormat="1" applyFont="1" applyFill="1" applyBorder="1" applyAlignment="1" applyProtection="1">
      <alignment horizontal="left" vertical="center" wrapText="1"/>
    </xf>
    <xf numFmtId="0" fontId="4" fillId="25" borderId="22" xfId="0" applyNumberFormat="1" applyFont="1" applyFill="1" applyBorder="1" applyAlignment="1" applyProtection="1">
      <alignment horizontal="center" vertical="center" wrapText="1"/>
    </xf>
    <xf numFmtId="3" fontId="2" fillId="0" borderId="23" xfId="0" applyNumberFormat="1" applyFont="1" applyFill="1" applyBorder="1" applyAlignment="1" applyProtection="1">
      <alignment horizontal="center" vertical="center" wrapText="1"/>
    </xf>
    <xf numFmtId="3" fontId="2" fillId="0" borderId="10" xfId="0" applyNumberFormat="1" applyFont="1" applyFill="1" applyBorder="1" applyAlignment="1" applyProtection="1">
      <alignment horizontal="center" vertical="center" wrapText="1"/>
    </xf>
    <xf numFmtId="3" fontId="2" fillId="0" borderId="20" xfId="0" applyNumberFormat="1" applyFont="1" applyFill="1" applyBorder="1" applyAlignment="1" applyProtection="1">
      <alignment horizontal="center" vertical="center" wrapText="1"/>
    </xf>
    <xf numFmtId="3" fontId="2" fillId="0" borderId="21" xfId="0" applyNumberFormat="1" applyFont="1" applyFill="1" applyBorder="1" applyAlignment="1" applyProtection="1">
      <alignment horizontal="center" vertical="center" wrapText="1"/>
    </xf>
    <xf numFmtId="3" fontId="2" fillId="0" borderId="22" xfId="0" applyNumberFormat="1" applyFont="1" applyFill="1" applyBorder="1" applyAlignment="1" applyProtection="1">
      <alignment horizontal="center" vertical="center" wrapText="1"/>
    </xf>
    <xf numFmtId="3" fontId="4" fillId="0" borderId="23" xfId="0" applyNumberFormat="1" applyFont="1" applyFill="1" applyBorder="1" applyAlignment="1" applyProtection="1">
      <alignment horizontal="center" vertical="center"/>
    </xf>
    <xf numFmtId="0" fontId="4" fillId="0" borderId="24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22" xfId="0" applyNumberFormat="1" applyFont="1" applyFill="1" applyBorder="1" applyAlignment="1" applyProtection="1">
      <alignment horizontal="center" vertical="center" wrapText="1"/>
    </xf>
    <xf numFmtId="3" fontId="4" fillId="25" borderId="25" xfId="0" applyNumberFormat="1" applyFont="1" applyFill="1" applyBorder="1" applyAlignment="1" applyProtection="1">
      <alignment horizontal="center" vertical="center" wrapText="1"/>
    </xf>
    <xf numFmtId="3" fontId="4" fillId="25" borderId="26" xfId="0" applyNumberFormat="1" applyFont="1" applyFill="1" applyBorder="1" applyAlignment="1" applyProtection="1">
      <alignment horizontal="center" vertical="center" wrapText="1"/>
    </xf>
    <xf numFmtId="3" fontId="4" fillId="25" borderId="27" xfId="0" applyNumberFormat="1" applyFont="1" applyFill="1" applyBorder="1" applyAlignment="1" applyProtection="1">
      <alignment horizontal="center" vertical="center" wrapText="1"/>
    </xf>
    <xf numFmtId="3" fontId="4" fillId="25" borderId="13" xfId="0" applyNumberFormat="1" applyFont="1" applyFill="1" applyBorder="1" applyAlignment="1" applyProtection="1">
      <alignment horizontal="center" vertical="center" wrapText="1"/>
    </xf>
    <xf numFmtId="3" fontId="4" fillId="25" borderId="28" xfId="0" applyNumberFormat="1" applyFont="1" applyFill="1" applyBorder="1" applyAlignment="1" applyProtection="1">
      <alignment horizontal="center" vertical="center" wrapText="1"/>
    </xf>
    <xf numFmtId="0" fontId="4" fillId="25" borderId="29" xfId="0" applyNumberFormat="1" applyFont="1" applyFill="1" applyBorder="1" applyAlignment="1" applyProtection="1">
      <alignment horizontal="center" vertical="center" wrapText="1"/>
    </xf>
    <xf numFmtId="0" fontId="4" fillId="25" borderId="25" xfId="0" applyNumberFormat="1" applyFont="1" applyFill="1" applyBorder="1" applyAlignment="1" applyProtection="1">
      <alignment horizontal="left" vertical="center" wrapText="1"/>
    </xf>
    <xf numFmtId="0" fontId="4" fillId="25" borderId="13" xfId="0" applyNumberFormat="1" applyFont="1" applyFill="1" applyBorder="1" applyAlignment="1" applyProtection="1">
      <alignment horizontal="center" vertical="center" wrapText="1"/>
    </xf>
    <xf numFmtId="0" fontId="25" fillId="26" borderId="30" xfId="0" applyNumberFormat="1" applyFont="1" applyFill="1" applyBorder="1" applyAlignment="1" applyProtection="1">
      <alignment horizontal="center" vertical="center" wrapText="1"/>
    </xf>
    <xf numFmtId="0" fontId="25" fillId="26" borderId="31" xfId="0" applyNumberFormat="1" applyFont="1" applyFill="1" applyBorder="1" applyAlignment="1" applyProtection="1">
      <alignment horizontal="center" vertical="center" wrapText="1"/>
    </xf>
    <xf numFmtId="0" fontId="25" fillId="26" borderId="32" xfId="0" applyNumberFormat="1" applyFont="1" applyFill="1" applyBorder="1" applyAlignment="1" applyProtection="1">
      <alignment horizontal="center" vertical="center" wrapText="1"/>
    </xf>
    <xf numFmtId="0" fontId="25" fillId="26" borderId="33" xfId="0" applyNumberFormat="1" applyFont="1" applyFill="1" applyBorder="1" applyAlignment="1" applyProtection="1">
      <alignment horizontal="center" vertical="center" wrapText="1"/>
    </xf>
    <xf numFmtId="0" fontId="25" fillId="26" borderId="30" xfId="0" applyNumberFormat="1" applyFont="1" applyFill="1" applyBorder="1" applyAlignment="1" applyProtection="1">
      <alignment horizontal="left" vertical="center" wrapText="1"/>
    </xf>
    <xf numFmtId="3" fontId="4" fillId="0" borderId="34" xfId="0" applyNumberFormat="1" applyFont="1" applyFill="1" applyBorder="1" applyAlignment="1" applyProtection="1">
      <alignment horizontal="center" vertical="center" wrapText="1"/>
    </xf>
    <xf numFmtId="0" fontId="4" fillId="27" borderId="35" xfId="0" applyNumberFormat="1" applyFont="1" applyFill="1" applyBorder="1" applyAlignment="1" applyProtection="1">
      <alignment horizontal="center" vertical="center" wrapText="1"/>
    </xf>
    <xf numFmtId="0" fontId="4" fillId="27" borderId="36" xfId="0" applyNumberFormat="1" applyFont="1" applyFill="1" applyBorder="1" applyAlignment="1" applyProtection="1">
      <alignment horizontal="left" vertical="center" wrapText="1"/>
    </xf>
    <xf numFmtId="16" fontId="4" fillId="27" borderId="37" xfId="0" applyNumberFormat="1" applyFont="1" applyFill="1" applyBorder="1" applyAlignment="1" applyProtection="1">
      <alignment horizontal="center" vertical="center" wrapText="1"/>
    </xf>
    <xf numFmtId="0" fontId="4" fillId="0" borderId="38" xfId="0" applyNumberFormat="1" applyFont="1" applyFill="1" applyBorder="1" applyAlignment="1" applyProtection="1">
      <alignment horizontal="center" vertical="center" wrapText="1"/>
    </xf>
    <xf numFmtId="16" fontId="4" fillId="27" borderId="13" xfId="0" applyNumberFormat="1" applyFont="1" applyFill="1" applyBorder="1" applyAlignment="1" applyProtection="1">
      <alignment horizontal="center" vertical="center" wrapText="1"/>
    </xf>
    <xf numFmtId="0" fontId="33" fillId="0" borderId="15" xfId="0" applyNumberFormat="1" applyFont="1" applyFill="1" applyBorder="1" applyAlignment="1" applyProtection="1">
      <alignment horizontal="left" vertical="center" wrapText="1"/>
    </xf>
    <xf numFmtId="0" fontId="2" fillId="0" borderId="15" xfId="0" applyNumberFormat="1" applyFont="1" applyFill="1" applyBorder="1" applyAlignment="1" applyProtection="1">
      <alignment horizontal="left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41" xfId="0" applyNumberFormat="1" applyFont="1" applyFill="1" applyBorder="1" applyAlignment="1" applyProtection="1">
      <alignment horizontal="left" vertical="center" wrapText="1"/>
    </xf>
    <xf numFmtId="0" fontId="2" fillId="0" borderId="10" xfId="0" applyNumberFormat="1" applyFont="1" applyFill="1" applyBorder="1" applyAlignment="1" applyProtection="1">
      <alignment horizontal="left" vertical="center" wrapText="1"/>
    </xf>
    <xf numFmtId="0" fontId="2" fillId="0" borderId="42" xfId="0" applyNumberFormat="1" applyFont="1" applyFill="1" applyBorder="1" applyAlignment="1" applyProtection="1">
      <alignment horizontal="left" vertical="center" wrapText="1"/>
    </xf>
    <xf numFmtId="0" fontId="2" fillId="0" borderId="43" xfId="0" applyNumberFormat="1" applyFont="1" applyFill="1" applyBorder="1" applyAlignment="1" applyProtection="1">
      <alignment horizontal="center" vertical="center" wrapText="1"/>
    </xf>
    <xf numFmtId="0" fontId="2" fillId="28" borderId="29" xfId="0" applyNumberFormat="1" applyFont="1" applyFill="1" applyBorder="1" applyAlignment="1" applyProtection="1">
      <alignment horizontal="center" vertical="center" wrapText="1"/>
    </xf>
    <xf numFmtId="0" fontId="4" fillId="28" borderId="25" xfId="0" applyNumberFormat="1" applyFont="1" applyFill="1" applyBorder="1" applyAlignment="1" applyProtection="1">
      <alignment horizontal="left" vertical="center" wrapText="1"/>
    </xf>
    <xf numFmtId="0" fontId="4" fillId="28" borderId="13" xfId="0" applyNumberFormat="1" applyFont="1" applyFill="1" applyBorder="1" applyAlignment="1" applyProtection="1">
      <alignment horizontal="center" vertical="center" wrapText="1"/>
    </xf>
    <xf numFmtId="0" fontId="4" fillId="28" borderId="38" xfId="0" applyNumberFormat="1" applyFont="1" applyFill="1" applyBorder="1" applyAlignment="1" applyProtection="1">
      <alignment horizontal="center" vertical="center" wrapText="1"/>
    </xf>
    <xf numFmtId="0" fontId="2" fillId="0" borderId="24" xfId="0" applyNumberFormat="1" applyFont="1" applyFill="1" applyBorder="1" applyAlignment="1" applyProtection="1">
      <alignment horizontal="center" vertical="center" wrapText="1"/>
    </xf>
    <xf numFmtId="0" fontId="2" fillId="0" borderId="22" xfId="0" applyNumberFormat="1" applyFont="1" applyFill="1" applyBorder="1" applyAlignment="1" applyProtection="1">
      <alignment horizontal="center" vertical="center" wrapText="1"/>
    </xf>
    <xf numFmtId="0" fontId="2" fillId="28" borderId="24" xfId="0" applyNumberFormat="1" applyFont="1" applyFill="1" applyBorder="1" applyAlignment="1" applyProtection="1">
      <alignment horizontal="center" vertical="center" wrapText="1"/>
    </xf>
    <xf numFmtId="0" fontId="2" fillId="27" borderId="29" xfId="0" applyNumberFormat="1" applyFont="1" applyFill="1" applyBorder="1" applyAlignment="1" applyProtection="1">
      <alignment horizontal="center" vertical="center" wrapText="1"/>
    </xf>
    <xf numFmtId="0" fontId="2" fillId="0" borderId="38" xfId="0" applyNumberFormat="1" applyFont="1" applyFill="1" applyBorder="1" applyAlignment="1" applyProtection="1">
      <alignment horizontal="center" vertical="center" wrapText="1"/>
    </xf>
    <xf numFmtId="0" fontId="2" fillId="0" borderId="41" xfId="0" applyNumberFormat="1" applyFont="1" applyFill="1" applyBorder="1" applyAlignment="1" applyProtection="1">
      <alignment horizontal="center" vertical="center" wrapText="1"/>
    </xf>
    <xf numFmtId="0" fontId="2" fillId="0" borderId="44" xfId="0" applyNumberFormat="1" applyFont="1" applyFill="1" applyBorder="1" applyAlignment="1" applyProtection="1">
      <alignment horizontal="center" vertical="center" wrapText="1"/>
    </xf>
    <xf numFmtId="0" fontId="2" fillId="0" borderId="45" xfId="0" applyNumberFormat="1" applyFont="1" applyFill="1" applyBorder="1" applyAlignment="1" applyProtection="1">
      <alignment horizontal="center" vertical="center" wrapText="1"/>
    </xf>
    <xf numFmtId="0" fontId="2" fillId="0" borderId="42" xfId="0" applyNumberFormat="1" applyFont="1" applyFill="1" applyBorder="1" applyAlignment="1" applyProtection="1">
      <alignment horizontal="center" vertical="center" wrapText="1"/>
    </xf>
    <xf numFmtId="0" fontId="34" fillId="0" borderId="10" xfId="0" applyNumberFormat="1" applyFont="1" applyFill="1" applyBorder="1" applyAlignment="1" applyProtection="1">
      <alignment horizontal="left" vertical="center" wrapText="1"/>
    </xf>
    <xf numFmtId="3" fontId="2" fillId="29" borderId="34" xfId="0" applyNumberFormat="1" applyFont="1" applyFill="1" applyBorder="1" applyAlignment="1" applyProtection="1">
      <alignment horizontal="center" vertical="center" wrapText="1"/>
    </xf>
    <xf numFmtId="0" fontId="2" fillId="29" borderId="24" xfId="0" applyNumberFormat="1" applyFont="1" applyFill="1" applyBorder="1" applyAlignment="1" applyProtection="1">
      <alignment horizontal="center" vertical="center"/>
    </xf>
    <xf numFmtId="0" fontId="34" fillId="29" borderId="10" xfId="0" applyNumberFormat="1" applyFont="1" applyFill="1" applyBorder="1" applyAlignment="1" applyProtection="1">
      <alignment horizontal="left" vertical="center" wrapText="1"/>
    </xf>
    <xf numFmtId="0" fontId="34" fillId="29" borderId="22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/>
    </xf>
    <xf numFmtId="0" fontId="2" fillId="0" borderId="38" xfId="0" applyNumberFormat="1" applyFont="1" applyFill="1" applyBorder="1" applyAlignment="1" applyProtection="1">
      <alignment horizontal="center" vertical="center"/>
    </xf>
    <xf numFmtId="0" fontId="2" fillId="0" borderId="24" xfId="0" applyNumberFormat="1" applyFont="1" applyFill="1" applyBorder="1" applyAlignment="1" applyProtection="1">
      <alignment horizontal="center" vertical="center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4" fillId="28" borderId="24" xfId="0" applyNumberFormat="1" applyFont="1" applyFill="1" applyBorder="1" applyAlignment="1" applyProtection="1">
      <alignment horizontal="center" vertical="center" wrapText="1"/>
    </xf>
    <xf numFmtId="0" fontId="4" fillId="0" borderId="39" xfId="0" applyNumberFormat="1" applyFont="1" applyFill="1" applyBorder="1" applyAlignment="1" applyProtection="1">
      <alignment horizontal="center" vertical="center"/>
    </xf>
    <xf numFmtId="0" fontId="33" fillId="0" borderId="40" xfId="0" applyNumberFormat="1" applyFont="1" applyFill="1" applyBorder="1" applyAlignment="1" applyProtection="1">
      <alignment horizontal="left" vertical="center" wrapText="1"/>
    </xf>
    <xf numFmtId="0" fontId="4" fillId="0" borderId="38" xfId="0" applyNumberFormat="1" applyFont="1" applyFill="1" applyBorder="1" applyAlignment="1" applyProtection="1">
      <alignment horizontal="center" vertical="center"/>
    </xf>
    <xf numFmtId="0" fontId="33" fillId="0" borderId="41" xfId="0" applyNumberFormat="1" applyFont="1" applyFill="1" applyBorder="1" applyAlignment="1" applyProtection="1">
      <alignment horizontal="left" vertical="center" wrapText="1"/>
    </xf>
    <xf numFmtId="0" fontId="4" fillId="0" borderId="44" xfId="0" applyNumberFormat="1" applyFont="1" applyFill="1" applyBorder="1" applyAlignment="1" applyProtection="1">
      <alignment horizontal="center" vertical="center" wrapText="1"/>
    </xf>
    <xf numFmtId="0" fontId="4" fillId="0" borderId="24" xfId="0" applyNumberFormat="1" applyFont="1" applyFill="1" applyBorder="1" applyAlignment="1" applyProtection="1">
      <alignment horizontal="center" vertical="center"/>
    </xf>
    <xf numFmtId="0" fontId="33" fillId="0" borderId="10" xfId="0" applyNumberFormat="1" applyFont="1" applyFill="1" applyBorder="1" applyAlignment="1" applyProtection="1">
      <alignment horizontal="left" vertical="center" wrapText="1"/>
    </xf>
    <xf numFmtId="0" fontId="4" fillId="28" borderId="44" xfId="0" applyNumberFormat="1" applyFont="1" applyFill="1" applyBorder="1" applyAlignment="1" applyProtection="1">
      <alignment horizontal="center" vertical="center" wrapText="1"/>
    </xf>
    <xf numFmtId="0" fontId="4" fillId="0" borderId="19" xfId="0" applyNumberFormat="1" applyFont="1" applyFill="1" applyBorder="1" applyAlignment="1" applyProtection="1">
      <alignment horizontal="center" vertical="center"/>
    </xf>
    <xf numFmtId="0" fontId="33" fillId="0" borderId="18" xfId="0" applyNumberFormat="1" applyFont="1" applyFill="1" applyBorder="1" applyAlignment="1" applyProtection="1">
      <alignment horizontal="center" vertical="center" wrapText="1"/>
    </xf>
    <xf numFmtId="0" fontId="4" fillId="28" borderId="38" xfId="0" applyNumberFormat="1" applyFont="1" applyFill="1" applyBorder="1" applyAlignment="1" applyProtection="1">
      <alignment horizontal="center" vertical="center"/>
    </xf>
    <xf numFmtId="0" fontId="33" fillId="28" borderId="44" xfId="0" applyNumberFormat="1" applyFont="1" applyFill="1" applyBorder="1" applyAlignment="1" applyProtection="1">
      <alignment horizontal="center" vertical="center" wrapText="1"/>
    </xf>
    <xf numFmtId="0" fontId="33" fillId="0" borderId="44" xfId="0" applyNumberFormat="1" applyFont="1" applyFill="1" applyBorder="1" applyAlignment="1" applyProtection="1">
      <alignment horizontal="center" vertical="center" wrapText="1"/>
    </xf>
    <xf numFmtId="3" fontId="4" fillId="28" borderId="34" xfId="0" applyNumberFormat="1" applyFont="1" applyFill="1" applyBorder="1" applyAlignment="1" applyProtection="1">
      <alignment horizontal="center" vertical="center" wrapText="1"/>
    </xf>
    <xf numFmtId="3" fontId="4" fillId="28" borderId="46" xfId="0" applyNumberFormat="1" applyFont="1" applyFill="1" applyBorder="1" applyAlignment="1" applyProtection="1">
      <alignment horizontal="center" vertical="center" wrapText="1"/>
    </xf>
    <xf numFmtId="3" fontId="4" fillId="28" borderId="47" xfId="0" applyNumberFormat="1" applyFont="1" applyFill="1" applyBorder="1" applyAlignment="1" applyProtection="1">
      <alignment horizontal="center" vertical="center" wrapText="1"/>
    </xf>
    <xf numFmtId="0" fontId="4" fillId="28" borderId="45" xfId="0" applyNumberFormat="1" applyFont="1" applyFill="1" applyBorder="1" applyAlignment="1" applyProtection="1">
      <alignment horizontal="center" vertical="center"/>
    </xf>
    <xf numFmtId="0" fontId="4" fillId="28" borderId="42" xfId="0" applyNumberFormat="1" applyFont="1" applyFill="1" applyBorder="1" applyAlignment="1" applyProtection="1">
      <alignment horizontal="left" vertical="center" wrapText="1"/>
    </xf>
    <xf numFmtId="0" fontId="4" fillId="28" borderId="43" xfId="0" applyNumberFormat="1" applyFont="1" applyFill="1" applyBorder="1" applyAlignment="1" applyProtection="1">
      <alignment horizontal="center" vertical="center" wrapText="1"/>
    </xf>
    <xf numFmtId="0" fontId="4" fillId="0" borderId="45" xfId="0" applyNumberFormat="1" applyFont="1" applyFill="1" applyBorder="1" applyAlignment="1" applyProtection="1">
      <alignment horizontal="center" vertical="center"/>
    </xf>
    <xf numFmtId="0" fontId="33" fillId="0" borderId="43" xfId="0" applyNumberFormat="1" applyFont="1" applyFill="1" applyBorder="1" applyAlignment="1" applyProtection="1">
      <alignment horizontal="center" vertical="center" wrapText="1"/>
    </xf>
    <xf numFmtId="0" fontId="33" fillId="0" borderId="42" xfId="0" applyNumberFormat="1" applyFont="1" applyFill="1" applyBorder="1" applyAlignment="1" applyProtection="1">
      <alignment horizontal="left" vertical="center" wrapText="1"/>
    </xf>
    <xf numFmtId="0" fontId="33" fillId="0" borderId="22" xfId="0" applyNumberFormat="1" applyFont="1" applyFill="1" applyBorder="1" applyAlignment="1" applyProtection="1">
      <alignment horizontal="center" vertical="center" wrapText="1"/>
    </xf>
    <xf numFmtId="0" fontId="4" fillId="28" borderId="24" xfId="0" applyNumberFormat="1" applyFont="1" applyFill="1" applyBorder="1" applyAlignment="1" applyProtection="1">
      <alignment horizontal="center" vertical="center"/>
    </xf>
    <xf numFmtId="0" fontId="4" fillId="28" borderId="10" xfId="0" applyNumberFormat="1" applyFont="1" applyFill="1" applyBorder="1" applyAlignment="1" applyProtection="1">
      <alignment horizontal="left" vertical="center" wrapText="1"/>
    </xf>
    <xf numFmtId="0" fontId="4" fillId="28" borderId="22" xfId="0" applyNumberFormat="1" applyFont="1" applyFill="1" applyBorder="1" applyAlignment="1" applyProtection="1">
      <alignment horizontal="center" vertical="center" wrapText="1"/>
    </xf>
    <xf numFmtId="0" fontId="4" fillId="27" borderId="29" xfId="0" applyNumberFormat="1" applyFont="1" applyFill="1" applyBorder="1" applyAlignment="1" applyProtection="1">
      <alignment horizontal="center" vertical="center" wrapText="1"/>
    </xf>
    <xf numFmtId="0" fontId="4" fillId="27" borderId="25" xfId="0" applyNumberFormat="1" applyFont="1" applyFill="1" applyBorder="1" applyAlignment="1" applyProtection="1">
      <alignment horizontal="left" vertical="center" wrapText="1"/>
    </xf>
    <xf numFmtId="0" fontId="4" fillId="27" borderId="13" xfId="0" applyNumberFormat="1" applyFont="1" applyFill="1" applyBorder="1" applyAlignment="1" applyProtection="1">
      <alignment horizontal="center" vertical="center" wrapText="1"/>
    </xf>
    <xf numFmtId="3" fontId="2" fillId="0" borderId="46" xfId="0" applyNumberFormat="1" applyFont="1" applyFill="1" applyBorder="1" applyAlignment="1" applyProtection="1">
      <alignment horizontal="center" vertical="center" wrapText="1"/>
    </xf>
    <xf numFmtId="3" fontId="2" fillId="0" borderId="34" xfId="0" applyNumberFormat="1" applyFont="1" applyFill="1" applyBorder="1" applyAlignment="1" applyProtection="1">
      <alignment horizontal="center" vertical="center" wrapText="1"/>
    </xf>
    <xf numFmtId="3" fontId="4" fillId="0" borderId="48" xfId="0" applyNumberFormat="1" applyFont="1" applyFill="1" applyBorder="1" applyAlignment="1" applyProtection="1">
      <alignment horizontal="center" vertical="center" wrapText="1"/>
    </xf>
    <xf numFmtId="3" fontId="4" fillId="0" borderId="49" xfId="0" applyNumberFormat="1" applyFont="1" applyFill="1" applyBorder="1" applyAlignment="1" applyProtection="1">
      <alignment horizontal="center" vertical="center" wrapText="1"/>
    </xf>
    <xf numFmtId="3" fontId="4" fillId="0" borderId="11" xfId="0" applyNumberFormat="1" applyFont="1" applyFill="1" applyBorder="1" applyAlignment="1" applyProtection="1">
      <alignment horizontal="center" vertical="center" wrapText="1"/>
    </xf>
    <xf numFmtId="3" fontId="4" fillId="0" borderId="50" xfId="0" applyNumberFormat="1" applyFont="1" applyFill="1" applyBorder="1" applyAlignment="1" applyProtection="1">
      <alignment horizontal="center" vertical="center" wrapText="1"/>
    </xf>
    <xf numFmtId="3" fontId="4" fillId="0" borderId="51" xfId="0" applyNumberFormat="1" applyFont="1" applyFill="1" applyBorder="1" applyAlignment="1" applyProtection="1">
      <alignment horizontal="center" vertical="center" wrapText="1"/>
    </xf>
    <xf numFmtId="3" fontId="4" fillId="0" borderId="44" xfId="0" applyNumberFormat="1" applyFont="1" applyFill="1" applyBorder="1" applyAlignment="1" applyProtection="1">
      <alignment horizontal="center" vertical="center" wrapText="1"/>
    </xf>
    <xf numFmtId="3" fontId="2" fillId="0" borderId="43" xfId="0" applyNumberFormat="1" applyFont="1" applyFill="1" applyBorder="1" applyAlignment="1" applyProtection="1">
      <alignment horizontal="center" vertical="center" wrapText="1"/>
    </xf>
    <xf numFmtId="0" fontId="27" fillId="29" borderId="0" xfId="0" applyNumberFormat="1" applyFont="1" applyFill="1" applyBorder="1" applyAlignment="1" applyProtection="1">
      <alignment horizontal="center" vertical="center" wrapText="1"/>
    </xf>
    <xf numFmtId="0" fontId="27" fillId="29" borderId="0" xfId="0" applyNumberFormat="1" applyFont="1" applyFill="1" applyBorder="1" applyAlignment="1" applyProtection="1">
      <alignment horizontal="center" vertical="center"/>
    </xf>
    <xf numFmtId="0" fontId="4" fillId="0" borderId="22" xfId="1" applyNumberFormat="1" applyFont="1" applyFill="1" applyBorder="1" applyAlignment="1" applyProtection="1">
      <alignment horizontal="center" vertical="center" wrapText="1"/>
    </xf>
    <xf numFmtId="3" fontId="4" fillId="0" borderId="17" xfId="0" applyNumberFormat="1" applyFont="1" applyFill="1" applyBorder="1" applyAlignment="1" applyProtection="1">
      <alignment horizontal="center" vertical="center" wrapText="1"/>
    </xf>
    <xf numFmtId="3" fontId="4" fillId="0" borderId="16" xfId="0" applyNumberFormat="1" applyFont="1" applyFill="1" applyBorder="1" applyAlignment="1" applyProtection="1">
      <alignment horizontal="center" vertical="center" wrapText="1"/>
    </xf>
    <xf numFmtId="3" fontId="4" fillId="0" borderId="18" xfId="0" applyNumberFormat="1" applyFont="1" applyFill="1" applyBorder="1" applyAlignment="1" applyProtection="1">
      <alignment horizontal="center" vertical="center" wrapText="1"/>
    </xf>
    <xf numFmtId="3" fontId="4" fillId="0" borderId="21" xfId="0" applyNumberFormat="1" applyFont="1" applyFill="1" applyBorder="1" applyAlignment="1" applyProtection="1">
      <alignment horizontal="center" vertical="center" wrapText="1"/>
    </xf>
    <xf numFmtId="3" fontId="4" fillId="0" borderId="20" xfId="0" applyNumberFormat="1" applyFont="1" applyFill="1" applyBorder="1" applyAlignment="1" applyProtection="1">
      <alignment horizontal="center" vertical="center" wrapText="1"/>
    </xf>
    <xf numFmtId="3" fontId="4" fillId="0" borderId="22" xfId="0" applyNumberFormat="1" applyFont="1" applyFill="1" applyBorder="1" applyAlignment="1" applyProtection="1">
      <alignment horizontal="center" vertical="center" wrapText="1"/>
    </xf>
    <xf numFmtId="165" fontId="4" fillId="27" borderId="30" xfId="0" applyNumberFormat="1" applyFont="1" applyFill="1" applyBorder="1" applyAlignment="1" applyProtection="1">
      <alignment horizontal="center" vertical="center" wrapText="1"/>
    </xf>
    <xf numFmtId="165" fontId="4" fillId="27" borderId="52" xfId="0" applyNumberFormat="1" applyFont="1" applyFill="1" applyBorder="1" applyAlignment="1" applyProtection="1">
      <alignment horizontal="center" vertical="center" wrapText="1"/>
    </xf>
    <xf numFmtId="165" fontId="4" fillId="27" borderId="31" xfId="0" applyNumberFormat="1" applyFont="1" applyFill="1" applyBorder="1" applyAlignment="1" applyProtection="1">
      <alignment horizontal="center" vertical="center" wrapText="1"/>
    </xf>
    <xf numFmtId="165" fontId="4" fillId="27" borderId="37" xfId="0" applyNumberFormat="1" applyFont="1" applyFill="1" applyBorder="1" applyAlignment="1" applyProtection="1">
      <alignment horizontal="center" vertical="center" wrapText="1"/>
    </xf>
    <xf numFmtId="165" fontId="2" fillId="0" borderId="14" xfId="0" applyNumberFormat="1" applyFont="1" applyFill="1" applyBorder="1" applyAlignment="1" applyProtection="1">
      <alignment horizontal="center" vertical="center" wrapText="1"/>
    </xf>
    <xf numFmtId="165" fontId="2" fillId="0" borderId="17" xfId="0" applyNumberFormat="1" applyFont="1" applyFill="1" applyBorder="1" applyAlignment="1" applyProtection="1">
      <alignment horizontal="center" vertical="center" wrapText="1"/>
    </xf>
    <xf numFmtId="165" fontId="2" fillId="0" borderId="16" xfId="0" applyNumberFormat="1" applyFont="1" applyFill="1" applyBorder="1" applyAlignment="1" applyProtection="1">
      <alignment horizontal="center" vertical="center" wrapText="1"/>
    </xf>
    <xf numFmtId="165" fontId="2" fillId="0" borderId="18" xfId="0" applyNumberFormat="1" applyFont="1" applyFill="1" applyBorder="1" applyAlignment="1" applyProtection="1">
      <alignment horizontal="center" vertical="center" wrapText="1"/>
    </xf>
    <xf numFmtId="165" fontId="4" fillId="28" borderId="53" xfId="0" applyNumberFormat="1" applyFont="1" applyFill="1" applyBorder="1" applyAlignment="1" applyProtection="1">
      <alignment horizontal="center" vertical="center" wrapText="1"/>
    </xf>
    <xf numFmtId="165" fontId="4" fillId="28" borderId="50" xfId="0" applyNumberFormat="1" applyFont="1" applyFill="1" applyBorder="1" applyAlignment="1" applyProtection="1">
      <alignment horizontal="center" vertical="center" wrapText="1"/>
    </xf>
    <xf numFmtId="165" fontId="4" fillId="28" borderId="51" xfId="0" applyNumberFormat="1" applyFont="1" applyFill="1" applyBorder="1" applyAlignment="1" applyProtection="1">
      <alignment horizontal="center" vertical="center" wrapText="1"/>
    </xf>
    <xf numFmtId="165" fontId="4" fillId="28" borderId="44" xfId="0" applyNumberFormat="1" applyFont="1" applyFill="1" applyBorder="1" applyAlignment="1" applyProtection="1">
      <alignment horizontal="center" vertical="center" wrapText="1"/>
    </xf>
    <xf numFmtId="165" fontId="2" fillId="0" borderId="53" xfId="0" applyNumberFormat="1" applyFont="1" applyFill="1" applyBorder="1" applyAlignment="1" applyProtection="1">
      <alignment horizontal="center" vertical="center" wrapText="1"/>
    </xf>
    <xf numFmtId="165" fontId="2" fillId="0" borderId="50" xfId="0" applyNumberFormat="1" applyFont="1" applyFill="1" applyBorder="1" applyAlignment="1" applyProtection="1">
      <alignment horizontal="center" vertical="center" wrapText="1"/>
    </xf>
    <xf numFmtId="165" fontId="2" fillId="0" borderId="51" xfId="0" applyNumberFormat="1" applyFont="1" applyFill="1" applyBorder="1" applyAlignment="1" applyProtection="1">
      <alignment horizontal="center" vertical="center" wrapText="1"/>
    </xf>
    <xf numFmtId="165" fontId="2" fillId="0" borderId="44" xfId="0" applyNumberFormat="1" applyFont="1" applyFill="1" applyBorder="1" applyAlignment="1" applyProtection="1">
      <alignment horizontal="center" vertical="center" wrapText="1"/>
    </xf>
    <xf numFmtId="165" fontId="2" fillId="0" borderId="23" xfId="0" applyNumberFormat="1" applyFont="1" applyFill="1" applyBorder="1" applyAlignment="1" applyProtection="1">
      <alignment horizontal="center" vertical="center" wrapText="1"/>
    </xf>
    <xf numFmtId="165" fontId="2" fillId="0" borderId="21" xfId="0" applyNumberFormat="1" applyFont="1" applyFill="1" applyBorder="1" applyAlignment="1" applyProtection="1">
      <alignment horizontal="center" vertical="center" wrapText="1"/>
    </xf>
    <xf numFmtId="165" fontId="2" fillId="0" borderId="20" xfId="0" applyNumberFormat="1" applyFont="1" applyFill="1" applyBorder="1" applyAlignment="1" applyProtection="1">
      <alignment horizontal="center" vertical="center" wrapText="1"/>
    </xf>
    <xf numFmtId="165" fontId="2" fillId="0" borderId="22" xfId="0" applyNumberFormat="1" applyFont="1" applyFill="1" applyBorder="1" applyAlignment="1" applyProtection="1">
      <alignment horizontal="center" vertical="center" wrapText="1"/>
    </xf>
    <xf numFmtId="165" fontId="4" fillId="28" borderId="23" xfId="0" applyNumberFormat="1" applyFont="1" applyFill="1" applyBorder="1" applyAlignment="1" applyProtection="1">
      <alignment horizontal="center" vertical="center" wrapText="1"/>
    </xf>
    <xf numFmtId="165" fontId="4" fillId="28" borderId="21" xfId="0" applyNumberFormat="1" applyFont="1" applyFill="1" applyBorder="1" applyAlignment="1" applyProtection="1">
      <alignment horizontal="center" vertical="center" wrapText="1"/>
    </xf>
    <xf numFmtId="165" fontId="4" fillId="28" borderId="20" xfId="0" applyNumberFormat="1" applyFont="1" applyFill="1" applyBorder="1" applyAlignment="1" applyProtection="1">
      <alignment horizontal="center" vertical="center" wrapText="1"/>
    </xf>
    <xf numFmtId="165" fontId="4" fillId="28" borderId="22" xfId="0" applyNumberFormat="1" applyFont="1" applyFill="1" applyBorder="1" applyAlignment="1" applyProtection="1">
      <alignment horizontal="center" vertical="center" wrapText="1"/>
    </xf>
    <xf numFmtId="165" fontId="4" fillId="27" borderId="28" xfId="0" applyNumberFormat="1" applyFont="1" applyFill="1" applyBorder="1" applyAlignment="1" applyProtection="1">
      <alignment horizontal="center" vertical="center" wrapText="1"/>
    </xf>
    <xf numFmtId="165" fontId="4" fillId="27" borderId="27" xfId="0" applyNumberFormat="1" applyFont="1" applyFill="1" applyBorder="1" applyAlignment="1" applyProtection="1">
      <alignment horizontal="center" vertical="center" wrapText="1"/>
    </xf>
    <xf numFmtId="165" fontId="4" fillId="27" borderId="26" xfId="0" applyNumberFormat="1" applyFont="1" applyFill="1" applyBorder="1" applyAlignment="1" applyProtection="1">
      <alignment horizontal="center" vertical="center" wrapText="1"/>
    </xf>
    <xf numFmtId="165" fontId="4" fillId="27" borderId="13" xfId="0" applyNumberFormat="1" applyFont="1" applyFill="1" applyBorder="1" applyAlignment="1" applyProtection="1">
      <alignment horizontal="center" vertical="center" wrapText="1"/>
    </xf>
    <xf numFmtId="3" fontId="4" fillId="27" borderId="30" xfId="0" applyNumberFormat="1" applyFont="1" applyFill="1" applyBorder="1" applyAlignment="1" applyProtection="1">
      <alignment horizontal="center" vertical="center" wrapText="1"/>
    </xf>
    <xf numFmtId="3" fontId="4" fillId="27" borderId="52" xfId="0" applyNumberFormat="1" applyFont="1" applyFill="1" applyBorder="1" applyAlignment="1" applyProtection="1">
      <alignment horizontal="center" vertical="center" wrapText="1"/>
    </xf>
    <xf numFmtId="3" fontId="4" fillId="27" borderId="31" xfId="0" applyNumberFormat="1" applyFont="1" applyFill="1" applyBorder="1" applyAlignment="1" applyProtection="1">
      <alignment horizontal="center" vertical="center" wrapText="1"/>
    </xf>
    <xf numFmtId="3" fontId="4" fillId="27" borderId="37" xfId="0" applyNumberFormat="1" applyFont="1" applyFill="1" applyBorder="1" applyAlignment="1" applyProtection="1">
      <alignment horizontal="center" vertical="center" wrapText="1"/>
    </xf>
    <xf numFmtId="3" fontId="2" fillId="0" borderId="47" xfId="0" applyNumberFormat="1" applyFont="1" applyFill="1" applyBorder="1" applyAlignment="1" applyProtection="1">
      <alignment horizontal="center" vertical="center" wrapText="1"/>
    </xf>
    <xf numFmtId="3" fontId="2" fillId="28" borderId="28" xfId="0" applyNumberFormat="1" applyFont="1" applyFill="1" applyBorder="1" applyAlignment="1" applyProtection="1">
      <alignment horizontal="center" vertical="center" wrapText="1"/>
    </xf>
    <xf numFmtId="3" fontId="2" fillId="28" borderId="27" xfId="0" applyNumberFormat="1" applyFont="1" applyFill="1" applyBorder="1" applyAlignment="1" applyProtection="1">
      <alignment horizontal="center" vertical="center" wrapText="1"/>
    </xf>
    <xf numFmtId="3" fontId="2" fillId="28" borderId="26" xfId="0" applyNumberFormat="1" applyFont="1" applyFill="1" applyBorder="1" applyAlignment="1" applyProtection="1">
      <alignment horizontal="center" vertical="center" wrapText="1"/>
    </xf>
    <xf numFmtId="3" fontId="2" fillId="28" borderId="13" xfId="0" applyNumberFormat="1" applyFont="1" applyFill="1" applyBorder="1" applyAlignment="1" applyProtection="1">
      <alignment horizontal="center" vertical="center" wrapText="1"/>
    </xf>
    <xf numFmtId="0" fontId="25" fillId="26" borderId="56" xfId="0" applyNumberFormat="1" applyFont="1" applyFill="1" applyBorder="1" applyAlignment="1" applyProtection="1">
      <alignment horizontal="center" vertical="center" wrapText="1"/>
    </xf>
    <xf numFmtId="3" fontId="4" fillId="0" borderId="14" xfId="0" applyNumberFormat="1" applyFont="1" applyFill="1" applyBorder="1" applyAlignment="1" applyProtection="1">
      <alignment horizontal="center" vertical="center" wrapText="1"/>
    </xf>
    <xf numFmtId="3" fontId="4" fillId="28" borderId="53" xfId="0" applyNumberFormat="1" applyFont="1" applyFill="1" applyBorder="1" applyAlignment="1" applyProtection="1">
      <alignment horizontal="center" vertical="center" wrapText="1"/>
    </xf>
    <xf numFmtId="3" fontId="4" fillId="28" borderId="50" xfId="0" applyNumberFormat="1" applyFont="1" applyFill="1" applyBorder="1" applyAlignment="1" applyProtection="1">
      <alignment horizontal="center" vertical="center" wrapText="1"/>
    </xf>
    <xf numFmtId="3" fontId="4" fillId="28" borderId="51" xfId="0" applyNumberFormat="1" applyFont="1" applyFill="1" applyBorder="1" applyAlignment="1" applyProtection="1">
      <alignment horizontal="center" vertical="center" wrapText="1"/>
    </xf>
    <xf numFmtId="3" fontId="4" fillId="28" borderId="44" xfId="0" applyNumberFormat="1" applyFont="1" applyFill="1" applyBorder="1" applyAlignment="1" applyProtection="1">
      <alignment horizontal="center" vertical="center" wrapText="1"/>
    </xf>
    <xf numFmtId="3" fontId="2" fillId="0" borderId="53" xfId="0" applyNumberFormat="1" applyFont="1" applyFill="1" applyBorder="1" applyAlignment="1" applyProtection="1">
      <alignment horizontal="center" vertical="center" wrapText="1"/>
    </xf>
    <xf numFmtId="3" fontId="2" fillId="0" borderId="50" xfId="0" applyNumberFormat="1" applyFont="1" applyFill="1" applyBorder="1" applyAlignment="1" applyProtection="1">
      <alignment horizontal="center" vertical="center" wrapText="1"/>
    </xf>
    <xf numFmtId="3" fontId="2" fillId="0" borderId="51" xfId="0" applyNumberFormat="1" applyFont="1" applyFill="1" applyBorder="1" applyAlignment="1" applyProtection="1">
      <alignment horizontal="center" vertical="center" wrapText="1"/>
    </xf>
    <xf numFmtId="3" fontId="2" fillId="0" borderId="44" xfId="0" applyNumberFormat="1" applyFont="1" applyFill="1" applyBorder="1" applyAlignment="1" applyProtection="1">
      <alignment horizontal="center" vertical="center" wrapText="1"/>
    </xf>
    <xf numFmtId="3" fontId="2" fillId="29" borderId="54" xfId="0" applyNumberFormat="1" applyFont="1" applyFill="1" applyBorder="1" applyAlignment="1" applyProtection="1">
      <alignment horizontal="center" vertical="center" wrapText="1"/>
    </xf>
    <xf numFmtId="3" fontId="2" fillId="29" borderId="48" xfId="0" applyNumberFormat="1" applyFont="1" applyFill="1" applyBorder="1" applyAlignment="1" applyProtection="1">
      <alignment horizontal="center" vertical="center" wrapText="1"/>
    </xf>
    <xf numFmtId="3" fontId="2" fillId="29" borderId="49" xfId="0" applyNumberFormat="1" applyFont="1" applyFill="1" applyBorder="1" applyAlignment="1" applyProtection="1">
      <alignment horizontal="center" vertical="center" wrapText="1"/>
    </xf>
    <xf numFmtId="3" fontId="2" fillId="29" borderId="11" xfId="0" applyNumberFormat="1" applyFont="1" applyFill="1" applyBorder="1" applyAlignment="1" applyProtection="1">
      <alignment horizontal="center" vertical="center" wrapText="1"/>
    </xf>
    <xf numFmtId="3" fontId="2" fillId="29" borderId="23" xfId="0" applyNumberFormat="1" applyFont="1" applyFill="1" applyBorder="1" applyAlignment="1" applyProtection="1">
      <alignment horizontal="center" vertical="center" wrapText="1"/>
    </xf>
    <xf numFmtId="3" fontId="2" fillId="29" borderId="21" xfId="0" applyNumberFormat="1" applyFont="1" applyFill="1" applyBorder="1" applyAlignment="1" applyProtection="1">
      <alignment horizontal="center" vertical="center" wrapText="1"/>
    </xf>
    <xf numFmtId="3" fontId="2" fillId="29" borderId="20" xfId="0" applyNumberFormat="1" applyFont="1" applyFill="1" applyBorder="1" applyAlignment="1" applyProtection="1">
      <alignment horizontal="center" vertical="center" wrapText="1"/>
    </xf>
    <xf numFmtId="3" fontId="2" fillId="29" borderId="22" xfId="0" applyNumberFormat="1" applyFont="1" applyFill="1" applyBorder="1" applyAlignment="1" applyProtection="1">
      <alignment horizontal="center" vertical="center" wrapText="1"/>
    </xf>
    <xf numFmtId="3" fontId="2" fillId="29" borderId="53" xfId="0" applyNumberFormat="1" applyFont="1" applyFill="1" applyBorder="1" applyAlignment="1" applyProtection="1">
      <alignment horizontal="center" vertical="center" wrapText="1"/>
    </xf>
    <xf numFmtId="3" fontId="2" fillId="29" borderId="50" xfId="0" applyNumberFormat="1" applyFont="1" applyFill="1" applyBorder="1" applyAlignment="1" applyProtection="1">
      <alignment horizontal="center" vertical="center" wrapText="1"/>
    </xf>
    <xf numFmtId="3" fontId="2" fillId="29" borderId="51" xfId="0" applyNumberFormat="1" applyFont="1" applyFill="1" applyBorder="1" applyAlignment="1" applyProtection="1">
      <alignment horizontal="center" vertical="center" wrapText="1"/>
    </xf>
    <xf numFmtId="3" fontId="2" fillId="29" borderId="44" xfId="0" applyNumberFormat="1" applyFont="1" applyFill="1" applyBorder="1" applyAlignment="1" applyProtection="1">
      <alignment horizontal="center" vertical="center" wrapText="1"/>
    </xf>
    <xf numFmtId="3" fontId="4" fillId="0" borderId="54" xfId="0" applyNumberFormat="1" applyFont="1" applyFill="1" applyBorder="1" applyAlignment="1" applyProtection="1">
      <alignment horizontal="center" vertical="center" wrapText="1"/>
    </xf>
    <xf numFmtId="3" fontId="4" fillId="0" borderId="53" xfId="0" applyNumberFormat="1" applyFont="1" applyFill="1" applyBorder="1" applyAlignment="1" applyProtection="1">
      <alignment horizontal="center" vertical="center" wrapText="1"/>
    </xf>
    <xf numFmtId="3" fontId="4" fillId="0" borderId="23" xfId="0" applyNumberFormat="1" applyFont="1" applyFill="1" applyBorder="1" applyAlignment="1" applyProtection="1">
      <alignment horizontal="center" vertical="center" wrapText="1"/>
    </xf>
    <xf numFmtId="3" fontId="4" fillId="28" borderId="43" xfId="0" applyNumberFormat="1" applyFont="1" applyFill="1" applyBorder="1" applyAlignment="1" applyProtection="1">
      <alignment horizontal="center" vertical="center" wrapText="1"/>
    </xf>
    <xf numFmtId="3" fontId="4" fillId="28" borderId="23" xfId="0" applyNumberFormat="1" applyFont="1" applyFill="1" applyBorder="1" applyAlignment="1" applyProtection="1">
      <alignment horizontal="center" vertical="center" wrapText="1"/>
    </xf>
    <xf numFmtId="3" fontId="4" fillId="28" borderId="21" xfId="0" applyNumberFormat="1" applyFont="1" applyFill="1" applyBorder="1" applyAlignment="1" applyProtection="1">
      <alignment horizontal="center" vertical="center" wrapText="1"/>
    </xf>
    <xf numFmtId="3" fontId="4" fillId="28" borderId="20" xfId="0" applyNumberFormat="1" applyFont="1" applyFill="1" applyBorder="1" applyAlignment="1" applyProtection="1">
      <alignment horizontal="center" vertical="center" wrapText="1"/>
    </xf>
    <xf numFmtId="3" fontId="4" fillId="28" borderId="22" xfId="0" applyNumberFormat="1" applyFont="1" applyFill="1" applyBorder="1" applyAlignment="1" applyProtection="1">
      <alignment horizontal="center" vertical="center" wrapText="1"/>
    </xf>
    <xf numFmtId="3" fontId="4" fillId="27" borderId="28" xfId="0" applyNumberFormat="1" applyFont="1" applyFill="1" applyBorder="1" applyAlignment="1" applyProtection="1">
      <alignment horizontal="center" vertical="center" wrapText="1"/>
    </xf>
    <xf numFmtId="3" fontId="4" fillId="27" borderId="27" xfId="0" applyNumberFormat="1" applyFont="1" applyFill="1" applyBorder="1" applyAlignment="1" applyProtection="1">
      <alignment horizontal="center" vertical="center" wrapText="1"/>
    </xf>
    <xf numFmtId="3" fontId="4" fillId="27" borderId="26" xfId="0" applyNumberFormat="1" applyFont="1" applyFill="1" applyBorder="1" applyAlignment="1" applyProtection="1">
      <alignment horizontal="center" vertical="center" wrapText="1"/>
    </xf>
    <xf numFmtId="3" fontId="4" fillId="27" borderId="13" xfId="0" applyNumberFormat="1" applyFont="1" applyFill="1" applyBorder="1" applyAlignment="1" applyProtection="1">
      <alignment horizontal="center" vertical="center" wrapText="1"/>
    </xf>
    <xf numFmtId="0" fontId="25" fillId="26" borderId="54" xfId="0" applyNumberFormat="1" applyFont="1" applyFill="1" applyBorder="1" applyAlignment="1" applyProtection="1">
      <alignment horizontal="center" vertical="center" wrapText="1"/>
    </xf>
    <xf numFmtId="0" fontId="25" fillId="26" borderId="49" xfId="0" applyNumberFormat="1" applyFont="1" applyFill="1" applyBorder="1" applyAlignment="1" applyProtection="1">
      <alignment horizontal="center" vertical="center" wrapText="1"/>
    </xf>
    <xf numFmtId="0" fontId="25" fillId="26" borderId="0" xfId="0" applyNumberFormat="1" applyFont="1" applyFill="1" applyBorder="1" applyAlignment="1" applyProtection="1">
      <alignment horizontal="center" vertical="center" wrapText="1"/>
    </xf>
    <xf numFmtId="0" fontId="25" fillId="26" borderId="59" xfId="0" applyNumberFormat="1" applyFont="1" applyFill="1" applyBorder="1" applyAlignment="1" applyProtection="1">
      <alignment horizontal="center" vertical="center" wrapText="1"/>
    </xf>
    <xf numFmtId="3" fontId="4" fillId="0" borderId="22" xfId="1" applyNumberFormat="1" applyFont="1" applyFill="1" applyBorder="1" applyAlignment="1" applyProtection="1">
      <alignment horizontal="center" vertical="center" wrapText="1"/>
    </xf>
    <xf numFmtId="0" fontId="8" fillId="29" borderId="0" xfId="0" applyNumberFormat="1" applyFont="1" applyFill="1" applyBorder="1" applyAlignment="1" applyProtection="1"/>
    <xf numFmtId="0" fontId="7" fillId="29" borderId="0" xfId="0" applyNumberFormat="1" applyFont="1" applyFill="1" applyBorder="1" applyAlignment="1" applyProtection="1">
      <alignment horizontal="center" vertical="center"/>
    </xf>
    <xf numFmtId="0" fontId="1" fillId="29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6" fillId="29" borderId="0" xfId="0" applyNumberFormat="1" applyFont="1" applyFill="1" applyBorder="1" applyAlignment="1" applyProtection="1">
      <alignment vertical="center"/>
    </xf>
    <xf numFmtId="14" fontId="27" fillId="29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Fill="1" applyBorder="1" applyAlignment="1" applyProtection="1">
      <alignment horizontal="center" vertical="center" wrapText="1"/>
    </xf>
    <xf numFmtId="3" fontId="2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2" fontId="4" fillId="0" borderId="0" xfId="0" applyNumberFormat="1" applyFont="1" applyFill="1" applyBorder="1" applyAlignment="1" applyProtection="1">
      <alignment horizontal="center" vertical="center" wrapText="1"/>
    </xf>
    <xf numFmtId="0" fontId="25" fillId="26" borderId="58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25" fillId="26" borderId="57" xfId="0" applyNumberFormat="1" applyFont="1" applyFill="1" applyBorder="1" applyAlignment="1" applyProtection="1">
      <alignment vertical="center" wrapText="1"/>
    </xf>
    <xf numFmtId="0" fontId="25" fillId="26" borderId="16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3" fontId="4" fillId="0" borderId="20" xfId="1" applyNumberFormat="1" applyFont="1" applyFill="1" applyBorder="1" applyAlignment="1" applyProtection="1">
      <alignment horizontal="center" vertical="center" wrapText="1"/>
    </xf>
    <xf numFmtId="3" fontId="4" fillId="0" borderId="21" xfId="1" applyNumberFormat="1" applyFont="1" applyFill="1" applyBorder="1" applyAlignment="1" applyProtection="1">
      <alignment horizontal="center" vertical="center" wrapText="1"/>
    </xf>
    <xf numFmtId="3" fontId="4" fillId="0" borderId="23" xfId="1" applyNumberFormat="1" applyFont="1" applyFill="1" applyBorder="1" applyAlignment="1" applyProtection="1">
      <alignment horizontal="center" vertical="center" wrapText="1"/>
    </xf>
    <xf numFmtId="0" fontId="25" fillId="26" borderId="14" xfId="0" applyNumberFormat="1" applyFont="1" applyFill="1" applyBorder="1" applyAlignment="1" applyProtection="1">
      <alignment vertical="center" wrapText="1"/>
    </xf>
    <xf numFmtId="0" fontId="1" fillId="29" borderId="0" xfId="0" applyNumberFormat="1" applyFont="1" applyFill="1" applyBorder="1" applyAlignment="1" applyProtection="1">
      <alignment horizontal="left" vertical="center" wrapText="1"/>
    </xf>
    <xf numFmtId="0" fontId="26" fillId="29" borderId="0" xfId="0" applyNumberFormat="1" applyFont="1" applyFill="1" applyBorder="1" applyAlignment="1" applyProtection="1">
      <alignment vertical="center" wrapText="1"/>
    </xf>
    <xf numFmtId="0" fontId="26" fillId="29" borderId="0" xfId="0" applyNumberFormat="1" applyFont="1" applyFill="1" applyBorder="1" applyAlignment="1" applyProtection="1">
      <alignment horizontal="left" vertical="center" wrapText="1"/>
    </xf>
    <xf numFmtId="3" fontId="27" fillId="29" borderId="0" xfId="0" applyNumberFormat="1" applyFont="1" applyFill="1" applyBorder="1" applyAlignment="1" applyProtection="1">
      <alignment horizontal="center" vertical="center" wrapText="1"/>
    </xf>
    <xf numFmtId="14" fontId="9" fillId="29" borderId="0" xfId="0" applyNumberFormat="1" applyFont="1" applyFill="1" applyBorder="1" applyAlignment="1" applyProtection="1"/>
    <xf numFmtId="3" fontId="28" fillId="29" borderId="0" xfId="0" applyNumberFormat="1" applyFont="1" applyFill="1" applyBorder="1" applyAlignment="1" applyProtection="1">
      <alignment horizontal="center" vertical="center" wrapText="1"/>
    </xf>
    <xf numFmtId="0" fontId="29" fillId="29" borderId="0" xfId="0" applyNumberFormat="1" applyFont="1" applyFill="1" applyBorder="1" applyAlignment="1" applyProtection="1">
      <alignment horizontal="left"/>
    </xf>
    <xf numFmtId="0" fontId="30" fillId="29" borderId="0" xfId="0" applyNumberFormat="1" applyFont="1" applyFill="1" applyBorder="1" applyAlignment="1" applyProtection="1">
      <alignment horizontal="center" vertical="center"/>
    </xf>
    <xf numFmtId="0" fontId="31" fillId="29" borderId="0" xfId="0" applyNumberFormat="1" applyFont="1" applyFill="1" applyBorder="1" applyAlignment="1" applyProtection="1">
      <alignment horizontal="left"/>
    </xf>
    <xf numFmtId="0" fontId="1" fillId="29" borderId="0" xfId="0" applyNumberFormat="1" applyFont="1" applyFill="1" applyBorder="1" applyAlignment="1" applyProtection="1">
      <alignment vertical="center"/>
    </xf>
    <xf numFmtId="0" fontId="32" fillId="29" borderId="0" xfId="0" applyNumberFormat="1" applyFont="1" applyFill="1" applyBorder="1" applyAlignment="1" applyProtection="1"/>
    <xf numFmtId="0" fontId="3" fillId="29" borderId="0" xfId="0" applyNumberFormat="1" applyFont="1" applyFill="1" applyBorder="1" applyAlignment="1" applyProtection="1">
      <alignment vertical="center"/>
    </xf>
    <xf numFmtId="0" fontId="2" fillId="29" borderId="0" xfId="0" applyNumberFormat="1" applyFont="1" applyFill="1" applyBorder="1" applyAlignment="1" applyProtection="1">
      <alignment horizontal="center" vertical="center" wrapText="1"/>
    </xf>
    <xf numFmtId="0" fontId="1" fillId="29" borderId="0" xfId="0" applyNumberFormat="1" applyFont="1" applyFill="1" applyBorder="1" applyAlignment="1" applyProtection="1"/>
    <xf numFmtId="0" fontId="2" fillId="30" borderId="33" xfId="0" applyNumberFormat="1" applyFont="1" applyFill="1" applyBorder="1" applyAlignment="1" applyProtection="1">
      <alignment horizontal="center" vertical="center" wrapText="1"/>
    </xf>
    <xf numFmtId="0" fontId="2" fillId="30" borderId="32" xfId="0" applyNumberFormat="1" applyFont="1" applyFill="1" applyBorder="1" applyAlignment="1" applyProtection="1">
      <alignment horizontal="center" vertical="center" wrapText="1"/>
    </xf>
    <xf numFmtId="0" fontId="2" fillId="30" borderId="31" xfId="0" applyNumberFormat="1" applyFont="1" applyFill="1" applyBorder="1" applyAlignment="1" applyProtection="1">
      <alignment horizontal="center" vertical="center" wrapText="1"/>
    </xf>
    <xf numFmtId="3" fontId="2" fillId="30" borderId="33" xfId="0" applyNumberFormat="1" applyFont="1" applyFill="1" applyBorder="1" applyAlignment="1" applyProtection="1">
      <alignment horizontal="center" vertical="center" wrapText="1"/>
    </xf>
    <xf numFmtId="3" fontId="2" fillId="30" borderId="32" xfId="0" applyNumberFormat="1" applyFont="1" applyFill="1" applyBorder="1" applyAlignment="1" applyProtection="1">
      <alignment horizontal="center" vertical="center" wrapText="1"/>
    </xf>
    <xf numFmtId="3" fontId="2" fillId="30" borderId="31" xfId="0" applyNumberFormat="1" applyFont="1" applyFill="1" applyBorder="1" applyAlignment="1" applyProtection="1">
      <alignment horizontal="center" vertical="center" wrapText="1"/>
    </xf>
    <xf numFmtId="3" fontId="2" fillId="30" borderId="43" xfId="0" applyNumberFormat="1" applyFont="1" applyFill="1" applyBorder="1" applyAlignment="1" applyProtection="1">
      <alignment horizontal="center" vertical="center" wrapText="1"/>
    </xf>
    <xf numFmtId="3" fontId="2" fillId="30" borderId="54" xfId="0" applyNumberFormat="1" applyFont="1" applyFill="1" applyBorder="1" applyAlignment="1" applyProtection="1">
      <alignment horizontal="center" vertical="center" wrapText="1"/>
    </xf>
    <xf numFmtId="3" fontId="2" fillId="30" borderId="11" xfId="0" applyNumberFormat="1" applyFont="1" applyFill="1" applyBorder="1" applyAlignment="1" applyProtection="1">
      <alignment horizontal="center" vertical="center" wrapText="1"/>
    </xf>
    <xf numFmtId="0" fontId="2" fillId="30" borderId="0" xfId="0" applyNumberFormat="1" applyFont="1" applyFill="1" applyBorder="1" applyAlignment="1" applyProtection="1">
      <alignment vertical="center" wrapText="1"/>
    </xf>
    <xf numFmtId="3" fontId="2" fillId="30" borderId="0" xfId="0" applyNumberFormat="1" applyFont="1" applyFill="1" applyBorder="1" applyAlignment="1" applyProtection="1">
      <alignment vertical="center" wrapText="1"/>
    </xf>
    <xf numFmtId="3" fontId="4" fillId="30" borderId="0" xfId="0" applyNumberFormat="1" applyFont="1" applyFill="1" applyBorder="1" applyAlignment="1" applyProtection="1">
      <alignment vertical="center" wrapText="1"/>
    </xf>
    <xf numFmtId="3" fontId="2" fillId="30" borderId="47" xfId="0" applyNumberFormat="1" applyFont="1" applyFill="1" applyBorder="1" applyAlignment="1" applyProtection="1">
      <alignment horizontal="center" vertical="center" wrapText="1"/>
    </xf>
    <xf numFmtId="3" fontId="4" fillId="0" borderId="10" xfId="0" applyNumberFormat="1" applyFont="1" applyFill="1" applyBorder="1" applyAlignment="1" applyProtection="1">
      <alignment horizontal="center" vertical="center" wrapText="1"/>
    </xf>
    <xf numFmtId="3" fontId="4" fillId="0" borderId="64" xfId="0" applyNumberFormat="1" applyFont="1" applyFill="1" applyBorder="1" applyAlignment="1" applyProtection="1">
      <alignment horizontal="center" vertical="center" wrapText="1"/>
    </xf>
    <xf numFmtId="3" fontId="4" fillId="0" borderId="13" xfId="1" applyNumberFormat="1" applyFont="1" applyFill="1" applyBorder="1" applyAlignment="1" applyProtection="1">
      <alignment horizontal="center" vertical="center" wrapText="1"/>
    </xf>
    <xf numFmtId="0" fontId="2" fillId="30" borderId="0" xfId="0" applyNumberFormat="1" applyFont="1" applyFill="1" applyBorder="1" applyAlignment="1" applyProtection="1">
      <alignment horizontal="center" vertical="center"/>
    </xf>
    <xf numFmtId="0" fontId="2" fillId="30" borderId="0" xfId="0" applyNumberFormat="1" applyFont="1" applyFill="1" applyBorder="1" applyAlignment="1" applyProtection="1">
      <alignment horizontal="center" vertical="center" wrapText="1"/>
    </xf>
    <xf numFmtId="3" fontId="4" fillId="0" borderId="28" xfId="1" applyNumberFormat="1" applyFont="1" applyFill="1" applyBorder="1" applyAlignment="1" applyProtection="1">
      <alignment horizontal="center" vertical="center" wrapText="1"/>
    </xf>
    <xf numFmtId="0" fontId="4" fillId="0" borderId="23" xfId="1" applyNumberFormat="1" applyFont="1" applyFill="1" applyBorder="1" applyAlignment="1" applyProtection="1">
      <alignment horizontal="center" vertical="center" wrapText="1"/>
    </xf>
    <xf numFmtId="0" fontId="25" fillId="26" borderId="23" xfId="0" applyNumberFormat="1" applyFont="1" applyFill="1" applyBorder="1" applyAlignment="1" applyProtection="1">
      <alignment horizontal="center" vertical="center" wrapText="1"/>
    </xf>
    <xf numFmtId="0" fontId="1" fillId="30" borderId="0" xfId="0" applyNumberFormat="1" applyFont="1" applyFill="1" applyBorder="1" applyAlignment="1" applyProtection="1">
      <alignment vertical="center" wrapText="1"/>
    </xf>
    <xf numFmtId="3" fontId="4" fillId="0" borderId="13" xfId="1" applyNumberFormat="1" applyFont="1" applyFill="1" applyBorder="1" applyAlignment="1" applyProtection="1">
      <alignment horizontal="center" vertical="center" wrapText="1"/>
    </xf>
    <xf numFmtId="3" fontId="4" fillId="0" borderId="25" xfId="1" applyNumberFormat="1" applyFont="1" applyFill="1" applyBorder="1" applyAlignment="1" applyProtection="1">
      <alignment horizontal="center" vertical="center" wrapText="1"/>
    </xf>
    <xf numFmtId="3" fontId="4" fillId="0" borderId="12" xfId="1" applyNumberFormat="1" applyFont="1" applyFill="1" applyBorder="1" applyAlignment="1" applyProtection="1">
      <alignment horizontal="center" vertical="center" wrapText="1"/>
    </xf>
    <xf numFmtId="14" fontId="6" fillId="30" borderId="0" xfId="0" applyNumberFormat="1" applyFont="1" applyFill="1" applyBorder="1" applyAlignment="1" applyProtection="1">
      <alignment horizontal="center" vertical="center" wrapText="1"/>
    </xf>
    <xf numFmtId="3" fontId="4" fillId="24" borderId="27" xfId="1" applyNumberFormat="1" applyFont="1" applyFill="1" applyBorder="1" applyAlignment="1" applyProtection="1">
      <alignment horizontal="center" vertical="center" wrapText="1"/>
    </xf>
    <xf numFmtId="3" fontId="4" fillId="24" borderId="25" xfId="1" applyNumberFormat="1" applyFont="1" applyFill="1" applyBorder="1" applyAlignment="1" applyProtection="1">
      <alignment horizontal="center" vertical="center" wrapText="1"/>
    </xf>
    <xf numFmtId="3" fontId="4" fillId="24" borderId="12" xfId="1" applyNumberFormat="1" applyFont="1" applyFill="1" applyBorder="1" applyAlignment="1" applyProtection="1">
      <alignment horizontal="center" vertical="center" wrapText="1"/>
    </xf>
    <xf numFmtId="1" fontId="4" fillId="0" borderId="33" xfId="1" applyNumberFormat="1" applyFont="1" applyFill="1" applyBorder="1" applyAlignment="1" applyProtection="1">
      <alignment horizontal="center" vertical="center" wrapText="1"/>
    </xf>
    <xf numFmtId="1" fontId="4" fillId="0" borderId="32" xfId="1" applyNumberFormat="1" applyFont="1" applyFill="1" applyBorder="1" applyAlignment="1" applyProtection="1">
      <alignment horizontal="center" vertical="center" wrapText="1"/>
    </xf>
    <xf numFmtId="1" fontId="4" fillId="0" borderId="31" xfId="1" applyNumberFormat="1" applyFont="1" applyFill="1" applyBorder="1" applyAlignment="1" applyProtection="1">
      <alignment horizontal="center" vertical="center" wrapText="1"/>
    </xf>
    <xf numFmtId="3" fontId="4" fillId="24" borderId="13" xfId="1" applyNumberFormat="1" applyFont="1" applyFill="1" applyBorder="1" applyAlignment="1" applyProtection="1">
      <alignment horizontal="center" vertical="center" wrapText="1"/>
    </xf>
    <xf numFmtId="0" fontId="5" fillId="30" borderId="0" xfId="0" applyNumberFormat="1" applyFont="1" applyFill="1" applyBorder="1" applyAlignment="1" applyProtection="1">
      <alignment horizontal="left" vertical="center" wrapText="1"/>
    </xf>
    <xf numFmtId="14" fontId="6" fillId="0" borderId="0" xfId="0" applyNumberFormat="1" applyFont="1" applyFill="1" applyBorder="1" applyAlignment="1" applyProtection="1">
      <alignment horizontal="center" vertical="center" wrapText="1"/>
    </xf>
    <xf numFmtId="0" fontId="25" fillId="26" borderId="33" xfId="0" applyNumberFormat="1" applyFont="1" applyFill="1" applyBorder="1" applyAlignment="1" applyProtection="1">
      <alignment horizontal="left" vertical="center" wrapText="1"/>
    </xf>
    <xf numFmtId="0" fontId="25" fillId="26" borderId="32" xfId="0" applyNumberFormat="1" applyFont="1" applyFill="1" applyBorder="1" applyAlignment="1" applyProtection="1">
      <alignment horizontal="left" vertical="center" wrapText="1"/>
    </xf>
    <xf numFmtId="0" fontId="4" fillId="0" borderId="63" xfId="0" applyNumberFormat="1" applyFont="1" applyFill="1" applyBorder="1" applyAlignment="1" applyProtection="1">
      <alignment horizontal="center" vertical="center" wrapText="1"/>
    </xf>
    <xf numFmtId="0" fontId="4" fillId="0" borderId="39" xfId="0" applyNumberFormat="1" applyFont="1" applyFill="1" applyBorder="1" applyAlignment="1" applyProtection="1">
      <alignment horizontal="center" vertical="center" wrapText="1"/>
    </xf>
    <xf numFmtId="0" fontId="4" fillId="0" borderId="45" xfId="0" applyNumberFormat="1" applyFont="1" applyFill="1" applyBorder="1" applyAlignment="1" applyProtection="1">
      <alignment horizontal="center" vertical="center" wrapText="1"/>
    </xf>
    <xf numFmtId="1" fontId="4" fillId="0" borderId="61" xfId="0" applyNumberFormat="1" applyFont="1" applyFill="1" applyBorder="1" applyAlignment="1" applyProtection="1">
      <alignment horizontal="center" vertical="center" wrapText="1"/>
    </xf>
    <xf numFmtId="0" fontId="4" fillId="0" borderId="47" xfId="0" applyNumberFormat="1" applyFont="1" applyFill="1" applyBorder="1" applyAlignment="1" applyProtection="1">
      <alignment horizontal="center" vertical="center" wrapText="1"/>
    </xf>
    <xf numFmtId="0" fontId="4" fillId="0" borderId="60" xfId="0" applyNumberFormat="1" applyFont="1" applyFill="1" applyBorder="1" applyAlignment="1" applyProtection="1">
      <alignment horizontal="center" vertical="center" wrapText="1"/>
    </xf>
    <xf numFmtId="0" fontId="4" fillId="0" borderId="40" xfId="0" applyNumberFormat="1" applyFont="1" applyFill="1" applyBorder="1" applyAlignment="1" applyProtection="1">
      <alignment horizontal="center" vertical="center" wrapText="1"/>
    </xf>
    <xf numFmtId="0" fontId="4" fillId="0" borderId="42" xfId="0" applyNumberFormat="1" applyFont="1" applyFill="1" applyBorder="1" applyAlignment="1" applyProtection="1">
      <alignment horizontal="center" vertical="center" wrapText="1"/>
    </xf>
    <xf numFmtId="0" fontId="4" fillId="0" borderId="62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43" xfId="0" applyNumberFormat="1" applyFont="1" applyFill="1" applyBorder="1" applyAlignment="1" applyProtection="1">
      <alignment horizontal="center" vertical="center" wrapText="1"/>
    </xf>
    <xf numFmtId="0" fontId="25" fillId="26" borderId="57" xfId="0" applyNumberFormat="1" applyFont="1" applyFill="1" applyBorder="1" applyAlignment="1" applyProtection="1">
      <alignment horizontal="left" vertical="center" wrapText="1"/>
    </xf>
    <xf numFmtId="0" fontId="25" fillId="26" borderId="58" xfId="0" applyNumberFormat="1" applyFont="1" applyFill="1" applyBorder="1" applyAlignment="1" applyProtection="1">
      <alignment horizontal="left" vertical="center" wrapText="1"/>
    </xf>
    <xf numFmtId="0" fontId="25" fillId="26" borderId="56" xfId="0" applyNumberFormat="1" applyFont="1" applyFill="1" applyBorder="1" applyAlignment="1" applyProtection="1">
      <alignment horizontal="left" vertical="center" wrapText="1"/>
    </xf>
    <xf numFmtId="0" fontId="25" fillId="26" borderId="55" xfId="0" applyNumberFormat="1" applyFont="1" applyFill="1" applyBorder="1" applyAlignment="1" applyProtection="1">
      <alignment horizontal="left" vertical="center" wrapText="1"/>
    </xf>
  </cellXfs>
  <cellStyles count="45">
    <cellStyle name="20% - Акцент1" xfId="2"/>
    <cellStyle name="20% - Акцент2" xfId="3"/>
    <cellStyle name="20% - Акцент3" xfId="4"/>
    <cellStyle name="20% - Акцент4" xfId="5"/>
    <cellStyle name="20% - Акцент5" xfId="6"/>
    <cellStyle name="20% - Акцент6" xfId="7"/>
    <cellStyle name="40% - Акцент1" xfId="8"/>
    <cellStyle name="40% - Акцент2" xfId="9"/>
    <cellStyle name="40% - Акцент3" xfId="10"/>
    <cellStyle name="40% - Акцент4" xfId="11"/>
    <cellStyle name="40% - Акцент5" xfId="12"/>
    <cellStyle name="40% - Акцент6" xfId="13"/>
    <cellStyle name="60% - Акцент1" xfId="14"/>
    <cellStyle name="60% - Акцент2" xfId="15"/>
    <cellStyle name="60% - Акцент3" xfId="16"/>
    <cellStyle name="60% - Акцент4" xfId="17"/>
    <cellStyle name="60% - Акцент5" xfId="18"/>
    <cellStyle name="60% - Акцент6" xfId="19"/>
    <cellStyle name="Акцент1" xfId="20" builtinId="29" customBuiltin="1"/>
    <cellStyle name="Акцент2" xfId="21" builtinId="33" customBuiltin="1"/>
    <cellStyle name="Акцент3" xfId="22" builtinId="37" customBuiltin="1"/>
    <cellStyle name="Акцент4" xfId="23" builtinId="41" customBuiltin="1"/>
    <cellStyle name="Акцент5" xfId="24" builtinId="45" customBuiltin="1"/>
    <cellStyle name="Акцент6" xfId="25" builtinId="49" customBuiltin="1"/>
    <cellStyle name="Ввод " xfId="26" builtinId="20" customBuiltin="1"/>
    <cellStyle name="Вывод" xfId="27" builtinId="21" customBuiltin="1"/>
    <cellStyle name="Вычисление" xfId="28" builtinId="22" customBuiltin="1"/>
    <cellStyle name="Заголовок 1" xfId="29" builtinId="16" customBuiltin="1"/>
    <cellStyle name="Заголовок 2" xfId="30" builtinId="17" customBuiltin="1"/>
    <cellStyle name="Заголовок 3" xfId="31" builtinId="18" customBuiltin="1"/>
    <cellStyle name="Заголовок 4" xfId="32" builtinId="19" customBuiltin="1"/>
    <cellStyle name="Итог" xfId="33" builtinId="25" customBuiltin="1"/>
    <cellStyle name="Контрольная ячейка" xfId="34" builtinId="23" customBuiltin="1"/>
    <cellStyle name="Название" xfId="35" builtinId="15" customBuiltin="1"/>
    <cellStyle name="Нейтральный" xfId="36" builtinId="28" customBuiltin="1"/>
    <cellStyle name="Обычный" xfId="0" builtinId="0"/>
    <cellStyle name="Обычный 2" xfId="37"/>
    <cellStyle name="Обычный 6" xfId="38"/>
    <cellStyle name="Плохой" xfId="39" builtinId="27" customBuiltin="1"/>
    <cellStyle name="Пояснение" xfId="40" builtinId="53" customBuiltin="1"/>
    <cellStyle name="Примечание" xfId="41" builtinId="10" customBuiltin="1"/>
    <cellStyle name="Связанная ячейка" xfId="42" builtinId="24" customBuiltin="1"/>
    <cellStyle name="Текст предупреждения" xfId="43" builtinId="11" customBuiltin="1"/>
    <cellStyle name="Финансовый" xfId="1" builtinId="3"/>
    <cellStyle name="Хороший" xfId="44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56;&#1077;&#1078;&#1080;&#1084;&#1099;\2002%20&#1075;\&#1053;&#1072;%20&#1085;&#1086;&#1103;&#1073;&#1088;&#1100;\&#1055;&#1086;&#1090;&#1077;&#1088;&#1080;\&#1055;&#1086;&#1090;&#1077;&#1088;&#1080;%20&#1053;&#1055;-2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git2\ngdu\DOCUME~1\IAKachin\LOCALS~1\Temp\C.Lotus.Notes.Data\GroupPage_Upstream_finaldraft_050405_R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v-tnknv-fs01\userdata$\Documents%20and%20Settings\geo19\&#1056;&#1072;&#1073;&#1086;&#1095;&#1080;&#1081;%20&#1089;&#1090;&#1086;&#1083;\&#1041;&#1072;&#1079;&#1072;%20&#1086;&#1087;&#1090;&#1080;&#1084;&#1080;&#1079;&#1072;&#1094;&#1080;&#1080;%20&#1079;&#1072;%2010%20&#1084;&#1077;&#1089;%20&#1074;%20&#1076;&#1083;&#1080;&#1085;&#109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oot_hbh\sys\MER_KRS\EFFEC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44;&#1080;&#1085;&#1072;&#1084;&#1080;&#1082;&#1072;%20&#1091;&#1095;&#1072;&#1089;&#1090;&#1082;&#1086;&#1074;%202002\45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~1\geol25\LOCALS~1\Temp\&#1086;&#1087;&#1090;&#1080;&#1084;&#1080;&#1079;&#1072;&#1094;&#1080;&#1103;%20&#1074;&#1072;&#1088;&#1080;&#1072;&#1085;&#1090;&#109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rilova\ECON_MEST_20\DOCUME~1\LARION~1\LOCALS~1\Temp\Econom\UKS\&#1069;&#1092;&#1092;&#1077;&#1082;&#1090;\&#1041;&#1080;&#1079;&#1085;&#1077;&#1089;%202001(2668,8)\&#1091;&#1090;&#1086;&#1095;&#1085;.%20&#1041;&#1091;&#1088;&#1077;&#1085;&#1080;&#1077;-2001\&#1080;&#1090;&#1086;&#1075;&#1086;%20&#1041;&#1091;&#1088;.&#1087;&#1083;&#1072;&#1085;%2020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indows\TEMP\C.Lotus.Notes.Data\Option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IF2004\&#1054;&#1090;&#1095;&#1077;&#1090;&#1099;%20&#1087;&#1086;%20&#1043;&#1058;&#1052;\&#1057;&#1053;&#1043;&#1044;&#1059;2\&#1050;&#1056;&#1057;\&#1080;&#1102;&#1085;&#1100;\DIF4.5&#1080;&#1102;&#1085;&#110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IF2004\&#1052;&#1086;&#1085;&#1080;&#1090;&#1086;&#1088;&#1080;&#1085;&#1075;%202002\&#1043;&#1088;&#1072;&#1092;&#1080;&#1082;&#1080;\&#1054;&#1087;&#1090;&#1080;&#1084;&#1080;&#1079;&#1072;&#1094;&#1080;&#1103;\&#1048;&#1085;&#1074;&#1077;&#1089;&#1090;%20&#1085;&#1072;%20140%20&#1089;&#1082;&#107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2;&#1086;&#1080;%20&#1076;&#1086;&#1082;&#1091;&#1084;&#1077;&#1085;&#1090;&#1099;\&#1054;&#1087;&#1090;&#1080;&#1084;&#1080;&#1079;&#1072;&#1094;&#1080;&#1103;%202002&#1075;\&#1054;&#1090;&#1095;&#1077;&#1090;&#1099;%20&#1087;&#1086;%20&#1086;&#1087;&#1090;&#1080;&#1084;&#1080;&#1079;&#1072;&#1094;&#1080;&#1080;\&#1043;&#1088;&#1072;&#1092;&#1080;&#1082;&#1080;%20&#1043;&#1058;&#105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v-tnknv-fs01\userdata$\&#1054;&#1087;&#1090;&#1080;&#1084;&#1080;&#1079;&#1072;&#1094;&#1080;&#1103;\&#1041;&#1072;&#1079;&#1072;%20&#1086;&#1082;&#109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git2\ngdu\211\&#1055;&#1086;&#1095;&#1091;&#1077;&#1074;&#1072;\&#1052;&#1054;&#1045;\&#1055;&#1086;&#1090;&#1077;&#1088;&#1080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vinichenko\c\&#1052;&#1086;&#1080;%20&#1076;&#1086;&#1082;&#1091;&#1084;&#1077;&#1085;&#1090;&#1099;\&#1052;&#1072;&#1088;&#1072;&#1090;\Book\&#1052;&#1086;&#1080;%20&#1076;&#1086;&#1082;&#1091;&#1084;&#1077;&#1085;&#1090;&#1099;\&#1056;&#1072;&#1089;&#1095;&#1077;&#1090;&#1099;%20&#1043;&#1058;&#1052;%20&#1087;&#1086;%20&#1053;&#1043;&#1044;&#1059;%207_02\&#1041;&#1091;&#1075;&#1091;&#1088;&#1091;&#1089;&#1083;&#1072;&#1085;\&#1042;&#1074;&#1086;&#1076;_&#1041;&#1091;&#1075;&#1091;&#1088;&#1091;&#1089;&#1083;&#1072;&#1085;%20&#1073;&#1072;&#107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~1\KASYAN~1\LOCALS~1\Temp\2000%20&#1075;&#1086;&#1076;\&#1056;&#1077;&#1075;&#1083;&#1072;&#1084;&#1077;&#1085;&#1090;&#1099;,%20&#1087;&#1086;&#1083;&#1086;&#1078;&#1077;&#1085;&#1080;&#1103;\&#1092;&#1086;&#1088;&#1084;&#1099;%20&#1086;&#1090;&#1095;&#1077;&#1090;&#1085;&#1086;&#1089;&#1090;&#1080;\1999%20&#1075;&#1086;&#1076;\&#1053;&#1077;&#1092;&#1090;&#1077;&#1076;&#1086;&#1073;&#1099;&#1095;&#1072;\&#1060;&#1054;&#1056;&#1052;&#106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v-tnknv-fs01\userdata$\&#1052;&#1086;&#1080;%20&#1076;&#1086;&#1082;&#1091;&#1084;&#1077;&#1085;&#1090;&#1099;\&#1044;&#1083;&#1103;%20&#1088;&#1072;&#1073;&#1086;&#1090;&#1099;\&#1056;&#1072;&#1073;&#1086;&#1095;&#1080;&#1077;%20&#1076;&#1086;&#1082;&#1091;&#1084;&#1077;&#1085;&#1090;&#1099;\&#1041;-&#1055;%202001&#1075;\2%20&#1082;&#1074;%202001\1&#1082;&#1074;%202001%20(&#1071;&#1085;&#1074;%20%20&#1060;&#1077;&#1074;&#1088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052;&#1086;&#1080;%20&#1076;&#1086;&#1082;&#1091;&#1084;&#1077;&#1085;&#1090;&#1099;\&#1040;&#1053;&#1040;&#1051;&#1048;&#1047;%20&#1050;&#1056;&#1057;\2001\&#1040;&#1053;&#1040;&#1051;&#1048;&#1058;&#1048;&#1063;&#1045;&#1057;&#1050;&#1040;&#1071;%20&#1041;&#1040;&#1047;&#1040;%20&#1050;&#1056;&#1057;%202001\technology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ng\.fs_sng_nsseng.sng\New_2000\O_ANALIZ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INDOWS\TEMP\WINDOWS\TEMP\&#1069;&#1092;&#1092;&#1077;&#1082;&#1090;&#1080;&#1074;&#1085;&#1086;&#1089;&#1090;&#1100;\&#1055;&#1086;&#1076;&#1087;&#1080;&#1089;&#1072;&#1085;&#1085;&#1099;&#1077;%20&#1085;&#1077;&#1092;&#1090;&#1100;\&#1069;&#1092;&#1092;&#1077;&#1082;&#1090;&#1080;&#1074;&#1085;&#1086;&#1089;&#1090;&#1100;%20&#1086;&#1087;&#1090;&#1080;&#1084;&#1080;&#1079;&#1072;&#1094;&#1080;&#1081;%20&#1057;&#1053;&#1043;&#1044;&#1059;2%20&#1087;&#1086;%20&#1087;&#1088;&#1086;&#1075;&#1088;&#1072;&#1084;&#1084;&#1077;%20&#1055;&#1088;&#1094;&#1091;&#1082;&#1091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&#1080;&#1093;&#1072;&#1081;&#1083;&#1086;&#1074;&#1072;\&#1041;-&#1055;&#1051;&#1040;&#1053;%20&#1086;&#1078;&#1080;&#1076;%202003%202004%202005%202006\%20%2018%20&#1080;&#1102;&#1085;&#1103;\1%20&#1080;&#1102;&#1083;&#1103;\PTO\NK&#1086;&#1073;&#1097;&#1072;&#1103;\2003&#1075;&#1086;&#1076;\2003&#1075;(8305)20.01\&#1044;&#1053;-1%20&#1080;%20&#1044;&#1053;-5%20(8305)%20&#1086;&#1090;4.03.03&#1075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v-tnknv-fs01\userdata$\Temp\$wc\12005~1\2003%20&#1075;&#1086;&#1076;\&#1041;&#1072;&#1079;&#1099;%20&#1050;&#1056;&#1057;\&#1054;&#1090;&#1095;&#1077;&#1090;&#1099;%20&#1076;&#1083;&#1103;%20&#1052;&#1086;&#1089;&#1082;&#1074;&#1099;\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04\uh$\khomyakovanf\Desktop\&#1053;&#1086;&#1074;&#1072;&#1103;%20&#1089;&#1074;&#1086;&#1076;&#1082;&#1072;\&#1092;&#1086;&#1088;&#1084;&#1072;%20&#1089;&#1074;&#1086;&#1076;&#1082;&#1080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gadm1\invest\&#1053;&#1086;&#1074;&#1072;&#1103;%20&#1087;&#1072;&#1087;&#1082;&#1072;\NORTH\&#1050;&#1086;&#1085;&#1090;&#1077;&#1082;&#1089;&#1090;_CENTER\Context_&#1041;&#104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тери"/>
      <sheetName val="Control"/>
      <sheetName val="изм"/>
      <sheetName val="История"/>
      <sheetName val="Input"/>
      <sheetName val="Calculation"/>
      <sheetName val="В работе"/>
      <sheetName val="Финплан"/>
      <sheetName val="ст ГТМ"/>
      <sheetName val="таблица руководству"/>
      <sheetName val="Суточная добыча за неделю"/>
      <sheetName val="93"/>
      <sheetName val="Вахит_Д5_Maт Баланс"/>
      <sheetName val="WOR&amp;MBAL_base"/>
      <sheetName val="Возвраты и приобщения"/>
      <sheetName val="Баланс нпр"/>
      <sheetName val="КПП"/>
      <sheetName val="Деб и запасы"/>
      <sheetName val="Баланс нефти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up Page Production_1"/>
      <sheetName val="Group Page Production_1 (Качин)"/>
      <sheetName val="Group Page Production_1 (ДиР)"/>
      <sheetName val="Group Page Production_2"/>
      <sheetName val="Group Page Lifting Cost"/>
      <sheetName val="Lifting Cost Data"/>
      <sheetName val="Production and Spend"/>
      <sheetName val="Production and Spend (Plan)"/>
      <sheetName val="EBITDA Full Year"/>
      <sheetName val="Самотлор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чет темпов падения"/>
      <sheetName val="доп ГТМ"/>
      <sheetName val="Лист1"/>
      <sheetName val="Темпы падения по опт за 10 м"/>
      <sheetName val="1"/>
      <sheetName val="единички"/>
      <sheetName val="инвест"/>
      <sheetName val="Основа"/>
      <sheetName val="общая база (2)"/>
      <sheetName val="Input Assumptions"/>
      <sheetName val="потери по ГТМ 2003г"/>
      <sheetName val="Список ГТМ "/>
      <sheetName val="Header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R"/>
      <sheetName val="ФИЛЬТР"/>
      <sheetName val="ИТОГИ"/>
      <sheetName val="Итоги по дням"/>
      <sheetName val="январь 2000"/>
      <sheetName val="февраль 2000"/>
      <sheetName val="Модуль1"/>
      <sheetName val="Модуль2"/>
      <sheetName val="Модуль3"/>
      <sheetName val="Модуль4"/>
      <sheetName val="Модуль5"/>
      <sheetName val="Модуль6"/>
      <sheetName val="Модуль7"/>
      <sheetName val="Модуль8"/>
      <sheetName val="Модуль9"/>
      <sheetName val="Модуль13"/>
      <sheetName val="Модуль10"/>
      <sheetName val="Модуль11"/>
      <sheetName val="март 2000 "/>
      <sheetName val="апрель 2000"/>
      <sheetName val="май 2000 "/>
      <sheetName val="июнь 2000"/>
      <sheetName val="июль 2000"/>
      <sheetName val="август 2000"/>
      <sheetName val="сентябрь 2000"/>
      <sheetName val="октябрь 2000"/>
      <sheetName val="ДЕКАБРЬ 2000"/>
      <sheetName val="январь"/>
      <sheetName val="ФЕВРАЛЬ"/>
      <sheetName val="МАРТ"/>
      <sheetName val="апрель"/>
      <sheetName val="май-ерм"/>
      <sheetName val="май-ннп"/>
      <sheetName val="июнь-ннп"/>
      <sheetName val="июнь-ерм"/>
      <sheetName val="июль-ннп"/>
      <sheetName val="август"/>
      <sheetName val="август (2)"/>
      <sheetName val="декабрь ННП+Ермаки"/>
      <sheetName val="март  ННП+Ермаки "/>
      <sheetName val="апрель  ННП+Ермаки  "/>
      <sheetName val="январь ННП (инвест)"/>
      <sheetName val="Линейная чувствительность"/>
      <sheetName val="Расчет темпов падения"/>
      <sheetName val="Добыча"/>
      <sheetName val="Гаршино (2)"/>
      <sheetName val="Tab"/>
      <sheetName val="НПА"/>
      <sheetName val="scenario summary"/>
      <sheetName val="обзор"/>
      <sheetName val="SelectionCriteria"/>
      <sheetName val="Controls"/>
      <sheetName val="Input Assumptions"/>
      <sheetName val="поставка ПНГ"/>
      <sheetName val="исходные данные"/>
      <sheetName val="потери по ГТМ 2003г"/>
      <sheetName val="Список ГТМ "/>
      <sheetName val="NPIP"/>
      <sheetName val="PIP"/>
      <sheetName val="DD&amp;A Exist Base"/>
      <sheetName val="Resources"/>
      <sheetName val="Settings"/>
      <sheetName val="Титул"/>
      <sheetName val="СКО"/>
      <sheetName val="assump"/>
      <sheetName val="#ССЫЛКА"/>
      <sheetName val="9 мес на 12 т"/>
      <sheetName val="Context_LTP"/>
      <sheetName val=""/>
      <sheetName val="MAIN_PARAMETERS"/>
      <sheetName val="Production and Spend"/>
      <sheetName val="di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нд "/>
      <sheetName val="динам"/>
      <sheetName val="динам 1992"/>
      <sheetName val="фонд4501"/>
      <sheetName val="нефть4501"/>
      <sheetName val="Лист3"/>
      <sheetName val="DIF-6"/>
      <sheetName val="Линейная чувствительность"/>
      <sheetName val="2.98"/>
      <sheetName val="Гаршино (2)"/>
      <sheetName val="Production and Spend"/>
      <sheetName val="Materials"/>
      <sheetName val="lang"/>
      <sheetName val="Cover page"/>
      <sheetName val="MER"/>
      <sheetName val="Data"/>
      <sheetName val="кода"/>
      <sheetName val="Лист1"/>
      <sheetName val="Обоснование"/>
      <sheetName val="Resources"/>
      <sheetName val="US_GA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птим 300"/>
      <sheetName val="оптим 150 имп"/>
      <sheetName val="оптим 150 русс"/>
      <sheetName val="оптим (400скв)"/>
      <sheetName val="оптим 370 8т"/>
      <sheetName val="оптим 350 8,5т"/>
      <sheetName val="оптим 330 9"/>
      <sheetName val="оптим 330 9 (2)"/>
      <sheetName val="оптим 150 имп (2)"/>
      <sheetName val="оптим 150 русс (2)"/>
      <sheetName val="оптим 150 имп (3)"/>
      <sheetName val="оптим 150 русс (3)"/>
      <sheetName val="Лист1"/>
      <sheetName val="Лист2"/>
      <sheetName val="Лист3"/>
      <sheetName val="фонд "/>
      <sheetName val="Добыч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зор"/>
      <sheetName val="цены"/>
      <sheetName val="уд.затр."/>
      <sheetName val="произв."/>
      <sheetName val="Ввод"/>
      <sheetName val="Кап.вл."/>
      <sheetName val="дин"/>
      <sheetName val="опер"/>
      <sheetName val="эф."/>
      <sheetName val="поток"/>
      <sheetName val="Ан.ч."/>
      <sheetName val="Resources"/>
      <sheetName val="база общая"/>
      <sheetName val="9 мес на 12 т"/>
      <sheetName val="Лист1"/>
      <sheetName val="Справочник"/>
      <sheetName val="1"/>
      <sheetName val="Nodes"/>
      <sheetName val="Periods"/>
      <sheetName val="НЕДЕЛИ"/>
      <sheetName val="Well Calculations"/>
      <sheetName val="5SpotPatternCalcsField"/>
      <sheetName val="9SpotCornerCalcs"/>
      <sheetName val="GRAPHS"/>
      <sheetName val="Обоснование"/>
      <sheetName val="GTM_Welln"/>
      <sheetName val="All_GTM_T1"/>
      <sheetName val="All_GTM_T2"/>
      <sheetName val="КРС"/>
      <sheetName val="Carry out projects"/>
      <sheetName val="ВКЕ"/>
      <sheetName val="Список ГТМ "/>
      <sheetName val="потери по ГТМ 2003г"/>
      <sheetName val="Portfolio Ranking"/>
      <sheetName val="январь"/>
      <sheetName val="фонд "/>
      <sheetName val="Input Assumptions"/>
      <sheetName val="Product Assumptions"/>
      <sheetName val="Финплан"/>
      <sheetName val="JOE(для нов скв)"/>
      <sheetName val="ОТМ май"/>
      <sheetName val="Downstream - performance"/>
      <sheetName val="blank"/>
      <sheetName val="T1"/>
      <sheetName val="Assumptions"/>
      <sheetName val="ProductBundle (Naming)"/>
      <sheetName val="Product (Naming)"/>
      <sheetName val="Transportation Capacity"/>
      <sheetName val="US_GAAP"/>
      <sheetName val="НГДУ"/>
      <sheetName val="КПЭ"/>
      <sheetName val="уд_затр_"/>
      <sheetName val="произв_"/>
      <sheetName val="Кап_вл_"/>
      <sheetName val="эф_"/>
      <sheetName val="Ан_ч_"/>
      <sheetName val="база_общая"/>
      <sheetName val="9_мес_на_12_т"/>
      <sheetName val="Well_Calculations"/>
      <sheetName val="Product_Assumptions"/>
      <sheetName val="Carry_out_projects"/>
      <sheetName val="Список_ГТМ_"/>
      <sheetName val="потери_по_ГТМ_2003г"/>
      <sheetName val="Portfolio_Ranking"/>
      <sheetName val="фонд_"/>
      <sheetName val="Input_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stem"/>
      <sheetName val="Control"/>
      <sheetName val="#@@@XL3WORK@@@#"/>
      <sheetName val="Definitions"/>
      <sheetName val="Template"/>
      <sheetName val="PAS_Portal"/>
      <sheetName val="PAS_ASRead"/>
      <sheetName val="PAS_ASSend"/>
      <sheetName val="PAS_PUStart"/>
      <sheetName val="PAS_PUEnd"/>
      <sheetName val="C_Portal"/>
      <sheetName val="C_ASRead"/>
      <sheetName val="C_ASSend"/>
      <sheetName val="C_PUStart"/>
      <sheetName val="C_PUEnd"/>
      <sheetName val="Cx_Portal"/>
      <sheetName val="Cx_ASSend"/>
      <sheetName val="Cx_PUStart"/>
      <sheetName val="Cx_PUEnd"/>
      <sheetName val="обзор"/>
      <sheetName val="Суточная добыча за неделю"/>
      <sheetName val="Production and Spend"/>
      <sheetName val="Линейная чувствительность"/>
      <sheetName val="Nodes"/>
      <sheetName val="Periods"/>
      <sheetName val="Resources"/>
      <sheetName val="GRAPHS"/>
      <sheetName val="История"/>
      <sheetName val="Input"/>
      <sheetName val="Calculation"/>
      <sheetName val="таблица руководству"/>
      <sheetName val="НЕДЕЛ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3"/>
      <sheetName val="Лист2"/>
      <sheetName val="DIF5 (старый план)"/>
      <sheetName val="ппд 6 мес"/>
      <sheetName val="DIF5"/>
      <sheetName val="DIF4"/>
      <sheetName val="Control"/>
      <sheetName val="Sys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 мес в длину (основа)"/>
      <sheetName val="ст на 12т"/>
      <sheetName val="9 мес на 12 т"/>
      <sheetName val="Лист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вод новых"/>
      <sheetName val="Оптимизация"/>
      <sheetName val="ГРП на кислоте"/>
      <sheetName val="ГРП на проппанте"/>
      <sheetName val="Ликв негерм эк"/>
      <sheetName val="аварии прош"/>
      <sheetName val="аварии тек"/>
      <sheetName val="перевод"/>
      <sheetName val="ОПЗ"/>
      <sheetName val="Ветошкину"/>
      <sheetName val="Settings"/>
      <sheetName val="Справочн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щая база"/>
      <sheetName val="База инвест (окт)"/>
      <sheetName val="база общ"/>
      <sheetName val="Расчет темпов падения"/>
      <sheetName val="#ССЫЛКА"/>
      <sheetName val="Input Assumptions"/>
      <sheetName val="Neste Oy"/>
      <sheetName val="Carry out projects"/>
      <sheetName val="Context_LTP"/>
      <sheetName val="Лист1"/>
      <sheetName val="9 мес на 12 т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чист ноябрь (2)"/>
      <sheetName val="отказы ноябрь"/>
      <sheetName val="чист декаб"/>
      <sheetName val="отказы (3)"/>
      <sheetName val="отказы декабрь"/>
      <sheetName val="отказы"/>
      <sheetName val="ОТМ ма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одные данные"/>
      <sheetName val="скв№"/>
      <sheetName val="вар 3"/>
      <sheetName val="Лист3"/>
      <sheetName val="отказы"/>
      <sheetName val="GRAPHS"/>
      <sheetName val="Факт Dink-Inv 2004"/>
      <sheetName val="СНГДУ 1"/>
      <sheetName val="Control"/>
      <sheetName val="System"/>
      <sheetName val="численность"/>
      <sheetName val="Context_LTP"/>
      <sheetName val="Ввод_Бугуруслан баз"/>
      <sheetName val="НЕДЕЛИ"/>
      <sheetName val="Neste Oy"/>
      <sheetName val="Организации"/>
      <sheetName val="Расчет"/>
      <sheetName val="9 мес на 12 т"/>
      <sheetName val="ОТМ май"/>
      <sheetName val="БВ10"/>
      <sheetName val="таблица руководству"/>
      <sheetName val="ПЛАСТ НП"/>
      <sheetName val="#ССЫЛКА"/>
      <sheetName val="Input Assumptions"/>
      <sheetName val="История"/>
      <sheetName val="dict"/>
      <sheetName val="Materials"/>
      <sheetName val="Carry out projects"/>
      <sheetName val="2.98"/>
      <sheetName val="3.98"/>
      <sheetName val="CAPEX GFO-Факт 2010"/>
      <sheetName val="CAPEX GFO-0 2011"/>
      <sheetName val="analysis"/>
      <sheetName val="исх.данные"/>
      <sheetName val="CENTR"/>
      <sheetName val="оператор"/>
      <sheetName val="Списки"/>
      <sheetName val="изм"/>
      <sheetName val="база1"/>
      <sheetName val="Вахит_Д5_Maт Баланс"/>
      <sheetName val="КПП"/>
      <sheetName val="Деб и запасы"/>
      <sheetName val="приобретение нпр"/>
      <sheetName val="Параметры_i"/>
      <sheetName val="Тит. лист"/>
      <sheetName val="Справочник"/>
      <sheetName val="Баланс_2периодный1"/>
      <sheetName val="Баланс_2периодный2"/>
      <sheetName val="коэф"/>
      <sheetName val="Финплан"/>
      <sheetName val="на Январь предварительный"/>
      <sheetName val="Заголовок"/>
      <sheetName val="авиа ЮНГПДС"/>
      <sheetName val="PULin сл.1"/>
      <sheetName val="БАЛАНС"/>
      <sheetName val="подстава1"/>
      <sheetName val="Вариант1"/>
      <sheetName val="Вариант10"/>
      <sheetName val="Вариант11"/>
      <sheetName val="Вариант12"/>
      <sheetName val="Вариант2"/>
      <sheetName val="Вариант3"/>
      <sheetName val="Вариант4"/>
      <sheetName val="Вариант5"/>
      <sheetName val="Вариант6"/>
      <sheetName val="Вариант7"/>
      <sheetName val="Вариант8"/>
      <sheetName val="Вариант9"/>
      <sheetName val="lang"/>
      <sheetName val="изд.обращ."/>
      <sheetName val="статьи"/>
      <sheetName val="BUR"/>
      <sheetName val="отчет эл_эн  2000"/>
      <sheetName val="Константы"/>
      <sheetName val="МТС"/>
      <sheetName val="ИТОГ"/>
      <sheetName val="МВЗ"/>
      <sheetName val="расчетные таблицы"/>
      <sheetName val="Input"/>
      <sheetName val="финплан благотворительность"/>
      <sheetName val="ВВ"/>
      <sheetName val="ВНГДУ_П"/>
      <sheetName val="ВНГДУ"/>
      <sheetName val="ВП"/>
      <sheetName val="Гер"/>
      <sheetName val="Гр"/>
      <sheetName val="Двур"/>
      <sheetName val="ДЛМ"/>
      <sheetName val="ЗКат"/>
      <sheetName val="Трайгор"/>
      <sheetName val="ЗОст"/>
      <sheetName val="ЗП"/>
      <sheetName val="ИТал"/>
      <sheetName val="Кат"/>
      <sheetName val="Кол"/>
      <sheetName val="Крап"/>
      <sheetName val="НПерв"/>
      <sheetName val="ЛНГДУ"/>
      <sheetName val="Лом"/>
      <sheetName val="Луг"/>
      <sheetName val="ЛЯх"/>
      <sheetName val="Мл"/>
      <sheetName val="НВ"/>
      <sheetName val="Озер"/>
      <sheetName val="Олен"/>
      <sheetName val="Онт"/>
      <sheetName val="Перв"/>
      <sheetName val="ПЕТРОЛЕУМ"/>
      <sheetName val="ВАХСКАЯ"/>
      <sheetName val="ПОЛУД"/>
      <sheetName val="Пр"/>
      <sheetName val="СВ"/>
      <sheetName val="Сев"/>
      <sheetName val="СНГДУ"/>
      <sheetName val="Сов"/>
      <sheetName val="Сов_ц1"/>
      <sheetName val="СОлен"/>
      <sheetName val="Стр"/>
      <sheetName val="Тамб"/>
      <sheetName val="ОАО"/>
      <sheetName val="ЦВ"/>
      <sheetName val="Чк"/>
      <sheetName val="ЮЧер"/>
      <sheetName val="MAIN_PARAMETERS"/>
      <sheetName val="АУП"/>
      <sheetName val="Periods"/>
      <sheetName val="Курс $"/>
      <sheetName val="ИД"/>
      <sheetName val="Мес"/>
      <sheetName val="СВОД"/>
      <sheetName val="Macros"/>
      <sheetName val="Вспом-2 кв."/>
      <sheetName val="Время"/>
      <sheetName val="Входные параметрыВНГДУ"/>
      <sheetName val="исходные_данные"/>
      <sheetName val="вар_3"/>
      <sheetName val="Факт_Dink-Inv_2004"/>
      <sheetName val="СНГДУ_1"/>
      <sheetName val="Ввод_Бугуруслан_баз"/>
      <sheetName val="таблица_руководству"/>
      <sheetName val="ПЛАСТ_НП"/>
      <sheetName val="ОТМ_май"/>
      <sheetName val="9_мес_на_12_т"/>
      <sheetName val="Input_Assumptions"/>
      <sheetName val="Neste_Oy"/>
      <sheetName val="Carry_out_projects"/>
      <sheetName val="2_98"/>
      <sheetName val="3_98"/>
      <sheetName val="исх_данные"/>
      <sheetName val="CAPEX_GFO-Факт_2010"/>
      <sheetName val="CAPEX_GFO-0_2011"/>
      <sheetName val="Тит__лист"/>
      <sheetName val="Вахит_Д5_Maт_Баланс"/>
      <sheetName val="Деб_и_запасы"/>
      <sheetName val="приобретение_нпр"/>
      <sheetName val="на_Январь_предварительный"/>
      <sheetName val="PULin сл_1"/>
      <sheetName val="мс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порт"/>
      <sheetName val="Добыча"/>
      <sheetName val="ФОНД СКВАЖИН"/>
      <sheetName val="БУРЕНИЕ"/>
      <sheetName val="krsННГ"/>
      <sheetName val="prsННГ"/>
      <sheetName val="krsННГ-2"/>
      <sheetName val="prsННГ-2"/>
      <sheetName val="krsТНГ"/>
      <sheetName val="prsТНГ"/>
      <sheetName val="krsТНГ-2"/>
      <sheetName val="prsТНГ-2"/>
      <sheetName val="Пр.показатели"/>
      <sheetName val="ПОТЕРИ-ТНГ"/>
      <sheetName val="ПОТЕРИ-ННГ "/>
      <sheetName val="ПОРЫВЫ-ННГ"/>
      <sheetName val="ПОРЫВЫ-ТНГ"/>
      <sheetName val="БАЛАНС-ТНК"/>
      <sheetName val="БАЛАНС-ННГ"/>
      <sheetName val="БАЛАНС-ТНГ"/>
      <sheetName val="ПЛАНЫ"/>
      <sheetName val="ПЛАН-ННГ"/>
      <sheetName val="ПЛАН-ТНГ"/>
      <sheetName val="Итоги"/>
      <sheetName val="Дельта"/>
      <sheetName val="исходные данны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 кв.2001План-Факт"/>
      <sheetName val="Добыча"/>
      <sheetName val="Расчет"/>
      <sheetName val="Организации"/>
      <sheetName val="#ССЫЛКА"/>
      <sheetName val="отказы"/>
      <sheetName val="исходные данны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2.98"/>
      <sheetName val="3.98"/>
      <sheetName val="#ССЫЛКА"/>
      <sheetName val="Calculation"/>
      <sheetName val="ПЛАСТ НП"/>
      <sheetName val="параметры"/>
      <sheetName val="исходные данные"/>
      <sheetName val="DIF-2_INV_K"/>
      <sheetName val="2003"/>
      <sheetName val="фзп"/>
      <sheetName val="содержание офиса"/>
      <sheetName val="БВ10"/>
      <sheetName val="СПРАВОЧНИК"/>
      <sheetName val="свод"/>
      <sheetName val="отказы"/>
      <sheetName val="Линейная чувствительность"/>
      <sheetName val="technology"/>
      <sheetName val="Вахит_Д5_Maт Баланс"/>
      <sheetName val="изм"/>
      <sheetName val="Расчет"/>
      <sheetName val="Организации"/>
      <sheetName val="мсн"/>
      <sheetName val="Остановка I этап"/>
      <sheetName val="В работе"/>
      <sheetName val="Прогноз нараб (изм 51, 55, 56)"/>
      <sheetName val="Добыча"/>
      <sheetName val="welldata frac analysis"/>
      <sheetName val="ЦДНГ-2"/>
      <sheetName val="таблица руководству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вод"/>
      <sheetName val="ННП"/>
      <sheetName val="СНГ"/>
      <sheetName val="База"/>
      <sheetName val="Расчет"/>
      <sheetName val="Корректировка"/>
      <sheetName val="План"/>
      <sheetName val="Даты"/>
      <sheetName val="бланк на нач мес"/>
      <sheetName val="Модуль1"/>
      <sheetName val="Модуль2"/>
      <sheetName val="Модуль3"/>
      <sheetName val="Куда"/>
      <sheetName val="Организации"/>
      <sheetName val="Параметры"/>
      <sheetName val="ОТМ май"/>
      <sheetName val="Индексы"/>
      <sheetName val="Линейная чувствительность"/>
      <sheetName val="экспорт"/>
      <sheetName val="План_РиД_долл"/>
      <sheetName val="Факт_объекты до 2010"/>
      <sheetName val="СНГДУ 1"/>
      <sheetName val="СПРАВОЧНИК ППД"/>
      <sheetName val="Содержание"/>
      <sheetName val="Ответственные"/>
      <sheetName val="Лист1"/>
      <sheetName val="Бурение"/>
      <sheetName val="таблица руководству"/>
      <sheetName val="фзп"/>
      <sheetName val="содержание офиса"/>
      <sheetName val="БВ10"/>
      <sheetName val="ст ГТМ"/>
      <sheetName val="Остановка I этап"/>
      <sheetName val="ИТОГ"/>
      <sheetName val="P&amp;L_2002"/>
      <sheetName val="P&amp;L_БП_2003"/>
      <sheetName val="sapactivexlhidden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НГ (2)"/>
      <sheetName val="СНГ"/>
      <sheetName val="ИТОГ"/>
      <sheetName val="Январь"/>
      <sheetName val="Февраль"/>
      <sheetName val="Март"/>
      <sheetName val="Апрель"/>
      <sheetName val="Май"/>
      <sheetName val="Организации"/>
      <sheetName val="Расчет"/>
      <sheetName val="Линейная чувствительность"/>
      <sheetName val="фонд "/>
      <sheetName val="Data"/>
      <sheetName val="содержание офиса"/>
      <sheetName val="фзп"/>
      <sheetName val="ф.ТНК Север"/>
      <sheetName val="DIF-6"/>
      <sheetName val="экспорт"/>
      <sheetName val="СПРАВОЧНИК ППД"/>
      <sheetName val="ControlList"/>
      <sheetName val="Индексы"/>
      <sheetName val="WOR&amp;MBAL_base"/>
      <sheetName val="2.98"/>
      <sheetName val="Resources"/>
      <sheetName val="Гаршино (2)"/>
      <sheetName val="Справочник"/>
      <sheetName val="стат.пар"/>
      <sheetName val="база об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Н-1"/>
      <sheetName val="ДН-5"/>
      <sheetName val="ст ГТМ"/>
      <sheetName val="Production and Spend"/>
      <sheetName val="#ССЫЛКА"/>
      <sheetName val="Самотлор"/>
      <sheetName val="Context_LTP"/>
      <sheetName val="прирост"/>
      <sheetName val="Свод ГТМ 2004г"/>
      <sheetName val="Resources"/>
      <sheetName val="Остановка I этап"/>
      <sheetName val="2008 Plan"/>
      <sheetName val="ИТОГ"/>
      <sheetName val="экспор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В работе"/>
      <sheetName val="1"/>
      <sheetName val="Расчет"/>
      <sheetName val="Организации"/>
      <sheetName val=""/>
      <sheetName val="Стоимость услуг"/>
      <sheetName val="Production and Spend"/>
      <sheetName val="Resources"/>
      <sheetName val="ст ГТМ"/>
      <sheetName val="NPIP"/>
      <sheetName val="PIP"/>
      <sheetName val="Линейная чувствительност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Графики"/>
      <sheetName val="таблица руководству"/>
      <sheetName val="суточная сводка"/>
      <sheetName val="Суточная добыча за неделю"/>
      <sheetName val="Лист3"/>
      <sheetName val="СНГДУ-1"/>
      <sheetName val="Input Assumptions"/>
      <sheetName val="В работе"/>
      <sheetName val="потери по ГТМ 2003г"/>
      <sheetName val="Список ГТМ "/>
      <sheetName val="15 August no challenges"/>
      <sheetName val="26 July flat"/>
      <sheetName val="26 July no challenges"/>
      <sheetName val="Возвраты и приобщения"/>
      <sheetName val="ИТОГ"/>
      <sheetName val="ст ГТМ"/>
      <sheetName val="ВКЕ"/>
      <sheetName val="Гаршино (2)"/>
      <sheetName val="2003"/>
      <sheetName val="Остановки"/>
      <sheetName val="Ф-2"/>
      <sheetName val="Бурение"/>
      <sheetName val="обзор"/>
      <sheetName val="System"/>
      <sheetName val="Control"/>
      <sheetName val="Лист1"/>
      <sheetName val="Группы закупок - ТС"/>
      <sheetName val="MAIN_PARAMETERS"/>
      <sheetName val="Capacity"/>
      <sheetName val="M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ТА1"/>
      <sheetName val="ЛТА2"/>
      <sheetName val="ППД1"/>
      <sheetName val="ППД2"/>
      <sheetName val="пер_ППД1"/>
      <sheetName val="пер_ППД2"/>
      <sheetName val="Бур_Гор1"/>
      <sheetName val="Бур_Гор2"/>
      <sheetName val="оптим1"/>
      <sheetName val="оптим 2"/>
      <sheetName val="ГРП1"/>
      <sheetName val="ГРП 2"/>
      <sheetName val="ПП1"/>
      <sheetName val="ПП2"/>
      <sheetName val=" ОПЗ1"/>
      <sheetName val="ОПЗ2"/>
      <sheetName val="ОВП1"/>
      <sheetName val="ОВП2"/>
      <sheetName val="ЛАПЛ1"/>
      <sheetName val="ЛАПЛ2"/>
      <sheetName val="ПРС1"/>
      <sheetName val="ПРС2"/>
      <sheetName val="БОПЗ1 "/>
      <sheetName val="БОПЗ2"/>
      <sheetName val="Approval Process"/>
      <sheetName val="Early Warning Ind. Definitions"/>
      <sheetName val="Cap Alloc to FM"/>
      <sheetName val="Map"/>
      <sheetName val="Summary"/>
      <sheetName val="таблица руководству"/>
      <sheetName val="Суточная добыча за неделю"/>
      <sheetName val="СкладС цен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G665"/>
  <sheetViews>
    <sheetView tabSelected="1" zoomScale="75" workbookViewId="0">
      <pane xSplit="3" ySplit="7" topLeftCell="D8" activePane="bottomRight" state="frozen"/>
      <selection pane="topRight"/>
      <selection pane="bottomLeft"/>
      <selection pane="bottomRight" activeCell="A2" sqref="A2"/>
    </sheetView>
  </sheetViews>
  <sheetFormatPr defaultRowHeight="12.75" outlineLevelRow="1" outlineLevelCol="1" x14ac:dyDescent="0.25"/>
  <cols>
    <col min="1" max="1" width="10.7109375" style="207" customWidth="1"/>
    <col min="2" max="2" width="50.7109375" style="207" customWidth="1"/>
    <col min="3" max="3" width="10.7109375" style="207" customWidth="1"/>
    <col min="4" max="5" width="12.7109375" style="209" customWidth="1"/>
    <col min="6" max="53" width="12.7109375" style="209" customWidth="1" outlineLevel="1"/>
    <col min="54" max="56" width="12.7109375" style="208" customWidth="1" outlineLevel="1"/>
    <col min="57" max="57" width="12.7109375" style="233" customWidth="1"/>
    <col min="58" max="59" width="12.7109375" style="207" customWidth="1"/>
    <col min="60" max="16384" width="9.140625" style="207"/>
  </cols>
  <sheetData>
    <row r="1" spans="1:59" s="3" customFormat="1" ht="18.75" customHeight="1" x14ac:dyDescent="0.3">
      <c r="A1" s="234"/>
      <c r="B1" s="234" t="s">
        <v>0</v>
      </c>
      <c r="C1" s="234"/>
      <c r="D1" s="206"/>
      <c r="E1" s="206"/>
      <c r="F1" s="230"/>
      <c r="G1" s="230"/>
      <c r="H1" s="230"/>
      <c r="I1" s="230"/>
      <c r="J1" s="256"/>
      <c r="K1" s="268"/>
      <c r="L1" s="268"/>
      <c r="M1" s="268"/>
      <c r="N1" s="260"/>
      <c r="O1" s="260"/>
      <c r="P1" s="260"/>
      <c r="Q1" s="268"/>
      <c r="R1" s="268"/>
      <c r="S1" s="268"/>
      <c r="T1" s="268"/>
      <c r="U1" s="260"/>
      <c r="V1" s="260"/>
      <c r="W1" s="260"/>
      <c r="X1" s="268"/>
      <c r="Y1" s="268"/>
      <c r="Z1" s="268"/>
      <c r="AA1" s="268"/>
      <c r="AB1" s="269"/>
      <c r="AC1" s="269"/>
      <c r="AD1" s="269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21"/>
      <c r="BD1" s="221"/>
      <c r="BE1" s="206"/>
      <c r="BF1" s="251"/>
      <c r="BG1" s="251"/>
    </row>
    <row r="2" spans="1:59" s="3" customFormat="1" ht="18.75" customHeight="1" x14ac:dyDescent="0.25">
      <c r="A2" s="230"/>
      <c r="B2" s="230"/>
      <c r="C2" s="230"/>
      <c r="D2" s="206"/>
      <c r="E2" s="206"/>
      <c r="F2" s="230"/>
      <c r="G2" s="230"/>
      <c r="H2" s="230"/>
      <c r="I2" s="230"/>
      <c r="J2" s="256"/>
      <c r="K2" s="268"/>
      <c r="L2" s="268"/>
      <c r="M2" s="268"/>
      <c r="N2" s="260"/>
      <c r="O2" s="260"/>
      <c r="P2" s="260"/>
      <c r="Q2" s="268"/>
      <c r="R2" s="268"/>
      <c r="S2" s="268"/>
      <c r="T2" s="268"/>
      <c r="U2" s="260"/>
      <c r="V2" s="260"/>
      <c r="W2" s="260"/>
      <c r="X2" s="256"/>
      <c r="Y2" s="256"/>
      <c r="Z2" s="256"/>
      <c r="AA2" s="256"/>
      <c r="AB2" s="227" t="s">
        <v>1</v>
      </c>
      <c r="AC2" s="203"/>
      <c r="AD2" s="203"/>
      <c r="AE2" s="203"/>
      <c r="AF2" s="202"/>
      <c r="AG2" s="202"/>
      <c r="AH2" s="202"/>
      <c r="AI2" s="201"/>
      <c r="AJ2" s="202"/>
      <c r="AK2" s="202"/>
      <c r="AL2" s="202"/>
      <c r="AM2" s="202"/>
      <c r="AN2" s="204"/>
      <c r="AO2" s="203"/>
      <c r="AP2" s="203"/>
      <c r="AQ2" s="203"/>
      <c r="AR2" s="203"/>
      <c r="AS2" s="203"/>
      <c r="AT2" s="203"/>
      <c r="AU2" s="203"/>
      <c r="AV2" s="203"/>
      <c r="AW2" s="203"/>
      <c r="AX2" s="203"/>
      <c r="AY2" s="203"/>
      <c r="AZ2" s="203"/>
      <c r="BA2" s="203"/>
      <c r="BB2" s="203"/>
      <c r="BC2" s="221"/>
      <c r="BD2" s="221"/>
      <c r="BE2" s="206"/>
      <c r="BF2" s="251"/>
      <c r="BG2" s="251"/>
    </row>
    <row r="3" spans="1:59" s="3" customFormat="1" ht="15" customHeight="1" x14ac:dyDescent="0.25">
      <c r="A3" s="232"/>
      <c r="B3" s="232"/>
      <c r="C3" s="232"/>
      <c r="D3" s="205"/>
      <c r="E3" s="205"/>
      <c r="F3" s="205"/>
      <c r="G3" s="228"/>
      <c r="H3" s="228"/>
      <c r="I3" s="228"/>
      <c r="J3" s="231"/>
      <c r="K3" s="228"/>
      <c r="L3" s="228"/>
      <c r="M3" s="228"/>
      <c r="N3" s="229" t="s">
        <v>2</v>
      </c>
      <c r="O3" s="229" t="s">
        <v>3</v>
      </c>
      <c r="P3" s="222"/>
      <c r="Q3" s="222"/>
      <c r="R3" s="222"/>
      <c r="S3" s="222"/>
      <c r="T3" s="222"/>
      <c r="U3" s="227" t="s">
        <v>4</v>
      </c>
      <c r="V3" s="227" t="s">
        <v>5</v>
      </c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3"/>
      <c r="BD3" s="223"/>
      <c r="BE3" s="117"/>
      <c r="BF3" s="251"/>
      <c r="BG3" s="251"/>
    </row>
    <row r="4" spans="1:59" ht="15.75" thickBot="1" x14ac:dyDescent="0.3">
      <c r="A4" s="233"/>
      <c r="B4" s="233" t="str">
        <f>F5&amp;" год"</f>
        <v xml:space="preserve"> год</v>
      </c>
      <c r="C4" s="233"/>
      <c r="D4" s="224"/>
      <c r="E4" s="224"/>
      <c r="F4" s="225"/>
      <c r="G4" s="116"/>
      <c r="H4" s="224"/>
      <c r="I4" s="225"/>
      <c r="J4" s="116"/>
      <c r="K4" s="224"/>
      <c r="L4" s="225"/>
      <c r="M4" s="116"/>
      <c r="N4" s="224"/>
      <c r="O4" s="224"/>
      <c r="P4" s="224"/>
      <c r="Q4" s="224"/>
      <c r="R4" s="225"/>
      <c r="S4" s="116"/>
      <c r="T4" s="224"/>
      <c r="U4" s="225"/>
      <c r="V4" s="116"/>
      <c r="W4" s="224"/>
      <c r="X4" s="225"/>
      <c r="Y4" s="116"/>
      <c r="Z4" s="224"/>
      <c r="AA4" s="224"/>
      <c r="AB4" s="224"/>
      <c r="AC4" s="224"/>
      <c r="AD4" s="225"/>
      <c r="AE4" s="116"/>
      <c r="AF4" s="224"/>
      <c r="AG4" s="225"/>
      <c r="AH4" s="116"/>
      <c r="AI4" s="224"/>
      <c r="AJ4" s="225"/>
      <c r="AK4" s="116"/>
      <c r="AL4" s="224"/>
      <c r="AM4" s="224"/>
      <c r="AN4" s="224"/>
      <c r="AO4" s="224"/>
      <c r="AP4" s="225"/>
      <c r="AQ4" s="116"/>
      <c r="AR4" s="224"/>
      <c r="AS4" s="225"/>
      <c r="AT4" s="116"/>
      <c r="AU4" s="224"/>
      <c r="AV4" s="225"/>
      <c r="AW4" s="116"/>
      <c r="AX4" s="224"/>
      <c r="AY4" s="224"/>
      <c r="AZ4" s="224"/>
      <c r="BA4" s="224"/>
      <c r="BB4" s="226"/>
      <c r="BC4" s="226"/>
      <c r="BD4" s="226"/>
      <c r="BE4" s="116"/>
      <c r="BF4" s="252"/>
      <c r="BG4" s="252"/>
    </row>
    <row r="5" spans="1:59" s="210" customFormat="1" ht="12.75" customHeight="1" thickBot="1" x14ac:dyDescent="0.3">
      <c r="A5" s="280" t="s">
        <v>6</v>
      </c>
      <c r="B5" s="277" t="s">
        <v>7</v>
      </c>
      <c r="C5" s="272" t="s">
        <v>8</v>
      </c>
      <c r="D5" s="275">
        <f>F5-2</f>
        <v>-2</v>
      </c>
      <c r="E5" s="275">
        <f>F5-1</f>
        <v>-1</v>
      </c>
      <c r="F5" s="264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K5" s="265"/>
      <c r="AL5" s="265"/>
      <c r="AM5" s="265"/>
      <c r="AN5" s="265"/>
      <c r="AO5" s="265"/>
      <c r="AP5" s="265"/>
      <c r="AQ5" s="265"/>
      <c r="AR5" s="265"/>
      <c r="AS5" s="265"/>
      <c r="AT5" s="265"/>
      <c r="AU5" s="265"/>
      <c r="AV5" s="265"/>
      <c r="AW5" s="265"/>
      <c r="AX5" s="265"/>
      <c r="AY5" s="265"/>
      <c r="AZ5" s="265"/>
      <c r="BA5" s="265"/>
      <c r="BB5" s="265"/>
      <c r="BC5" s="265"/>
      <c r="BD5" s="266"/>
      <c r="BE5" s="2">
        <f>F5+1</f>
        <v>1</v>
      </c>
      <c r="BF5" s="250">
        <f>F5+2</f>
        <v>2</v>
      </c>
      <c r="BG5" s="253" t="str">
        <f>BE5&amp;"-"&amp;BF5&amp;"гг."</f>
        <v>1-2гг.</v>
      </c>
    </row>
    <row r="6" spans="1:59" s="211" customFormat="1" ht="15" customHeight="1" x14ac:dyDescent="0.25">
      <c r="A6" s="281"/>
      <c r="B6" s="278"/>
      <c r="C6" s="273"/>
      <c r="D6" s="276"/>
      <c r="E6" s="276"/>
      <c r="F6" s="257" t="s">
        <v>9</v>
      </c>
      <c r="G6" s="258" t="s">
        <v>9</v>
      </c>
      <c r="H6" s="259"/>
      <c r="I6" s="257" t="s">
        <v>10</v>
      </c>
      <c r="J6" s="258" t="s">
        <v>9</v>
      </c>
      <c r="K6" s="259"/>
      <c r="L6" s="257" t="s">
        <v>11</v>
      </c>
      <c r="M6" s="258" t="s">
        <v>9</v>
      </c>
      <c r="N6" s="259"/>
      <c r="O6" s="267" t="s">
        <v>12</v>
      </c>
      <c r="P6" s="262"/>
      <c r="Q6" s="263"/>
      <c r="R6" s="257" t="s">
        <v>13</v>
      </c>
      <c r="S6" s="258"/>
      <c r="T6" s="259"/>
      <c r="U6" s="257" t="s">
        <v>14</v>
      </c>
      <c r="V6" s="258"/>
      <c r="W6" s="259"/>
      <c r="X6" s="257" t="s">
        <v>15</v>
      </c>
      <c r="Y6" s="258"/>
      <c r="Z6" s="259"/>
      <c r="AA6" s="267" t="s">
        <v>16</v>
      </c>
      <c r="AB6" s="262"/>
      <c r="AC6" s="263"/>
      <c r="AD6" s="257" t="s">
        <v>17</v>
      </c>
      <c r="AE6" s="258"/>
      <c r="AF6" s="259"/>
      <c r="AG6" s="257" t="s">
        <v>18</v>
      </c>
      <c r="AH6" s="258"/>
      <c r="AI6" s="259"/>
      <c r="AJ6" s="257" t="s">
        <v>19</v>
      </c>
      <c r="AK6" s="258"/>
      <c r="AL6" s="259"/>
      <c r="AM6" s="267" t="s">
        <v>20</v>
      </c>
      <c r="AN6" s="262"/>
      <c r="AO6" s="263"/>
      <c r="AP6" s="257" t="s">
        <v>21</v>
      </c>
      <c r="AQ6" s="258"/>
      <c r="AR6" s="259"/>
      <c r="AS6" s="257" t="s">
        <v>22</v>
      </c>
      <c r="AT6" s="258"/>
      <c r="AU6" s="259"/>
      <c r="AV6" s="257" t="s">
        <v>23</v>
      </c>
      <c r="AW6" s="258"/>
      <c r="AX6" s="259"/>
      <c r="AY6" s="261" t="s">
        <v>24</v>
      </c>
      <c r="AZ6" s="262"/>
      <c r="BA6" s="263"/>
      <c r="BB6" s="257" t="s">
        <v>25</v>
      </c>
      <c r="BC6" s="258" t="s">
        <v>25</v>
      </c>
      <c r="BD6" s="259"/>
      <c r="BE6" s="118"/>
      <c r="BF6" s="118"/>
      <c r="BG6" s="254"/>
    </row>
    <row r="7" spans="1:59" ht="18" customHeight="1" x14ac:dyDescent="0.25">
      <c r="A7" s="282"/>
      <c r="B7" s="279"/>
      <c r="C7" s="274"/>
      <c r="D7" s="219" t="s">
        <v>26</v>
      </c>
      <c r="E7" s="219" t="s">
        <v>26</v>
      </c>
      <c r="F7" s="200" t="s">
        <v>27</v>
      </c>
      <c r="G7" s="218" t="s">
        <v>26</v>
      </c>
      <c r="H7" s="217" t="s">
        <v>28</v>
      </c>
      <c r="I7" s="200" t="s">
        <v>27</v>
      </c>
      <c r="J7" s="218" t="s">
        <v>26</v>
      </c>
      <c r="K7" s="217" t="s">
        <v>28</v>
      </c>
      <c r="L7" s="200" t="s">
        <v>27</v>
      </c>
      <c r="M7" s="218" t="s">
        <v>26</v>
      </c>
      <c r="N7" s="217" t="s">
        <v>28</v>
      </c>
      <c r="O7" s="200" t="s">
        <v>27</v>
      </c>
      <c r="P7" s="218" t="str">
        <f>IF(AND(G7="Факт",J7="Факт",M7="Факт"),"Факт","Прогноз")</f>
        <v>Факт</v>
      </c>
      <c r="Q7" s="217" t="s">
        <v>28</v>
      </c>
      <c r="R7" s="200" t="s">
        <v>27</v>
      </c>
      <c r="S7" s="218" t="s">
        <v>26</v>
      </c>
      <c r="T7" s="217" t="s">
        <v>28</v>
      </c>
      <c r="U7" s="200" t="s">
        <v>27</v>
      </c>
      <c r="V7" s="218" t="s">
        <v>26</v>
      </c>
      <c r="W7" s="217" t="s">
        <v>28</v>
      </c>
      <c r="X7" s="200" t="s">
        <v>27</v>
      </c>
      <c r="Y7" s="218" t="s">
        <v>26</v>
      </c>
      <c r="Z7" s="217" t="s">
        <v>28</v>
      </c>
      <c r="AA7" s="200" t="s">
        <v>27</v>
      </c>
      <c r="AB7" s="218" t="str">
        <f>IF(AND(S7="Факт",V7="Факт",Y7="Факт"),"Факт","Прогноз")</f>
        <v>Факт</v>
      </c>
      <c r="AC7" s="217" t="s">
        <v>28</v>
      </c>
      <c r="AD7" s="200" t="s">
        <v>27</v>
      </c>
      <c r="AE7" s="218" t="s">
        <v>26</v>
      </c>
      <c r="AF7" s="217" t="s">
        <v>28</v>
      </c>
      <c r="AG7" s="200" t="s">
        <v>27</v>
      </c>
      <c r="AH7" s="218" t="s">
        <v>26</v>
      </c>
      <c r="AI7" s="217" t="s">
        <v>28</v>
      </c>
      <c r="AJ7" s="200" t="s">
        <v>27</v>
      </c>
      <c r="AK7" s="218" t="s">
        <v>26</v>
      </c>
      <c r="AL7" s="217" t="s">
        <v>28</v>
      </c>
      <c r="AM7" s="200" t="s">
        <v>27</v>
      </c>
      <c r="AN7" s="218" t="str">
        <f>IF(AND(AE7="Факт",AH7="Факт",AK7="Факт"),"Факт","Прогноз")</f>
        <v>Факт</v>
      </c>
      <c r="AO7" s="217" t="s">
        <v>28</v>
      </c>
      <c r="AP7" s="200" t="s">
        <v>27</v>
      </c>
      <c r="AQ7" s="218" t="s">
        <v>26</v>
      </c>
      <c r="AR7" s="217" t="s">
        <v>28</v>
      </c>
      <c r="AS7" s="200" t="s">
        <v>27</v>
      </c>
      <c r="AT7" s="218" t="s">
        <v>26</v>
      </c>
      <c r="AU7" s="217" t="s">
        <v>28</v>
      </c>
      <c r="AV7" s="200" t="s">
        <v>27</v>
      </c>
      <c r="AW7" s="218" t="s">
        <v>26</v>
      </c>
      <c r="AX7" s="217" t="s">
        <v>28</v>
      </c>
      <c r="AY7" s="218" t="s">
        <v>27</v>
      </c>
      <c r="AZ7" s="218" t="str">
        <f>IF(AND(AQ7="Факт",AT7="Факт",AW7="Факт"),"Факт","Прогноз")</f>
        <v>Факт</v>
      </c>
      <c r="BA7" s="217" t="s">
        <v>28</v>
      </c>
      <c r="BB7" s="200" t="s">
        <v>27</v>
      </c>
      <c r="BC7" s="218" t="s">
        <v>26</v>
      </c>
      <c r="BD7" s="217" t="s">
        <v>28</v>
      </c>
      <c r="BE7" s="200" t="s">
        <v>25</v>
      </c>
      <c r="BF7" s="200" t="s">
        <v>25</v>
      </c>
      <c r="BG7" s="219" t="s">
        <v>25</v>
      </c>
    </row>
    <row r="8" spans="1:59" ht="25.5" customHeight="1" thickBot="1" x14ac:dyDescent="0.3">
      <c r="A8" s="283" t="s">
        <v>29</v>
      </c>
      <c r="B8" s="284"/>
      <c r="C8" s="284"/>
      <c r="D8" s="220"/>
      <c r="E8" s="220"/>
      <c r="F8" s="214"/>
      <c r="G8" s="212"/>
      <c r="H8" s="215"/>
      <c r="I8" s="214"/>
      <c r="J8" s="212"/>
      <c r="K8" s="215"/>
      <c r="L8" s="214"/>
      <c r="M8" s="212"/>
      <c r="N8" s="215"/>
      <c r="O8" s="214"/>
      <c r="P8" s="212"/>
      <c r="Q8" s="215"/>
      <c r="R8" s="214"/>
      <c r="S8" s="212"/>
      <c r="T8" s="215"/>
      <c r="U8" s="214"/>
      <c r="V8" s="212"/>
      <c r="W8" s="215"/>
      <c r="X8" s="214"/>
      <c r="Y8" s="212"/>
      <c r="Z8" s="215"/>
      <c r="AA8" s="214"/>
      <c r="AB8" s="212"/>
      <c r="AC8" s="215"/>
      <c r="AD8" s="214"/>
      <c r="AE8" s="212"/>
      <c r="AF8" s="215"/>
      <c r="AG8" s="214"/>
      <c r="AH8" s="212"/>
      <c r="AI8" s="215"/>
      <c r="AJ8" s="214"/>
      <c r="AK8" s="212"/>
      <c r="AL8" s="215"/>
      <c r="AM8" s="214"/>
      <c r="AN8" s="212"/>
      <c r="AO8" s="215"/>
      <c r="AP8" s="214"/>
      <c r="AQ8" s="212"/>
      <c r="AR8" s="215"/>
      <c r="AS8" s="214"/>
      <c r="AT8" s="212"/>
      <c r="AU8" s="215"/>
      <c r="AV8" s="214"/>
      <c r="AW8" s="212"/>
      <c r="AX8" s="215"/>
      <c r="AY8" s="212"/>
      <c r="AZ8" s="212"/>
      <c r="BA8" s="215"/>
      <c r="BB8" s="214"/>
      <c r="BC8" s="212"/>
      <c r="BD8" s="215"/>
      <c r="BE8" s="199"/>
      <c r="BF8" s="199"/>
      <c r="BG8" s="196"/>
    </row>
    <row r="9" spans="1:59" s="210" customFormat="1" ht="13.5" customHeight="1" x14ac:dyDescent="0.25">
      <c r="A9" s="106" t="s">
        <v>30</v>
      </c>
      <c r="B9" s="105" t="s">
        <v>31</v>
      </c>
      <c r="C9" s="104" t="s">
        <v>32</v>
      </c>
      <c r="D9" s="192">
        <f>D10+D20+D39</f>
        <v>0</v>
      </c>
      <c r="E9" s="192">
        <f>E10+E20+E39</f>
        <v>0</v>
      </c>
      <c r="F9" s="195">
        <f>F10+F20+F39</f>
        <v>0</v>
      </c>
      <c r="G9" s="193">
        <f>G10+G20+G39</f>
        <v>0</v>
      </c>
      <c r="H9" s="194">
        <f t="shared" ref="H9:H24" si="0">G9-F9</f>
        <v>0</v>
      </c>
      <c r="I9" s="195">
        <f>I10+I20+I39</f>
        <v>0</v>
      </c>
      <c r="J9" s="193">
        <f>J10+J20+J39</f>
        <v>0</v>
      </c>
      <c r="K9" s="194">
        <f t="shared" ref="K9:K24" si="1">J9-I9</f>
        <v>0</v>
      </c>
      <c r="L9" s="195">
        <f>L10+L20+L39</f>
        <v>0</v>
      </c>
      <c r="M9" s="193">
        <f>M10+M20+M39</f>
        <v>0</v>
      </c>
      <c r="N9" s="194">
        <f t="shared" ref="N9:N24" si="2">M9-L9</f>
        <v>0</v>
      </c>
      <c r="O9" s="195">
        <f>O10+O20+O39</f>
        <v>0</v>
      </c>
      <c r="P9" s="193">
        <f>P10+P20+P39</f>
        <v>0</v>
      </c>
      <c r="Q9" s="194">
        <f t="shared" ref="Q9:Q24" si="3">P9-O9</f>
        <v>0</v>
      </c>
      <c r="R9" s="195">
        <f>R10+R20+R39</f>
        <v>0</v>
      </c>
      <c r="S9" s="193">
        <f>S10+S20+S39</f>
        <v>0</v>
      </c>
      <c r="T9" s="194">
        <f t="shared" ref="T9:T24" si="4">S9-R9</f>
        <v>0</v>
      </c>
      <c r="U9" s="195">
        <f>U10+U20+U39</f>
        <v>0</v>
      </c>
      <c r="V9" s="193">
        <f>V10+V20+V39</f>
        <v>0</v>
      </c>
      <c r="W9" s="194">
        <f t="shared" ref="W9:W24" si="5">V9-U9</f>
        <v>0</v>
      </c>
      <c r="X9" s="195">
        <f>X10+X20+X39</f>
        <v>0</v>
      </c>
      <c r="Y9" s="193">
        <f>Y10+Y20+Y39</f>
        <v>0</v>
      </c>
      <c r="Z9" s="194">
        <f t="shared" ref="Z9:Z24" si="6">Y9-X9</f>
        <v>0</v>
      </c>
      <c r="AA9" s="195">
        <f>AA10+AA20+AA39</f>
        <v>0</v>
      </c>
      <c r="AB9" s="193">
        <f>AB10+AB20+AB39</f>
        <v>0</v>
      </c>
      <c r="AC9" s="194">
        <f t="shared" ref="AC9:AC24" si="7">AB9-AA9</f>
        <v>0</v>
      </c>
      <c r="AD9" s="195">
        <f>AD10+AD20+AD39</f>
        <v>0</v>
      </c>
      <c r="AE9" s="193">
        <f>AE10+AE20+AE39</f>
        <v>0</v>
      </c>
      <c r="AF9" s="194">
        <f t="shared" ref="AF9:AF24" si="8">AE9-AD9</f>
        <v>0</v>
      </c>
      <c r="AG9" s="195">
        <f>AG10+AG20+AG39</f>
        <v>0</v>
      </c>
      <c r="AH9" s="193">
        <f>AH10+AH20+AH39</f>
        <v>0</v>
      </c>
      <c r="AI9" s="194">
        <f t="shared" ref="AI9:AI24" si="9">AH9-AG9</f>
        <v>0</v>
      </c>
      <c r="AJ9" s="195">
        <f>AJ10+AJ20+AJ39</f>
        <v>0</v>
      </c>
      <c r="AK9" s="193">
        <f>AK10+AK20+AK39</f>
        <v>0</v>
      </c>
      <c r="AL9" s="194">
        <f t="shared" ref="AL9:AL24" si="10">AK9-AJ9</f>
        <v>0</v>
      </c>
      <c r="AM9" s="195">
        <f>AM10+AM20+AM39</f>
        <v>0</v>
      </c>
      <c r="AN9" s="193">
        <f>AN10+AN20+AN39</f>
        <v>0</v>
      </c>
      <c r="AO9" s="194">
        <f t="shared" ref="AO9:AO24" si="11">AN9-AM9</f>
        <v>0</v>
      </c>
      <c r="AP9" s="195">
        <f>AP10+AP20+AP39</f>
        <v>0</v>
      </c>
      <c r="AQ9" s="193">
        <f>AQ10+AQ20+AQ39</f>
        <v>0</v>
      </c>
      <c r="AR9" s="194">
        <f t="shared" ref="AR9:AR24" si="12">AQ9-AP9</f>
        <v>0</v>
      </c>
      <c r="AS9" s="195">
        <f>AS10+AS20+AS39</f>
        <v>0</v>
      </c>
      <c r="AT9" s="193">
        <f>AT10+AT20+AT39</f>
        <v>0</v>
      </c>
      <c r="AU9" s="194">
        <f t="shared" ref="AU9:AU24" si="13">AT9-AS9</f>
        <v>0</v>
      </c>
      <c r="AV9" s="195">
        <f>AV10+AV20+AV39</f>
        <v>0</v>
      </c>
      <c r="AW9" s="193">
        <f>AW10+AW20+AW39</f>
        <v>0</v>
      </c>
      <c r="AX9" s="194">
        <f t="shared" ref="AX9:AX24" si="14">AW9-AV9</f>
        <v>0</v>
      </c>
      <c r="AY9" s="193">
        <f>AY10+AY20+AY39</f>
        <v>0</v>
      </c>
      <c r="AZ9" s="193">
        <f>AZ10+AZ20+AZ39</f>
        <v>0</v>
      </c>
      <c r="BA9" s="194">
        <f t="shared" ref="BA9:BA24" si="15">AZ9-AY9</f>
        <v>0</v>
      </c>
      <c r="BB9" s="195">
        <f>BB10+BB20+BB39</f>
        <v>0</v>
      </c>
      <c r="BC9" s="193">
        <f>BC10+BC20+BC39</f>
        <v>0</v>
      </c>
      <c r="BD9" s="194">
        <f t="shared" ref="BD9:BD24" si="16">BC9-BB9</f>
        <v>0</v>
      </c>
      <c r="BE9" s="195">
        <f t="shared" ref="BE9:BF9" si="17">BE10+BE20+BE39</f>
        <v>0</v>
      </c>
      <c r="BF9" s="195">
        <f t="shared" si="17"/>
        <v>0</v>
      </c>
      <c r="BG9" s="192">
        <f t="shared" ref="BG9" si="18">BG10+BG20+BG39</f>
        <v>0</v>
      </c>
    </row>
    <row r="10" spans="1:59" s="210" customFormat="1" ht="13.5" customHeight="1" x14ac:dyDescent="0.25">
      <c r="A10" s="103"/>
      <c r="B10" s="102" t="s">
        <v>33</v>
      </c>
      <c r="C10" s="101" t="s">
        <v>32</v>
      </c>
      <c r="D10" s="188">
        <f>SUM(D11:D19)</f>
        <v>0</v>
      </c>
      <c r="E10" s="188">
        <f>SUM(E11:E19)</f>
        <v>0</v>
      </c>
      <c r="F10" s="191">
        <f>SUM(F11:F19)</f>
        <v>0</v>
      </c>
      <c r="G10" s="189">
        <f>SUM(G11:G19)</f>
        <v>0</v>
      </c>
      <c r="H10" s="190">
        <f t="shared" si="0"/>
        <v>0</v>
      </c>
      <c r="I10" s="191">
        <f>SUM(I11:I19)</f>
        <v>0</v>
      </c>
      <c r="J10" s="189">
        <f>SUM(J11:J19)</f>
        <v>0</v>
      </c>
      <c r="K10" s="190">
        <f t="shared" si="1"/>
        <v>0</v>
      </c>
      <c r="L10" s="191">
        <f>SUM(L11:L19)</f>
        <v>0</v>
      </c>
      <c r="M10" s="189">
        <f>SUM(M11:M19)</f>
        <v>0</v>
      </c>
      <c r="N10" s="190">
        <f t="shared" si="2"/>
        <v>0</v>
      </c>
      <c r="O10" s="191">
        <f>SUM(O11:O19)</f>
        <v>0</v>
      </c>
      <c r="P10" s="189">
        <f>SUM(P11:P19)</f>
        <v>0</v>
      </c>
      <c r="Q10" s="190">
        <f t="shared" si="3"/>
        <v>0</v>
      </c>
      <c r="R10" s="191">
        <f>SUM(R11:R19)</f>
        <v>0</v>
      </c>
      <c r="S10" s="189">
        <f>SUM(S11:S19)</f>
        <v>0</v>
      </c>
      <c r="T10" s="190">
        <f t="shared" si="4"/>
        <v>0</v>
      </c>
      <c r="U10" s="191">
        <f>SUM(U11:U19)</f>
        <v>0</v>
      </c>
      <c r="V10" s="189">
        <f>SUM(V11:V19)</f>
        <v>0</v>
      </c>
      <c r="W10" s="190">
        <f t="shared" si="5"/>
        <v>0</v>
      </c>
      <c r="X10" s="191">
        <f>SUM(X11:X19)</f>
        <v>0</v>
      </c>
      <c r="Y10" s="189">
        <f>SUM(Y11:Y19)</f>
        <v>0</v>
      </c>
      <c r="Z10" s="190">
        <f t="shared" si="6"/>
        <v>0</v>
      </c>
      <c r="AA10" s="191">
        <f>SUM(AA11:AA19)</f>
        <v>0</v>
      </c>
      <c r="AB10" s="189">
        <f>SUM(AB11:AB19)</f>
        <v>0</v>
      </c>
      <c r="AC10" s="190">
        <f t="shared" si="7"/>
        <v>0</v>
      </c>
      <c r="AD10" s="191">
        <f>SUM(AD11:AD19)</f>
        <v>0</v>
      </c>
      <c r="AE10" s="189">
        <f>SUM(AE11:AE19)</f>
        <v>0</v>
      </c>
      <c r="AF10" s="190">
        <f t="shared" si="8"/>
        <v>0</v>
      </c>
      <c r="AG10" s="191">
        <f>SUM(AG11:AG19)</f>
        <v>0</v>
      </c>
      <c r="AH10" s="189">
        <f>SUM(AH11:AH19)</f>
        <v>0</v>
      </c>
      <c r="AI10" s="190">
        <f t="shared" si="9"/>
        <v>0</v>
      </c>
      <c r="AJ10" s="191">
        <f>SUM(AJ11:AJ19)</f>
        <v>0</v>
      </c>
      <c r="AK10" s="189">
        <f>SUM(AK11:AK19)</f>
        <v>0</v>
      </c>
      <c r="AL10" s="190">
        <f t="shared" si="10"/>
        <v>0</v>
      </c>
      <c r="AM10" s="191">
        <f>SUM(AM11:AM19)</f>
        <v>0</v>
      </c>
      <c r="AN10" s="189">
        <f>SUM(AN11:AN19)</f>
        <v>0</v>
      </c>
      <c r="AO10" s="190">
        <f t="shared" si="11"/>
        <v>0</v>
      </c>
      <c r="AP10" s="191">
        <f>SUM(AP11:AP19)</f>
        <v>0</v>
      </c>
      <c r="AQ10" s="189">
        <f>SUM(AQ11:AQ19)</f>
        <v>0</v>
      </c>
      <c r="AR10" s="190">
        <f t="shared" si="12"/>
        <v>0</v>
      </c>
      <c r="AS10" s="191">
        <f>SUM(AS11:AS19)</f>
        <v>0</v>
      </c>
      <c r="AT10" s="189">
        <f>SUM(AT11:AT19)</f>
        <v>0</v>
      </c>
      <c r="AU10" s="190">
        <f t="shared" si="13"/>
        <v>0</v>
      </c>
      <c r="AV10" s="191">
        <f>SUM(AV11:AV19)</f>
        <v>0</v>
      </c>
      <c r="AW10" s="189">
        <f>SUM(AW11:AW19)</f>
        <v>0</v>
      </c>
      <c r="AX10" s="190">
        <f t="shared" si="14"/>
        <v>0</v>
      </c>
      <c r="AY10" s="189">
        <f>SUM(AY11:AY19)</f>
        <v>0</v>
      </c>
      <c r="AZ10" s="189">
        <f>SUM(AZ11:AZ19)</f>
        <v>0</v>
      </c>
      <c r="BA10" s="190">
        <f t="shared" si="15"/>
        <v>0</v>
      </c>
      <c r="BB10" s="191">
        <f>SUM(BB11:BB19)</f>
        <v>0</v>
      </c>
      <c r="BC10" s="189">
        <f>SUM(BC11:BC19)</f>
        <v>0</v>
      </c>
      <c r="BD10" s="190">
        <f t="shared" si="16"/>
        <v>0</v>
      </c>
      <c r="BE10" s="191">
        <f t="shared" ref="BE10:BF10" si="19">SUM(BE11:BE19)</f>
        <v>0</v>
      </c>
      <c r="BF10" s="191">
        <f t="shared" si="19"/>
        <v>0</v>
      </c>
      <c r="BG10" s="188">
        <f t="shared" ref="BG10" si="20">SUM(BG11:BG19)</f>
        <v>0</v>
      </c>
    </row>
    <row r="11" spans="1:59" ht="13.5" hidden="1" customHeight="1" outlineLevel="1" x14ac:dyDescent="0.25">
      <c r="A11" s="100"/>
      <c r="B11" s="84" t="s">
        <v>34</v>
      </c>
      <c r="C11" s="83" t="s">
        <v>32</v>
      </c>
      <c r="D11" s="20"/>
      <c r="E11" s="20"/>
      <c r="F11" s="24"/>
      <c r="G11" s="23"/>
      <c r="H11" s="22">
        <f t="shared" si="0"/>
        <v>0</v>
      </c>
      <c r="I11" s="24"/>
      <c r="J11" s="23"/>
      <c r="K11" s="22">
        <f t="shared" si="1"/>
        <v>0</v>
      </c>
      <c r="L11" s="24"/>
      <c r="M11" s="23"/>
      <c r="N11" s="22">
        <f t="shared" si="2"/>
        <v>0</v>
      </c>
      <c r="O11" s="24">
        <f t="shared" ref="O11:P19" si="21">SUM(F11,I11,L11)</f>
        <v>0</v>
      </c>
      <c r="P11" s="23">
        <f t="shared" si="21"/>
        <v>0</v>
      </c>
      <c r="Q11" s="22">
        <f t="shared" si="3"/>
        <v>0</v>
      </c>
      <c r="R11" s="24"/>
      <c r="S11" s="23"/>
      <c r="T11" s="22">
        <f t="shared" si="4"/>
        <v>0</v>
      </c>
      <c r="U11" s="24"/>
      <c r="V11" s="23"/>
      <c r="W11" s="22">
        <f t="shared" si="5"/>
        <v>0</v>
      </c>
      <c r="X11" s="24"/>
      <c r="Y11" s="23"/>
      <c r="Z11" s="22">
        <f t="shared" si="6"/>
        <v>0</v>
      </c>
      <c r="AA11" s="24">
        <f t="shared" ref="AA11:AB19" si="22">SUM(R11,U11,X11)</f>
        <v>0</v>
      </c>
      <c r="AB11" s="23">
        <f t="shared" si="22"/>
        <v>0</v>
      </c>
      <c r="AC11" s="22">
        <f t="shared" si="7"/>
        <v>0</v>
      </c>
      <c r="AD11" s="24"/>
      <c r="AE11" s="23"/>
      <c r="AF11" s="22">
        <f t="shared" si="8"/>
        <v>0</v>
      </c>
      <c r="AG11" s="24"/>
      <c r="AH11" s="23"/>
      <c r="AI11" s="22">
        <f t="shared" si="9"/>
        <v>0</v>
      </c>
      <c r="AJ11" s="24"/>
      <c r="AK11" s="23"/>
      <c r="AL11" s="22">
        <f t="shared" si="10"/>
        <v>0</v>
      </c>
      <c r="AM11" s="24">
        <f t="shared" ref="AM11:AN19" si="23">SUM(AD11,AG11,AJ11)</f>
        <v>0</v>
      </c>
      <c r="AN11" s="23">
        <f t="shared" si="23"/>
        <v>0</v>
      </c>
      <c r="AO11" s="22">
        <f t="shared" si="11"/>
        <v>0</v>
      </c>
      <c r="AP11" s="24"/>
      <c r="AQ11" s="23"/>
      <c r="AR11" s="22">
        <f t="shared" si="12"/>
        <v>0</v>
      </c>
      <c r="AS11" s="24"/>
      <c r="AT11" s="23"/>
      <c r="AU11" s="22">
        <f t="shared" si="13"/>
        <v>0</v>
      </c>
      <c r="AV11" s="24"/>
      <c r="AW11" s="23"/>
      <c r="AX11" s="22">
        <f t="shared" si="14"/>
        <v>0</v>
      </c>
      <c r="AY11" s="23">
        <f t="shared" ref="AY11:AZ19" si="24">SUM(AP11,AS11,AV11)</f>
        <v>0</v>
      </c>
      <c r="AZ11" s="23">
        <f t="shared" si="24"/>
        <v>0</v>
      </c>
      <c r="BA11" s="22">
        <f t="shared" si="15"/>
        <v>0</v>
      </c>
      <c r="BB11" s="24">
        <f t="shared" ref="BB11:BC19" si="25">SUM(F11,I11,L11,R11,U11,X11,AD11,AG11,AJ11,AP11,AS11,AV11)</f>
        <v>0</v>
      </c>
      <c r="BC11" s="23">
        <f t="shared" si="25"/>
        <v>0</v>
      </c>
      <c r="BD11" s="22">
        <f t="shared" si="16"/>
        <v>0</v>
      </c>
      <c r="BE11" s="24"/>
      <c r="BF11" s="24"/>
      <c r="BG11" s="20">
        <f>BB11+BE11+BF11</f>
        <v>0</v>
      </c>
    </row>
    <row r="12" spans="1:59" ht="13.5" hidden="1" customHeight="1" outlineLevel="1" x14ac:dyDescent="0.25">
      <c r="A12" s="100"/>
      <c r="B12" s="84" t="s">
        <v>35</v>
      </c>
      <c r="C12" s="83" t="s">
        <v>32</v>
      </c>
      <c r="D12" s="20"/>
      <c r="E12" s="20"/>
      <c r="F12" s="24"/>
      <c r="G12" s="23"/>
      <c r="H12" s="22">
        <f t="shared" si="0"/>
        <v>0</v>
      </c>
      <c r="I12" s="24"/>
      <c r="J12" s="23"/>
      <c r="K12" s="22">
        <f t="shared" si="1"/>
        <v>0</v>
      </c>
      <c r="L12" s="24"/>
      <c r="M12" s="23"/>
      <c r="N12" s="22">
        <f t="shared" si="2"/>
        <v>0</v>
      </c>
      <c r="O12" s="24">
        <f t="shared" si="21"/>
        <v>0</v>
      </c>
      <c r="P12" s="23">
        <f t="shared" si="21"/>
        <v>0</v>
      </c>
      <c r="Q12" s="22">
        <f t="shared" si="3"/>
        <v>0</v>
      </c>
      <c r="R12" s="24"/>
      <c r="S12" s="23"/>
      <c r="T12" s="22">
        <f t="shared" si="4"/>
        <v>0</v>
      </c>
      <c r="U12" s="24"/>
      <c r="V12" s="23"/>
      <c r="W12" s="22">
        <f t="shared" si="5"/>
        <v>0</v>
      </c>
      <c r="X12" s="24"/>
      <c r="Y12" s="23"/>
      <c r="Z12" s="22">
        <f t="shared" si="6"/>
        <v>0</v>
      </c>
      <c r="AA12" s="24">
        <f t="shared" si="22"/>
        <v>0</v>
      </c>
      <c r="AB12" s="23">
        <f t="shared" si="22"/>
        <v>0</v>
      </c>
      <c r="AC12" s="22">
        <f t="shared" si="7"/>
        <v>0</v>
      </c>
      <c r="AD12" s="24"/>
      <c r="AE12" s="23"/>
      <c r="AF12" s="22">
        <f t="shared" si="8"/>
        <v>0</v>
      </c>
      <c r="AG12" s="24"/>
      <c r="AH12" s="23"/>
      <c r="AI12" s="22">
        <f t="shared" si="9"/>
        <v>0</v>
      </c>
      <c r="AJ12" s="24"/>
      <c r="AK12" s="23"/>
      <c r="AL12" s="22">
        <f t="shared" si="10"/>
        <v>0</v>
      </c>
      <c r="AM12" s="24">
        <f t="shared" si="23"/>
        <v>0</v>
      </c>
      <c r="AN12" s="23">
        <f t="shared" si="23"/>
        <v>0</v>
      </c>
      <c r="AO12" s="22">
        <f t="shared" si="11"/>
        <v>0</v>
      </c>
      <c r="AP12" s="24"/>
      <c r="AQ12" s="23"/>
      <c r="AR12" s="22">
        <f t="shared" si="12"/>
        <v>0</v>
      </c>
      <c r="AS12" s="24"/>
      <c r="AT12" s="23"/>
      <c r="AU12" s="22">
        <f t="shared" si="13"/>
        <v>0</v>
      </c>
      <c r="AV12" s="24"/>
      <c r="AW12" s="23"/>
      <c r="AX12" s="22">
        <f t="shared" si="14"/>
        <v>0</v>
      </c>
      <c r="AY12" s="23">
        <f t="shared" si="24"/>
        <v>0</v>
      </c>
      <c r="AZ12" s="23">
        <f t="shared" si="24"/>
        <v>0</v>
      </c>
      <c r="BA12" s="22">
        <f t="shared" si="15"/>
        <v>0</v>
      </c>
      <c r="BB12" s="24">
        <f t="shared" si="25"/>
        <v>0</v>
      </c>
      <c r="BC12" s="23">
        <f t="shared" si="25"/>
        <v>0</v>
      </c>
      <c r="BD12" s="22">
        <f t="shared" si="16"/>
        <v>0</v>
      </c>
      <c r="BE12" s="24"/>
      <c r="BF12" s="24"/>
      <c r="BG12" s="20">
        <f t="shared" ref="BG12:BG19" si="26">BB12+BE12+BF12</f>
        <v>0</v>
      </c>
    </row>
    <row r="13" spans="1:59" ht="13.5" hidden="1" customHeight="1" outlineLevel="1" x14ac:dyDescent="0.25">
      <c r="A13" s="100"/>
      <c r="B13" s="84" t="s">
        <v>36</v>
      </c>
      <c r="C13" s="83" t="s">
        <v>32</v>
      </c>
      <c r="D13" s="20"/>
      <c r="E13" s="20"/>
      <c r="F13" s="24"/>
      <c r="G13" s="23"/>
      <c r="H13" s="22">
        <f t="shared" si="0"/>
        <v>0</v>
      </c>
      <c r="I13" s="24"/>
      <c r="J13" s="23"/>
      <c r="K13" s="22">
        <f t="shared" si="1"/>
        <v>0</v>
      </c>
      <c r="L13" s="24"/>
      <c r="M13" s="23"/>
      <c r="N13" s="22">
        <f t="shared" si="2"/>
        <v>0</v>
      </c>
      <c r="O13" s="24">
        <f t="shared" si="21"/>
        <v>0</v>
      </c>
      <c r="P13" s="23">
        <f t="shared" si="21"/>
        <v>0</v>
      </c>
      <c r="Q13" s="22">
        <f t="shared" si="3"/>
        <v>0</v>
      </c>
      <c r="R13" s="24"/>
      <c r="S13" s="23"/>
      <c r="T13" s="22">
        <f t="shared" si="4"/>
        <v>0</v>
      </c>
      <c r="U13" s="24"/>
      <c r="V13" s="23"/>
      <c r="W13" s="22">
        <f t="shared" si="5"/>
        <v>0</v>
      </c>
      <c r="X13" s="24"/>
      <c r="Y13" s="23"/>
      <c r="Z13" s="22">
        <f t="shared" si="6"/>
        <v>0</v>
      </c>
      <c r="AA13" s="24">
        <f t="shared" si="22"/>
        <v>0</v>
      </c>
      <c r="AB13" s="23">
        <f t="shared" si="22"/>
        <v>0</v>
      </c>
      <c r="AC13" s="22">
        <f t="shared" si="7"/>
        <v>0</v>
      </c>
      <c r="AD13" s="24"/>
      <c r="AE13" s="23"/>
      <c r="AF13" s="22">
        <f t="shared" si="8"/>
        <v>0</v>
      </c>
      <c r="AG13" s="24"/>
      <c r="AH13" s="23"/>
      <c r="AI13" s="22">
        <f t="shared" si="9"/>
        <v>0</v>
      </c>
      <c r="AJ13" s="24"/>
      <c r="AK13" s="23"/>
      <c r="AL13" s="22">
        <f t="shared" si="10"/>
        <v>0</v>
      </c>
      <c r="AM13" s="24">
        <f t="shared" si="23"/>
        <v>0</v>
      </c>
      <c r="AN13" s="23">
        <f t="shared" si="23"/>
        <v>0</v>
      </c>
      <c r="AO13" s="22">
        <f t="shared" si="11"/>
        <v>0</v>
      </c>
      <c r="AP13" s="24"/>
      <c r="AQ13" s="23"/>
      <c r="AR13" s="22">
        <f t="shared" si="12"/>
        <v>0</v>
      </c>
      <c r="AS13" s="24"/>
      <c r="AT13" s="23"/>
      <c r="AU13" s="22">
        <f t="shared" si="13"/>
        <v>0</v>
      </c>
      <c r="AV13" s="24"/>
      <c r="AW13" s="23"/>
      <c r="AX13" s="22">
        <f t="shared" si="14"/>
        <v>0</v>
      </c>
      <c r="AY13" s="23">
        <f t="shared" si="24"/>
        <v>0</v>
      </c>
      <c r="AZ13" s="23">
        <f t="shared" si="24"/>
        <v>0</v>
      </c>
      <c r="BA13" s="22">
        <f t="shared" si="15"/>
        <v>0</v>
      </c>
      <c r="BB13" s="24">
        <f t="shared" si="25"/>
        <v>0</v>
      </c>
      <c r="BC13" s="23">
        <f t="shared" si="25"/>
        <v>0</v>
      </c>
      <c r="BD13" s="22">
        <f t="shared" si="16"/>
        <v>0</v>
      </c>
      <c r="BE13" s="24"/>
      <c r="BF13" s="24"/>
      <c r="BG13" s="20">
        <f t="shared" si="26"/>
        <v>0</v>
      </c>
    </row>
    <row r="14" spans="1:59" ht="13.5" hidden="1" customHeight="1" outlineLevel="1" x14ac:dyDescent="0.25">
      <c r="A14" s="100"/>
      <c r="B14" s="84" t="s">
        <v>37</v>
      </c>
      <c r="C14" s="83" t="s">
        <v>32</v>
      </c>
      <c r="D14" s="20"/>
      <c r="E14" s="20"/>
      <c r="F14" s="24"/>
      <c r="G14" s="23"/>
      <c r="H14" s="22">
        <f t="shared" si="0"/>
        <v>0</v>
      </c>
      <c r="I14" s="24"/>
      <c r="J14" s="23"/>
      <c r="K14" s="22">
        <f t="shared" si="1"/>
        <v>0</v>
      </c>
      <c r="L14" s="24"/>
      <c r="M14" s="23"/>
      <c r="N14" s="22">
        <f t="shared" si="2"/>
        <v>0</v>
      </c>
      <c r="O14" s="24">
        <f t="shared" si="21"/>
        <v>0</v>
      </c>
      <c r="P14" s="23">
        <f t="shared" si="21"/>
        <v>0</v>
      </c>
      <c r="Q14" s="22">
        <f t="shared" si="3"/>
        <v>0</v>
      </c>
      <c r="R14" s="24"/>
      <c r="S14" s="23"/>
      <c r="T14" s="22">
        <f t="shared" si="4"/>
        <v>0</v>
      </c>
      <c r="U14" s="24"/>
      <c r="V14" s="23"/>
      <c r="W14" s="22">
        <f t="shared" si="5"/>
        <v>0</v>
      </c>
      <c r="X14" s="24"/>
      <c r="Y14" s="23"/>
      <c r="Z14" s="22">
        <f t="shared" si="6"/>
        <v>0</v>
      </c>
      <c r="AA14" s="24">
        <f t="shared" si="22"/>
        <v>0</v>
      </c>
      <c r="AB14" s="23">
        <f t="shared" si="22"/>
        <v>0</v>
      </c>
      <c r="AC14" s="22">
        <f t="shared" si="7"/>
        <v>0</v>
      </c>
      <c r="AD14" s="24"/>
      <c r="AE14" s="23"/>
      <c r="AF14" s="22">
        <f t="shared" si="8"/>
        <v>0</v>
      </c>
      <c r="AG14" s="24"/>
      <c r="AH14" s="23"/>
      <c r="AI14" s="22">
        <f t="shared" si="9"/>
        <v>0</v>
      </c>
      <c r="AJ14" s="24"/>
      <c r="AK14" s="23"/>
      <c r="AL14" s="22">
        <f t="shared" si="10"/>
        <v>0</v>
      </c>
      <c r="AM14" s="24">
        <f t="shared" si="23"/>
        <v>0</v>
      </c>
      <c r="AN14" s="23">
        <f t="shared" si="23"/>
        <v>0</v>
      </c>
      <c r="AO14" s="22">
        <f t="shared" si="11"/>
        <v>0</v>
      </c>
      <c r="AP14" s="24"/>
      <c r="AQ14" s="23"/>
      <c r="AR14" s="22">
        <f t="shared" si="12"/>
        <v>0</v>
      </c>
      <c r="AS14" s="24"/>
      <c r="AT14" s="23"/>
      <c r="AU14" s="22">
        <f t="shared" si="13"/>
        <v>0</v>
      </c>
      <c r="AV14" s="24"/>
      <c r="AW14" s="23"/>
      <c r="AX14" s="22">
        <f t="shared" si="14"/>
        <v>0</v>
      </c>
      <c r="AY14" s="23">
        <f t="shared" si="24"/>
        <v>0</v>
      </c>
      <c r="AZ14" s="23">
        <f t="shared" si="24"/>
        <v>0</v>
      </c>
      <c r="BA14" s="22">
        <f t="shared" si="15"/>
        <v>0</v>
      </c>
      <c r="BB14" s="24">
        <f t="shared" si="25"/>
        <v>0</v>
      </c>
      <c r="BC14" s="23">
        <f t="shared" si="25"/>
        <v>0</v>
      </c>
      <c r="BD14" s="22">
        <f t="shared" si="16"/>
        <v>0</v>
      </c>
      <c r="BE14" s="24"/>
      <c r="BF14" s="24"/>
      <c r="BG14" s="20">
        <f t="shared" si="26"/>
        <v>0</v>
      </c>
    </row>
    <row r="15" spans="1:59" ht="13.5" hidden="1" customHeight="1" outlineLevel="1" x14ac:dyDescent="0.25">
      <c r="A15" s="100"/>
      <c r="B15" s="84" t="s">
        <v>38</v>
      </c>
      <c r="C15" s="83" t="s">
        <v>32</v>
      </c>
      <c r="D15" s="20"/>
      <c r="E15" s="20"/>
      <c r="F15" s="24"/>
      <c r="G15" s="23"/>
      <c r="H15" s="22">
        <f t="shared" si="0"/>
        <v>0</v>
      </c>
      <c r="I15" s="24"/>
      <c r="J15" s="23"/>
      <c r="K15" s="22">
        <f t="shared" si="1"/>
        <v>0</v>
      </c>
      <c r="L15" s="24"/>
      <c r="M15" s="23"/>
      <c r="N15" s="22">
        <f t="shared" si="2"/>
        <v>0</v>
      </c>
      <c r="O15" s="24">
        <f t="shared" si="21"/>
        <v>0</v>
      </c>
      <c r="P15" s="23">
        <f t="shared" si="21"/>
        <v>0</v>
      </c>
      <c r="Q15" s="22">
        <f t="shared" si="3"/>
        <v>0</v>
      </c>
      <c r="R15" s="24"/>
      <c r="S15" s="23"/>
      <c r="T15" s="22">
        <f t="shared" si="4"/>
        <v>0</v>
      </c>
      <c r="U15" s="24"/>
      <c r="V15" s="23"/>
      <c r="W15" s="22">
        <f t="shared" si="5"/>
        <v>0</v>
      </c>
      <c r="X15" s="24"/>
      <c r="Y15" s="23"/>
      <c r="Z15" s="22">
        <f t="shared" si="6"/>
        <v>0</v>
      </c>
      <c r="AA15" s="24">
        <f t="shared" si="22"/>
        <v>0</v>
      </c>
      <c r="AB15" s="23">
        <f t="shared" si="22"/>
        <v>0</v>
      </c>
      <c r="AC15" s="22">
        <f t="shared" si="7"/>
        <v>0</v>
      </c>
      <c r="AD15" s="24"/>
      <c r="AE15" s="23"/>
      <c r="AF15" s="22">
        <f t="shared" si="8"/>
        <v>0</v>
      </c>
      <c r="AG15" s="24"/>
      <c r="AH15" s="23"/>
      <c r="AI15" s="22">
        <f t="shared" si="9"/>
        <v>0</v>
      </c>
      <c r="AJ15" s="24"/>
      <c r="AK15" s="23"/>
      <c r="AL15" s="22">
        <f t="shared" si="10"/>
        <v>0</v>
      </c>
      <c r="AM15" s="24">
        <f t="shared" si="23"/>
        <v>0</v>
      </c>
      <c r="AN15" s="23">
        <f t="shared" si="23"/>
        <v>0</v>
      </c>
      <c r="AO15" s="22">
        <f t="shared" si="11"/>
        <v>0</v>
      </c>
      <c r="AP15" s="24"/>
      <c r="AQ15" s="23"/>
      <c r="AR15" s="22">
        <f t="shared" si="12"/>
        <v>0</v>
      </c>
      <c r="AS15" s="24"/>
      <c r="AT15" s="23"/>
      <c r="AU15" s="22">
        <f t="shared" si="13"/>
        <v>0</v>
      </c>
      <c r="AV15" s="24"/>
      <c r="AW15" s="23"/>
      <c r="AX15" s="22">
        <f t="shared" si="14"/>
        <v>0</v>
      </c>
      <c r="AY15" s="23">
        <f t="shared" si="24"/>
        <v>0</v>
      </c>
      <c r="AZ15" s="23">
        <f t="shared" si="24"/>
        <v>0</v>
      </c>
      <c r="BA15" s="22">
        <f t="shared" si="15"/>
        <v>0</v>
      </c>
      <c r="BB15" s="24">
        <f t="shared" si="25"/>
        <v>0</v>
      </c>
      <c r="BC15" s="23">
        <f t="shared" si="25"/>
        <v>0</v>
      </c>
      <c r="BD15" s="22">
        <f t="shared" si="16"/>
        <v>0</v>
      </c>
      <c r="BE15" s="24"/>
      <c r="BF15" s="24"/>
      <c r="BG15" s="20">
        <f t="shared" si="26"/>
        <v>0</v>
      </c>
    </row>
    <row r="16" spans="1:59" ht="13.5" hidden="1" customHeight="1" outlineLevel="1" x14ac:dyDescent="0.25">
      <c r="A16" s="100"/>
      <c r="B16" s="84" t="s">
        <v>39</v>
      </c>
      <c r="C16" s="83" t="s">
        <v>32</v>
      </c>
      <c r="D16" s="20"/>
      <c r="E16" s="20"/>
      <c r="F16" s="24"/>
      <c r="G16" s="23"/>
      <c r="H16" s="22">
        <f t="shared" si="0"/>
        <v>0</v>
      </c>
      <c r="I16" s="24"/>
      <c r="J16" s="23"/>
      <c r="K16" s="22">
        <f t="shared" si="1"/>
        <v>0</v>
      </c>
      <c r="L16" s="24"/>
      <c r="M16" s="23"/>
      <c r="N16" s="22">
        <f t="shared" si="2"/>
        <v>0</v>
      </c>
      <c r="O16" s="24">
        <f t="shared" si="21"/>
        <v>0</v>
      </c>
      <c r="P16" s="23">
        <f t="shared" si="21"/>
        <v>0</v>
      </c>
      <c r="Q16" s="22">
        <f t="shared" si="3"/>
        <v>0</v>
      </c>
      <c r="R16" s="24"/>
      <c r="S16" s="23"/>
      <c r="T16" s="22">
        <f t="shared" si="4"/>
        <v>0</v>
      </c>
      <c r="U16" s="24"/>
      <c r="V16" s="23"/>
      <c r="W16" s="22">
        <f t="shared" si="5"/>
        <v>0</v>
      </c>
      <c r="X16" s="24"/>
      <c r="Y16" s="23"/>
      <c r="Z16" s="22">
        <f t="shared" si="6"/>
        <v>0</v>
      </c>
      <c r="AA16" s="24">
        <f t="shared" si="22"/>
        <v>0</v>
      </c>
      <c r="AB16" s="23">
        <f t="shared" si="22"/>
        <v>0</v>
      </c>
      <c r="AC16" s="22">
        <f t="shared" si="7"/>
        <v>0</v>
      </c>
      <c r="AD16" s="24"/>
      <c r="AE16" s="23"/>
      <c r="AF16" s="22">
        <f t="shared" si="8"/>
        <v>0</v>
      </c>
      <c r="AG16" s="24"/>
      <c r="AH16" s="23"/>
      <c r="AI16" s="22">
        <f t="shared" si="9"/>
        <v>0</v>
      </c>
      <c r="AJ16" s="24"/>
      <c r="AK16" s="23"/>
      <c r="AL16" s="22">
        <f t="shared" si="10"/>
        <v>0</v>
      </c>
      <c r="AM16" s="24">
        <f t="shared" si="23"/>
        <v>0</v>
      </c>
      <c r="AN16" s="23">
        <f t="shared" si="23"/>
        <v>0</v>
      </c>
      <c r="AO16" s="22">
        <f t="shared" si="11"/>
        <v>0</v>
      </c>
      <c r="AP16" s="24"/>
      <c r="AQ16" s="23"/>
      <c r="AR16" s="22">
        <f t="shared" si="12"/>
        <v>0</v>
      </c>
      <c r="AS16" s="24"/>
      <c r="AT16" s="23"/>
      <c r="AU16" s="22">
        <f t="shared" si="13"/>
        <v>0</v>
      </c>
      <c r="AV16" s="24"/>
      <c r="AW16" s="23"/>
      <c r="AX16" s="22">
        <f t="shared" si="14"/>
        <v>0</v>
      </c>
      <c r="AY16" s="23">
        <f t="shared" si="24"/>
        <v>0</v>
      </c>
      <c r="AZ16" s="23">
        <f t="shared" si="24"/>
        <v>0</v>
      </c>
      <c r="BA16" s="22">
        <f t="shared" si="15"/>
        <v>0</v>
      </c>
      <c r="BB16" s="24">
        <f t="shared" si="25"/>
        <v>0</v>
      </c>
      <c r="BC16" s="23">
        <f t="shared" si="25"/>
        <v>0</v>
      </c>
      <c r="BD16" s="22">
        <f t="shared" si="16"/>
        <v>0</v>
      </c>
      <c r="BE16" s="24"/>
      <c r="BF16" s="24"/>
      <c r="BG16" s="20">
        <f t="shared" si="26"/>
        <v>0</v>
      </c>
    </row>
    <row r="17" spans="1:59" ht="13.5" hidden="1" customHeight="1" outlineLevel="1" x14ac:dyDescent="0.25">
      <c r="A17" s="100"/>
      <c r="B17" s="84" t="s">
        <v>40</v>
      </c>
      <c r="C17" s="83" t="s">
        <v>32</v>
      </c>
      <c r="D17" s="20"/>
      <c r="E17" s="20"/>
      <c r="F17" s="24"/>
      <c r="G17" s="23"/>
      <c r="H17" s="22">
        <f t="shared" si="0"/>
        <v>0</v>
      </c>
      <c r="I17" s="24"/>
      <c r="J17" s="23"/>
      <c r="K17" s="22">
        <f t="shared" si="1"/>
        <v>0</v>
      </c>
      <c r="L17" s="24"/>
      <c r="M17" s="23"/>
      <c r="N17" s="22">
        <f t="shared" si="2"/>
        <v>0</v>
      </c>
      <c r="O17" s="24">
        <f t="shared" si="21"/>
        <v>0</v>
      </c>
      <c r="P17" s="23">
        <f t="shared" si="21"/>
        <v>0</v>
      </c>
      <c r="Q17" s="22">
        <f t="shared" si="3"/>
        <v>0</v>
      </c>
      <c r="R17" s="24"/>
      <c r="S17" s="23"/>
      <c r="T17" s="22">
        <f t="shared" si="4"/>
        <v>0</v>
      </c>
      <c r="U17" s="24"/>
      <c r="V17" s="23"/>
      <c r="W17" s="22">
        <f t="shared" si="5"/>
        <v>0</v>
      </c>
      <c r="X17" s="24"/>
      <c r="Y17" s="23"/>
      <c r="Z17" s="22">
        <f t="shared" si="6"/>
        <v>0</v>
      </c>
      <c r="AA17" s="24">
        <f t="shared" si="22"/>
        <v>0</v>
      </c>
      <c r="AB17" s="23">
        <f t="shared" si="22"/>
        <v>0</v>
      </c>
      <c r="AC17" s="22">
        <f t="shared" si="7"/>
        <v>0</v>
      </c>
      <c r="AD17" s="24"/>
      <c r="AE17" s="23"/>
      <c r="AF17" s="22">
        <f t="shared" si="8"/>
        <v>0</v>
      </c>
      <c r="AG17" s="24"/>
      <c r="AH17" s="23"/>
      <c r="AI17" s="22">
        <f t="shared" si="9"/>
        <v>0</v>
      </c>
      <c r="AJ17" s="24"/>
      <c r="AK17" s="23"/>
      <c r="AL17" s="22">
        <f t="shared" si="10"/>
        <v>0</v>
      </c>
      <c r="AM17" s="24">
        <f t="shared" si="23"/>
        <v>0</v>
      </c>
      <c r="AN17" s="23">
        <f t="shared" si="23"/>
        <v>0</v>
      </c>
      <c r="AO17" s="22">
        <f t="shared" si="11"/>
        <v>0</v>
      </c>
      <c r="AP17" s="24"/>
      <c r="AQ17" s="23"/>
      <c r="AR17" s="22">
        <f t="shared" si="12"/>
        <v>0</v>
      </c>
      <c r="AS17" s="24"/>
      <c r="AT17" s="23"/>
      <c r="AU17" s="22">
        <f t="shared" si="13"/>
        <v>0</v>
      </c>
      <c r="AV17" s="24"/>
      <c r="AW17" s="23"/>
      <c r="AX17" s="22">
        <f t="shared" si="14"/>
        <v>0</v>
      </c>
      <c r="AY17" s="23">
        <f t="shared" si="24"/>
        <v>0</v>
      </c>
      <c r="AZ17" s="23">
        <f t="shared" si="24"/>
        <v>0</v>
      </c>
      <c r="BA17" s="22">
        <f t="shared" si="15"/>
        <v>0</v>
      </c>
      <c r="BB17" s="24">
        <f t="shared" si="25"/>
        <v>0</v>
      </c>
      <c r="BC17" s="23">
        <f t="shared" si="25"/>
        <v>0</v>
      </c>
      <c r="BD17" s="22">
        <f t="shared" si="16"/>
        <v>0</v>
      </c>
      <c r="BE17" s="24"/>
      <c r="BF17" s="24"/>
      <c r="BG17" s="20">
        <f t="shared" si="26"/>
        <v>0</v>
      </c>
    </row>
    <row r="18" spans="1:59" ht="13.5" hidden="1" customHeight="1" outlineLevel="1" x14ac:dyDescent="0.25">
      <c r="A18" s="100"/>
      <c r="B18" s="84" t="s">
        <v>41</v>
      </c>
      <c r="C18" s="83" t="s">
        <v>32</v>
      </c>
      <c r="D18" s="20"/>
      <c r="E18" s="20"/>
      <c r="F18" s="24"/>
      <c r="G18" s="23"/>
      <c r="H18" s="22">
        <f t="shared" si="0"/>
        <v>0</v>
      </c>
      <c r="I18" s="24"/>
      <c r="J18" s="23"/>
      <c r="K18" s="22">
        <f t="shared" si="1"/>
        <v>0</v>
      </c>
      <c r="L18" s="24"/>
      <c r="M18" s="23"/>
      <c r="N18" s="22">
        <f t="shared" si="2"/>
        <v>0</v>
      </c>
      <c r="O18" s="24">
        <f t="shared" si="21"/>
        <v>0</v>
      </c>
      <c r="P18" s="23">
        <f t="shared" si="21"/>
        <v>0</v>
      </c>
      <c r="Q18" s="22">
        <f t="shared" si="3"/>
        <v>0</v>
      </c>
      <c r="R18" s="24"/>
      <c r="S18" s="23"/>
      <c r="T18" s="22">
        <f t="shared" si="4"/>
        <v>0</v>
      </c>
      <c r="U18" s="24"/>
      <c r="V18" s="23"/>
      <c r="W18" s="22">
        <f t="shared" si="5"/>
        <v>0</v>
      </c>
      <c r="X18" s="24"/>
      <c r="Y18" s="23"/>
      <c r="Z18" s="22">
        <f t="shared" si="6"/>
        <v>0</v>
      </c>
      <c r="AA18" s="24">
        <f t="shared" si="22"/>
        <v>0</v>
      </c>
      <c r="AB18" s="23">
        <f t="shared" si="22"/>
        <v>0</v>
      </c>
      <c r="AC18" s="22">
        <f t="shared" si="7"/>
        <v>0</v>
      </c>
      <c r="AD18" s="24"/>
      <c r="AE18" s="23"/>
      <c r="AF18" s="22">
        <f t="shared" si="8"/>
        <v>0</v>
      </c>
      <c r="AG18" s="24"/>
      <c r="AH18" s="23"/>
      <c r="AI18" s="22">
        <f t="shared" si="9"/>
        <v>0</v>
      </c>
      <c r="AJ18" s="24"/>
      <c r="AK18" s="23"/>
      <c r="AL18" s="22">
        <f t="shared" si="10"/>
        <v>0</v>
      </c>
      <c r="AM18" s="24">
        <f t="shared" si="23"/>
        <v>0</v>
      </c>
      <c r="AN18" s="23">
        <f t="shared" si="23"/>
        <v>0</v>
      </c>
      <c r="AO18" s="22">
        <f t="shared" si="11"/>
        <v>0</v>
      </c>
      <c r="AP18" s="24"/>
      <c r="AQ18" s="23"/>
      <c r="AR18" s="22">
        <f t="shared" si="12"/>
        <v>0</v>
      </c>
      <c r="AS18" s="24"/>
      <c r="AT18" s="23"/>
      <c r="AU18" s="22">
        <f t="shared" si="13"/>
        <v>0</v>
      </c>
      <c r="AV18" s="24"/>
      <c r="AW18" s="23"/>
      <c r="AX18" s="22">
        <f t="shared" si="14"/>
        <v>0</v>
      </c>
      <c r="AY18" s="23">
        <f t="shared" si="24"/>
        <v>0</v>
      </c>
      <c r="AZ18" s="23">
        <f t="shared" si="24"/>
        <v>0</v>
      </c>
      <c r="BA18" s="22">
        <f t="shared" si="15"/>
        <v>0</v>
      </c>
      <c r="BB18" s="24">
        <f t="shared" si="25"/>
        <v>0</v>
      </c>
      <c r="BC18" s="23">
        <f t="shared" si="25"/>
        <v>0</v>
      </c>
      <c r="BD18" s="22">
        <f t="shared" si="16"/>
        <v>0</v>
      </c>
      <c r="BE18" s="24"/>
      <c r="BF18" s="24"/>
      <c r="BG18" s="20">
        <f t="shared" si="26"/>
        <v>0</v>
      </c>
    </row>
    <row r="19" spans="1:59" ht="13.5" hidden="1" customHeight="1" outlineLevel="1" x14ac:dyDescent="0.25">
      <c r="A19" s="100"/>
      <c r="B19" s="84" t="s">
        <v>42</v>
      </c>
      <c r="C19" s="83" t="s">
        <v>32</v>
      </c>
      <c r="D19" s="20"/>
      <c r="E19" s="20"/>
      <c r="F19" s="24"/>
      <c r="G19" s="23"/>
      <c r="H19" s="22">
        <f t="shared" si="0"/>
        <v>0</v>
      </c>
      <c r="I19" s="24"/>
      <c r="J19" s="23"/>
      <c r="K19" s="22">
        <f t="shared" si="1"/>
        <v>0</v>
      </c>
      <c r="L19" s="24"/>
      <c r="M19" s="23"/>
      <c r="N19" s="22">
        <f t="shared" si="2"/>
        <v>0</v>
      </c>
      <c r="O19" s="24">
        <f t="shared" si="21"/>
        <v>0</v>
      </c>
      <c r="P19" s="23">
        <f t="shared" si="21"/>
        <v>0</v>
      </c>
      <c r="Q19" s="22">
        <f t="shared" si="3"/>
        <v>0</v>
      </c>
      <c r="R19" s="24"/>
      <c r="S19" s="23"/>
      <c r="T19" s="22">
        <f t="shared" si="4"/>
        <v>0</v>
      </c>
      <c r="U19" s="24"/>
      <c r="V19" s="23"/>
      <c r="W19" s="22">
        <f t="shared" si="5"/>
        <v>0</v>
      </c>
      <c r="X19" s="24"/>
      <c r="Y19" s="23"/>
      <c r="Z19" s="22">
        <f t="shared" si="6"/>
        <v>0</v>
      </c>
      <c r="AA19" s="24">
        <f t="shared" si="22"/>
        <v>0</v>
      </c>
      <c r="AB19" s="23">
        <f t="shared" si="22"/>
        <v>0</v>
      </c>
      <c r="AC19" s="22">
        <f t="shared" si="7"/>
        <v>0</v>
      </c>
      <c r="AD19" s="24"/>
      <c r="AE19" s="23"/>
      <c r="AF19" s="22">
        <f t="shared" si="8"/>
        <v>0</v>
      </c>
      <c r="AG19" s="24"/>
      <c r="AH19" s="23"/>
      <c r="AI19" s="22">
        <f t="shared" si="9"/>
        <v>0</v>
      </c>
      <c r="AJ19" s="24"/>
      <c r="AK19" s="23"/>
      <c r="AL19" s="22">
        <f t="shared" si="10"/>
        <v>0</v>
      </c>
      <c r="AM19" s="24">
        <f t="shared" si="23"/>
        <v>0</v>
      </c>
      <c r="AN19" s="23">
        <f t="shared" si="23"/>
        <v>0</v>
      </c>
      <c r="AO19" s="22">
        <f t="shared" si="11"/>
        <v>0</v>
      </c>
      <c r="AP19" s="24"/>
      <c r="AQ19" s="23"/>
      <c r="AR19" s="22">
        <f t="shared" si="12"/>
        <v>0</v>
      </c>
      <c r="AS19" s="24"/>
      <c r="AT19" s="23"/>
      <c r="AU19" s="22">
        <f t="shared" si="13"/>
        <v>0</v>
      </c>
      <c r="AV19" s="24"/>
      <c r="AW19" s="23"/>
      <c r="AX19" s="22">
        <f t="shared" si="14"/>
        <v>0</v>
      </c>
      <c r="AY19" s="23">
        <f t="shared" si="24"/>
        <v>0</v>
      </c>
      <c r="AZ19" s="23">
        <f t="shared" si="24"/>
        <v>0</v>
      </c>
      <c r="BA19" s="22">
        <f t="shared" si="15"/>
        <v>0</v>
      </c>
      <c r="BB19" s="24">
        <f t="shared" si="25"/>
        <v>0</v>
      </c>
      <c r="BC19" s="23">
        <f t="shared" si="25"/>
        <v>0</v>
      </c>
      <c r="BD19" s="22">
        <f t="shared" si="16"/>
        <v>0</v>
      </c>
      <c r="BE19" s="24"/>
      <c r="BF19" s="24"/>
      <c r="BG19" s="20">
        <f t="shared" si="26"/>
        <v>0</v>
      </c>
    </row>
    <row r="20" spans="1:59" s="210" customFormat="1" ht="13.5" customHeight="1" collapsed="1" x14ac:dyDescent="0.25">
      <c r="A20" s="103"/>
      <c r="B20" s="102" t="s">
        <v>43</v>
      </c>
      <c r="C20" s="101" t="s">
        <v>32</v>
      </c>
      <c r="D20" s="188">
        <f>SUM(D21:D38)</f>
        <v>0</v>
      </c>
      <c r="E20" s="188">
        <f>SUM(E21:E38)</f>
        <v>0</v>
      </c>
      <c r="F20" s="191">
        <f>SUM(F21:F38)</f>
        <v>0</v>
      </c>
      <c r="G20" s="189">
        <f>SUM(G21:G38)</f>
        <v>0</v>
      </c>
      <c r="H20" s="190">
        <f t="shared" si="0"/>
        <v>0</v>
      </c>
      <c r="I20" s="191">
        <f>SUM(I21:I38)</f>
        <v>0</v>
      </c>
      <c r="J20" s="189">
        <f>SUM(J21:J38)</f>
        <v>0</v>
      </c>
      <c r="K20" s="190">
        <f t="shared" si="1"/>
        <v>0</v>
      </c>
      <c r="L20" s="191">
        <f>SUM(L21:L38)</f>
        <v>0</v>
      </c>
      <c r="M20" s="189">
        <f>SUM(M21:M38)</f>
        <v>0</v>
      </c>
      <c r="N20" s="190">
        <f t="shared" si="2"/>
        <v>0</v>
      </c>
      <c r="O20" s="191">
        <f>SUM(O21:O38)</f>
        <v>0</v>
      </c>
      <c r="P20" s="189">
        <f>SUM(P21:P38)</f>
        <v>0</v>
      </c>
      <c r="Q20" s="190">
        <f t="shared" si="3"/>
        <v>0</v>
      </c>
      <c r="R20" s="191">
        <f>SUM(R21:R38)</f>
        <v>0</v>
      </c>
      <c r="S20" s="189">
        <f>SUM(S21:S38)</f>
        <v>0</v>
      </c>
      <c r="T20" s="190">
        <f t="shared" si="4"/>
        <v>0</v>
      </c>
      <c r="U20" s="191">
        <f>SUM(U21:U38)</f>
        <v>0</v>
      </c>
      <c r="V20" s="189">
        <f>SUM(V21:V38)</f>
        <v>0</v>
      </c>
      <c r="W20" s="190">
        <f t="shared" si="5"/>
        <v>0</v>
      </c>
      <c r="X20" s="191">
        <f>SUM(X21:X38)</f>
        <v>0</v>
      </c>
      <c r="Y20" s="189">
        <f>SUM(Y21:Y38)</f>
        <v>0</v>
      </c>
      <c r="Z20" s="190">
        <f t="shared" si="6"/>
        <v>0</v>
      </c>
      <c r="AA20" s="191">
        <f>SUM(AA21:AA38)</f>
        <v>0</v>
      </c>
      <c r="AB20" s="189">
        <f>SUM(AB21:AB38)</f>
        <v>0</v>
      </c>
      <c r="AC20" s="190">
        <f t="shared" si="7"/>
        <v>0</v>
      </c>
      <c r="AD20" s="191">
        <f>SUM(AD21:AD38)</f>
        <v>0</v>
      </c>
      <c r="AE20" s="189">
        <f>SUM(AE21:AE38)</f>
        <v>0</v>
      </c>
      <c r="AF20" s="190">
        <f t="shared" si="8"/>
        <v>0</v>
      </c>
      <c r="AG20" s="191">
        <f>SUM(AG21:AG38)</f>
        <v>0</v>
      </c>
      <c r="AH20" s="189">
        <f>SUM(AH21:AH38)</f>
        <v>0</v>
      </c>
      <c r="AI20" s="190">
        <f t="shared" si="9"/>
        <v>0</v>
      </c>
      <c r="AJ20" s="191">
        <f>SUM(AJ21:AJ38)</f>
        <v>0</v>
      </c>
      <c r="AK20" s="189">
        <f>SUM(AK21:AK38)</f>
        <v>0</v>
      </c>
      <c r="AL20" s="190">
        <f t="shared" si="10"/>
        <v>0</v>
      </c>
      <c r="AM20" s="191">
        <f>SUM(AM21:AM38)</f>
        <v>0</v>
      </c>
      <c r="AN20" s="189">
        <f>SUM(AN21:AN38)</f>
        <v>0</v>
      </c>
      <c r="AO20" s="190">
        <f t="shared" si="11"/>
        <v>0</v>
      </c>
      <c r="AP20" s="191">
        <f>SUM(AP21:AP38)</f>
        <v>0</v>
      </c>
      <c r="AQ20" s="189">
        <f>SUM(AQ21:AQ38)</f>
        <v>0</v>
      </c>
      <c r="AR20" s="190">
        <f t="shared" si="12"/>
        <v>0</v>
      </c>
      <c r="AS20" s="191">
        <f>SUM(AS21:AS38)</f>
        <v>0</v>
      </c>
      <c r="AT20" s="189">
        <f>SUM(AT21:AT38)</f>
        <v>0</v>
      </c>
      <c r="AU20" s="190">
        <f t="shared" si="13"/>
        <v>0</v>
      </c>
      <c r="AV20" s="191">
        <f>SUM(AV21:AV38)</f>
        <v>0</v>
      </c>
      <c r="AW20" s="189">
        <f>SUM(AW21:AW38)</f>
        <v>0</v>
      </c>
      <c r="AX20" s="190">
        <f t="shared" si="14"/>
        <v>0</v>
      </c>
      <c r="AY20" s="189">
        <f>SUM(AY21:AY38)</f>
        <v>0</v>
      </c>
      <c r="AZ20" s="189">
        <f>SUM(AZ21:AZ38)</f>
        <v>0</v>
      </c>
      <c r="BA20" s="190">
        <f t="shared" si="15"/>
        <v>0</v>
      </c>
      <c r="BB20" s="191">
        <f>SUM(BB21:BB38)</f>
        <v>0</v>
      </c>
      <c r="BC20" s="189">
        <f>SUM(BC21:BC38)</f>
        <v>0</v>
      </c>
      <c r="BD20" s="190">
        <f t="shared" si="16"/>
        <v>0</v>
      </c>
      <c r="BE20" s="191">
        <f t="shared" ref="BE20:BF20" si="27">SUM(BE21:BE38)</f>
        <v>0</v>
      </c>
      <c r="BF20" s="191">
        <f t="shared" si="27"/>
        <v>0</v>
      </c>
      <c r="BG20" s="188">
        <f t="shared" ref="BG20" si="28">SUM(BG21:BG38)</f>
        <v>0</v>
      </c>
    </row>
    <row r="21" spans="1:59" ht="13.5" hidden="1" customHeight="1" outlineLevel="1" x14ac:dyDescent="0.25">
      <c r="A21" s="100"/>
      <c r="B21" s="84" t="s">
        <v>44</v>
      </c>
      <c r="C21" s="83" t="s">
        <v>32</v>
      </c>
      <c r="D21" s="20"/>
      <c r="E21" s="20"/>
      <c r="F21" s="24"/>
      <c r="G21" s="23"/>
      <c r="H21" s="22">
        <f t="shared" si="0"/>
        <v>0</v>
      </c>
      <c r="I21" s="24"/>
      <c r="J21" s="23"/>
      <c r="K21" s="22">
        <f t="shared" si="1"/>
        <v>0</v>
      </c>
      <c r="L21" s="24"/>
      <c r="M21" s="23"/>
      <c r="N21" s="22">
        <f t="shared" si="2"/>
        <v>0</v>
      </c>
      <c r="O21" s="24">
        <f t="shared" ref="O21:P36" si="29">SUM(F21,I21,L21)</f>
        <v>0</v>
      </c>
      <c r="P21" s="23">
        <f t="shared" si="29"/>
        <v>0</v>
      </c>
      <c r="Q21" s="22">
        <f t="shared" si="3"/>
        <v>0</v>
      </c>
      <c r="R21" s="24"/>
      <c r="S21" s="23"/>
      <c r="T21" s="22">
        <f t="shared" si="4"/>
        <v>0</v>
      </c>
      <c r="U21" s="24"/>
      <c r="V21" s="23"/>
      <c r="W21" s="22">
        <f t="shared" si="5"/>
        <v>0</v>
      </c>
      <c r="X21" s="24"/>
      <c r="Y21" s="23"/>
      <c r="Z21" s="22">
        <f t="shared" si="6"/>
        <v>0</v>
      </c>
      <c r="AA21" s="24">
        <f t="shared" ref="AA21:AB36" si="30">SUM(R21,U21,X21)</f>
        <v>0</v>
      </c>
      <c r="AB21" s="23">
        <f t="shared" si="30"/>
        <v>0</v>
      </c>
      <c r="AC21" s="22">
        <f t="shared" si="7"/>
        <v>0</v>
      </c>
      <c r="AD21" s="24"/>
      <c r="AE21" s="23"/>
      <c r="AF21" s="22">
        <f t="shared" si="8"/>
        <v>0</v>
      </c>
      <c r="AG21" s="24"/>
      <c r="AH21" s="23"/>
      <c r="AI21" s="22">
        <f t="shared" si="9"/>
        <v>0</v>
      </c>
      <c r="AJ21" s="24"/>
      <c r="AK21" s="23"/>
      <c r="AL21" s="22">
        <f t="shared" si="10"/>
        <v>0</v>
      </c>
      <c r="AM21" s="24">
        <f t="shared" ref="AM21:AN36" si="31">SUM(AD21,AG21,AJ21)</f>
        <v>0</v>
      </c>
      <c r="AN21" s="23">
        <f t="shared" si="31"/>
        <v>0</v>
      </c>
      <c r="AO21" s="22">
        <f t="shared" si="11"/>
        <v>0</v>
      </c>
      <c r="AP21" s="24"/>
      <c r="AQ21" s="23"/>
      <c r="AR21" s="22">
        <f t="shared" si="12"/>
        <v>0</v>
      </c>
      <c r="AS21" s="24"/>
      <c r="AT21" s="23"/>
      <c r="AU21" s="22">
        <f t="shared" si="13"/>
        <v>0</v>
      </c>
      <c r="AV21" s="24"/>
      <c r="AW21" s="23"/>
      <c r="AX21" s="22">
        <f t="shared" si="14"/>
        <v>0</v>
      </c>
      <c r="AY21" s="23">
        <f t="shared" ref="AY21:AZ36" si="32">SUM(AP21,AS21,AV21)</f>
        <v>0</v>
      </c>
      <c r="AZ21" s="23">
        <f t="shared" si="32"/>
        <v>0</v>
      </c>
      <c r="BA21" s="22">
        <f t="shared" si="15"/>
        <v>0</v>
      </c>
      <c r="BB21" s="24">
        <f t="shared" ref="BB21:BC36" si="33">SUM(F21,I21,L21,R21,U21,X21,AD21,AG21,AJ21,AP21,AS21,AV21)</f>
        <v>0</v>
      </c>
      <c r="BC21" s="23">
        <f t="shared" si="33"/>
        <v>0</v>
      </c>
      <c r="BD21" s="22">
        <f t="shared" si="16"/>
        <v>0</v>
      </c>
      <c r="BE21" s="24"/>
      <c r="BF21" s="24"/>
      <c r="BG21" s="20">
        <f>BB21+BE21+BF21</f>
        <v>0</v>
      </c>
    </row>
    <row r="22" spans="1:59" ht="13.5" hidden="1" customHeight="1" outlineLevel="1" x14ac:dyDescent="0.25">
      <c r="A22" s="100"/>
      <c r="B22" s="84" t="s">
        <v>45</v>
      </c>
      <c r="C22" s="83" t="s">
        <v>32</v>
      </c>
      <c r="D22" s="20"/>
      <c r="E22" s="20"/>
      <c r="F22" s="24"/>
      <c r="G22" s="23"/>
      <c r="H22" s="22">
        <f t="shared" si="0"/>
        <v>0</v>
      </c>
      <c r="I22" s="24"/>
      <c r="J22" s="23"/>
      <c r="K22" s="22">
        <f t="shared" si="1"/>
        <v>0</v>
      </c>
      <c r="L22" s="24"/>
      <c r="M22" s="23"/>
      <c r="N22" s="22">
        <f t="shared" si="2"/>
        <v>0</v>
      </c>
      <c r="O22" s="24">
        <f t="shared" si="29"/>
        <v>0</v>
      </c>
      <c r="P22" s="23">
        <f t="shared" si="29"/>
        <v>0</v>
      </c>
      <c r="Q22" s="22">
        <f t="shared" si="3"/>
        <v>0</v>
      </c>
      <c r="R22" s="24"/>
      <c r="S22" s="23"/>
      <c r="T22" s="22">
        <f t="shared" si="4"/>
        <v>0</v>
      </c>
      <c r="U22" s="24"/>
      <c r="V22" s="23"/>
      <c r="W22" s="22">
        <f t="shared" si="5"/>
        <v>0</v>
      </c>
      <c r="X22" s="24"/>
      <c r="Y22" s="23"/>
      <c r="Z22" s="22">
        <f t="shared" si="6"/>
        <v>0</v>
      </c>
      <c r="AA22" s="24">
        <f t="shared" si="30"/>
        <v>0</v>
      </c>
      <c r="AB22" s="23">
        <f t="shared" si="30"/>
        <v>0</v>
      </c>
      <c r="AC22" s="22">
        <f t="shared" si="7"/>
        <v>0</v>
      </c>
      <c r="AD22" s="24"/>
      <c r="AE22" s="23"/>
      <c r="AF22" s="22">
        <f t="shared" si="8"/>
        <v>0</v>
      </c>
      <c r="AG22" s="24"/>
      <c r="AH22" s="23"/>
      <c r="AI22" s="22">
        <f t="shared" si="9"/>
        <v>0</v>
      </c>
      <c r="AJ22" s="24"/>
      <c r="AK22" s="23"/>
      <c r="AL22" s="22">
        <f t="shared" si="10"/>
        <v>0</v>
      </c>
      <c r="AM22" s="24">
        <f t="shared" si="31"/>
        <v>0</v>
      </c>
      <c r="AN22" s="23">
        <f t="shared" si="31"/>
        <v>0</v>
      </c>
      <c r="AO22" s="22">
        <f t="shared" si="11"/>
        <v>0</v>
      </c>
      <c r="AP22" s="24"/>
      <c r="AQ22" s="23"/>
      <c r="AR22" s="22">
        <f t="shared" si="12"/>
        <v>0</v>
      </c>
      <c r="AS22" s="24"/>
      <c r="AT22" s="23"/>
      <c r="AU22" s="22">
        <f t="shared" si="13"/>
        <v>0</v>
      </c>
      <c r="AV22" s="24"/>
      <c r="AW22" s="23"/>
      <c r="AX22" s="22">
        <f t="shared" si="14"/>
        <v>0</v>
      </c>
      <c r="AY22" s="23">
        <f t="shared" si="32"/>
        <v>0</v>
      </c>
      <c r="AZ22" s="23">
        <f t="shared" si="32"/>
        <v>0</v>
      </c>
      <c r="BA22" s="22">
        <f t="shared" si="15"/>
        <v>0</v>
      </c>
      <c r="BB22" s="24">
        <f t="shared" si="33"/>
        <v>0</v>
      </c>
      <c r="BC22" s="23">
        <f t="shared" si="33"/>
        <v>0</v>
      </c>
      <c r="BD22" s="22">
        <f t="shared" si="16"/>
        <v>0</v>
      </c>
      <c r="BE22" s="24"/>
      <c r="BF22" s="24"/>
      <c r="BG22" s="20">
        <f t="shared" ref="BG22:BG38" si="34">BB22+BE22+BF22</f>
        <v>0</v>
      </c>
    </row>
    <row r="23" spans="1:59" ht="13.5" hidden="1" customHeight="1" outlineLevel="1" x14ac:dyDescent="0.25">
      <c r="A23" s="100"/>
      <c r="B23" s="84" t="s">
        <v>46</v>
      </c>
      <c r="C23" s="83" t="s">
        <v>32</v>
      </c>
      <c r="D23" s="20"/>
      <c r="E23" s="20"/>
      <c r="F23" s="24"/>
      <c r="G23" s="23"/>
      <c r="H23" s="22">
        <f t="shared" si="0"/>
        <v>0</v>
      </c>
      <c r="I23" s="24"/>
      <c r="J23" s="23"/>
      <c r="K23" s="22">
        <f t="shared" si="1"/>
        <v>0</v>
      </c>
      <c r="L23" s="24"/>
      <c r="M23" s="23"/>
      <c r="N23" s="22">
        <f t="shared" si="2"/>
        <v>0</v>
      </c>
      <c r="O23" s="24">
        <f t="shared" si="29"/>
        <v>0</v>
      </c>
      <c r="P23" s="23">
        <f t="shared" si="29"/>
        <v>0</v>
      </c>
      <c r="Q23" s="22">
        <f t="shared" si="3"/>
        <v>0</v>
      </c>
      <c r="R23" s="24"/>
      <c r="S23" s="23"/>
      <c r="T23" s="22">
        <f t="shared" si="4"/>
        <v>0</v>
      </c>
      <c r="U23" s="24"/>
      <c r="V23" s="23"/>
      <c r="W23" s="22">
        <f t="shared" si="5"/>
        <v>0</v>
      </c>
      <c r="X23" s="24"/>
      <c r="Y23" s="23"/>
      <c r="Z23" s="22">
        <f t="shared" si="6"/>
        <v>0</v>
      </c>
      <c r="AA23" s="24">
        <f t="shared" si="30"/>
        <v>0</v>
      </c>
      <c r="AB23" s="23">
        <f t="shared" si="30"/>
        <v>0</v>
      </c>
      <c r="AC23" s="22">
        <f t="shared" si="7"/>
        <v>0</v>
      </c>
      <c r="AD23" s="24"/>
      <c r="AE23" s="23"/>
      <c r="AF23" s="22">
        <f t="shared" si="8"/>
        <v>0</v>
      </c>
      <c r="AG23" s="24"/>
      <c r="AH23" s="23"/>
      <c r="AI23" s="22">
        <f t="shared" si="9"/>
        <v>0</v>
      </c>
      <c r="AJ23" s="24"/>
      <c r="AK23" s="23"/>
      <c r="AL23" s="22">
        <f t="shared" si="10"/>
        <v>0</v>
      </c>
      <c r="AM23" s="24">
        <f t="shared" si="31"/>
        <v>0</v>
      </c>
      <c r="AN23" s="23">
        <f t="shared" si="31"/>
        <v>0</v>
      </c>
      <c r="AO23" s="22">
        <f t="shared" si="11"/>
        <v>0</v>
      </c>
      <c r="AP23" s="24"/>
      <c r="AQ23" s="23"/>
      <c r="AR23" s="22">
        <f t="shared" si="12"/>
        <v>0</v>
      </c>
      <c r="AS23" s="24"/>
      <c r="AT23" s="23"/>
      <c r="AU23" s="22">
        <f t="shared" si="13"/>
        <v>0</v>
      </c>
      <c r="AV23" s="24"/>
      <c r="AW23" s="23"/>
      <c r="AX23" s="22">
        <f t="shared" si="14"/>
        <v>0</v>
      </c>
      <c r="AY23" s="23">
        <f t="shared" si="32"/>
        <v>0</v>
      </c>
      <c r="AZ23" s="23">
        <f t="shared" si="32"/>
        <v>0</v>
      </c>
      <c r="BA23" s="22">
        <f t="shared" si="15"/>
        <v>0</v>
      </c>
      <c r="BB23" s="24">
        <f t="shared" si="33"/>
        <v>0</v>
      </c>
      <c r="BC23" s="23">
        <f t="shared" si="33"/>
        <v>0</v>
      </c>
      <c r="BD23" s="22">
        <f t="shared" si="16"/>
        <v>0</v>
      </c>
      <c r="BE23" s="24"/>
      <c r="BF23" s="24"/>
      <c r="BG23" s="20">
        <f t="shared" si="34"/>
        <v>0</v>
      </c>
    </row>
    <row r="24" spans="1:59" ht="13.5" hidden="1" customHeight="1" outlineLevel="1" x14ac:dyDescent="0.25">
      <c r="A24" s="100"/>
      <c r="B24" s="84" t="s">
        <v>47</v>
      </c>
      <c r="C24" s="83" t="s">
        <v>32</v>
      </c>
      <c r="D24" s="20"/>
      <c r="E24" s="20"/>
      <c r="F24" s="24"/>
      <c r="G24" s="23"/>
      <c r="H24" s="22">
        <f t="shared" si="0"/>
        <v>0</v>
      </c>
      <c r="I24" s="24"/>
      <c r="J24" s="23"/>
      <c r="K24" s="22">
        <f t="shared" si="1"/>
        <v>0</v>
      </c>
      <c r="L24" s="24"/>
      <c r="M24" s="23"/>
      <c r="N24" s="22">
        <f t="shared" si="2"/>
        <v>0</v>
      </c>
      <c r="O24" s="24">
        <f t="shared" si="29"/>
        <v>0</v>
      </c>
      <c r="P24" s="23">
        <f t="shared" si="29"/>
        <v>0</v>
      </c>
      <c r="Q24" s="22">
        <f t="shared" si="3"/>
        <v>0</v>
      </c>
      <c r="R24" s="24"/>
      <c r="S24" s="23"/>
      <c r="T24" s="22">
        <f t="shared" si="4"/>
        <v>0</v>
      </c>
      <c r="U24" s="24"/>
      <c r="V24" s="23"/>
      <c r="W24" s="22">
        <f t="shared" si="5"/>
        <v>0</v>
      </c>
      <c r="X24" s="24"/>
      <c r="Y24" s="23"/>
      <c r="Z24" s="22">
        <f t="shared" si="6"/>
        <v>0</v>
      </c>
      <c r="AA24" s="24">
        <f t="shared" si="30"/>
        <v>0</v>
      </c>
      <c r="AB24" s="23">
        <f t="shared" si="30"/>
        <v>0</v>
      </c>
      <c r="AC24" s="22">
        <f t="shared" si="7"/>
        <v>0</v>
      </c>
      <c r="AD24" s="24"/>
      <c r="AE24" s="23"/>
      <c r="AF24" s="22">
        <f t="shared" si="8"/>
        <v>0</v>
      </c>
      <c r="AG24" s="24"/>
      <c r="AH24" s="23"/>
      <c r="AI24" s="22">
        <f t="shared" si="9"/>
        <v>0</v>
      </c>
      <c r="AJ24" s="24"/>
      <c r="AK24" s="23"/>
      <c r="AL24" s="22">
        <f t="shared" si="10"/>
        <v>0</v>
      </c>
      <c r="AM24" s="24">
        <f t="shared" si="31"/>
        <v>0</v>
      </c>
      <c r="AN24" s="23">
        <f t="shared" si="31"/>
        <v>0</v>
      </c>
      <c r="AO24" s="22">
        <f t="shared" si="11"/>
        <v>0</v>
      </c>
      <c r="AP24" s="24"/>
      <c r="AQ24" s="23"/>
      <c r="AR24" s="22">
        <f t="shared" si="12"/>
        <v>0</v>
      </c>
      <c r="AS24" s="24"/>
      <c r="AT24" s="23"/>
      <c r="AU24" s="22">
        <f t="shared" si="13"/>
        <v>0</v>
      </c>
      <c r="AV24" s="24"/>
      <c r="AW24" s="23"/>
      <c r="AX24" s="22">
        <f t="shared" si="14"/>
        <v>0</v>
      </c>
      <c r="AY24" s="23">
        <f t="shared" si="32"/>
        <v>0</v>
      </c>
      <c r="AZ24" s="23">
        <f t="shared" si="32"/>
        <v>0</v>
      </c>
      <c r="BA24" s="22">
        <f t="shared" si="15"/>
        <v>0</v>
      </c>
      <c r="BB24" s="24">
        <f t="shared" si="33"/>
        <v>0</v>
      </c>
      <c r="BC24" s="23">
        <f t="shared" si="33"/>
        <v>0</v>
      </c>
      <c r="BD24" s="22">
        <f t="shared" si="16"/>
        <v>0</v>
      </c>
      <c r="BE24" s="24"/>
      <c r="BF24" s="24"/>
      <c r="BG24" s="20">
        <f t="shared" si="34"/>
        <v>0</v>
      </c>
    </row>
    <row r="25" spans="1:59" ht="13.5" hidden="1" customHeight="1" outlineLevel="1" x14ac:dyDescent="0.25">
      <c r="A25" s="100"/>
      <c r="B25" s="84" t="s">
        <v>48</v>
      </c>
      <c r="C25" s="83" t="s">
        <v>32</v>
      </c>
      <c r="D25" s="20"/>
      <c r="E25" s="20"/>
      <c r="F25" s="24"/>
      <c r="G25" s="23"/>
      <c r="H25" s="22">
        <f t="shared" ref="H25:H40" si="35">G25-F25</f>
        <v>0</v>
      </c>
      <c r="I25" s="24"/>
      <c r="J25" s="23"/>
      <c r="K25" s="22">
        <f t="shared" ref="K25:K40" si="36">J25-I25</f>
        <v>0</v>
      </c>
      <c r="L25" s="24"/>
      <c r="M25" s="23"/>
      <c r="N25" s="22">
        <f t="shared" ref="N25:N40" si="37">M25-L25</f>
        <v>0</v>
      </c>
      <c r="O25" s="24">
        <f t="shared" si="29"/>
        <v>0</v>
      </c>
      <c r="P25" s="23">
        <f t="shared" si="29"/>
        <v>0</v>
      </c>
      <c r="Q25" s="22">
        <f t="shared" ref="Q25:Q40" si="38">P25-O25</f>
        <v>0</v>
      </c>
      <c r="R25" s="24"/>
      <c r="S25" s="23"/>
      <c r="T25" s="22">
        <f t="shared" ref="T25:T40" si="39">S25-R25</f>
        <v>0</v>
      </c>
      <c r="U25" s="24"/>
      <c r="V25" s="23"/>
      <c r="W25" s="22">
        <f t="shared" ref="W25:W40" si="40">V25-U25</f>
        <v>0</v>
      </c>
      <c r="X25" s="24"/>
      <c r="Y25" s="23"/>
      <c r="Z25" s="22">
        <f t="shared" ref="Z25:Z40" si="41">Y25-X25</f>
        <v>0</v>
      </c>
      <c r="AA25" s="24">
        <f t="shared" si="30"/>
        <v>0</v>
      </c>
      <c r="AB25" s="23">
        <f t="shared" si="30"/>
        <v>0</v>
      </c>
      <c r="AC25" s="22">
        <f t="shared" ref="AC25:AC40" si="42">AB25-AA25</f>
        <v>0</v>
      </c>
      <c r="AD25" s="24"/>
      <c r="AE25" s="23"/>
      <c r="AF25" s="22">
        <f t="shared" ref="AF25:AF40" si="43">AE25-AD25</f>
        <v>0</v>
      </c>
      <c r="AG25" s="24"/>
      <c r="AH25" s="23"/>
      <c r="AI25" s="22">
        <f t="shared" ref="AI25:AI40" si="44">AH25-AG25</f>
        <v>0</v>
      </c>
      <c r="AJ25" s="24"/>
      <c r="AK25" s="23"/>
      <c r="AL25" s="22">
        <f t="shared" ref="AL25:AL40" si="45">AK25-AJ25</f>
        <v>0</v>
      </c>
      <c r="AM25" s="24">
        <f t="shared" si="31"/>
        <v>0</v>
      </c>
      <c r="AN25" s="23">
        <f t="shared" si="31"/>
        <v>0</v>
      </c>
      <c r="AO25" s="22">
        <f t="shared" ref="AO25:AO40" si="46">AN25-AM25</f>
        <v>0</v>
      </c>
      <c r="AP25" s="24"/>
      <c r="AQ25" s="23"/>
      <c r="AR25" s="22">
        <f t="shared" ref="AR25:AR40" si="47">AQ25-AP25</f>
        <v>0</v>
      </c>
      <c r="AS25" s="24"/>
      <c r="AT25" s="23"/>
      <c r="AU25" s="22">
        <f t="shared" ref="AU25:AU40" si="48">AT25-AS25</f>
        <v>0</v>
      </c>
      <c r="AV25" s="24"/>
      <c r="AW25" s="23"/>
      <c r="AX25" s="22">
        <f t="shared" ref="AX25:AX40" si="49">AW25-AV25</f>
        <v>0</v>
      </c>
      <c r="AY25" s="23">
        <f t="shared" si="32"/>
        <v>0</v>
      </c>
      <c r="AZ25" s="23">
        <f t="shared" si="32"/>
        <v>0</v>
      </c>
      <c r="BA25" s="22">
        <f t="shared" ref="BA25:BA40" si="50">AZ25-AY25</f>
        <v>0</v>
      </c>
      <c r="BB25" s="24">
        <f t="shared" si="33"/>
        <v>0</v>
      </c>
      <c r="BC25" s="23">
        <f t="shared" si="33"/>
        <v>0</v>
      </c>
      <c r="BD25" s="22">
        <f t="shared" ref="BD25:BD40" si="51">BC25-BB25</f>
        <v>0</v>
      </c>
      <c r="BE25" s="24"/>
      <c r="BF25" s="24"/>
      <c r="BG25" s="20">
        <f t="shared" si="34"/>
        <v>0</v>
      </c>
    </row>
    <row r="26" spans="1:59" ht="13.5" hidden="1" customHeight="1" outlineLevel="1" x14ac:dyDescent="0.25">
      <c r="A26" s="100"/>
      <c r="B26" s="84" t="s">
        <v>49</v>
      </c>
      <c r="C26" s="83" t="s">
        <v>32</v>
      </c>
      <c r="D26" s="20"/>
      <c r="E26" s="20"/>
      <c r="F26" s="24"/>
      <c r="G26" s="23"/>
      <c r="H26" s="22">
        <f t="shared" si="35"/>
        <v>0</v>
      </c>
      <c r="I26" s="24"/>
      <c r="J26" s="23"/>
      <c r="K26" s="22">
        <f t="shared" si="36"/>
        <v>0</v>
      </c>
      <c r="L26" s="24"/>
      <c r="M26" s="23"/>
      <c r="N26" s="22">
        <f t="shared" si="37"/>
        <v>0</v>
      </c>
      <c r="O26" s="24">
        <f t="shared" si="29"/>
        <v>0</v>
      </c>
      <c r="P26" s="23">
        <f t="shared" si="29"/>
        <v>0</v>
      </c>
      <c r="Q26" s="22">
        <f t="shared" si="38"/>
        <v>0</v>
      </c>
      <c r="R26" s="24"/>
      <c r="S26" s="23"/>
      <c r="T26" s="22">
        <f t="shared" si="39"/>
        <v>0</v>
      </c>
      <c r="U26" s="24"/>
      <c r="V26" s="23"/>
      <c r="W26" s="22">
        <f t="shared" si="40"/>
        <v>0</v>
      </c>
      <c r="X26" s="24"/>
      <c r="Y26" s="23"/>
      <c r="Z26" s="22">
        <f t="shared" si="41"/>
        <v>0</v>
      </c>
      <c r="AA26" s="24">
        <f t="shared" si="30"/>
        <v>0</v>
      </c>
      <c r="AB26" s="23">
        <f t="shared" si="30"/>
        <v>0</v>
      </c>
      <c r="AC26" s="22">
        <f t="shared" si="42"/>
        <v>0</v>
      </c>
      <c r="AD26" s="24"/>
      <c r="AE26" s="23"/>
      <c r="AF26" s="22">
        <f t="shared" si="43"/>
        <v>0</v>
      </c>
      <c r="AG26" s="24"/>
      <c r="AH26" s="23"/>
      <c r="AI26" s="22">
        <f t="shared" si="44"/>
        <v>0</v>
      </c>
      <c r="AJ26" s="24"/>
      <c r="AK26" s="23"/>
      <c r="AL26" s="22">
        <f t="shared" si="45"/>
        <v>0</v>
      </c>
      <c r="AM26" s="24">
        <f t="shared" si="31"/>
        <v>0</v>
      </c>
      <c r="AN26" s="23">
        <f t="shared" si="31"/>
        <v>0</v>
      </c>
      <c r="AO26" s="22">
        <f t="shared" si="46"/>
        <v>0</v>
      </c>
      <c r="AP26" s="24"/>
      <c r="AQ26" s="23"/>
      <c r="AR26" s="22">
        <f t="shared" si="47"/>
        <v>0</v>
      </c>
      <c r="AS26" s="24"/>
      <c r="AT26" s="23"/>
      <c r="AU26" s="22">
        <f t="shared" si="48"/>
        <v>0</v>
      </c>
      <c r="AV26" s="24"/>
      <c r="AW26" s="23"/>
      <c r="AX26" s="22">
        <f t="shared" si="49"/>
        <v>0</v>
      </c>
      <c r="AY26" s="23">
        <f t="shared" si="32"/>
        <v>0</v>
      </c>
      <c r="AZ26" s="23">
        <f t="shared" si="32"/>
        <v>0</v>
      </c>
      <c r="BA26" s="22">
        <f t="shared" si="50"/>
        <v>0</v>
      </c>
      <c r="BB26" s="24">
        <f t="shared" si="33"/>
        <v>0</v>
      </c>
      <c r="BC26" s="23">
        <f t="shared" si="33"/>
        <v>0</v>
      </c>
      <c r="BD26" s="22">
        <f t="shared" si="51"/>
        <v>0</v>
      </c>
      <c r="BE26" s="24"/>
      <c r="BF26" s="24"/>
      <c r="BG26" s="20">
        <f t="shared" si="34"/>
        <v>0</v>
      </c>
    </row>
    <row r="27" spans="1:59" ht="13.5" hidden="1" customHeight="1" outlineLevel="1" x14ac:dyDescent="0.25">
      <c r="A27" s="100"/>
      <c r="B27" s="84" t="s">
        <v>50</v>
      </c>
      <c r="C27" s="83" t="s">
        <v>32</v>
      </c>
      <c r="D27" s="20"/>
      <c r="E27" s="20"/>
      <c r="F27" s="24"/>
      <c r="G27" s="23"/>
      <c r="H27" s="22">
        <f t="shared" si="35"/>
        <v>0</v>
      </c>
      <c r="I27" s="24"/>
      <c r="J27" s="23"/>
      <c r="K27" s="22">
        <f t="shared" si="36"/>
        <v>0</v>
      </c>
      <c r="L27" s="24"/>
      <c r="M27" s="23"/>
      <c r="N27" s="22">
        <f t="shared" si="37"/>
        <v>0</v>
      </c>
      <c r="O27" s="24">
        <f t="shared" si="29"/>
        <v>0</v>
      </c>
      <c r="P27" s="23">
        <f t="shared" si="29"/>
        <v>0</v>
      </c>
      <c r="Q27" s="22">
        <f t="shared" si="38"/>
        <v>0</v>
      </c>
      <c r="R27" s="24"/>
      <c r="S27" s="23"/>
      <c r="T27" s="22">
        <f t="shared" si="39"/>
        <v>0</v>
      </c>
      <c r="U27" s="24"/>
      <c r="V27" s="23"/>
      <c r="W27" s="22">
        <f t="shared" si="40"/>
        <v>0</v>
      </c>
      <c r="X27" s="24"/>
      <c r="Y27" s="23"/>
      <c r="Z27" s="22">
        <f t="shared" si="41"/>
        <v>0</v>
      </c>
      <c r="AA27" s="24">
        <f t="shared" si="30"/>
        <v>0</v>
      </c>
      <c r="AB27" s="23">
        <f t="shared" si="30"/>
        <v>0</v>
      </c>
      <c r="AC27" s="22">
        <f t="shared" si="42"/>
        <v>0</v>
      </c>
      <c r="AD27" s="24"/>
      <c r="AE27" s="23"/>
      <c r="AF27" s="22">
        <f t="shared" si="43"/>
        <v>0</v>
      </c>
      <c r="AG27" s="24"/>
      <c r="AH27" s="23"/>
      <c r="AI27" s="22">
        <f t="shared" si="44"/>
        <v>0</v>
      </c>
      <c r="AJ27" s="24"/>
      <c r="AK27" s="23"/>
      <c r="AL27" s="22">
        <f t="shared" si="45"/>
        <v>0</v>
      </c>
      <c r="AM27" s="24">
        <f t="shared" si="31"/>
        <v>0</v>
      </c>
      <c r="AN27" s="23">
        <f t="shared" si="31"/>
        <v>0</v>
      </c>
      <c r="AO27" s="22">
        <f t="shared" si="46"/>
        <v>0</v>
      </c>
      <c r="AP27" s="24"/>
      <c r="AQ27" s="23"/>
      <c r="AR27" s="22">
        <f t="shared" si="47"/>
        <v>0</v>
      </c>
      <c r="AS27" s="24"/>
      <c r="AT27" s="23"/>
      <c r="AU27" s="22">
        <f t="shared" si="48"/>
        <v>0</v>
      </c>
      <c r="AV27" s="24"/>
      <c r="AW27" s="23"/>
      <c r="AX27" s="22">
        <f t="shared" si="49"/>
        <v>0</v>
      </c>
      <c r="AY27" s="23">
        <f t="shared" si="32"/>
        <v>0</v>
      </c>
      <c r="AZ27" s="23">
        <f t="shared" si="32"/>
        <v>0</v>
      </c>
      <c r="BA27" s="22">
        <f t="shared" si="50"/>
        <v>0</v>
      </c>
      <c r="BB27" s="24">
        <f t="shared" si="33"/>
        <v>0</v>
      </c>
      <c r="BC27" s="23">
        <f t="shared" si="33"/>
        <v>0</v>
      </c>
      <c r="BD27" s="22">
        <f t="shared" si="51"/>
        <v>0</v>
      </c>
      <c r="BE27" s="24"/>
      <c r="BF27" s="24"/>
      <c r="BG27" s="20">
        <f t="shared" si="34"/>
        <v>0</v>
      </c>
    </row>
    <row r="28" spans="1:59" ht="13.5" hidden="1" customHeight="1" outlineLevel="1" x14ac:dyDescent="0.25">
      <c r="A28" s="100"/>
      <c r="B28" s="84" t="s">
        <v>51</v>
      </c>
      <c r="C28" s="83" t="s">
        <v>32</v>
      </c>
      <c r="D28" s="20"/>
      <c r="E28" s="20"/>
      <c r="F28" s="24"/>
      <c r="G28" s="23"/>
      <c r="H28" s="22">
        <f t="shared" si="35"/>
        <v>0</v>
      </c>
      <c r="I28" s="24"/>
      <c r="J28" s="23"/>
      <c r="K28" s="22">
        <f t="shared" si="36"/>
        <v>0</v>
      </c>
      <c r="L28" s="24"/>
      <c r="M28" s="23"/>
      <c r="N28" s="22">
        <f t="shared" si="37"/>
        <v>0</v>
      </c>
      <c r="O28" s="24">
        <f t="shared" si="29"/>
        <v>0</v>
      </c>
      <c r="P28" s="23">
        <f t="shared" si="29"/>
        <v>0</v>
      </c>
      <c r="Q28" s="22">
        <f t="shared" si="38"/>
        <v>0</v>
      </c>
      <c r="R28" s="24"/>
      <c r="S28" s="23"/>
      <c r="T28" s="22">
        <f t="shared" si="39"/>
        <v>0</v>
      </c>
      <c r="U28" s="24"/>
      <c r="V28" s="23"/>
      <c r="W28" s="22">
        <f t="shared" si="40"/>
        <v>0</v>
      </c>
      <c r="X28" s="24"/>
      <c r="Y28" s="23"/>
      <c r="Z28" s="22">
        <f t="shared" si="41"/>
        <v>0</v>
      </c>
      <c r="AA28" s="24">
        <f t="shared" si="30"/>
        <v>0</v>
      </c>
      <c r="AB28" s="23">
        <f t="shared" si="30"/>
        <v>0</v>
      </c>
      <c r="AC28" s="22">
        <f t="shared" si="42"/>
        <v>0</v>
      </c>
      <c r="AD28" s="24"/>
      <c r="AE28" s="23"/>
      <c r="AF28" s="22">
        <f t="shared" si="43"/>
        <v>0</v>
      </c>
      <c r="AG28" s="24"/>
      <c r="AH28" s="23"/>
      <c r="AI28" s="22">
        <f t="shared" si="44"/>
        <v>0</v>
      </c>
      <c r="AJ28" s="24"/>
      <c r="AK28" s="23"/>
      <c r="AL28" s="22">
        <f t="shared" si="45"/>
        <v>0</v>
      </c>
      <c r="AM28" s="24">
        <f t="shared" si="31"/>
        <v>0</v>
      </c>
      <c r="AN28" s="23">
        <f t="shared" si="31"/>
        <v>0</v>
      </c>
      <c r="AO28" s="22">
        <f t="shared" si="46"/>
        <v>0</v>
      </c>
      <c r="AP28" s="24"/>
      <c r="AQ28" s="23"/>
      <c r="AR28" s="22">
        <f t="shared" si="47"/>
        <v>0</v>
      </c>
      <c r="AS28" s="24"/>
      <c r="AT28" s="23"/>
      <c r="AU28" s="22">
        <f t="shared" si="48"/>
        <v>0</v>
      </c>
      <c r="AV28" s="24"/>
      <c r="AW28" s="23"/>
      <c r="AX28" s="22">
        <f t="shared" si="49"/>
        <v>0</v>
      </c>
      <c r="AY28" s="23">
        <f t="shared" si="32"/>
        <v>0</v>
      </c>
      <c r="AZ28" s="23">
        <f t="shared" si="32"/>
        <v>0</v>
      </c>
      <c r="BA28" s="22">
        <f t="shared" si="50"/>
        <v>0</v>
      </c>
      <c r="BB28" s="24">
        <f t="shared" si="33"/>
        <v>0</v>
      </c>
      <c r="BC28" s="23">
        <f t="shared" si="33"/>
        <v>0</v>
      </c>
      <c r="BD28" s="22">
        <f t="shared" si="51"/>
        <v>0</v>
      </c>
      <c r="BE28" s="24"/>
      <c r="BF28" s="24"/>
      <c r="BG28" s="20">
        <f t="shared" si="34"/>
        <v>0</v>
      </c>
    </row>
    <row r="29" spans="1:59" ht="13.5" hidden="1" customHeight="1" outlineLevel="1" x14ac:dyDescent="0.25">
      <c r="A29" s="100"/>
      <c r="B29" s="84" t="s">
        <v>52</v>
      </c>
      <c r="C29" s="83" t="s">
        <v>32</v>
      </c>
      <c r="D29" s="20"/>
      <c r="E29" s="20"/>
      <c r="F29" s="24"/>
      <c r="G29" s="23"/>
      <c r="H29" s="22">
        <f t="shared" si="35"/>
        <v>0</v>
      </c>
      <c r="I29" s="24"/>
      <c r="J29" s="23"/>
      <c r="K29" s="22">
        <f t="shared" si="36"/>
        <v>0</v>
      </c>
      <c r="L29" s="24"/>
      <c r="M29" s="23"/>
      <c r="N29" s="22">
        <f t="shared" si="37"/>
        <v>0</v>
      </c>
      <c r="O29" s="24">
        <f t="shared" si="29"/>
        <v>0</v>
      </c>
      <c r="P29" s="23">
        <f t="shared" si="29"/>
        <v>0</v>
      </c>
      <c r="Q29" s="22">
        <f t="shared" si="38"/>
        <v>0</v>
      </c>
      <c r="R29" s="24"/>
      <c r="S29" s="23"/>
      <c r="T29" s="22">
        <f t="shared" si="39"/>
        <v>0</v>
      </c>
      <c r="U29" s="24"/>
      <c r="V29" s="23"/>
      <c r="W29" s="22">
        <f t="shared" si="40"/>
        <v>0</v>
      </c>
      <c r="X29" s="24"/>
      <c r="Y29" s="23"/>
      <c r="Z29" s="22">
        <f t="shared" si="41"/>
        <v>0</v>
      </c>
      <c r="AA29" s="24">
        <f t="shared" si="30"/>
        <v>0</v>
      </c>
      <c r="AB29" s="23">
        <f t="shared" si="30"/>
        <v>0</v>
      </c>
      <c r="AC29" s="22">
        <f t="shared" si="42"/>
        <v>0</v>
      </c>
      <c r="AD29" s="24"/>
      <c r="AE29" s="23"/>
      <c r="AF29" s="22">
        <f t="shared" si="43"/>
        <v>0</v>
      </c>
      <c r="AG29" s="24"/>
      <c r="AH29" s="23"/>
      <c r="AI29" s="22">
        <f t="shared" si="44"/>
        <v>0</v>
      </c>
      <c r="AJ29" s="24"/>
      <c r="AK29" s="23"/>
      <c r="AL29" s="22">
        <f t="shared" si="45"/>
        <v>0</v>
      </c>
      <c r="AM29" s="24">
        <f t="shared" si="31"/>
        <v>0</v>
      </c>
      <c r="AN29" s="23">
        <f t="shared" si="31"/>
        <v>0</v>
      </c>
      <c r="AO29" s="22">
        <f t="shared" si="46"/>
        <v>0</v>
      </c>
      <c r="AP29" s="24"/>
      <c r="AQ29" s="23"/>
      <c r="AR29" s="22">
        <f t="shared" si="47"/>
        <v>0</v>
      </c>
      <c r="AS29" s="24"/>
      <c r="AT29" s="23"/>
      <c r="AU29" s="22">
        <f t="shared" si="48"/>
        <v>0</v>
      </c>
      <c r="AV29" s="24"/>
      <c r="AW29" s="23"/>
      <c r="AX29" s="22">
        <f t="shared" si="49"/>
        <v>0</v>
      </c>
      <c r="AY29" s="23">
        <f t="shared" si="32"/>
        <v>0</v>
      </c>
      <c r="AZ29" s="23">
        <f t="shared" si="32"/>
        <v>0</v>
      </c>
      <c r="BA29" s="22">
        <f t="shared" si="50"/>
        <v>0</v>
      </c>
      <c r="BB29" s="24">
        <f t="shared" si="33"/>
        <v>0</v>
      </c>
      <c r="BC29" s="23">
        <f t="shared" si="33"/>
        <v>0</v>
      </c>
      <c r="BD29" s="22">
        <f t="shared" si="51"/>
        <v>0</v>
      </c>
      <c r="BE29" s="24"/>
      <c r="BF29" s="24"/>
      <c r="BG29" s="20">
        <f t="shared" si="34"/>
        <v>0</v>
      </c>
    </row>
    <row r="30" spans="1:59" ht="13.5" hidden="1" customHeight="1" outlineLevel="1" x14ac:dyDescent="0.25">
      <c r="A30" s="100"/>
      <c r="B30" s="84" t="s">
        <v>53</v>
      </c>
      <c r="C30" s="83" t="s">
        <v>32</v>
      </c>
      <c r="D30" s="20"/>
      <c r="E30" s="20"/>
      <c r="F30" s="24"/>
      <c r="G30" s="23"/>
      <c r="H30" s="22">
        <f t="shared" si="35"/>
        <v>0</v>
      </c>
      <c r="I30" s="24"/>
      <c r="J30" s="23"/>
      <c r="K30" s="22">
        <f t="shared" si="36"/>
        <v>0</v>
      </c>
      <c r="L30" s="24"/>
      <c r="M30" s="23"/>
      <c r="N30" s="22">
        <f t="shared" si="37"/>
        <v>0</v>
      </c>
      <c r="O30" s="24">
        <f t="shared" si="29"/>
        <v>0</v>
      </c>
      <c r="P30" s="23">
        <f t="shared" si="29"/>
        <v>0</v>
      </c>
      <c r="Q30" s="22">
        <f t="shared" si="38"/>
        <v>0</v>
      </c>
      <c r="R30" s="24"/>
      <c r="S30" s="23"/>
      <c r="T30" s="22">
        <f t="shared" si="39"/>
        <v>0</v>
      </c>
      <c r="U30" s="24"/>
      <c r="V30" s="23"/>
      <c r="W30" s="22">
        <f t="shared" si="40"/>
        <v>0</v>
      </c>
      <c r="X30" s="24"/>
      <c r="Y30" s="23"/>
      <c r="Z30" s="22">
        <f t="shared" si="41"/>
        <v>0</v>
      </c>
      <c r="AA30" s="24">
        <f t="shared" si="30"/>
        <v>0</v>
      </c>
      <c r="AB30" s="23">
        <f t="shared" si="30"/>
        <v>0</v>
      </c>
      <c r="AC30" s="22">
        <f t="shared" si="42"/>
        <v>0</v>
      </c>
      <c r="AD30" s="24"/>
      <c r="AE30" s="23"/>
      <c r="AF30" s="22">
        <f t="shared" si="43"/>
        <v>0</v>
      </c>
      <c r="AG30" s="24"/>
      <c r="AH30" s="23"/>
      <c r="AI30" s="22">
        <f t="shared" si="44"/>
        <v>0</v>
      </c>
      <c r="AJ30" s="24"/>
      <c r="AK30" s="23"/>
      <c r="AL30" s="22">
        <f t="shared" si="45"/>
        <v>0</v>
      </c>
      <c r="AM30" s="24">
        <f t="shared" si="31"/>
        <v>0</v>
      </c>
      <c r="AN30" s="23">
        <f t="shared" si="31"/>
        <v>0</v>
      </c>
      <c r="AO30" s="22">
        <f t="shared" si="46"/>
        <v>0</v>
      </c>
      <c r="AP30" s="24"/>
      <c r="AQ30" s="23"/>
      <c r="AR30" s="22">
        <f t="shared" si="47"/>
        <v>0</v>
      </c>
      <c r="AS30" s="24"/>
      <c r="AT30" s="23"/>
      <c r="AU30" s="22">
        <f t="shared" si="48"/>
        <v>0</v>
      </c>
      <c r="AV30" s="24"/>
      <c r="AW30" s="23"/>
      <c r="AX30" s="22">
        <f t="shared" si="49"/>
        <v>0</v>
      </c>
      <c r="AY30" s="23">
        <f t="shared" si="32"/>
        <v>0</v>
      </c>
      <c r="AZ30" s="23">
        <f t="shared" si="32"/>
        <v>0</v>
      </c>
      <c r="BA30" s="22">
        <f t="shared" si="50"/>
        <v>0</v>
      </c>
      <c r="BB30" s="24">
        <f t="shared" si="33"/>
        <v>0</v>
      </c>
      <c r="BC30" s="23">
        <f t="shared" si="33"/>
        <v>0</v>
      </c>
      <c r="BD30" s="22">
        <f t="shared" si="51"/>
        <v>0</v>
      </c>
      <c r="BE30" s="24"/>
      <c r="BF30" s="24"/>
      <c r="BG30" s="20">
        <f t="shared" si="34"/>
        <v>0</v>
      </c>
    </row>
    <row r="31" spans="1:59" ht="13.5" hidden="1" customHeight="1" outlineLevel="1" x14ac:dyDescent="0.25">
      <c r="A31" s="100"/>
      <c r="B31" s="84" t="s">
        <v>54</v>
      </c>
      <c r="C31" s="83" t="s">
        <v>32</v>
      </c>
      <c r="D31" s="20"/>
      <c r="E31" s="20"/>
      <c r="F31" s="24"/>
      <c r="G31" s="23"/>
      <c r="H31" s="22">
        <f t="shared" si="35"/>
        <v>0</v>
      </c>
      <c r="I31" s="24"/>
      <c r="J31" s="23"/>
      <c r="K31" s="22">
        <f t="shared" si="36"/>
        <v>0</v>
      </c>
      <c r="L31" s="24"/>
      <c r="M31" s="23"/>
      <c r="N31" s="22">
        <f t="shared" si="37"/>
        <v>0</v>
      </c>
      <c r="O31" s="24">
        <f t="shared" si="29"/>
        <v>0</v>
      </c>
      <c r="P31" s="23">
        <f t="shared" si="29"/>
        <v>0</v>
      </c>
      <c r="Q31" s="22">
        <f t="shared" si="38"/>
        <v>0</v>
      </c>
      <c r="R31" s="24"/>
      <c r="S31" s="23"/>
      <c r="T31" s="22">
        <f t="shared" si="39"/>
        <v>0</v>
      </c>
      <c r="U31" s="24"/>
      <c r="V31" s="23"/>
      <c r="W31" s="22">
        <f t="shared" si="40"/>
        <v>0</v>
      </c>
      <c r="X31" s="24"/>
      <c r="Y31" s="23"/>
      <c r="Z31" s="22">
        <f t="shared" si="41"/>
        <v>0</v>
      </c>
      <c r="AA31" s="24">
        <f t="shared" si="30"/>
        <v>0</v>
      </c>
      <c r="AB31" s="23">
        <f t="shared" si="30"/>
        <v>0</v>
      </c>
      <c r="AC31" s="22">
        <f t="shared" si="42"/>
        <v>0</v>
      </c>
      <c r="AD31" s="24"/>
      <c r="AE31" s="23"/>
      <c r="AF31" s="22">
        <f t="shared" si="43"/>
        <v>0</v>
      </c>
      <c r="AG31" s="24"/>
      <c r="AH31" s="23"/>
      <c r="AI31" s="22">
        <f t="shared" si="44"/>
        <v>0</v>
      </c>
      <c r="AJ31" s="24"/>
      <c r="AK31" s="23"/>
      <c r="AL31" s="22">
        <f t="shared" si="45"/>
        <v>0</v>
      </c>
      <c r="AM31" s="24">
        <f t="shared" si="31"/>
        <v>0</v>
      </c>
      <c r="AN31" s="23">
        <f t="shared" si="31"/>
        <v>0</v>
      </c>
      <c r="AO31" s="22">
        <f t="shared" si="46"/>
        <v>0</v>
      </c>
      <c r="AP31" s="24"/>
      <c r="AQ31" s="23"/>
      <c r="AR31" s="22">
        <f t="shared" si="47"/>
        <v>0</v>
      </c>
      <c r="AS31" s="24"/>
      <c r="AT31" s="23"/>
      <c r="AU31" s="22">
        <f t="shared" si="48"/>
        <v>0</v>
      </c>
      <c r="AV31" s="24"/>
      <c r="AW31" s="23"/>
      <c r="AX31" s="22">
        <f t="shared" si="49"/>
        <v>0</v>
      </c>
      <c r="AY31" s="23">
        <f t="shared" si="32"/>
        <v>0</v>
      </c>
      <c r="AZ31" s="23">
        <f t="shared" si="32"/>
        <v>0</v>
      </c>
      <c r="BA31" s="22">
        <f t="shared" si="50"/>
        <v>0</v>
      </c>
      <c r="BB31" s="24">
        <f t="shared" si="33"/>
        <v>0</v>
      </c>
      <c r="BC31" s="23">
        <f t="shared" si="33"/>
        <v>0</v>
      </c>
      <c r="BD31" s="22">
        <f t="shared" si="51"/>
        <v>0</v>
      </c>
      <c r="BE31" s="24"/>
      <c r="BF31" s="24"/>
      <c r="BG31" s="20">
        <f t="shared" si="34"/>
        <v>0</v>
      </c>
    </row>
    <row r="32" spans="1:59" ht="13.5" hidden="1" customHeight="1" outlineLevel="1" x14ac:dyDescent="0.25">
      <c r="A32" s="100"/>
      <c r="B32" s="84" t="s">
        <v>55</v>
      </c>
      <c r="C32" s="83" t="s">
        <v>32</v>
      </c>
      <c r="D32" s="20"/>
      <c r="E32" s="20"/>
      <c r="F32" s="24"/>
      <c r="G32" s="23"/>
      <c r="H32" s="22">
        <f t="shared" si="35"/>
        <v>0</v>
      </c>
      <c r="I32" s="24"/>
      <c r="J32" s="23"/>
      <c r="K32" s="22">
        <f t="shared" si="36"/>
        <v>0</v>
      </c>
      <c r="L32" s="24"/>
      <c r="M32" s="23"/>
      <c r="N32" s="22">
        <f t="shared" si="37"/>
        <v>0</v>
      </c>
      <c r="O32" s="24">
        <f t="shared" si="29"/>
        <v>0</v>
      </c>
      <c r="P32" s="23">
        <f t="shared" si="29"/>
        <v>0</v>
      </c>
      <c r="Q32" s="22">
        <f t="shared" si="38"/>
        <v>0</v>
      </c>
      <c r="R32" s="24"/>
      <c r="S32" s="23"/>
      <c r="T32" s="22">
        <f t="shared" si="39"/>
        <v>0</v>
      </c>
      <c r="U32" s="24"/>
      <c r="V32" s="23"/>
      <c r="W32" s="22">
        <f t="shared" si="40"/>
        <v>0</v>
      </c>
      <c r="X32" s="24"/>
      <c r="Y32" s="23"/>
      <c r="Z32" s="22">
        <f t="shared" si="41"/>
        <v>0</v>
      </c>
      <c r="AA32" s="24">
        <f t="shared" si="30"/>
        <v>0</v>
      </c>
      <c r="AB32" s="23">
        <f t="shared" si="30"/>
        <v>0</v>
      </c>
      <c r="AC32" s="22">
        <f t="shared" si="42"/>
        <v>0</v>
      </c>
      <c r="AD32" s="24"/>
      <c r="AE32" s="23"/>
      <c r="AF32" s="22">
        <f t="shared" si="43"/>
        <v>0</v>
      </c>
      <c r="AG32" s="24"/>
      <c r="AH32" s="23"/>
      <c r="AI32" s="22">
        <f t="shared" si="44"/>
        <v>0</v>
      </c>
      <c r="AJ32" s="24"/>
      <c r="AK32" s="23"/>
      <c r="AL32" s="22">
        <f t="shared" si="45"/>
        <v>0</v>
      </c>
      <c r="AM32" s="24">
        <f t="shared" si="31"/>
        <v>0</v>
      </c>
      <c r="AN32" s="23">
        <f t="shared" si="31"/>
        <v>0</v>
      </c>
      <c r="AO32" s="22">
        <f t="shared" si="46"/>
        <v>0</v>
      </c>
      <c r="AP32" s="24"/>
      <c r="AQ32" s="23"/>
      <c r="AR32" s="22">
        <f t="shared" si="47"/>
        <v>0</v>
      </c>
      <c r="AS32" s="24"/>
      <c r="AT32" s="23"/>
      <c r="AU32" s="22">
        <f t="shared" si="48"/>
        <v>0</v>
      </c>
      <c r="AV32" s="24"/>
      <c r="AW32" s="23"/>
      <c r="AX32" s="22">
        <f t="shared" si="49"/>
        <v>0</v>
      </c>
      <c r="AY32" s="23">
        <f t="shared" si="32"/>
        <v>0</v>
      </c>
      <c r="AZ32" s="23">
        <f t="shared" si="32"/>
        <v>0</v>
      </c>
      <c r="BA32" s="22">
        <f t="shared" si="50"/>
        <v>0</v>
      </c>
      <c r="BB32" s="24">
        <f t="shared" si="33"/>
        <v>0</v>
      </c>
      <c r="BC32" s="23">
        <f t="shared" si="33"/>
        <v>0</v>
      </c>
      <c r="BD32" s="22">
        <f t="shared" si="51"/>
        <v>0</v>
      </c>
      <c r="BE32" s="24"/>
      <c r="BF32" s="24"/>
      <c r="BG32" s="20">
        <f t="shared" si="34"/>
        <v>0</v>
      </c>
    </row>
    <row r="33" spans="1:59" ht="13.5" hidden="1" customHeight="1" outlineLevel="1" x14ac:dyDescent="0.25">
      <c r="A33" s="100"/>
      <c r="B33" s="99" t="s">
        <v>56</v>
      </c>
      <c r="C33" s="83" t="s">
        <v>32</v>
      </c>
      <c r="D33" s="20"/>
      <c r="E33" s="20"/>
      <c r="F33" s="24"/>
      <c r="G33" s="23"/>
      <c r="H33" s="22">
        <f t="shared" si="35"/>
        <v>0</v>
      </c>
      <c r="I33" s="24"/>
      <c r="J33" s="23"/>
      <c r="K33" s="22">
        <f t="shared" si="36"/>
        <v>0</v>
      </c>
      <c r="L33" s="24"/>
      <c r="M33" s="23"/>
      <c r="N33" s="22">
        <f t="shared" si="37"/>
        <v>0</v>
      </c>
      <c r="O33" s="24">
        <f t="shared" si="29"/>
        <v>0</v>
      </c>
      <c r="P33" s="23">
        <f t="shared" si="29"/>
        <v>0</v>
      </c>
      <c r="Q33" s="22">
        <f t="shared" si="38"/>
        <v>0</v>
      </c>
      <c r="R33" s="24"/>
      <c r="S33" s="23"/>
      <c r="T33" s="22">
        <f t="shared" si="39"/>
        <v>0</v>
      </c>
      <c r="U33" s="24"/>
      <c r="V33" s="23"/>
      <c r="W33" s="22">
        <f t="shared" si="40"/>
        <v>0</v>
      </c>
      <c r="X33" s="24"/>
      <c r="Y33" s="23"/>
      <c r="Z33" s="22">
        <f t="shared" si="41"/>
        <v>0</v>
      </c>
      <c r="AA33" s="24">
        <f t="shared" si="30"/>
        <v>0</v>
      </c>
      <c r="AB33" s="23">
        <f t="shared" si="30"/>
        <v>0</v>
      </c>
      <c r="AC33" s="22">
        <f t="shared" si="42"/>
        <v>0</v>
      </c>
      <c r="AD33" s="24"/>
      <c r="AE33" s="23"/>
      <c r="AF33" s="22">
        <f t="shared" si="43"/>
        <v>0</v>
      </c>
      <c r="AG33" s="24"/>
      <c r="AH33" s="23"/>
      <c r="AI33" s="22">
        <f t="shared" si="44"/>
        <v>0</v>
      </c>
      <c r="AJ33" s="24"/>
      <c r="AK33" s="23"/>
      <c r="AL33" s="22">
        <f t="shared" si="45"/>
        <v>0</v>
      </c>
      <c r="AM33" s="24">
        <f t="shared" si="31"/>
        <v>0</v>
      </c>
      <c r="AN33" s="23">
        <f t="shared" si="31"/>
        <v>0</v>
      </c>
      <c r="AO33" s="22">
        <f t="shared" si="46"/>
        <v>0</v>
      </c>
      <c r="AP33" s="24"/>
      <c r="AQ33" s="23"/>
      <c r="AR33" s="22">
        <f t="shared" si="47"/>
        <v>0</v>
      </c>
      <c r="AS33" s="24"/>
      <c r="AT33" s="23"/>
      <c r="AU33" s="22">
        <f t="shared" si="48"/>
        <v>0</v>
      </c>
      <c r="AV33" s="24"/>
      <c r="AW33" s="23"/>
      <c r="AX33" s="22">
        <f t="shared" si="49"/>
        <v>0</v>
      </c>
      <c r="AY33" s="23">
        <f t="shared" si="32"/>
        <v>0</v>
      </c>
      <c r="AZ33" s="23">
        <f t="shared" si="32"/>
        <v>0</v>
      </c>
      <c r="BA33" s="22">
        <f t="shared" si="50"/>
        <v>0</v>
      </c>
      <c r="BB33" s="24">
        <f t="shared" si="33"/>
        <v>0</v>
      </c>
      <c r="BC33" s="23">
        <f t="shared" si="33"/>
        <v>0</v>
      </c>
      <c r="BD33" s="22">
        <f t="shared" si="51"/>
        <v>0</v>
      </c>
      <c r="BE33" s="24"/>
      <c r="BF33" s="24"/>
      <c r="BG33" s="20">
        <f t="shared" si="34"/>
        <v>0</v>
      </c>
    </row>
    <row r="34" spans="1:59" ht="13.5" hidden="1" customHeight="1" outlineLevel="1" x14ac:dyDescent="0.25">
      <c r="A34" s="100"/>
      <c r="B34" s="84" t="s">
        <v>57</v>
      </c>
      <c r="C34" s="83" t="s">
        <v>32</v>
      </c>
      <c r="D34" s="20"/>
      <c r="E34" s="20"/>
      <c r="F34" s="24"/>
      <c r="G34" s="23"/>
      <c r="H34" s="22">
        <f t="shared" si="35"/>
        <v>0</v>
      </c>
      <c r="I34" s="24"/>
      <c r="J34" s="23"/>
      <c r="K34" s="22">
        <f t="shared" si="36"/>
        <v>0</v>
      </c>
      <c r="L34" s="24"/>
      <c r="M34" s="23"/>
      <c r="N34" s="22">
        <f t="shared" si="37"/>
        <v>0</v>
      </c>
      <c r="O34" s="24">
        <f t="shared" si="29"/>
        <v>0</v>
      </c>
      <c r="P34" s="23">
        <f t="shared" si="29"/>
        <v>0</v>
      </c>
      <c r="Q34" s="22">
        <f t="shared" si="38"/>
        <v>0</v>
      </c>
      <c r="R34" s="24"/>
      <c r="S34" s="23"/>
      <c r="T34" s="22">
        <f t="shared" si="39"/>
        <v>0</v>
      </c>
      <c r="U34" s="24"/>
      <c r="V34" s="23"/>
      <c r="W34" s="22">
        <f t="shared" si="40"/>
        <v>0</v>
      </c>
      <c r="X34" s="24"/>
      <c r="Y34" s="23"/>
      <c r="Z34" s="22">
        <f t="shared" si="41"/>
        <v>0</v>
      </c>
      <c r="AA34" s="24">
        <f t="shared" si="30"/>
        <v>0</v>
      </c>
      <c r="AB34" s="23">
        <f t="shared" si="30"/>
        <v>0</v>
      </c>
      <c r="AC34" s="22">
        <f t="shared" si="42"/>
        <v>0</v>
      </c>
      <c r="AD34" s="24"/>
      <c r="AE34" s="23"/>
      <c r="AF34" s="22">
        <f t="shared" si="43"/>
        <v>0</v>
      </c>
      <c r="AG34" s="24"/>
      <c r="AH34" s="23"/>
      <c r="AI34" s="22">
        <f t="shared" si="44"/>
        <v>0</v>
      </c>
      <c r="AJ34" s="24"/>
      <c r="AK34" s="23"/>
      <c r="AL34" s="22">
        <f t="shared" si="45"/>
        <v>0</v>
      </c>
      <c r="AM34" s="24">
        <f t="shared" si="31"/>
        <v>0</v>
      </c>
      <c r="AN34" s="23">
        <f t="shared" si="31"/>
        <v>0</v>
      </c>
      <c r="AO34" s="22">
        <f t="shared" si="46"/>
        <v>0</v>
      </c>
      <c r="AP34" s="24"/>
      <c r="AQ34" s="23"/>
      <c r="AR34" s="22">
        <f t="shared" si="47"/>
        <v>0</v>
      </c>
      <c r="AS34" s="24"/>
      <c r="AT34" s="23"/>
      <c r="AU34" s="22">
        <f t="shared" si="48"/>
        <v>0</v>
      </c>
      <c r="AV34" s="24"/>
      <c r="AW34" s="23"/>
      <c r="AX34" s="22">
        <f t="shared" si="49"/>
        <v>0</v>
      </c>
      <c r="AY34" s="23">
        <f t="shared" si="32"/>
        <v>0</v>
      </c>
      <c r="AZ34" s="23">
        <f t="shared" si="32"/>
        <v>0</v>
      </c>
      <c r="BA34" s="22">
        <f t="shared" si="50"/>
        <v>0</v>
      </c>
      <c r="BB34" s="24">
        <f t="shared" si="33"/>
        <v>0</v>
      </c>
      <c r="BC34" s="23">
        <f t="shared" si="33"/>
        <v>0</v>
      </c>
      <c r="BD34" s="22">
        <f t="shared" si="51"/>
        <v>0</v>
      </c>
      <c r="BE34" s="24"/>
      <c r="BF34" s="24"/>
      <c r="BG34" s="20">
        <f t="shared" si="34"/>
        <v>0</v>
      </c>
    </row>
    <row r="35" spans="1:59" ht="13.5" hidden="1" customHeight="1" outlineLevel="1" x14ac:dyDescent="0.25">
      <c r="A35" s="98"/>
      <c r="B35" s="99" t="s">
        <v>58</v>
      </c>
      <c r="C35" s="97" t="s">
        <v>32</v>
      </c>
      <c r="D35" s="157"/>
      <c r="E35" s="157"/>
      <c r="F35" s="115"/>
      <c r="G35" s="107"/>
      <c r="H35" s="108">
        <f t="shared" si="35"/>
        <v>0</v>
      </c>
      <c r="I35" s="115"/>
      <c r="J35" s="107"/>
      <c r="K35" s="108">
        <f t="shared" si="36"/>
        <v>0</v>
      </c>
      <c r="L35" s="115"/>
      <c r="M35" s="107"/>
      <c r="N35" s="108">
        <f t="shared" si="37"/>
        <v>0</v>
      </c>
      <c r="O35" s="115">
        <f t="shared" si="29"/>
        <v>0</v>
      </c>
      <c r="P35" s="107">
        <f t="shared" si="29"/>
        <v>0</v>
      </c>
      <c r="Q35" s="108">
        <f t="shared" si="38"/>
        <v>0</v>
      </c>
      <c r="R35" s="115"/>
      <c r="S35" s="107"/>
      <c r="T35" s="108">
        <f t="shared" si="39"/>
        <v>0</v>
      </c>
      <c r="U35" s="115"/>
      <c r="V35" s="107"/>
      <c r="W35" s="108">
        <f t="shared" si="40"/>
        <v>0</v>
      </c>
      <c r="X35" s="115"/>
      <c r="Y35" s="107"/>
      <c r="Z35" s="108">
        <f t="shared" si="41"/>
        <v>0</v>
      </c>
      <c r="AA35" s="115">
        <f t="shared" si="30"/>
        <v>0</v>
      </c>
      <c r="AB35" s="107">
        <f t="shared" si="30"/>
        <v>0</v>
      </c>
      <c r="AC35" s="108">
        <f t="shared" si="42"/>
        <v>0</v>
      </c>
      <c r="AD35" s="115"/>
      <c r="AE35" s="107"/>
      <c r="AF35" s="108">
        <f t="shared" si="43"/>
        <v>0</v>
      </c>
      <c r="AG35" s="115"/>
      <c r="AH35" s="107"/>
      <c r="AI35" s="108">
        <f t="shared" si="44"/>
        <v>0</v>
      </c>
      <c r="AJ35" s="115"/>
      <c r="AK35" s="107"/>
      <c r="AL35" s="108">
        <f t="shared" si="45"/>
        <v>0</v>
      </c>
      <c r="AM35" s="115">
        <f t="shared" si="31"/>
        <v>0</v>
      </c>
      <c r="AN35" s="107">
        <f t="shared" si="31"/>
        <v>0</v>
      </c>
      <c r="AO35" s="108">
        <f t="shared" si="46"/>
        <v>0</v>
      </c>
      <c r="AP35" s="115"/>
      <c r="AQ35" s="107"/>
      <c r="AR35" s="108">
        <f t="shared" si="47"/>
        <v>0</v>
      </c>
      <c r="AS35" s="115"/>
      <c r="AT35" s="107"/>
      <c r="AU35" s="108">
        <f t="shared" si="48"/>
        <v>0</v>
      </c>
      <c r="AV35" s="115"/>
      <c r="AW35" s="107"/>
      <c r="AX35" s="108">
        <f t="shared" si="49"/>
        <v>0</v>
      </c>
      <c r="AY35" s="107">
        <f t="shared" si="32"/>
        <v>0</v>
      </c>
      <c r="AZ35" s="107">
        <f t="shared" si="32"/>
        <v>0</v>
      </c>
      <c r="BA35" s="108">
        <f t="shared" si="50"/>
        <v>0</v>
      </c>
      <c r="BB35" s="115">
        <f t="shared" si="33"/>
        <v>0</v>
      </c>
      <c r="BC35" s="107">
        <f t="shared" si="33"/>
        <v>0</v>
      </c>
      <c r="BD35" s="108">
        <f t="shared" si="51"/>
        <v>0</v>
      </c>
      <c r="BE35" s="115"/>
      <c r="BF35" s="115"/>
      <c r="BG35" s="20">
        <f t="shared" si="34"/>
        <v>0</v>
      </c>
    </row>
    <row r="36" spans="1:59" ht="13.5" hidden="1" customHeight="1" outlineLevel="1" x14ac:dyDescent="0.25">
      <c r="A36" s="98"/>
      <c r="B36" s="84" t="s">
        <v>59</v>
      </c>
      <c r="C36" s="97" t="s">
        <v>32</v>
      </c>
      <c r="D36" s="157"/>
      <c r="E36" s="157"/>
      <c r="F36" s="115"/>
      <c r="G36" s="107"/>
      <c r="H36" s="108">
        <f t="shared" si="35"/>
        <v>0</v>
      </c>
      <c r="I36" s="115"/>
      <c r="J36" s="107"/>
      <c r="K36" s="108">
        <f t="shared" si="36"/>
        <v>0</v>
      </c>
      <c r="L36" s="115"/>
      <c r="M36" s="107"/>
      <c r="N36" s="108">
        <f t="shared" si="37"/>
        <v>0</v>
      </c>
      <c r="O36" s="115">
        <f t="shared" si="29"/>
        <v>0</v>
      </c>
      <c r="P36" s="107">
        <f t="shared" si="29"/>
        <v>0</v>
      </c>
      <c r="Q36" s="108">
        <f t="shared" si="38"/>
        <v>0</v>
      </c>
      <c r="R36" s="115"/>
      <c r="S36" s="107"/>
      <c r="T36" s="108">
        <f t="shared" si="39"/>
        <v>0</v>
      </c>
      <c r="U36" s="115"/>
      <c r="V36" s="107"/>
      <c r="W36" s="108">
        <f t="shared" si="40"/>
        <v>0</v>
      </c>
      <c r="X36" s="115"/>
      <c r="Y36" s="107"/>
      <c r="Z36" s="108">
        <f t="shared" si="41"/>
        <v>0</v>
      </c>
      <c r="AA36" s="115">
        <f t="shared" si="30"/>
        <v>0</v>
      </c>
      <c r="AB36" s="107">
        <f t="shared" si="30"/>
        <v>0</v>
      </c>
      <c r="AC36" s="108">
        <f t="shared" si="42"/>
        <v>0</v>
      </c>
      <c r="AD36" s="115"/>
      <c r="AE36" s="107"/>
      <c r="AF36" s="108">
        <f t="shared" si="43"/>
        <v>0</v>
      </c>
      <c r="AG36" s="115"/>
      <c r="AH36" s="107"/>
      <c r="AI36" s="108">
        <f t="shared" si="44"/>
        <v>0</v>
      </c>
      <c r="AJ36" s="115"/>
      <c r="AK36" s="107"/>
      <c r="AL36" s="108">
        <f t="shared" si="45"/>
        <v>0</v>
      </c>
      <c r="AM36" s="115">
        <f t="shared" si="31"/>
        <v>0</v>
      </c>
      <c r="AN36" s="107">
        <f t="shared" si="31"/>
        <v>0</v>
      </c>
      <c r="AO36" s="108">
        <f t="shared" si="46"/>
        <v>0</v>
      </c>
      <c r="AP36" s="115"/>
      <c r="AQ36" s="107"/>
      <c r="AR36" s="108">
        <f t="shared" si="47"/>
        <v>0</v>
      </c>
      <c r="AS36" s="115"/>
      <c r="AT36" s="107"/>
      <c r="AU36" s="108">
        <f t="shared" si="48"/>
        <v>0</v>
      </c>
      <c r="AV36" s="115"/>
      <c r="AW36" s="107"/>
      <c r="AX36" s="108">
        <f t="shared" si="49"/>
        <v>0</v>
      </c>
      <c r="AY36" s="107">
        <f t="shared" si="32"/>
        <v>0</v>
      </c>
      <c r="AZ36" s="107">
        <f t="shared" si="32"/>
        <v>0</v>
      </c>
      <c r="BA36" s="108">
        <f t="shared" si="50"/>
        <v>0</v>
      </c>
      <c r="BB36" s="115">
        <f t="shared" si="33"/>
        <v>0</v>
      </c>
      <c r="BC36" s="107">
        <f t="shared" si="33"/>
        <v>0</v>
      </c>
      <c r="BD36" s="108">
        <f t="shared" si="51"/>
        <v>0</v>
      </c>
      <c r="BE36" s="115"/>
      <c r="BF36" s="115"/>
      <c r="BG36" s="20">
        <f t="shared" si="34"/>
        <v>0</v>
      </c>
    </row>
    <row r="37" spans="1:59" ht="13.5" hidden="1" customHeight="1" outlineLevel="1" x14ac:dyDescent="0.25">
      <c r="A37" s="98"/>
      <c r="B37" s="99" t="s">
        <v>60</v>
      </c>
      <c r="C37" s="97" t="s">
        <v>32</v>
      </c>
      <c r="D37" s="157"/>
      <c r="E37" s="157"/>
      <c r="F37" s="115"/>
      <c r="G37" s="107"/>
      <c r="H37" s="108">
        <f t="shared" si="35"/>
        <v>0</v>
      </c>
      <c r="I37" s="115"/>
      <c r="J37" s="107"/>
      <c r="K37" s="108">
        <f t="shared" si="36"/>
        <v>0</v>
      </c>
      <c r="L37" s="115"/>
      <c r="M37" s="107"/>
      <c r="N37" s="108">
        <f t="shared" si="37"/>
        <v>0</v>
      </c>
      <c r="O37" s="115">
        <f>SUM(F37,I37,L37)</f>
        <v>0</v>
      </c>
      <c r="P37" s="107">
        <f>SUM(G37,J37,M37)</f>
        <v>0</v>
      </c>
      <c r="Q37" s="108">
        <f t="shared" si="38"/>
        <v>0</v>
      </c>
      <c r="R37" s="115"/>
      <c r="S37" s="107"/>
      <c r="T37" s="108">
        <f t="shared" si="39"/>
        <v>0</v>
      </c>
      <c r="U37" s="115"/>
      <c r="V37" s="107"/>
      <c r="W37" s="108">
        <f t="shared" si="40"/>
        <v>0</v>
      </c>
      <c r="X37" s="115"/>
      <c r="Y37" s="107"/>
      <c r="Z37" s="108">
        <f t="shared" si="41"/>
        <v>0</v>
      </c>
      <c r="AA37" s="115">
        <f>SUM(R37,U37,X37)</f>
        <v>0</v>
      </c>
      <c r="AB37" s="107">
        <f>SUM(S37,V37,Y37)</f>
        <v>0</v>
      </c>
      <c r="AC37" s="108">
        <f t="shared" si="42"/>
        <v>0</v>
      </c>
      <c r="AD37" s="115"/>
      <c r="AE37" s="107"/>
      <c r="AF37" s="108">
        <f t="shared" si="43"/>
        <v>0</v>
      </c>
      <c r="AG37" s="115"/>
      <c r="AH37" s="107"/>
      <c r="AI37" s="108">
        <f t="shared" si="44"/>
        <v>0</v>
      </c>
      <c r="AJ37" s="115"/>
      <c r="AK37" s="107"/>
      <c r="AL37" s="108">
        <f t="shared" si="45"/>
        <v>0</v>
      </c>
      <c r="AM37" s="115">
        <f>SUM(AD37,AG37,AJ37)</f>
        <v>0</v>
      </c>
      <c r="AN37" s="107">
        <f>SUM(AE37,AH37,AK37)</f>
        <v>0</v>
      </c>
      <c r="AO37" s="108">
        <f t="shared" si="46"/>
        <v>0</v>
      </c>
      <c r="AP37" s="115"/>
      <c r="AQ37" s="107"/>
      <c r="AR37" s="108">
        <f t="shared" si="47"/>
        <v>0</v>
      </c>
      <c r="AS37" s="115"/>
      <c r="AT37" s="107"/>
      <c r="AU37" s="108">
        <f t="shared" si="48"/>
        <v>0</v>
      </c>
      <c r="AV37" s="115"/>
      <c r="AW37" s="107"/>
      <c r="AX37" s="108">
        <f t="shared" si="49"/>
        <v>0</v>
      </c>
      <c r="AY37" s="107">
        <f>SUM(AP37,AS37,AV37)</f>
        <v>0</v>
      </c>
      <c r="AZ37" s="107">
        <f>SUM(AQ37,AT37,AW37)</f>
        <v>0</v>
      </c>
      <c r="BA37" s="108">
        <f t="shared" si="50"/>
        <v>0</v>
      </c>
      <c r="BB37" s="115">
        <f>SUM(F37,I37,L37,R37,U37,X37,AD37,AG37,AJ37,AP37,AS37,AV37)</f>
        <v>0</v>
      </c>
      <c r="BC37" s="107">
        <f>SUM(G37,J37,M37,S37,V37,Y37,AE37,AH37,AK37,AQ37,AT37,AW37)</f>
        <v>0</v>
      </c>
      <c r="BD37" s="108">
        <f t="shared" si="51"/>
        <v>0</v>
      </c>
      <c r="BE37" s="115"/>
      <c r="BF37" s="115"/>
      <c r="BG37" s="20">
        <f t="shared" si="34"/>
        <v>0</v>
      </c>
    </row>
    <row r="38" spans="1:59" ht="13.5" hidden="1" customHeight="1" outlineLevel="1" x14ac:dyDescent="0.25">
      <c r="A38" s="98"/>
      <c r="B38" s="84" t="s">
        <v>61</v>
      </c>
      <c r="C38" s="97" t="s">
        <v>32</v>
      </c>
      <c r="D38" s="157"/>
      <c r="E38" s="157"/>
      <c r="F38" s="115"/>
      <c r="G38" s="107"/>
      <c r="H38" s="108">
        <f t="shared" si="35"/>
        <v>0</v>
      </c>
      <c r="I38" s="115"/>
      <c r="J38" s="107"/>
      <c r="K38" s="108">
        <f t="shared" si="36"/>
        <v>0</v>
      </c>
      <c r="L38" s="115"/>
      <c r="M38" s="107"/>
      <c r="N38" s="108">
        <f t="shared" si="37"/>
        <v>0</v>
      </c>
      <c r="O38" s="115">
        <f>SUM(F38,I38,L38)</f>
        <v>0</v>
      </c>
      <c r="P38" s="107">
        <f>SUM(G38,J38,M38)</f>
        <v>0</v>
      </c>
      <c r="Q38" s="108">
        <f t="shared" si="38"/>
        <v>0</v>
      </c>
      <c r="R38" s="115"/>
      <c r="S38" s="107"/>
      <c r="T38" s="108">
        <f t="shared" si="39"/>
        <v>0</v>
      </c>
      <c r="U38" s="115"/>
      <c r="V38" s="107"/>
      <c r="W38" s="108">
        <f t="shared" si="40"/>
        <v>0</v>
      </c>
      <c r="X38" s="115"/>
      <c r="Y38" s="107"/>
      <c r="Z38" s="108">
        <f t="shared" si="41"/>
        <v>0</v>
      </c>
      <c r="AA38" s="115">
        <f>SUM(R38,U38,X38)</f>
        <v>0</v>
      </c>
      <c r="AB38" s="107">
        <f>SUM(S38,V38,Y38)</f>
        <v>0</v>
      </c>
      <c r="AC38" s="108">
        <f t="shared" si="42"/>
        <v>0</v>
      </c>
      <c r="AD38" s="115"/>
      <c r="AE38" s="107"/>
      <c r="AF38" s="108">
        <f t="shared" si="43"/>
        <v>0</v>
      </c>
      <c r="AG38" s="115"/>
      <c r="AH38" s="107"/>
      <c r="AI38" s="108">
        <f t="shared" si="44"/>
        <v>0</v>
      </c>
      <c r="AJ38" s="115"/>
      <c r="AK38" s="107"/>
      <c r="AL38" s="108">
        <f t="shared" si="45"/>
        <v>0</v>
      </c>
      <c r="AM38" s="115">
        <f>SUM(AD38,AG38,AJ38)</f>
        <v>0</v>
      </c>
      <c r="AN38" s="107">
        <f>SUM(AE38,AH38,AK38)</f>
        <v>0</v>
      </c>
      <c r="AO38" s="108">
        <f t="shared" si="46"/>
        <v>0</v>
      </c>
      <c r="AP38" s="115"/>
      <c r="AQ38" s="107"/>
      <c r="AR38" s="108">
        <f t="shared" si="47"/>
        <v>0</v>
      </c>
      <c r="AS38" s="115"/>
      <c r="AT38" s="107"/>
      <c r="AU38" s="108">
        <f t="shared" si="48"/>
        <v>0</v>
      </c>
      <c r="AV38" s="115"/>
      <c r="AW38" s="107"/>
      <c r="AX38" s="108">
        <f t="shared" si="49"/>
        <v>0</v>
      </c>
      <c r="AY38" s="107">
        <f>SUM(AP38,AS38,AV38)</f>
        <v>0</v>
      </c>
      <c r="AZ38" s="107">
        <f>SUM(AQ38,AT38,AW38)</f>
        <v>0</v>
      </c>
      <c r="BA38" s="108">
        <f t="shared" si="50"/>
        <v>0</v>
      </c>
      <c r="BB38" s="115">
        <f>SUM(F38,I38,L38,R38,U38,X38,AD38,AG38,AJ38,AP38,AS38,AV38)</f>
        <v>0</v>
      </c>
      <c r="BC38" s="107">
        <f>SUM(G38,J38,M38,S38,V38,Y38,AE38,AH38,AK38,AQ38,AT38,AW38)</f>
        <v>0</v>
      </c>
      <c r="BD38" s="108">
        <f t="shared" si="51"/>
        <v>0</v>
      </c>
      <c r="BE38" s="115"/>
      <c r="BF38" s="115"/>
      <c r="BG38" s="20">
        <f t="shared" si="34"/>
        <v>0</v>
      </c>
    </row>
    <row r="39" spans="1:59" s="210" customFormat="1" ht="13.5" customHeight="1" collapsed="1" thickBot="1" x14ac:dyDescent="0.3">
      <c r="A39" s="96"/>
      <c r="B39" s="95" t="s">
        <v>62</v>
      </c>
      <c r="C39" s="94" t="s">
        <v>32</v>
      </c>
      <c r="D39" s="93">
        <f>SUM(D40)</f>
        <v>0</v>
      </c>
      <c r="E39" s="93">
        <f>SUM(E40)</f>
        <v>0</v>
      </c>
      <c r="F39" s="187">
        <f>SUM(F40)</f>
        <v>0</v>
      </c>
      <c r="G39" s="92">
        <f>SUM(G40)</f>
        <v>0</v>
      </c>
      <c r="H39" s="91">
        <f t="shared" si="35"/>
        <v>0</v>
      </c>
      <c r="I39" s="187">
        <f>SUM(I40)</f>
        <v>0</v>
      </c>
      <c r="J39" s="92">
        <f>SUM(J40)</f>
        <v>0</v>
      </c>
      <c r="K39" s="91">
        <f t="shared" si="36"/>
        <v>0</v>
      </c>
      <c r="L39" s="187">
        <f>SUM(L40)</f>
        <v>0</v>
      </c>
      <c r="M39" s="92">
        <f>SUM(M40)</f>
        <v>0</v>
      </c>
      <c r="N39" s="91">
        <f t="shared" si="37"/>
        <v>0</v>
      </c>
      <c r="O39" s="187">
        <f>SUM(O40)</f>
        <v>0</v>
      </c>
      <c r="P39" s="92">
        <f>SUM(P40)</f>
        <v>0</v>
      </c>
      <c r="Q39" s="91">
        <f t="shared" si="38"/>
        <v>0</v>
      </c>
      <c r="R39" s="187">
        <f>SUM(R40)</f>
        <v>0</v>
      </c>
      <c r="S39" s="92">
        <f>SUM(S40)</f>
        <v>0</v>
      </c>
      <c r="T39" s="91">
        <f t="shared" si="39"/>
        <v>0</v>
      </c>
      <c r="U39" s="187">
        <f>SUM(U40)</f>
        <v>0</v>
      </c>
      <c r="V39" s="92">
        <f>SUM(V40)</f>
        <v>0</v>
      </c>
      <c r="W39" s="91">
        <f t="shared" si="40"/>
        <v>0</v>
      </c>
      <c r="X39" s="187">
        <f>SUM(X40)</f>
        <v>0</v>
      </c>
      <c r="Y39" s="92">
        <f>SUM(Y40)</f>
        <v>0</v>
      </c>
      <c r="Z39" s="91">
        <f t="shared" si="41"/>
        <v>0</v>
      </c>
      <c r="AA39" s="187">
        <f>SUM(AA40)</f>
        <v>0</v>
      </c>
      <c r="AB39" s="92">
        <f>SUM(AB40)</f>
        <v>0</v>
      </c>
      <c r="AC39" s="91">
        <f t="shared" si="42"/>
        <v>0</v>
      </c>
      <c r="AD39" s="187">
        <f>SUM(AD40)</f>
        <v>0</v>
      </c>
      <c r="AE39" s="92">
        <f>SUM(AE40)</f>
        <v>0</v>
      </c>
      <c r="AF39" s="91">
        <f t="shared" si="43"/>
        <v>0</v>
      </c>
      <c r="AG39" s="187">
        <f>SUM(AG40)</f>
        <v>0</v>
      </c>
      <c r="AH39" s="92">
        <f>SUM(AH40)</f>
        <v>0</v>
      </c>
      <c r="AI39" s="91">
        <f t="shared" si="44"/>
        <v>0</v>
      </c>
      <c r="AJ39" s="187">
        <f>SUM(AJ40)</f>
        <v>0</v>
      </c>
      <c r="AK39" s="92">
        <f>SUM(AK40)</f>
        <v>0</v>
      </c>
      <c r="AL39" s="91">
        <f t="shared" si="45"/>
        <v>0</v>
      </c>
      <c r="AM39" s="187">
        <f>SUM(AM40)</f>
        <v>0</v>
      </c>
      <c r="AN39" s="92">
        <f>SUM(AN40)</f>
        <v>0</v>
      </c>
      <c r="AO39" s="91">
        <f t="shared" si="46"/>
        <v>0</v>
      </c>
      <c r="AP39" s="187">
        <f>SUM(AP40)</f>
        <v>0</v>
      </c>
      <c r="AQ39" s="92">
        <f>SUM(AQ40)</f>
        <v>0</v>
      </c>
      <c r="AR39" s="91">
        <f t="shared" si="47"/>
        <v>0</v>
      </c>
      <c r="AS39" s="187">
        <f>SUM(AS40)</f>
        <v>0</v>
      </c>
      <c r="AT39" s="92">
        <f>SUM(AT40)</f>
        <v>0</v>
      </c>
      <c r="AU39" s="91">
        <f t="shared" si="48"/>
        <v>0</v>
      </c>
      <c r="AV39" s="187">
        <f>SUM(AV40)</f>
        <v>0</v>
      </c>
      <c r="AW39" s="92">
        <f>SUM(AW40)</f>
        <v>0</v>
      </c>
      <c r="AX39" s="91">
        <f t="shared" si="49"/>
        <v>0</v>
      </c>
      <c r="AY39" s="92">
        <f>SUM(AY40)</f>
        <v>0</v>
      </c>
      <c r="AZ39" s="92">
        <f>SUM(AZ40)</f>
        <v>0</v>
      </c>
      <c r="BA39" s="91">
        <f t="shared" si="50"/>
        <v>0</v>
      </c>
      <c r="BB39" s="187">
        <f>SUM(BB40)</f>
        <v>0</v>
      </c>
      <c r="BC39" s="92">
        <f>SUM(BC40)</f>
        <v>0</v>
      </c>
      <c r="BD39" s="91">
        <f t="shared" si="51"/>
        <v>0</v>
      </c>
      <c r="BE39" s="187">
        <f t="shared" ref="BE39:BG39" si="52">SUM(BE40)</f>
        <v>0</v>
      </c>
      <c r="BF39" s="187">
        <f t="shared" si="52"/>
        <v>0</v>
      </c>
      <c r="BG39" s="93">
        <f t="shared" si="52"/>
        <v>0</v>
      </c>
    </row>
    <row r="40" spans="1:59" ht="13.5" hidden="1" customHeight="1" outlineLevel="1" thickBot="1" x14ac:dyDescent="0.3">
      <c r="A40" s="100"/>
      <c r="B40" s="84" t="s">
        <v>63</v>
      </c>
      <c r="C40" s="83" t="s">
        <v>32</v>
      </c>
      <c r="D40" s="20"/>
      <c r="E40" s="20"/>
      <c r="F40" s="24"/>
      <c r="G40" s="23"/>
      <c r="H40" s="22">
        <f t="shared" si="35"/>
        <v>0</v>
      </c>
      <c r="I40" s="24"/>
      <c r="J40" s="23"/>
      <c r="K40" s="22">
        <f t="shared" si="36"/>
        <v>0</v>
      </c>
      <c r="L40" s="24"/>
      <c r="M40" s="23"/>
      <c r="N40" s="22">
        <f t="shared" si="37"/>
        <v>0</v>
      </c>
      <c r="O40" s="24">
        <f>SUM(F40,I40,L40)</f>
        <v>0</v>
      </c>
      <c r="P40" s="23">
        <f>SUM(G40,J40,M40)</f>
        <v>0</v>
      </c>
      <c r="Q40" s="22">
        <f t="shared" si="38"/>
        <v>0</v>
      </c>
      <c r="R40" s="24"/>
      <c r="S40" s="23"/>
      <c r="T40" s="22">
        <f t="shared" si="39"/>
        <v>0</v>
      </c>
      <c r="U40" s="24"/>
      <c r="V40" s="23"/>
      <c r="W40" s="22">
        <f t="shared" si="40"/>
        <v>0</v>
      </c>
      <c r="X40" s="24"/>
      <c r="Y40" s="23"/>
      <c r="Z40" s="22">
        <f t="shared" si="41"/>
        <v>0</v>
      </c>
      <c r="AA40" s="24">
        <f>SUM(R40,U40,X40)</f>
        <v>0</v>
      </c>
      <c r="AB40" s="23">
        <f>SUM(S40,V40,Y40)</f>
        <v>0</v>
      </c>
      <c r="AC40" s="22">
        <f t="shared" si="42"/>
        <v>0</v>
      </c>
      <c r="AD40" s="24"/>
      <c r="AE40" s="23"/>
      <c r="AF40" s="22">
        <f t="shared" si="43"/>
        <v>0</v>
      </c>
      <c r="AG40" s="24"/>
      <c r="AH40" s="23"/>
      <c r="AI40" s="22">
        <f t="shared" si="44"/>
        <v>0</v>
      </c>
      <c r="AJ40" s="24"/>
      <c r="AK40" s="23"/>
      <c r="AL40" s="22">
        <f t="shared" si="45"/>
        <v>0</v>
      </c>
      <c r="AM40" s="24">
        <f>SUM(AD40,AG40,AJ40)</f>
        <v>0</v>
      </c>
      <c r="AN40" s="23">
        <f>SUM(AE40,AH40,AK40)</f>
        <v>0</v>
      </c>
      <c r="AO40" s="22">
        <f t="shared" si="46"/>
        <v>0</v>
      </c>
      <c r="AP40" s="24"/>
      <c r="AQ40" s="23"/>
      <c r="AR40" s="22">
        <f t="shared" si="47"/>
        <v>0</v>
      </c>
      <c r="AS40" s="24"/>
      <c r="AT40" s="23"/>
      <c r="AU40" s="22">
        <f t="shared" si="48"/>
        <v>0</v>
      </c>
      <c r="AV40" s="24"/>
      <c r="AW40" s="23"/>
      <c r="AX40" s="22">
        <f t="shared" si="49"/>
        <v>0</v>
      </c>
      <c r="AY40" s="23">
        <f>SUM(AP40,AS40,AV40)</f>
        <v>0</v>
      </c>
      <c r="AZ40" s="23">
        <f>SUM(AQ40,AT40,AW40)</f>
        <v>0</v>
      </c>
      <c r="BA40" s="22">
        <f t="shared" si="50"/>
        <v>0</v>
      </c>
      <c r="BB40" s="24">
        <f>SUM(F40,I40,L40,R40,U40,X40,AD40,AG40,AJ40,AP40,AS40,AV40)</f>
        <v>0</v>
      </c>
      <c r="BC40" s="23">
        <f>SUM(G40,J40,M40,S40,V40,Y40,AE40,AH40,AK40,AQ40,AT40,AW40)</f>
        <v>0</v>
      </c>
      <c r="BD40" s="22">
        <f t="shared" si="51"/>
        <v>0</v>
      </c>
      <c r="BE40" s="24"/>
      <c r="BF40" s="24"/>
      <c r="BG40" s="20">
        <f>BB40+BE40+BF40</f>
        <v>0</v>
      </c>
    </row>
    <row r="41" spans="1:59" s="210" customFormat="1" ht="13.5" customHeight="1" collapsed="1" x14ac:dyDescent="0.25">
      <c r="A41" s="106" t="s">
        <v>64</v>
      </c>
      <c r="B41" s="105" t="s">
        <v>65</v>
      </c>
      <c r="C41" s="104" t="s">
        <v>32</v>
      </c>
      <c r="D41" s="192">
        <f>D42+D52+D71</f>
        <v>0</v>
      </c>
      <c r="E41" s="192">
        <f>E42+E52+E71</f>
        <v>0</v>
      </c>
      <c r="F41" s="195">
        <f>F42+F52+F71</f>
        <v>0</v>
      </c>
      <c r="G41" s="193">
        <f>G42+G52+G71</f>
        <v>0</v>
      </c>
      <c r="H41" s="194">
        <f t="shared" ref="H41:H56" si="53">G41-F41</f>
        <v>0</v>
      </c>
      <c r="I41" s="195">
        <f>I42+I52+I71</f>
        <v>0</v>
      </c>
      <c r="J41" s="193">
        <f>J42+J52+J71</f>
        <v>0</v>
      </c>
      <c r="K41" s="194">
        <f t="shared" ref="K41:K56" si="54">J41-I41</f>
        <v>0</v>
      </c>
      <c r="L41" s="195">
        <f>L42+L52+L71</f>
        <v>0</v>
      </c>
      <c r="M41" s="193">
        <f>M42+M52+M71</f>
        <v>0</v>
      </c>
      <c r="N41" s="194">
        <f t="shared" ref="N41:N56" si="55">M41-L41</f>
        <v>0</v>
      </c>
      <c r="O41" s="195">
        <f>O42+O52+O71</f>
        <v>0</v>
      </c>
      <c r="P41" s="193">
        <f>P42+P52+P71</f>
        <v>0</v>
      </c>
      <c r="Q41" s="194">
        <f t="shared" ref="Q41:Q56" si="56">P41-O41</f>
        <v>0</v>
      </c>
      <c r="R41" s="195">
        <f>R42+R52+R71</f>
        <v>0</v>
      </c>
      <c r="S41" s="193">
        <f>S42+S52+S71</f>
        <v>0</v>
      </c>
      <c r="T41" s="194">
        <f t="shared" ref="T41:T56" si="57">S41-R41</f>
        <v>0</v>
      </c>
      <c r="U41" s="195">
        <f>U42+U52+U71</f>
        <v>0</v>
      </c>
      <c r="V41" s="193">
        <f>V42+V52+V71</f>
        <v>0</v>
      </c>
      <c r="W41" s="194">
        <f t="shared" ref="W41:W56" si="58">V41-U41</f>
        <v>0</v>
      </c>
      <c r="X41" s="195">
        <f>X42+X52+X71</f>
        <v>0</v>
      </c>
      <c r="Y41" s="193">
        <f>Y42+Y52+Y71</f>
        <v>0</v>
      </c>
      <c r="Z41" s="194">
        <f t="shared" ref="Z41:Z56" si="59">Y41-X41</f>
        <v>0</v>
      </c>
      <c r="AA41" s="195">
        <f>AA42+AA52+AA71</f>
        <v>0</v>
      </c>
      <c r="AB41" s="193">
        <f>AB42+AB52+AB71</f>
        <v>0</v>
      </c>
      <c r="AC41" s="194">
        <f t="shared" ref="AC41:AC56" si="60">AB41-AA41</f>
        <v>0</v>
      </c>
      <c r="AD41" s="195">
        <f>AD42+AD52+AD71</f>
        <v>0</v>
      </c>
      <c r="AE41" s="193">
        <f>AE42+AE52+AE71</f>
        <v>0</v>
      </c>
      <c r="AF41" s="194">
        <f t="shared" ref="AF41:AF56" si="61">AE41-AD41</f>
        <v>0</v>
      </c>
      <c r="AG41" s="195">
        <f>AG42+AG52+AG71</f>
        <v>0</v>
      </c>
      <c r="AH41" s="193">
        <f>AH42+AH52+AH71</f>
        <v>0</v>
      </c>
      <c r="AI41" s="194">
        <f t="shared" ref="AI41:AI56" si="62">AH41-AG41</f>
        <v>0</v>
      </c>
      <c r="AJ41" s="195">
        <f>AJ42+AJ52+AJ71</f>
        <v>0</v>
      </c>
      <c r="AK41" s="193">
        <f>AK42+AK52+AK71</f>
        <v>0</v>
      </c>
      <c r="AL41" s="194">
        <f t="shared" ref="AL41:AL56" si="63">AK41-AJ41</f>
        <v>0</v>
      </c>
      <c r="AM41" s="195">
        <f>AM42+AM52+AM71</f>
        <v>0</v>
      </c>
      <c r="AN41" s="193">
        <f>AN42+AN52+AN71</f>
        <v>0</v>
      </c>
      <c r="AO41" s="194">
        <f t="shared" ref="AO41:AO56" si="64">AN41-AM41</f>
        <v>0</v>
      </c>
      <c r="AP41" s="195">
        <f>AP42+AP52+AP71</f>
        <v>0</v>
      </c>
      <c r="AQ41" s="193">
        <f>AQ42+AQ52+AQ71</f>
        <v>0</v>
      </c>
      <c r="AR41" s="194">
        <f t="shared" ref="AR41:AR56" si="65">AQ41-AP41</f>
        <v>0</v>
      </c>
      <c r="AS41" s="195">
        <f>AS42+AS52+AS71</f>
        <v>0</v>
      </c>
      <c r="AT41" s="193">
        <f>AT42+AT52+AT71</f>
        <v>0</v>
      </c>
      <c r="AU41" s="194">
        <f t="shared" ref="AU41:AU56" si="66">AT41-AS41</f>
        <v>0</v>
      </c>
      <c r="AV41" s="195">
        <f>AV42+AV52+AV71</f>
        <v>0</v>
      </c>
      <c r="AW41" s="193">
        <f>AW42+AW52+AW71</f>
        <v>0</v>
      </c>
      <c r="AX41" s="194">
        <f t="shared" ref="AX41:AX56" si="67">AW41-AV41</f>
        <v>0</v>
      </c>
      <c r="AY41" s="193">
        <f>AY42+AY52+AY71</f>
        <v>0</v>
      </c>
      <c r="AZ41" s="193">
        <f>AZ42+AZ52+AZ71</f>
        <v>0</v>
      </c>
      <c r="BA41" s="194">
        <f t="shared" ref="BA41:BA56" si="68">AZ41-AY41</f>
        <v>0</v>
      </c>
      <c r="BB41" s="195">
        <f>BB42+BB52+BB71</f>
        <v>0</v>
      </c>
      <c r="BC41" s="193">
        <f>BC42+BC52+BC71</f>
        <v>0</v>
      </c>
      <c r="BD41" s="194">
        <f t="shared" ref="BD41:BD56" si="69">BC41-BB41</f>
        <v>0</v>
      </c>
      <c r="BE41" s="195">
        <f t="shared" ref="BE41:BF41" si="70">BE42+BE52+BE71</f>
        <v>0</v>
      </c>
      <c r="BF41" s="195">
        <f t="shared" si="70"/>
        <v>0</v>
      </c>
      <c r="BG41" s="192">
        <f t="shared" ref="BG41" si="71">BG42+BG52+BG71</f>
        <v>0</v>
      </c>
    </row>
    <row r="42" spans="1:59" s="210" customFormat="1" ht="13.5" customHeight="1" x14ac:dyDescent="0.25">
      <c r="A42" s="103"/>
      <c r="B42" s="102" t="s">
        <v>33</v>
      </c>
      <c r="C42" s="101" t="s">
        <v>32</v>
      </c>
      <c r="D42" s="188">
        <f>SUM(D43:D51)</f>
        <v>0</v>
      </c>
      <c r="E42" s="188">
        <f>SUM(E43:E51)</f>
        <v>0</v>
      </c>
      <c r="F42" s="191">
        <f>SUM(F43:F51)</f>
        <v>0</v>
      </c>
      <c r="G42" s="189">
        <f>SUM(G43:G51)</f>
        <v>0</v>
      </c>
      <c r="H42" s="190">
        <f t="shared" si="53"/>
        <v>0</v>
      </c>
      <c r="I42" s="191">
        <f>SUM(I43:I51)</f>
        <v>0</v>
      </c>
      <c r="J42" s="189">
        <f>SUM(J43:J51)</f>
        <v>0</v>
      </c>
      <c r="K42" s="190">
        <f t="shared" si="54"/>
        <v>0</v>
      </c>
      <c r="L42" s="191">
        <f>SUM(L43:L51)</f>
        <v>0</v>
      </c>
      <c r="M42" s="189">
        <f>SUM(M43:M51)</f>
        <v>0</v>
      </c>
      <c r="N42" s="190">
        <f t="shared" si="55"/>
        <v>0</v>
      </c>
      <c r="O42" s="191">
        <f>SUM(O43:O51)</f>
        <v>0</v>
      </c>
      <c r="P42" s="189">
        <f>SUM(P43:P51)</f>
        <v>0</v>
      </c>
      <c r="Q42" s="190">
        <f t="shared" si="56"/>
        <v>0</v>
      </c>
      <c r="R42" s="191">
        <f>SUM(R43:R51)</f>
        <v>0</v>
      </c>
      <c r="S42" s="189">
        <f>SUM(S43:S51)</f>
        <v>0</v>
      </c>
      <c r="T42" s="190">
        <f t="shared" si="57"/>
        <v>0</v>
      </c>
      <c r="U42" s="191">
        <f>SUM(U43:U51)</f>
        <v>0</v>
      </c>
      <c r="V42" s="189">
        <f>SUM(V43:V51)</f>
        <v>0</v>
      </c>
      <c r="W42" s="190">
        <f t="shared" si="58"/>
        <v>0</v>
      </c>
      <c r="X42" s="191">
        <f>SUM(X43:X51)</f>
        <v>0</v>
      </c>
      <c r="Y42" s="189">
        <f>SUM(Y43:Y51)</f>
        <v>0</v>
      </c>
      <c r="Z42" s="190">
        <f t="shared" si="59"/>
        <v>0</v>
      </c>
      <c r="AA42" s="191">
        <f>SUM(AA43:AA51)</f>
        <v>0</v>
      </c>
      <c r="AB42" s="189">
        <f>SUM(AB43:AB51)</f>
        <v>0</v>
      </c>
      <c r="AC42" s="190">
        <f t="shared" si="60"/>
        <v>0</v>
      </c>
      <c r="AD42" s="191">
        <f>SUM(AD43:AD51)</f>
        <v>0</v>
      </c>
      <c r="AE42" s="189">
        <f>SUM(AE43:AE51)</f>
        <v>0</v>
      </c>
      <c r="AF42" s="190">
        <f t="shared" si="61"/>
        <v>0</v>
      </c>
      <c r="AG42" s="191">
        <f>SUM(AG43:AG51)</f>
        <v>0</v>
      </c>
      <c r="AH42" s="189">
        <f>SUM(AH43:AH51)</f>
        <v>0</v>
      </c>
      <c r="AI42" s="190">
        <f t="shared" si="62"/>
        <v>0</v>
      </c>
      <c r="AJ42" s="191">
        <f>SUM(AJ43:AJ51)</f>
        <v>0</v>
      </c>
      <c r="AK42" s="189">
        <f>SUM(AK43:AK51)</f>
        <v>0</v>
      </c>
      <c r="AL42" s="190">
        <f t="shared" si="63"/>
        <v>0</v>
      </c>
      <c r="AM42" s="191">
        <f>SUM(AM43:AM51)</f>
        <v>0</v>
      </c>
      <c r="AN42" s="189">
        <f>SUM(AN43:AN51)</f>
        <v>0</v>
      </c>
      <c r="AO42" s="190">
        <f t="shared" si="64"/>
        <v>0</v>
      </c>
      <c r="AP42" s="191">
        <f>SUM(AP43:AP51)</f>
        <v>0</v>
      </c>
      <c r="AQ42" s="189">
        <f>SUM(AQ43:AQ51)</f>
        <v>0</v>
      </c>
      <c r="AR42" s="190">
        <f t="shared" si="65"/>
        <v>0</v>
      </c>
      <c r="AS42" s="191">
        <f>SUM(AS43:AS51)</f>
        <v>0</v>
      </c>
      <c r="AT42" s="189">
        <f>SUM(AT43:AT51)</f>
        <v>0</v>
      </c>
      <c r="AU42" s="190">
        <f t="shared" si="66"/>
        <v>0</v>
      </c>
      <c r="AV42" s="191">
        <f>SUM(AV43:AV51)</f>
        <v>0</v>
      </c>
      <c r="AW42" s="189">
        <f>SUM(AW43:AW51)</f>
        <v>0</v>
      </c>
      <c r="AX42" s="190">
        <f t="shared" si="67"/>
        <v>0</v>
      </c>
      <c r="AY42" s="189">
        <f>SUM(AY43:AY51)</f>
        <v>0</v>
      </c>
      <c r="AZ42" s="189">
        <f>SUM(AZ43:AZ51)</f>
        <v>0</v>
      </c>
      <c r="BA42" s="190">
        <f t="shared" si="68"/>
        <v>0</v>
      </c>
      <c r="BB42" s="191">
        <f>SUM(BB43:BB51)</f>
        <v>0</v>
      </c>
      <c r="BC42" s="189">
        <f>SUM(BC43:BC51)</f>
        <v>0</v>
      </c>
      <c r="BD42" s="190">
        <f t="shared" si="69"/>
        <v>0</v>
      </c>
      <c r="BE42" s="191">
        <f t="shared" ref="BE42:BF42" si="72">SUM(BE43:BE51)</f>
        <v>0</v>
      </c>
      <c r="BF42" s="191">
        <f t="shared" si="72"/>
        <v>0</v>
      </c>
      <c r="BG42" s="188">
        <f t="shared" ref="BG42" si="73">SUM(BG43:BG51)</f>
        <v>0</v>
      </c>
    </row>
    <row r="43" spans="1:59" ht="13.5" hidden="1" customHeight="1" outlineLevel="1" x14ac:dyDescent="0.25">
      <c r="A43" s="100"/>
      <c r="B43" s="84" t="s">
        <v>34</v>
      </c>
      <c r="C43" s="83" t="s">
        <v>32</v>
      </c>
      <c r="D43" s="20"/>
      <c r="E43" s="20"/>
      <c r="F43" s="24"/>
      <c r="G43" s="23"/>
      <c r="H43" s="22">
        <f t="shared" si="53"/>
        <v>0</v>
      </c>
      <c r="I43" s="24"/>
      <c r="J43" s="23"/>
      <c r="K43" s="22">
        <f t="shared" si="54"/>
        <v>0</v>
      </c>
      <c r="L43" s="24"/>
      <c r="M43" s="23"/>
      <c r="N43" s="22">
        <f t="shared" si="55"/>
        <v>0</v>
      </c>
      <c r="O43" s="24">
        <f t="shared" ref="O43:P51" si="74">SUM(F43,I43,L43)</f>
        <v>0</v>
      </c>
      <c r="P43" s="23">
        <f t="shared" si="74"/>
        <v>0</v>
      </c>
      <c r="Q43" s="22">
        <f t="shared" si="56"/>
        <v>0</v>
      </c>
      <c r="R43" s="24"/>
      <c r="S43" s="23"/>
      <c r="T43" s="22">
        <f t="shared" si="57"/>
        <v>0</v>
      </c>
      <c r="U43" s="24"/>
      <c r="V43" s="23"/>
      <c r="W43" s="22">
        <f t="shared" si="58"/>
        <v>0</v>
      </c>
      <c r="X43" s="24"/>
      <c r="Y43" s="23"/>
      <c r="Z43" s="22">
        <f t="shared" si="59"/>
        <v>0</v>
      </c>
      <c r="AA43" s="24">
        <f t="shared" ref="AA43:AB51" si="75">SUM(R43,U43,X43)</f>
        <v>0</v>
      </c>
      <c r="AB43" s="23">
        <f t="shared" si="75"/>
        <v>0</v>
      </c>
      <c r="AC43" s="22">
        <f t="shared" si="60"/>
        <v>0</v>
      </c>
      <c r="AD43" s="24"/>
      <c r="AE43" s="23"/>
      <c r="AF43" s="22">
        <f t="shared" si="61"/>
        <v>0</v>
      </c>
      <c r="AG43" s="24"/>
      <c r="AH43" s="23"/>
      <c r="AI43" s="22">
        <f t="shared" si="62"/>
        <v>0</v>
      </c>
      <c r="AJ43" s="24"/>
      <c r="AK43" s="23"/>
      <c r="AL43" s="22">
        <f t="shared" si="63"/>
        <v>0</v>
      </c>
      <c r="AM43" s="24">
        <f t="shared" ref="AM43:AN51" si="76">SUM(AD43,AG43,AJ43)</f>
        <v>0</v>
      </c>
      <c r="AN43" s="23">
        <f t="shared" si="76"/>
        <v>0</v>
      </c>
      <c r="AO43" s="22">
        <f t="shared" si="64"/>
        <v>0</v>
      </c>
      <c r="AP43" s="24"/>
      <c r="AQ43" s="23"/>
      <c r="AR43" s="22">
        <f t="shared" si="65"/>
        <v>0</v>
      </c>
      <c r="AS43" s="24"/>
      <c r="AT43" s="23"/>
      <c r="AU43" s="22">
        <f t="shared" si="66"/>
        <v>0</v>
      </c>
      <c r="AV43" s="24"/>
      <c r="AW43" s="23"/>
      <c r="AX43" s="22">
        <f t="shared" si="67"/>
        <v>0</v>
      </c>
      <c r="AY43" s="23">
        <f t="shared" ref="AY43:AZ51" si="77">SUM(AP43,AS43,AV43)</f>
        <v>0</v>
      </c>
      <c r="AZ43" s="23">
        <f t="shared" si="77"/>
        <v>0</v>
      </c>
      <c r="BA43" s="22">
        <f t="shared" si="68"/>
        <v>0</v>
      </c>
      <c r="BB43" s="24">
        <f t="shared" ref="BB43:BC51" si="78">SUM(F43,I43,L43,R43,U43,X43,AD43,AG43,AJ43,AP43,AS43,AV43)</f>
        <v>0</v>
      </c>
      <c r="BC43" s="23">
        <f t="shared" si="78"/>
        <v>0</v>
      </c>
      <c r="BD43" s="22">
        <f t="shared" si="69"/>
        <v>0</v>
      </c>
      <c r="BE43" s="24"/>
      <c r="BF43" s="24"/>
      <c r="BG43" s="20">
        <f>BB43+BE43+BF43</f>
        <v>0</v>
      </c>
    </row>
    <row r="44" spans="1:59" ht="13.5" hidden="1" customHeight="1" outlineLevel="1" x14ac:dyDescent="0.25">
      <c r="A44" s="100"/>
      <c r="B44" s="84" t="s">
        <v>35</v>
      </c>
      <c r="C44" s="83" t="s">
        <v>32</v>
      </c>
      <c r="D44" s="20"/>
      <c r="E44" s="20"/>
      <c r="F44" s="24"/>
      <c r="G44" s="23"/>
      <c r="H44" s="22">
        <f t="shared" si="53"/>
        <v>0</v>
      </c>
      <c r="I44" s="24"/>
      <c r="J44" s="23"/>
      <c r="K44" s="22">
        <f t="shared" si="54"/>
        <v>0</v>
      </c>
      <c r="L44" s="24"/>
      <c r="M44" s="23"/>
      <c r="N44" s="22">
        <f t="shared" si="55"/>
        <v>0</v>
      </c>
      <c r="O44" s="24">
        <f t="shared" si="74"/>
        <v>0</v>
      </c>
      <c r="P44" s="23">
        <f t="shared" si="74"/>
        <v>0</v>
      </c>
      <c r="Q44" s="22">
        <f t="shared" si="56"/>
        <v>0</v>
      </c>
      <c r="R44" s="24"/>
      <c r="S44" s="23"/>
      <c r="T44" s="22">
        <f t="shared" si="57"/>
        <v>0</v>
      </c>
      <c r="U44" s="24"/>
      <c r="V44" s="23"/>
      <c r="W44" s="22">
        <f t="shared" si="58"/>
        <v>0</v>
      </c>
      <c r="X44" s="24"/>
      <c r="Y44" s="23"/>
      <c r="Z44" s="22">
        <f t="shared" si="59"/>
        <v>0</v>
      </c>
      <c r="AA44" s="24">
        <f t="shared" si="75"/>
        <v>0</v>
      </c>
      <c r="AB44" s="23">
        <f t="shared" si="75"/>
        <v>0</v>
      </c>
      <c r="AC44" s="22">
        <f t="shared" si="60"/>
        <v>0</v>
      </c>
      <c r="AD44" s="24"/>
      <c r="AE44" s="23"/>
      <c r="AF44" s="22">
        <f t="shared" si="61"/>
        <v>0</v>
      </c>
      <c r="AG44" s="24"/>
      <c r="AH44" s="23"/>
      <c r="AI44" s="22">
        <f t="shared" si="62"/>
        <v>0</v>
      </c>
      <c r="AJ44" s="24"/>
      <c r="AK44" s="23"/>
      <c r="AL44" s="22">
        <f t="shared" si="63"/>
        <v>0</v>
      </c>
      <c r="AM44" s="24">
        <f t="shared" si="76"/>
        <v>0</v>
      </c>
      <c r="AN44" s="23">
        <f t="shared" si="76"/>
        <v>0</v>
      </c>
      <c r="AO44" s="22">
        <f t="shared" si="64"/>
        <v>0</v>
      </c>
      <c r="AP44" s="24"/>
      <c r="AQ44" s="23"/>
      <c r="AR44" s="22">
        <f t="shared" si="65"/>
        <v>0</v>
      </c>
      <c r="AS44" s="24"/>
      <c r="AT44" s="23"/>
      <c r="AU44" s="22">
        <f t="shared" si="66"/>
        <v>0</v>
      </c>
      <c r="AV44" s="24"/>
      <c r="AW44" s="23"/>
      <c r="AX44" s="22">
        <f t="shared" si="67"/>
        <v>0</v>
      </c>
      <c r="AY44" s="23">
        <f t="shared" si="77"/>
        <v>0</v>
      </c>
      <c r="AZ44" s="23">
        <f t="shared" si="77"/>
        <v>0</v>
      </c>
      <c r="BA44" s="22">
        <f t="shared" si="68"/>
        <v>0</v>
      </c>
      <c r="BB44" s="24">
        <f t="shared" si="78"/>
        <v>0</v>
      </c>
      <c r="BC44" s="23">
        <f t="shared" si="78"/>
        <v>0</v>
      </c>
      <c r="BD44" s="22">
        <f t="shared" si="69"/>
        <v>0</v>
      </c>
      <c r="BE44" s="24"/>
      <c r="BF44" s="24"/>
      <c r="BG44" s="20">
        <f t="shared" ref="BG44:BG51" si="79">BB44+BE44+BF44</f>
        <v>0</v>
      </c>
    </row>
    <row r="45" spans="1:59" ht="13.5" hidden="1" customHeight="1" outlineLevel="1" x14ac:dyDescent="0.25">
      <c r="A45" s="100"/>
      <c r="B45" s="84" t="s">
        <v>36</v>
      </c>
      <c r="C45" s="83" t="s">
        <v>32</v>
      </c>
      <c r="D45" s="20"/>
      <c r="E45" s="20"/>
      <c r="F45" s="24"/>
      <c r="G45" s="23"/>
      <c r="H45" s="22">
        <f t="shared" si="53"/>
        <v>0</v>
      </c>
      <c r="I45" s="24"/>
      <c r="J45" s="23"/>
      <c r="K45" s="22">
        <f t="shared" si="54"/>
        <v>0</v>
      </c>
      <c r="L45" s="24"/>
      <c r="M45" s="23"/>
      <c r="N45" s="22">
        <f t="shared" si="55"/>
        <v>0</v>
      </c>
      <c r="O45" s="24">
        <f t="shared" si="74"/>
        <v>0</v>
      </c>
      <c r="P45" s="23">
        <f t="shared" si="74"/>
        <v>0</v>
      </c>
      <c r="Q45" s="22">
        <f t="shared" si="56"/>
        <v>0</v>
      </c>
      <c r="R45" s="24"/>
      <c r="S45" s="23"/>
      <c r="T45" s="22">
        <f t="shared" si="57"/>
        <v>0</v>
      </c>
      <c r="U45" s="24"/>
      <c r="V45" s="23"/>
      <c r="W45" s="22">
        <f t="shared" si="58"/>
        <v>0</v>
      </c>
      <c r="X45" s="24"/>
      <c r="Y45" s="23"/>
      <c r="Z45" s="22">
        <f t="shared" si="59"/>
        <v>0</v>
      </c>
      <c r="AA45" s="24">
        <f t="shared" si="75"/>
        <v>0</v>
      </c>
      <c r="AB45" s="23">
        <f t="shared" si="75"/>
        <v>0</v>
      </c>
      <c r="AC45" s="22">
        <f t="shared" si="60"/>
        <v>0</v>
      </c>
      <c r="AD45" s="24"/>
      <c r="AE45" s="23"/>
      <c r="AF45" s="22">
        <f t="shared" si="61"/>
        <v>0</v>
      </c>
      <c r="AG45" s="24"/>
      <c r="AH45" s="23"/>
      <c r="AI45" s="22">
        <f t="shared" si="62"/>
        <v>0</v>
      </c>
      <c r="AJ45" s="24"/>
      <c r="AK45" s="23"/>
      <c r="AL45" s="22">
        <f t="shared" si="63"/>
        <v>0</v>
      </c>
      <c r="AM45" s="24">
        <f t="shared" si="76"/>
        <v>0</v>
      </c>
      <c r="AN45" s="23">
        <f t="shared" si="76"/>
        <v>0</v>
      </c>
      <c r="AO45" s="22">
        <f t="shared" si="64"/>
        <v>0</v>
      </c>
      <c r="AP45" s="24"/>
      <c r="AQ45" s="23"/>
      <c r="AR45" s="22">
        <f t="shared" si="65"/>
        <v>0</v>
      </c>
      <c r="AS45" s="24"/>
      <c r="AT45" s="23"/>
      <c r="AU45" s="22">
        <f t="shared" si="66"/>
        <v>0</v>
      </c>
      <c r="AV45" s="24"/>
      <c r="AW45" s="23"/>
      <c r="AX45" s="22">
        <f t="shared" si="67"/>
        <v>0</v>
      </c>
      <c r="AY45" s="23">
        <f t="shared" si="77"/>
        <v>0</v>
      </c>
      <c r="AZ45" s="23">
        <f t="shared" si="77"/>
        <v>0</v>
      </c>
      <c r="BA45" s="22">
        <f t="shared" si="68"/>
        <v>0</v>
      </c>
      <c r="BB45" s="24">
        <f t="shared" si="78"/>
        <v>0</v>
      </c>
      <c r="BC45" s="23">
        <f t="shared" si="78"/>
        <v>0</v>
      </c>
      <c r="BD45" s="22">
        <f t="shared" si="69"/>
        <v>0</v>
      </c>
      <c r="BE45" s="24"/>
      <c r="BF45" s="24"/>
      <c r="BG45" s="20">
        <f t="shared" si="79"/>
        <v>0</v>
      </c>
    </row>
    <row r="46" spans="1:59" ht="13.5" hidden="1" customHeight="1" outlineLevel="1" x14ac:dyDescent="0.25">
      <c r="A46" s="100"/>
      <c r="B46" s="84" t="s">
        <v>37</v>
      </c>
      <c r="C46" s="83" t="s">
        <v>32</v>
      </c>
      <c r="D46" s="20"/>
      <c r="E46" s="20"/>
      <c r="F46" s="24"/>
      <c r="G46" s="23"/>
      <c r="H46" s="22">
        <f t="shared" si="53"/>
        <v>0</v>
      </c>
      <c r="I46" s="24"/>
      <c r="J46" s="23"/>
      <c r="K46" s="22">
        <f t="shared" si="54"/>
        <v>0</v>
      </c>
      <c r="L46" s="24"/>
      <c r="M46" s="23"/>
      <c r="N46" s="22">
        <f t="shared" si="55"/>
        <v>0</v>
      </c>
      <c r="O46" s="24">
        <f t="shared" si="74"/>
        <v>0</v>
      </c>
      <c r="P46" s="23">
        <f t="shared" si="74"/>
        <v>0</v>
      </c>
      <c r="Q46" s="22">
        <f t="shared" si="56"/>
        <v>0</v>
      </c>
      <c r="R46" s="24"/>
      <c r="S46" s="23"/>
      <c r="T46" s="22">
        <f t="shared" si="57"/>
        <v>0</v>
      </c>
      <c r="U46" s="24"/>
      <c r="V46" s="23"/>
      <c r="W46" s="22">
        <f t="shared" si="58"/>
        <v>0</v>
      </c>
      <c r="X46" s="24"/>
      <c r="Y46" s="23"/>
      <c r="Z46" s="22">
        <f t="shared" si="59"/>
        <v>0</v>
      </c>
      <c r="AA46" s="24">
        <f t="shared" si="75"/>
        <v>0</v>
      </c>
      <c r="AB46" s="23">
        <f t="shared" si="75"/>
        <v>0</v>
      </c>
      <c r="AC46" s="22">
        <f t="shared" si="60"/>
        <v>0</v>
      </c>
      <c r="AD46" s="24"/>
      <c r="AE46" s="23"/>
      <c r="AF46" s="22">
        <f t="shared" si="61"/>
        <v>0</v>
      </c>
      <c r="AG46" s="24"/>
      <c r="AH46" s="23"/>
      <c r="AI46" s="22">
        <f t="shared" si="62"/>
        <v>0</v>
      </c>
      <c r="AJ46" s="24"/>
      <c r="AK46" s="23"/>
      <c r="AL46" s="22">
        <f t="shared" si="63"/>
        <v>0</v>
      </c>
      <c r="AM46" s="24">
        <f t="shared" si="76"/>
        <v>0</v>
      </c>
      <c r="AN46" s="23">
        <f t="shared" si="76"/>
        <v>0</v>
      </c>
      <c r="AO46" s="22">
        <f t="shared" si="64"/>
        <v>0</v>
      </c>
      <c r="AP46" s="24"/>
      <c r="AQ46" s="23"/>
      <c r="AR46" s="22">
        <f t="shared" si="65"/>
        <v>0</v>
      </c>
      <c r="AS46" s="24"/>
      <c r="AT46" s="23"/>
      <c r="AU46" s="22">
        <f t="shared" si="66"/>
        <v>0</v>
      </c>
      <c r="AV46" s="24"/>
      <c r="AW46" s="23"/>
      <c r="AX46" s="22">
        <f t="shared" si="67"/>
        <v>0</v>
      </c>
      <c r="AY46" s="23">
        <f t="shared" si="77"/>
        <v>0</v>
      </c>
      <c r="AZ46" s="23">
        <f t="shared" si="77"/>
        <v>0</v>
      </c>
      <c r="BA46" s="22">
        <f t="shared" si="68"/>
        <v>0</v>
      </c>
      <c r="BB46" s="24">
        <f t="shared" si="78"/>
        <v>0</v>
      </c>
      <c r="BC46" s="23">
        <f t="shared" si="78"/>
        <v>0</v>
      </c>
      <c r="BD46" s="22">
        <f t="shared" si="69"/>
        <v>0</v>
      </c>
      <c r="BE46" s="24"/>
      <c r="BF46" s="24"/>
      <c r="BG46" s="20">
        <f t="shared" si="79"/>
        <v>0</v>
      </c>
    </row>
    <row r="47" spans="1:59" ht="13.5" hidden="1" customHeight="1" outlineLevel="1" x14ac:dyDescent="0.25">
      <c r="A47" s="100"/>
      <c r="B47" s="84" t="s">
        <v>38</v>
      </c>
      <c r="C47" s="83" t="s">
        <v>32</v>
      </c>
      <c r="D47" s="20"/>
      <c r="E47" s="20"/>
      <c r="F47" s="24"/>
      <c r="G47" s="23"/>
      <c r="H47" s="22">
        <f t="shared" si="53"/>
        <v>0</v>
      </c>
      <c r="I47" s="24"/>
      <c r="J47" s="23"/>
      <c r="K47" s="22">
        <f t="shared" si="54"/>
        <v>0</v>
      </c>
      <c r="L47" s="24"/>
      <c r="M47" s="23"/>
      <c r="N47" s="22">
        <f t="shared" si="55"/>
        <v>0</v>
      </c>
      <c r="O47" s="24">
        <f t="shared" si="74"/>
        <v>0</v>
      </c>
      <c r="P47" s="23">
        <f t="shared" si="74"/>
        <v>0</v>
      </c>
      <c r="Q47" s="22">
        <f t="shared" si="56"/>
        <v>0</v>
      </c>
      <c r="R47" s="24"/>
      <c r="S47" s="23"/>
      <c r="T47" s="22">
        <f t="shared" si="57"/>
        <v>0</v>
      </c>
      <c r="U47" s="24"/>
      <c r="V47" s="23"/>
      <c r="W47" s="22">
        <f t="shared" si="58"/>
        <v>0</v>
      </c>
      <c r="X47" s="24"/>
      <c r="Y47" s="23"/>
      <c r="Z47" s="22">
        <f t="shared" si="59"/>
        <v>0</v>
      </c>
      <c r="AA47" s="24">
        <f t="shared" si="75"/>
        <v>0</v>
      </c>
      <c r="AB47" s="23">
        <f t="shared" si="75"/>
        <v>0</v>
      </c>
      <c r="AC47" s="22">
        <f t="shared" si="60"/>
        <v>0</v>
      </c>
      <c r="AD47" s="24"/>
      <c r="AE47" s="23"/>
      <c r="AF47" s="22">
        <f t="shared" si="61"/>
        <v>0</v>
      </c>
      <c r="AG47" s="24"/>
      <c r="AH47" s="23"/>
      <c r="AI47" s="22">
        <f t="shared" si="62"/>
        <v>0</v>
      </c>
      <c r="AJ47" s="24"/>
      <c r="AK47" s="23"/>
      <c r="AL47" s="22">
        <f t="shared" si="63"/>
        <v>0</v>
      </c>
      <c r="AM47" s="24">
        <f t="shared" si="76"/>
        <v>0</v>
      </c>
      <c r="AN47" s="23">
        <f t="shared" si="76"/>
        <v>0</v>
      </c>
      <c r="AO47" s="22">
        <f t="shared" si="64"/>
        <v>0</v>
      </c>
      <c r="AP47" s="24"/>
      <c r="AQ47" s="23"/>
      <c r="AR47" s="22">
        <f t="shared" si="65"/>
        <v>0</v>
      </c>
      <c r="AS47" s="24"/>
      <c r="AT47" s="23"/>
      <c r="AU47" s="22">
        <f t="shared" si="66"/>
        <v>0</v>
      </c>
      <c r="AV47" s="24"/>
      <c r="AW47" s="23"/>
      <c r="AX47" s="22">
        <f t="shared" si="67"/>
        <v>0</v>
      </c>
      <c r="AY47" s="23">
        <f t="shared" si="77"/>
        <v>0</v>
      </c>
      <c r="AZ47" s="23">
        <f t="shared" si="77"/>
        <v>0</v>
      </c>
      <c r="BA47" s="22">
        <f t="shared" si="68"/>
        <v>0</v>
      </c>
      <c r="BB47" s="24">
        <f t="shared" si="78"/>
        <v>0</v>
      </c>
      <c r="BC47" s="23">
        <f t="shared" si="78"/>
        <v>0</v>
      </c>
      <c r="BD47" s="22">
        <f t="shared" si="69"/>
        <v>0</v>
      </c>
      <c r="BE47" s="24"/>
      <c r="BF47" s="24"/>
      <c r="BG47" s="20">
        <f t="shared" si="79"/>
        <v>0</v>
      </c>
    </row>
    <row r="48" spans="1:59" ht="13.5" hidden="1" customHeight="1" outlineLevel="1" x14ac:dyDescent="0.25">
      <c r="A48" s="100"/>
      <c r="B48" s="84" t="s">
        <v>39</v>
      </c>
      <c r="C48" s="83" t="s">
        <v>32</v>
      </c>
      <c r="D48" s="20"/>
      <c r="E48" s="20"/>
      <c r="F48" s="24"/>
      <c r="G48" s="23"/>
      <c r="H48" s="22">
        <f t="shared" si="53"/>
        <v>0</v>
      </c>
      <c r="I48" s="24"/>
      <c r="J48" s="23"/>
      <c r="K48" s="22">
        <f t="shared" si="54"/>
        <v>0</v>
      </c>
      <c r="L48" s="24"/>
      <c r="M48" s="23"/>
      <c r="N48" s="22">
        <f t="shared" si="55"/>
        <v>0</v>
      </c>
      <c r="O48" s="24">
        <f t="shared" si="74"/>
        <v>0</v>
      </c>
      <c r="P48" s="23">
        <f t="shared" si="74"/>
        <v>0</v>
      </c>
      <c r="Q48" s="22">
        <f t="shared" si="56"/>
        <v>0</v>
      </c>
      <c r="R48" s="24"/>
      <c r="S48" s="23"/>
      <c r="T48" s="22">
        <f t="shared" si="57"/>
        <v>0</v>
      </c>
      <c r="U48" s="24"/>
      <c r="V48" s="23"/>
      <c r="W48" s="22">
        <f t="shared" si="58"/>
        <v>0</v>
      </c>
      <c r="X48" s="24"/>
      <c r="Y48" s="23"/>
      <c r="Z48" s="22">
        <f t="shared" si="59"/>
        <v>0</v>
      </c>
      <c r="AA48" s="24">
        <f t="shared" si="75"/>
        <v>0</v>
      </c>
      <c r="AB48" s="23">
        <f t="shared" si="75"/>
        <v>0</v>
      </c>
      <c r="AC48" s="22">
        <f t="shared" si="60"/>
        <v>0</v>
      </c>
      <c r="AD48" s="24"/>
      <c r="AE48" s="23"/>
      <c r="AF48" s="22">
        <f t="shared" si="61"/>
        <v>0</v>
      </c>
      <c r="AG48" s="24"/>
      <c r="AH48" s="23"/>
      <c r="AI48" s="22">
        <f t="shared" si="62"/>
        <v>0</v>
      </c>
      <c r="AJ48" s="24"/>
      <c r="AK48" s="23"/>
      <c r="AL48" s="22">
        <f t="shared" si="63"/>
        <v>0</v>
      </c>
      <c r="AM48" s="24">
        <f t="shared" si="76"/>
        <v>0</v>
      </c>
      <c r="AN48" s="23">
        <f t="shared" si="76"/>
        <v>0</v>
      </c>
      <c r="AO48" s="22">
        <f t="shared" si="64"/>
        <v>0</v>
      </c>
      <c r="AP48" s="24"/>
      <c r="AQ48" s="23"/>
      <c r="AR48" s="22">
        <f t="shared" si="65"/>
        <v>0</v>
      </c>
      <c r="AS48" s="24"/>
      <c r="AT48" s="23"/>
      <c r="AU48" s="22">
        <f t="shared" si="66"/>
        <v>0</v>
      </c>
      <c r="AV48" s="24"/>
      <c r="AW48" s="23"/>
      <c r="AX48" s="22">
        <f t="shared" si="67"/>
        <v>0</v>
      </c>
      <c r="AY48" s="23">
        <f t="shared" si="77"/>
        <v>0</v>
      </c>
      <c r="AZ48" s="23">
        <f t="shared" si="77"/>
        <v>0</v>
      </c>
      <c r="BA48" s="22">
        <f t="shared" si="68"/>
        <v>0</v>
      </c>
      <c r="BB48" s="24">
        <f t="shared" si="78"/>
        <v>0</v>
      </c>
      <c r="BC48" s="23">
        <f t="shared" si="78"/>
        <v>0</v>
      </c>
      <c r="BD48" s="22">
        <f t="shared" si="69"/>
        <v>0</v>
      </c>
      <c r="BE48" s="24"/>
      <c r="BF48" s="24"/>
      <c r="BG48" s="20">
        <f t="shared" si="79"/>
        <v>0</v>
      </c>
    </row>
    <row r="49" spans="1:59" ht="13.5" hidden="1" customHeight="1" outlineLevel="1" x14ac:dyDescent="0.25">
      <c r="A49" s="100"/>
      <c r="B49" s="84" t="s">
        <v>40</v>
      </c>
      <c r="C49" s="83" t="s">
        <v>32</v>
      </c>
      <c r="D49" s="20"/>
      <c r="E49" s="20"/>
      <c r="F49" s="24"/>
      <c r="G49" s="23"/>
      <c r="H49" s="22">
        <f t="shared" si="53"/>
        <v>0</v>
      </c>
      <c r="I49" s="24"/>
      <c r="J49" s="23"/>
      <c r="K49" s="22">
        <f t="shared" si="54"/>
        <v>0</v>
      </c>
      <c r="L49" s="24"/>
      <c r="M49" s="23"/>
      <c r="N49" s="22">
        <f t="shared" si="55"/>
        <v>0</v>
      </c>
      <c r="O49" s="24">
        <f t="shared" si="74"/>
        <v>0</v>
      </c>
      <c r="P49" s="23">
        <f t="shared" si="74"/>
        <v>0</v>
      </c>
      <c r="Q49" s="22">
        <f t="shared" si="56"/>
        <v>0</v>
      </c>
      <c r="R49" s="24"/>
      <c r="S49" s="23"/>
      <c r="T49" s="22">
        <f t="shared" si="57"/>
        <v>0</v>
      </c>
      <c r="U49" s="24"/>
      <c r="V49" s="23"/>
      <c r="W49" s="22">
        <f t="shared" si="58"/>
        <v>0</v>
      </c>
      <c r="X49" s="24"/>
      <c r="Y49" s="23"/>
      <c r="Z49" s="22">
        <f t="shared" si="59"/>
        <v>0</v>
      </c>
      <c r="AA49" s="24">
        <f t="shared" si="75"/>
        <v>0</v>
      </c>
      <c r="AB49" s="23">
        <f t="shared" si="75"/>
        <v>0</v>
      </c>
      <c r="AC49" s="22">
        <f t="shared" si="60"/>
        <v>0</v>
      </c>
      <c r="AD49" s="24"/>
      <c r="AE49" s="23"/>
      <c r="AF49" s="22">
        <f t="shared" si="61"/>
        <v>0</v>
      </c>
      <c r="AG49" s="24"/>
      <c r="AH49" s="23"/>
      <c r="AI49" s="22">
        <f t="shared" si="62"/>
        <v>0</v>
      </c>
      <c r="AJ49" s="24"/>
      <c r="AK49" s="23"/>
      <c r="AL49" s="22">
        <f t="shared" si="63"/>
        <v>0</v>
      </c>
      <c r="AM49" s="24">
        <f t="shared" si="76"/>
        <v>0</v>
      </c>
      <c r="AN49" s="23">
        <f t="shared" si="76"/>
        <v>0</v>
      </c>
      <c r="AO49" s="22">
        <f t="shared" si="64"/>
        <v>0</v>
      </c>
      <c r="AP49" s="24"/>
      <c r="AQ49" s="23"/>
      <c r="AR49" s="22">
        <f t="shared" si="65"/>
        <v>0</v>
      </c>
      <c r="AS49" s="24"/>
      <c r="AT49" s="23"/>
      <c r="AU49" s="22">
        <f t="shared" si="66"/>
        <v>0</v>
      </c>
      <c r="AV49" s="24"/>
      <c r="AW49" s="23"/>
      <c r="AX49" s="22">
        <f t="shared" si="67"/>
        <v>0</v>
      </c>
      <c r="AY49" s="23">
        <f t="shared" si="77"/>
        <v>0</v>
      </c>
      <c r="AZ49" s="23">
        <f t="shared" si="77"/>
        <v>0</v>
      </c>
      <c r="BA49" s="22">
        <f t="shared" si="68"/>
        <v>0</v>
      </c>
      <c r="BB49" s="24">
        <f t="shared" si="78"/>
        <v>0</v>
      </c>
      <c r="BC49" s="23">
        <f t="shared" si="78"/>
        <v>0</v>
      </c>
      <c r="BD49" s="22">
        <f t="shared" si="69"/>
        <v>0</v>
      </c>
      <c r="BE49" s="24"/>
      <c r="BF49" s="24"/>
      <c r="BG49" s="20">
        <f t="shared" si="79"/>
        <v>0</v>
      </c>
    </row>
    <row r="50" spans="1:59" ht="13.5" hidden="1" customHeight="1" outlineLevel="1" x14ac:dyDescent="0.25">
      <c r="A50" s="100"/>
      <c r="B50" s="84" t="s">
        <v>41</v>
      </c>
      <c r="C50" s="83" t="s">
        <v>32</v>
      </c>
      <c r="D50" s="20"/>
      <c r="E50" s="20"/>
      <c r="F50" s="24"/>
      <c r="G50" s="23"/>
      <c r="H50" s="22">
        <f t="shared" si="53"/>
        <v>0</v>
      </c>
      <c r="I50" s="24"/>
      <c r="J50" s="23"/>
      <c r="K50" s="22">
        <f t="shared" si="54"/>
        <v>0</v>
      </c>
      <c r="L50" s="24"/>
      <c r="M50" s="23"/>
      <c r="N50" s="22">
        <f t="shared" si="55"/>
        <v>0</v>
      </c>
      <c r="O50" s="24">
        <f t="shared" si="74"/>
        <v>0</v>
      </c>
      <c r="P50" s="23">
        <f t="shared" si="74"/>
        <v>0</v>
      </c>
      <c r="Q50" s="22">
        <f t="shared" si="56"/>
        <v>0</v>
      </c>
      <c r="R50" s="24"/>
      <c r="S50" s="23"/>
      <c r="T50" s="22">
        <f t="shared" si="57"/>
        <v>0</v>
      </c>
      <c r="U50" s="24"/>
      <c r="V50" s="23"/>
      <c r="W50" s="22">
        <f t="shared" si="58"/>
        <v>0</v>
      </c>
      <c r="X50" s="24"/>
      <c r="Y50" s="23"/>
      <c r="Z50" s="22">
        <f t="shared" si="59"/>
        <v>0</v>
      </c>
      <c r="AA50" s="24">
        <f t="shared" si="75"/>
        <v>0</v>
      </c>
      <c r="AB50" s="23">
        <f t="shared" si="75"/>
        <v>0</v>
      </c>
      <c r="AC50" s="22">
        <f t="shared" si="60"/>
        <v>0</v>
      </c>
      <c r="AD50" s="24"/>
      <c r="AE50" s="23"/>
      <c r="AF50" s="22">
        <f t="shared" si="61"/>
        <v>0</v>
      </c>
      <c r="AG50" s="24"/>
      <c r="AH50" s="23"/>
      <c r="AI50" s="22">
        <f t="shared" si="62"/>
        <v>0</v>
      </c>
      <c r="AJ50" s="24"/>
      <c r="AK50" s="23"/>
      <c r="AL50" s="22">
        <f t="shared" si="63"/>
        <v>0</v>
      </c>
      <c r="AM50" s="24">
        <f t="shared" si="76"/>
        <v>0</v>
      </c>
      <c r="AN50" s="23">
        <f t="shared" si="76"/>
        <v>0</v>
      </c>
      <c r="AO50" s="22">
        <f t="shared" si="64"/>
        <v>0</v>
      </c>
      <c r="AP50" s="24"/>
      <c r="AQ50" s="23"/>
      <c r="AR50" s="22">
        <f t="shared" si="65"/>
        <v>0</v>
      </c>
      <c r="AS50" s="24"/>
      <c r="AT50" s="23"/>
      <c r="AU50" s="22">
        <f t="shared" si="66"/>
        <v>0</v>
      </c>
      <c r="AV50" s="24"/>
      <c r="AW50" s="23"/>
      <c r="AX50" s="22">
        <f t="shared" si="67"/>
        <v>0</v>
      </c>
      <c r="AY50" s="23">
        <f t="shared" si="77"/>
        <v>0</v>
      </c>
      <c r="AZ50" s="23">
        <f t="shared" si="77"/>
        <v>0</v>
      </c>
      <c r="BA50" s="22">
        <f t="shared" si="68"/>
        <v>0</v>
      </c>
      <c r="BB50" s="24">
        <f t="shared" si="78"/>
        <v>0</v>
      </c>
      <c r="BC50" s="23">
        <f t="shared" si="78"/>
        <v>0</v>
      </c>
      <c r="BD50" s="22">
        <f t="shared" si="69"/>
        <v>0</v>
      </c>
      <c r="BE50" s="24"/>
      <c r="BF50" s="24"/>
      <c r="BG50" s="20">
        <f t="shared" si="79"/>
        <v>0</v>
      </c>
    </row>
    <row r="51" spans="1:59" ht="13.5" hidden="1" customHeight="1" outlineLevel="1" x14ac:dyDescent="0.25">
      <c r="A51" s="100"/>
      <c r="B51" s="84" t="s">
        <v>42</v>
      </c>
      <c r="C51" s="83" t="s">
        <v>32</v>
      </c>
      <c r="D51" s="20"/>
      <c r="E51" s="20"/>
      <c r="F51" s="24"/>
      <c r="G51" s="23"/>
      <c r="H51" s="22">
        <f t="shared" si="53"/>
        <v>0</v>
      </c>
      <c r="I51" s="24"/>
      <c r="J51" s="23"/>
      <c r="K51" s="22">
        <f t="shared" si="54"/>
        <v>0</v>
      </c>
      <c r="L51" s="24"/>
      <c r="M51" s="23"/>
      <c r="N51" s="22">
        <f t="shared" si="55"/>
        <v>0</v>
      </c>
      <c r="O51" s="24">
        <f t="shared" si="74"/>
        <v>0</v>
      </c>
      <c r="P51" s="23">
        <f t="shared" si="74"/>
        <v>0</v>
      </c>
      <c r="Q51" s="22">
        <f t="shared" si="56"/>
        <v>0</v>
      </c>
      <c r="R51" s="24"/>
      <c r="S51" s="23"/>
      <c r="T51" s="22">
        <f t="shared" si="57"/>
        <v>0</v>
      </c>
      <c r="U51" s="24"/>
      <c r="V51" s="23"/>
      <c r="W51" s="22">
        <f t="shared" si="58"/>
        <v>0</v>
      </c>
      <c r="X51" s="24"/>
      <c r="Y51" s="23"/>
      <c r="Z51" s="22">
        <f t="shared" si="59"/>
        <v>0</v>
      </c>
      <c r="AA51" s="24">
        <f t="shared" si="75"/>
        <v>0</v>
      </c>
      <c r="AB51" s="23">
        <f t="shared" si="75"/>
        <v>0</v>
      </c>
      <c r="AC51" s="22">
        <f t="shared" si="60"/>
        <v>0</v>
      </c>
      <c r="AD51" s="24"/>
      <c r="AE51" s="23"/>
      <c r="AF51" s="22">
        <f t="shared" si="61"/>
        <v>0</v>
      </c>
      <c r="AG51" s="24"/>
      <c r="AH51" s="23"/>
      <c r="AI51" s="22">
        <f t="shared" si="62"/>
        <v>0</v>
      </c>
      <c r="AJ51" s="24"/>
      <c r="AK51" s="23"/>
      <c r="AL51" s="22">
        <f t="shared" si="63"/>
        <v>0</v>
      </c>
      <c r="AM51" s="24">
        <f t="shared" si="76"/>
        <v>0</v>
      </c>
      <c r="AN51" s="23">
        <f t="shared" si="76"/>
        <v>0</v>
      </c>
      <c r="AO51" s="22">
        <f t="shared" si="64"/>
        <v>0</v>
      </c>
      <c r="AP51" s="24"/>
      <c r="AQ51" s="23"/>
      <c r="AR51" s="22">
        <f t="shared" si="65"/>
        <v>0</v>
      </c>
      <c r="AS51" s="24"/>
      <c r="AT51" s="23"/>
      <c r="AU51" s="22">
        <f t="shared" si="66"/>
        <v>0</v>
      </c>
      <c r="AV51" s="24"/>
      <c r="AW51" s="23"/>
      <c r="AX51" s="22">
        <f t="shared" si="67"/>
        <v>0</v>
      </c>
      <c r="AY51" s="23">
        <f t="shared" si="77"/>
        <v>0</v>
      </c>
      <c r="AZ51" s="23">
        <f t="shared" si="77"/>
        <v>0</v>
      </c>
      <c r="BA51" s="22">
        <f t="shared" si="68"/>
        <v>0</v>
      </c>
      <c r="BB51" s="24">
        <f t="shared" si="78"/>
        <v>0</v>
      </c>
      <c r="BC51" s="23">
        <f t="shared" si="78"/>
        <v>0</v>
      </c>
      <c r="BD51" s="22">
        <f t="shared" si="69"/>
        <v>0</v>
      </c>
      <c r="BE51" s="24"/>
      <c r="BF51" s="24"/>
      <c r="BG51" s="20">
        <f t="shared" si="79"/>
        <v>0</v>
      </c>
    </row>
    <row r="52" spans="1:59" s="210" customFormat="1" ht="13.5" customHeight="1" collapsed="1" x14ac:dyDescent="0.25">
      <c r="A52" s="103"/>
      <c r="B52" s="102" t="s">
        <v>43</v>
      </c>
      <c r="C52" s="101" t="s">
        <v>32</v>
      </c>
      <c r="D52" s="188">
        <f>SUM(D53:D70)</f>
        <v>0</v>
      </c>
      <c r="E52" s="188">
        <f>SUM(E53:E70)</f>
        <v>0</v>
      </c>
      <c r="F52" s="191">
        <f>SUM(F53:F70)</f>
        <v>0</v>
      </c>
      <c r="G52" s="189">
        <f>SUM(G53:G70)</f>
        <v>0</v>
      </c>
      <c r="H52" s="190">
        <f t="shared" si="53"/>
        <v>0</v>
      </c>
      <c r="I52" s="191">
        <f>SUM(I53:I70)</f>
        <v>0</v>
      </c>
      <c r="J52" s="189">
        <f>SUM(J53:J70)</f>
        <v>0</v>
      </c>
      <c r="K52" s="190">
        <f t="shared" si="54"/>
        <v>0</v>
      </c>
      <c r="L52" s="191">
        <f>SUM(L53:L70)</f>
        <v>0</v>
      </c>
      <c r="M52" s="189">
        <f>SUM(M53:M70)</f>
        <v>0</v>
      </c>
      <c r="N52" s="190">
        <f t="shared" si="55"/>
        <v>0</v>
      </c>
      <c r="O52" s="191">
        <f>SUM(O53:O70)</f>
        <v>0</v>
      </c>
      <c r="P52" s="189">
        <f>SUM(P53:P70)</f>
        <v>0</v>
      </c>
      <c r="Q52" s="190">
        <f t="shared" si="56"/>
        <v>0</v>
      </c>
      <c r="R52" s="191">
        <f>SUM(R53:R70)</f>
        <v>0</v>
      </c>
      <c r="S52" s="189">
        <f>SUM(S53:S70)</f>
        <v>0</v>
      </c>
      <c r="T52" s="190">
        <f t="shared" si="57"/>
        <v>0</v>
      </c>
      <c r="U52" s="191">
        <f>SUM(U53:U70)</f>
        <v>0</v>
      </c>
      <c r="V52" s="189">
        <f>SUM(V53:V70)</f>
        <v>0</v>
      </c>
      <c r="W52" s="190">
        <f t="shared" si="58"/>
        <v>0</v>
      </c>
      <c r="X52" s="191">
        <f>SUM(X53:X70)</f>
        <v>0</v>
      </c>
      <c r="Y52" s="189">
        <f>SUM(Y53:Y70)</f>
        <v>0</v>
      </c>
      <c r="Z52" s="190">
        <f t="shared" si="59"/>
        <v>0</v>
      </c>
      <c r="AA52" s="191">
        <f>SUM(AA53:AA70)</f>
        <v>0</v>
      </c>
      <c r="AB52" s="189">
        <f>SUM(AB53:AB70)</f>
        <v>0</v>
      </c>
      <c r="AC52" s="190">
        <f t="shared" si="60"/>
        <v>0</v>
      </c>
      <c r="AD52" s="191">
        <f>SUM(AD53:AD70)</f>
        <v>0</v>
      </c>
      <c r="AE52" s="189">
        <f>SUM(AE53:AE70)</f>
        <v>0</v>
      </c>
      <c r="AF52" s="190">
        <f t="shared" si="61"/>
        <v>0</v>
      </c>
      <c r="AG52" s="191">
        <f>SUM(AG53:AG70)</f>
        <v>0</v>
      </c>
      <c r="AH52" s="189">
        <f>SUM(AH53:AH70)</f>
        <v>0</v>
      </c>
      <c r="AI52" s="190">
        <f t="shared" si="62"/>
        <v>0</v>
      </c>
      <c r="AJ52" s="191">
        <f>SUM(AJ53:AJ70)</f>
        <v>0</v>
      </c>
      <c r="AK52" s="189">
        <f>SUM(AK53:AK70)</f>
        <v>0</v>
      </c>
      <c r="AL52" s="190">
        <f t="shared" si="63"/>
        <v>0</v>
      </c>
      <c r="AM52" s="191">
        <f>SUM(AM53:AM70)</f>
        <v>0</v>
      </c>
      <c r="AN52" s="189">
        <f>SUM(AN53:AN70)</f>
        <v>0</v>
      </c>
      <c r="AO52" s="190">
        <f t="shared" si="64"/>
        <v>0</v>
      </c>
      <c r="AP52" s="191">
        <f>SUM(AP53:AP70)</f>
        <v>0</v>
      </c>
      <c r="AQ52" s="189">
        <f>SUM(AQ53:AQ70)</f>
        <v>0</v>
      </c>
      <c r="AR52" s="190">
        <f t="shared" si="65"/>
        <v>0</v>
      </c>
      <c r="AS52" s="191">
        <f>SUM(AS53:AS70)</f>
        <v>0</v>
      </c>
      <c r="AT52" s="189">
        <f>SUM(AT53:AT70)</f>
        <v>0</v>
      </c>
      <c r="AU52" s="190">
        <f t="shared" si="66"/>
        <v>0</v>
      </c>
      <c r="AV52" s="191">
        <f>SUM(AV53:AV70)</f>
        <v>0</v>
      </c>
      <c r="AW52" s="189">
        <f>SUM(AW53:AW70)</f>
        <v>0</v>
      </c>
      <c r="AX52" s="190">
        <f t="shared" si="67"/>
        <v>0</v>
      </c>
      <c r="AY52" s="189">
        <f>SUM(AY53:AY70)</f>
        <v>0</v>
      </c>
      <c r="AZ52" s="189">
        <f>SUM(AZ53:AZ70)</f>
        <v>0</v>
      </c>
      <c r="BA52" s="190">
        <f t="shared" si="68"/>
        <v>0</v>
      </c>
      <c r="BB52" s="191">
        <f>SUM(BB53:BB70)</f>
        <v>0</v>
      </c>
      <c r="BC52" s="189">
        <f>SUM(BC53:BC70)</f>
        <v>0</v>
      </c>
      <c r="BD52" s="190">
        <f t="shared" si="69"/>
        <v>0</v>
      </c>
      <c r="BE52" s="191">
        <f t="shared" ref="BE52:BF52" si="80">SUM(BE53:BE70)</f>
        <v>0</v>
      </c>
      <c r="BF52" s="191">
        <f t="shared" si="80"/>
        <v>0</v>
      </c>
      <c r="BG52" s="188">
        <f t="shared" ref="BG52" si="81">SUM(BG53:BG70)</f>
        <v>0</v>
      </c>
    </row>
    <row r="53" spans="1:59" ht="13.5" hidden="1" customHeight="1" outlineLevel="1" x14ac:dyDescent="0.25">
      <c r="A53" s="100"/>
      <c r="B53" s="84" t="s">
        <v>44</v>
      </c>
      <c r="C53" s="83" t="s">
        <v>32</v>
      </c>
      <c r="D53" s="20"/>
      <c r="E53" s="20"/>
      <c r="F53" s="24"/>
      <c r="G53" s="23"/>
      <c r="H53" s="22">
        <f t="shared" si="53"/>
        <v>0</v>
      </c>
      <c r="I53" s="24"/>
      <c r="J53" s="23"/>
      <c r="K53" s="22">
        <f t="shared" si="54"/>
        <v>0</v>
      </c>
      <c r="L53" s="24"/>
      <c r="M53" s="23"/>
      <c r="N53" s="22">
        <f t="shared" si="55"/>
        <v>0</v>
      </c>
      <c r="O53" s="24">
        <f t="shared" ref="O53:P68" si="82">SUM(F53,I53,L53)</f>
        <v>0</v>
      </c>
      <c r="P53" s="23">
        <f t="shared" si="82"/>
        <v>0</v>
      </c>
      <c r="Q53" s="22">
        <f t="shared" si="56"/>
        <v>0</v>
      </c>
      <c r="R53" s="24"/>
      <c r="S53" s="23"/>
      <c r="T53" s="22">
        <f t="shared" si="57"/>
        <v>0</v>
      </c>
      <c r="U53" s="24"/>
      <c r="V53" s="23"/>
      <c r="W53" s="22">
        <f t="shared" si="58"/>
        <v>0</v>
      </c>
      <c r="X53" s="24"/>
      <c r="Y53" s="23"/>
      <c r="Z53" s="22">
        <f t="shared" si="59"/>
        <v>0</v>
      </c>
      <c r="AA53" s="24">
        <f t="shared" ref="AA53:AB68" si="83">SUM(R53,U53,X53)</f>
        <v>0</v>
      </c>
      <c r="AB53" s="23">
        <f t="shared" si="83"/>
        <v>0</v>
      </c>
      <c r="AC53" s="22">
        <f t="shared" si="60"/>
        <v>0</v>
      </c>
      <c r="AD53" s="24"/>
      <c r="AE53" s="23"/>
      <c r="AF53" s="22">
        <f t="shared" si="61"/>
        <v>0</v>
      </c>
      <c r="AG53" s="24"/>
      <c r="AH53" s="23"/>
      <c r="AI53" s="22">
        <f t="shared" si="62"/>
        <v>0</v>
      </c>
      <c r="AJ53" s="24"/>
      <c r="AK53" s="23"/>
      <c r="AL53" s="22">
        <f t="shared" si="63"/>
        <v>0</v>
      </c>
      <c r="AM53" s="24">
        <f t="shared" ref="AM53:AN68" si="84">SUM(AD53,AG53,AJ53)</f>
        <v>0</v>
      </c>
      <c r="AN53" s="23">
        <f t="shared" si="84"/>
        <v>0</v>
      </c>
      <c r="AO53" s="22">
        <f t="shared" si="64"/>
        <v>0</v>
      </c>
      <c r="AP53" s="24"/>
      <c r="AQ53" s="23"/>
      <c r="AR53" s="22">
        <f t="shared" si="65"/>
        <v>0</v>
      </c>
      <c r="AS53" s="24"/>
      <c r="AT53" s="23"/>
      <c r="AU53" s="22">
        <f t="shared" si="66"/>
        <v>0</v>
      </c>
      <c r="AV53" s="24"/>
      <c r="AW53" s="23"/>
      <c r="AX53" s="22">
        <f t="shared" si="67"/>
        <v>0</v>
      </c>
      <c r="AY53" s="23">
        <f t="shared" ref="AY53:AZ68" si="85">SUM(AP53,AS53,AV53)</f>
        <v>0</v>
      </c>
      <c r="AZ53" s="23">
        <f t="shared" si="85"/>
        <v>0</v>
      </c>
      <c r="BA53" s="22">
        <f t="shared" si="68"/>
        <v>0</v>
      </c>
      <c r="BB53" s="24">
        <f t="shared" ref="BB53:BC68" si="86">SUM(F53,I53,L53,R53,U53,X53,AD53,AG53,AJ53,AP53,AS53,AV53)</f>
        <v>0</v>
      </c>
      <c r="BC53" s="23">
        <f t="shared" si="86"/>
        <v>0</v>
      </c>
      <c r="BD53" s="22">
        <f t="shared" si="69"/>
        <v>0</v>
      </c>
      <c r="BE53" s="24"/>
      <c r="BF53" s="24"/>
      <c r="BG53" s="20">
        <f>BB53+BE53+BF53</f>
        <v>0</v>
      </c>
    </row>
    <row r="54" spans="1:59" ht="13.5" hidden="1" customHeight="1" outlineLevel="1" x14ac:dyDescent="0.25">
      <c r="A54" s="100"/>
      <c r="B54" s="84" t="s">
        <v>45</v>
      </c>
      <c r="C54" s="83" t="s">
        <v>32</v>
      </c>
      <c r="D54" s="20"/>
      <c r="E54" s="20"/>
      <c r="F54" s="24"/>
      <c r="G54" s="23"/>
      <c r="H54" s="22">
        <f t="shared" si="53"/>
        <v>0</v>
      </c>
      <c r="I54" s="24"/>
      <c r="J54" s="23"/>
      <c r="K54" s="22">
        <f t="shared" si="54"/>
        <v>0</v>
      </c>
      <c r="L54" s="24"/>
      <c r="M54" s="23"/>
      <c r="N54" s="22">
        <f t="shared" si="55"/>
        <v>0</v>
      </c>
      <c r="O54" s="24">
        <f t="shared" si="82"/>
        <v>0</v>
      </c>
      <c r="P54" s="23">
        <f t="shared" si="82"/>
        <v>0</v>
      </c>
      <c r="Q54" s="22">
        <f t="shared" si="56"/>
        <v>0</v>
      </c>
      <c r="R54" s="24"/>
      <c r="S54" s="23"/>
      <c r="T54" s="22">
        <f t="shared" si="57"/>
        <v>0</v>
      </c>
      <c r="U54" s="24"/>
      <c r="V54" s="23"/>
      <c r="W54" s="22">
        <f t="shared" si="58"/>
        <v>0</v>
      </c>
      <c r="X54" s="24"/>
      <c r="Y54" s="23"/>
      <c r="Z54" s="22">
        <f t="shared" si="59"/>
        <v>0</v>
      </c>
      <c r="AA54" s="24">
        <f t="shared" si="83"/>
        <v>0</v>
      </c>
      <c r="AB54" s="23">
        <f t="shared" si="83"/>
        <v>0</v>
      </c>
      <c r="AC54" s="22">
        <f t="shared" si="60"/>
        <v>0</v>
      </c>
      <c r="AD54" s="24"/>
      <c r="AE54" s="23"/>
      <c r="AF54" s="22">
        <f t="shared" si="61"/>
        <v>0</v>
      </c>
      <c r="AG54" s="24"/>
      <c r="AH54" s="23"/>
      <c r="AI54" s="22">
        <f t="shared" si="62"/>
        <v>0</v>
      </c>
      <c r="AJ54" s="24"/>
      <c r="AK54" s="23"/>
      <c r="AL54" s="22">
        <f t="shared" si="63"/>
        <v>0</v>
      </c>
      <c r="AM54" s="24">
        <f t="shared" si="84"/>
        <v>0</v>
      </c>
      <c r="AN54" s="23">
        <f t="shared" si="84"/>
        <v>0</v>
      </c>
      <c r="AO54" s="22">
        <f t="shared" si="64"/>
        <v>0</v>
      </c>
      <c r="AP54" s="24"/>
      <c r="AQ54" s="23"/>
      <c r="AR54" s="22">
        <f t="shared" si="65"/>
        <v>0</v>
      </c>
      <c r="AS54" s="24"/>
      <c r="AT54" s="23"/>
      <c r="AU54" s="22">
        <f t="shared" si="66"/>
        <v>0</v>
      </c>
      <c r="AV54" s="24"/>
      <c r="AW54" s="23"/>
      <c r="AX54" s="22">
        <f t="shared" si="67"/>
        <v>0</v>
      </c>
      <c r="AY54" s="23">
        <f t="shared" si="85"/>
        <v>0</v>
      </c>
      <c r="AZ54" s="23">
        <f t="shared" si="85"/>
        <v>0</v>
      </c>
      <c r="BA54" s="22">
        <f t="shared" si="68"/>
        <v>0</v>
      </c>
      <c r="BB54" s="24">
        <f t="shared" si="86"/>
        <v>0</v>
      </c>
      <c r="BC54" s="23">
        <f t="shared" si="86"/>
        <v>0</v>
      </c>
      <c r="BD54" s="22">
        <f t="shared" si="69"/>
        <v>0</v>
      </c>
      <c r="BE54" s="24"/>
      <c r="BF54" s="24"/>
      <c r="BG54" s="20">
        <f t="shared" ref="BG54:BG70" si="87">BB54+BE54+BF54</f>
        <v>0</v>
      </c>
    </row>
    <row r="55" spans="1:59" ht="13.5" hidden="1" customHeight="1" outlineLevel="1" x14ac:dyDescent="0.25">
      <c r="A55" s="100"/>
      <c r="B55" s="84" t="s">
        <v>46</v>
      </c>
      <c r="C55" s="83" t="s">
        <v>32</v>
      </c>
      <c r="D55" s="20"/>
      <c r="E55" s="20"/>
      <c r="F55" s="24"/>
      <c r="G55" s="23"/>
      <c r="H55" s="22">
        <f t="shared" si="53"/>
        <v>0</v>
      </c>
      <c r="I55" s="24"/>
      <c r="J55" s="23"/>
      <c r="K55" s="22">
        <f t="shared" si="54"/>
        <v>0</v>
      </c>
      <c r="L55" s="24"/>
      <c r="M55" s="23"/>
      <c r="N55" s="22">
        <f t="shared" si="55"/>
        <v>0</v>
      </c>
      <c r="O55" s="24">
        <f t="shared" si="82"/>
        <v>0</v>
      </c>
      <c r="P55" s="23">
        <f t="shared" si="82"/>
        <v>0</v>
      </c>
      <c r="Q55" s="22">
        <f t="shared" si="56"/>
        <v>0</v>
      </c>
      <c r="R55" s="24"/>
      <c r="S55" s="23"/>
      <c r="T55" s="22">
        <f t="shared" si="57"/>
        <v>0</v>
      </c>
      <c r="U55" s="24"/>
      <c r="V55" s="23"/>
      <c r="W55" s="22">
        <f t="shared" si="58"/>
        <v>0</v>
      </c>
      <c r="X55" s="24"/>
      <c r="Y55" s="23"/>
      <c r="Z55" s="22">
        <f t="shared" si="59"/>
        <v>0</v>
      </c>
      <c r="AA55" s="24">
        <f t="shared" si="83"/>
        <v>0</v>
      </c>
      <c r="AB55" s="23">
        <f t="shared" si="83"/>
        <v>0</v>
      </c>
      <c r="AC55" s="22">
        <f t="shared" si="60"/>
        <v>0</v>
      </c>
      <c r="AD55" s="24"/>
      <c r="AE55" s="23"/>
      <c r="AF55" s="22">
        <f t="shared" si="61"/>
        <v>0</v>
      </c>
      <c r="AG55" s="24"/>
      <c r="AH55" s="23"/>
      <c r="AI55" s="22">
        <f t="shared" si="62"/>
        <v>0</v>
      </c>
      <c r="AJ55" s="24"/>
      <c r="AK55" s="23"/>
      <c r="AL55" s="22">
        <f t="shared" si="63"/>
        <v>0</v>
      </c>
      <c r="AM55" s="24">
        <f t="shared" si="84"/>
        <v>0</v>
      </c>
      <c r="AN55" s="23">
        <f t="shared" si="84"/>
        <v>0</v>
      </c>
      <c r="AO55" s="22">
        <f t="shared" si="64"/>
        <v>0</v>
      </c>
      <c r="AP55" s="24"/>
      <c r="AQ55" s="23"/>
      <c r="AR55" s="22">
        <f t="shared" si="65"/>
        <v>0</v>
      </c>
      <c r="AS55" s="24"/>
      <c r="AT55" s="23"/>
      <c r="AU55" s="22">
        <f t="shared" si="66"/>
        <v>0</v>
      </c>
      <c r="AV55" s="24"/>
      <c r="AW55" s="23"/>
      <c r="AX55" s="22">
        <f t="shared" si="67"/>
        <v>0</v>
      </c>
      <c r="AY55" s="23">
        <f t="shared" si="85"/>
        <v>0</v>
      </c>
      <c r="AZ55" s="23">
        <f t="shared" si="85"/>
        <v>0</v>
      </c>
      <c r="BA55" s="22">
        <f t="shared" si="68"/>
        <v>0</v>
      </c>
      <c r="BB55" s="24">
        <f t="shared" si="86"/>
        <v>0</v>
      </c>
      <c r="BC55" s="23">
        <f t="shared" si="86"/>
        <v>0</v>
      </c>
      <c r="BD55" s="22">
        <f t="shared" si="69"/>
        <v>0</v>
      </c>
      <c r="BE55" s="24"/>
      <c r="BF55" s="24"/>
      <c r="BG55" s="20">
        <f t="shared" si="87"/>
        <v>0</v>
      </c>
    </row>
    <row r="56" spans="1:59" ht="13.5" hidden="1" customHeight="1" outlineLevel="1" x14ac:dyDescent="0.25">
      <c r="A56" s="100"/>
      <c r="B56" s="84" t="s">
        <v>47</v>
      </c>
      <c r="C56" s="83" t="s">
        <v>32</v>
      </c>
      <c r="D56" s="20"/>
      <c r="E56" s="20"/>
      <c r="F56" s="24"/>
      <c r="G56" s="23"/>
      <c r="H56" s="22">
        <f t="shared" si="53"/>
        <v>0</v>
      </c>
      <c r="I56" s="24"/>
      <c r="J56" s="23"/>
      <c r="K56" s="22">
        <f t="shared" si="54"/>
        <v>0</v>
      </c>
      <c r="L56" s="24"/>
      <c r="M56" s="23"/>
      <c r="N56" s="22">
        <f t="shared" si="55"/>
        <v>0</v>
      </c>
      <c r="O56" s="24">
        <f t="shared" si="82"/>
        <v>0</v>
      </c>
      <c r="P56" s="23">
        <f t="shared" si="82"/>
        <v>0</v>
      </c>
      <c r="Q56" s="22">
        <f t="shared" si="56"/>
        <v>0</v>
      </c>
      <c r="R56" s="24"/>
      <c r="S56" s="23"/>
      <c r="T56" s="22">
        <f t="shared" si="57"/>
        <v>0</v>
      </c>
      <c r="U56" s="24"/>
      <c r="V56" s="23"/>
      <c r="W56" s="22">
        <f t="shared" si="58"/>
        <v>0</v>
      </c>
      <c r="X56" s="24"/>
      <c r="Y56" s="23"/>
      <c r="Z56" s="22">
        <f t="shared" si="59"/>
        <v>0</v>
      </c>
      <c r="AA56" s="24">
        <f t="shared" si="83"/>
        <v>0</v>
      </c>
      <c r="AB56" s="23">
        <f t="shared" si="83"/>
        <v>0</v>
      </c>
      <c r="AC56" s="22">
        <f t="shared" si="60"/>
        <v>0</v>
      </c>
      <c r="AD56" s="24"/>
      <c r="AE56" s="23"/>
      <c r="AF56" s="22">
        <f t="shared" si="61"/>
        <v>0</v>
      </c>
      <c r="AG56" s="24"/>
      <c r="AH56" s="23"/>
      <c r="AI56" s="22">
        <f t="shared" si="62"/>
        <v>0</v>
      </c>
      <c r="AJ56" s="24"/>
      <c r="AK56" s="23"/>
      <c r="AL56" s="22">
        <f t="shared" si="63"/>
        <v>0</v>
      </c>
      <c r="AM56" s="24">
        <f t="shared" si="84"/>
        <v>0</v>
      </c>
      <c r="AN56" s="23">
        <f t="shared" si="84"/>
        <v>0</v>
      </c>
      <c r="AO56" s="22">
        <f t="shared" si="64"/>
        <v>0</v>
      </c>
      <c r="AP56" s="24"/>
      <c r="AQ56" s="23"/>
      <c r="AR56" s="22">
        <f t="shared" si="65"/>
        <v>0</v>
      </c>
      <c r="AS56" s="24"/>
      <c r="AT56" s="23"/>
      <c r="AU56" s="22">
        <f t="shared" si="66"/>
        <v>0</v>
      </c>
      <c r="AV56" s="24"/>
      <c r="AW56" s="23"/>
      <c r="AX56" s="22">
        <f t="shared" si="67"/>
        <v>0</v>
      </c>
      <c r="AY56" s="23">
        <f t="shared" si="85"/>
        <v>0</v>
      </c>
      <c r="AZ56" s="23">
        <f t="shared" si="85"/>
        <v>0</v>
      </c>
      <c r="BA56" s="22">
        <f t="shared" si="68"/>
        <v>0</v>
      </c>
      <c r="BB56" s="24">
        <f t="shared" si="86"/>
        <v>0</v>
      </c>
      <c r="BC56" s="23">
        <f t="shared" si="86"/>
        <v>0</v>
      </c>
      <c r="BD56" s="22">
        <f t="shared" si="69"/>
        <v>0</v>
      </c>
      <c r="BE56" s="24"/>
      <c r="BF56" s="24"/>
      <c r="BG56" s="20">
        <f t="shared" si="87"/>
        <v>0</v>
      </c>
    </row>
    <row r="57" spans="1:59" ht="13.5" hidden="1" customHeight="1" outlineLevel="1" x14ac:dyDescent="0.25">
      <c r="A57" s="100"/>
      <c r="B57" s="84" t="s">
        <v>48</v>
      </c>
      <c r="C57" s="83" t="s">
        <v>32</v>
      </c>
      <c r="D57" s="20"/>
      <c r="E57" s="20"/>
      <c r="F57" s="24"/>
      <c r="G57" s="23"/>
      <c r="H57" s="22">
        <f t="shared" ref="H57:H72" si="88">G57-F57</f>
        <v>0</v>
      </c>
      <c r="I57" s="24"/>
      <c r="J57" s="23"/>
      <c r="K57" s="22">
        <f t="shared" ref="K57:K72" si="89">J57-I57</f>
        <v>0</v>
      </c>
      <c r="L57" s="24"/>
      <c r="M57" s="23"/>
      <c r="N57" s="22">
        <f t="shared" ref="N57:N72" si="90">M57-L57</f>
        <v>0</v>
      </c>
      <c r="O57" s="24">
        <f t="shared" si="82"/>
        <v>0</v>
      </c>
      <c r="P57" s="23">
        <f t="shared" si="82"/>
        <v>0</v>
      </c>
      <c r="Q57" s="22">
        <f t="shared" ref="Q57:Q72" si="91">P57-O57</f>
        <v>0</v>
      </c>
      <c r="R57" s="24"/>
      <c r="S57" s="23"/>
      <c r="T57" s="22">
        <f t="shared" ref="T57:T72" si="92">S57-R57</f>
        <v>0</v>
      </c>
      <c r="U57" s="24"/>
      <c r="V57" s="23"/>
      <c r="W57" s="22">
        <f t="shared" ref="W57:W72" si="93">V57-U57</f>
        <v>0</v>
      </c>
      <c r="X57" s="24"/>
      <c r="Y57" s="23"/>
      <c r="Z57" s="22">
        <f t="shared" ref="Z57:Z72" si="94">Y57-X57</f>
        <v>0</v>
      </c>
      <c r="AA57" s="24">
        <f t="shared" si="83"/>
        <v>0</v>
      </c>
      <c r="AB57" s="23">
        <f t="shared" si="83"/>
        <v>0</v>
      </c>
      <c r="AC57" s="22">
        <f t="shared" ref="AC57:AC72" si="95">AB57-AA57</f>
        <v>0</v>
      </c>
      <c r="AD57" s="24"/>
      <c r="AE57" s="23"/>
      <c r="AF57" s="22">
        <f t="shared" ref="AF57:AF72" si="96">AE57-AD57</f>
        <v>0</v>
      </c>
      <c r="AG57" s="24"/>
      <c r="AH57" s="23"/>
      <c r="AI57" s="22">
        <f t="shared" ref="AI57:AI72" si="97">AH57-AG57</f>
        <v>0</v>
      </c>
      <c r="AJ57" s="24"/>
      <c r="AK57" s="23"/>
      <c r="AL57" s="22">
        <f t="shared" ref="AL57:AL72" si="98">AK57-AJ57</f>
        <v>0</v>
      </c>
      <c r="AM57" s="24">
        <f t="shared" si="84"/>
        <v>0</v>
      </c>
      <c r="AN57" s="23">
        <f t="shared" si="84"/>
        <v>0</v>
      </c>
      <c r="AO57" s="22">
        <f t="shared" ref="AO57:AO72" si="99">AN57-AM57</f>
        <v>0</v>
      </c>
      <c r="AP57" s="24"/>
      <c r="AQ57" s="23"/>
      <c r="AR57" s="22">
        <f t="shared" ref="AR57:AR72" si="100">AQ57-AP57</f>
        <v>0</v>
      </c>
      <c r="AS57" s="24"/>
      <c r="AT57" s="23"/>
      <c r="AU57" s="22">
        <f t="shared" ref="AU57:AU72" si="101">AT57-AS57</f>
        <v>0</v>
      </c>
      <c r="AV57" s="24"/>
      <c r="AW57" s="23"/>
      <c r="AX57" s="22">
        <f t="shared" ref="AX57:AX72" si="102">AW57-AV57</f>
        <v>0</v>
      </c>
      <c r="AY57" s="23">
        <f t="shared" si="85"/>
        <v>0</v>
      </c>
      <c r="AZ57" s="23">
        <f t="shared" si="85"/>
        <v>0</v>
      </c>
      <c r="BA57" s="22">
        <f t="shared" ref="BA57:BA72" si="103">AZ57-AY57</f>
        <v>0</v>
      </c>
      <c r="BB57" s="24">
        <f t="shared" si="86"/>
        <v>0</v>
      </c>
      <c r="BC57" s="23">
        <f t="shared" si="86"/>
        <v>0</v>
      </c>
      <c r="BD57" s="22">
        <f t="shared" ref="BD57:BD72" si="104">BC57-BB57</f>
        <v>0</v>
      </c>
      <c r="BE57" s="24"/>
      <c r="BF57" s="24"/>
      <c r="BG57" s="20">
        <f t="shared" si="87"/>
        <v>0</v>
      </c>
    </row>
    <row r="58" spans="1:59" ht="13.5" hidden="1" customHeight="1" outlineLevel="1" x14ac:dyDescent="0.25">
      <c r="A58" s="100"/>
      <c r="B58" s="84" t="s">
        <v>49</v>
      </c>
      <c r="C58" s="83" t="s">
        <v>32</v>
      </c>
      <c r="D58" s="20"/>
      <c r="E58" s="20"/>
      <c r="F58" s="24"/>
      <c r="G58" s="23"/>
      <c r="H58" s="22">
        <f t="shared" si="88"/>
        <v>0</v>
      </c>
      <c r="I58" s="24"/>
      <c r="J58" s="23"/>
      <c r="K58" s="22">
        <f t="shared" si="89"/>
        <v>0</v>
      </c>
      <c r="L58" s="24"/>
      <c r="M58" s="23"/>
      <c r="N58" s="22">
        <f t="shared" si="90"/>
        <v>0</v>
      </c>
      <c r="O58" s="24">
        <f t="shared" si="82"/>
        <v>0</v>
      </c>
      <c r="P58" s="23">
        <f t="shared" si="82"/>
        <v>0</v>
      </c>
      <c r="Q58" s="22">
        <f t="shared" si="91"/>
        <v>0</v>
      </c>
      <c r="R58" s="24"/>
      <c r="S58" s="23"/>
      <c r="T58" s="22">
        <f t="shared" si="92"/>
        <v>0</v>
      </c>
      <c r="U58" s="24"/>
      <c r="V58" s="23"/>
      <c r="W58" s="22">
        <f t="shared" si="93"/>
        <v>0</v>
      </c>
      <c r="X58" s="24"/>
      <c r="Y58" s="23"/>
      <c r="Z58" s="22">
        <f t="shared" si="94"/>
        <v>0</v>
      </c>
      <c r="AA58" s="24">
        <f t="shared" si="83"/>
        <v>0</v>
      </c>
      <c r="AB58" s="23">
        <f t="shared" si="83"/>
        <v>0</v>
      </c>
      <c r="AC58" s="22">
        <f t="shared" si="95"/>
        <v>0</v>
      </c>
      <c r="AD58" s="24"/>
      <c r="AE58" s="23"/>
      <c r="AF58" s="22">
        <f t="shared" si="96"/>
        <v>0</v>
      </c>
      <c r="AG58" s="24"/>
      <c r="AH58" s="23"/>
      <c r="AI58" s="22">
        <f t="shared" si="97"/>
        <v>0</v>
      </c>
      <c r="AJ58" s="24"/>
      <c r="AK58" s="23"/>
      <c r="AL58" s="22">
        <f t="shared" si="98"/>
        <v>0</v>
      </c>
      <c r="AM58" s="24">
        <f t="shared" si="84"/>
        <v>0</v>
      </c>
      <c r="AN58" s="23">
        <f t="shared" si="84"/>
        <v>0</v>
      </c>
      <c r="AO58" s="22">
        <f t="shared" si="99"/>
        <v>0</v>
      </c>
      <c r="AP58" s="24"/>
      <c r="AQ58" s="23"/>
      <c r="AR58" s="22">
        <f t="shared" si="100"/>
        <v>0</v>
      </c>
      <c r="AS58" s="24"/>
      <c r="AT58" s="23"/>
      <c r="AU58" s="22">
        <f t="shared" si="101"/>
        <v>0</v>
      </c>
      <c r="AV58" s="24"/>
      <c r="AW58" s="23"/>
      <c r="AX58" s="22">
        <f t="shared" si="102"/>
        <v>0</v>
      </c>
      <c r="AY58" s="23">
        <f t="shared" si="85"/>
        <v>0</v>
      </c>
      <c r="AZ58" s="23">
        <f t="shared" si="85"/>
        <v>0</v>
      </c>
      <c r="BA58" s="22">
        <f t="shared" si="103"/>
        <v>0</v>
      </c>
      <c r="BB58" s="24">
        <f t="shared" si="86"/>
        <v>0</v>
      </c>
      <c r="BC58" s="23">
        <f t="shared" si="86"/>
        <v>0</v>
      </c>
      <c r="BD58" s="22">
        <f t="shared" si="104"/>
        <v>0</v>
      </c>
      <c r="BE58" s="24"/>
      <c r="BF58" s="24"/>
      <c r="BG58" s="20">
        <f t="shared" si="87"/>
        <v>0</v>
      </c>
    </row>
    <row r="59" spans="1:59" ht="13.5" hidden="1" customHeight="1" outlineLevel="1" x14ac:dyDescent="0.25">
      <c r="A59" s="100"/>
      <c r="B59" s="84" t="s">
        <v>50</v>
      </c>
      <c r="C59" s="83" t="s">
        <v>32</v>
      </c>
      <c r="D59" s="20"/>
      <c r="E59" s="20"/>
      <c r="F59" s="24"/>
      <c r="G59" s="23"/>
      <c r="H59" s="22">
        <f t="shared" si="88"/>
        <v>0</v>
      </c>
      <c r="I59" s="24"/>
      <c r="J59" s="23"/>
      <c r="K59" s="22">
        <f t="shared" si="89"/>
        <v>0</v>
      </c>
      <c r="L59" s="24"/>
      <c r="M59" s="23"/>
      <c r="N59" s="22">
        <f t="shared" si="90"/>
        <v>0</v>
      </c>
      <c r="O59" s="24">
        <f t="shared" si="82"/>
        <v>0</v>
      </c>
      <c r="P59" s="23">
        <f t="shared" si="82"/>
        <v>0</v>
      </c>
      <c r="Q59" s="22">
        <f t="shared" si="91"/>
        <v>0</v>
      </c>
      <c r="R59" s="24"/>
      <c r="S59" s="23"/>
      <c r="T59" s="22">
        <f t="shared" si="92"/>
        <v>0</v>
      </c>
      <c r="U59" s="24"/>
      <c r="V59" s="23"/>
      <c r="W59" s="22">
        <f t="shared" si="93"/>
        <v>0</v>
      </c>
      <c r="X59" s="24"/>
      <c r="Y59" s="23"/>
      <c r="Z59" s="22">
        <f t="shared" si="94"/>
        <v>0</v>
      </c>
      <c r="AA59" s="24">
        <f t="shared" si="83"/>
        <v>0</v>
      </c>
      <c r="AB59" s="23">
        <f t="shared" si="83"/>
        <v>0</v>
      </c>
      <c r="AC59" s="22">
        <f t="shared" si="95"/>
        <v>0</v>
      </c>
      <c r="AD59" s="24"/>
      <c r="AE59" s="23"/>
      <c r="AF59" s="22">
        <f t="shared" si="96"/>
        <v>0</v>
      </c>
      <c r="AG59" s="24"/>
      <c r="AH59" s="23"/>
      <c r="AI59" s="22">
        <f t="shared" si="97"/>
        <v>0</v>
      </c>
      <c r="AJ59" s="24"/>
      <c r="AK59" s="23"/>
      <c r="AL59" s="22">
        <f t="shared" si="98"/>
        <v>0</v>
      </c>
      <c r="AM59" s="24">
        <f t="shared" si="84"/>
        <v>0</v>
      </c>
      <c r="AN59" s="23">
        <f t="shared" si="84"/>
        <v>0</v>
      </c>
      <c r="AO59" s="22">
        <f t="shared" si="99"/>
        <v>0</v>
      </c>
      <c r="AP59" s="24"/>
      <c r="AQ59" s="23"/>
      <c r="AR59" s="22">
        <f t="shared" si="100"/>
        <v>0</v>
      </c>
      <c r="AS59" s="24"/>
      <c r="AT59" s="23"/>
      <c r="AU59" s="22">
        <f t="shared" si="101"/>
        <v>0</v>
      </c>
      <c r="AV59" s="24"/>
      <c r="AW59" s="23"/>
      <c r="AX59" s="22">
        <f t="shared" si="102"/>
        <v>0</v>
      </c>
      <c r="AY59" s="23">
        <f t="shared" si="85"/>
        <v>0</v>
      </c>
      <c r="AZ59" s="23">
        <f t="shared" si="85"/>
        <v>0</v>
      </c>
      <c r="BA59" s="22">
        <f t="shared" si="103"/>
        <v>0</v>
      </c>
      <c r="BB59" s="24">
        <f t="shared" si="86"/>
        <v>0</v>
      </c>
      <c r="BC59" s="23">
        <f t="shared" si="86"/>
        <v>0</v>
      </c>
      <c r="BD59" s="22">
        <f t="shared" si="104"/>
        <v>0</v>
      </c>
      <c r="BE59" s="24"/>
      <c r="BF59" s="24"/>
      <c r="BG59" s="20">
        <f t="shared" si="87"/>
        <v>0</v>
      </c>
    </row>
    <row r="60" spans="1:59" ht="13.5" hidden="1" customHeight="1" outlineLevel="1" x14ac:dyDescent="0.25">
      <c r="A60" s="100"/>
      <c r="B60" s="84" t="s">
        <v>51</v>
      </c>
      <c r="C60" s="83" t="s">
        <v>32</v>
      </c>
      <c r="D60" s="20"/>
      <c r="E60" s="20"/>
      <c r="F60" s="24"/>
      <c r="G60" s="23"/>
      <c r="H60" s="22">
        <f t="shared" si="88"/>
        <v>0</v>
      </c>
      <c r="I60" s="24"/>
      <c r="J60" s="23"/>
      <c r="K60" s="22">
        <f t="shared" si="89"/>
        <v>0</v>
      </c>
      <c r="L60" s="24"/>
      <c r="M60" s="23"/>
      <c r="N60" s="22">
        <f t="shared" si="90"/>
        <v>0</v>
      </c>
      <c r="O60" s="24">
        <f t="shared" si="82"/>
        <v>0</v>
      </c>
      <c r="P60" s="23">
        <f t="shared" si="82"/>
        <v>0</v>
      </c>
      <c r="Q60" s="22">
        <f t="shared" si="91"/>
        <v>0</v>
      </c>
      <c r="R60" s="24"/>
      <c r="S60" s="23"/>
      <c r="T60" s="22">
        <f t="shared" si="92"/>
        <v>0</v>
      </c>
      <c r="U60" s="24"/>
      <c r="V60" s="23"/>
      <c r="W60" s="22">
        <f t="shared" si="93"/>
        <v>0</v>
      </c>
      <c r="X60" s="24"/>
      <c r="Y60" s="23"/>
      <c r="Z60" s="22">
        <f t="shared" si="94"/>
        <v>0</v>
      </c>
      <c r="AA60" s="24">
        <f t="shared" si="83"/>
        <v>0</v>
      </c>
      <c r="AB60" s="23">
        <f t="shared" si="83"/>
        <v>0</v>
      </c>
      <c r="AC60" s="22">
        <f t="shared" si="95"/>
        <v>0</v>
      </c>
      <c r="AD60" s="24"/>
      <c r="AE60" s="23"/>
      <c r="AF60" s="22">
        <f t="shared" si="96"/>
        <v>0</v>
      </c>
      <c r="AG60" s="24"/>
      <c r="AH60" s="23"/>
      <c r="AI60" s="22">
        <f t="shared" si="97"/>
        <v>0</v>
      </c>
      <c r="AJ60" s="24"/>
      <c r="AK60" s="23"/>
      <c r="AL60" s="22">
        <f t="shared" si="98"/>
        <v>0</v>
      </c>
      <c r="AM60" s="24">
        <f t="shared" si="84"/>
        <v>0</v>
      </c>
      <c r="AN60" s="23">
        <f t="shared" si="84"/>
        <v>0</v>
      </c>
      <c r="AO60" s="22">
        <f t="shared" si="99"/>
        <v>0</v>
      </c>
      <c r="AP60" s="24"/>
      <c r="AQ60" s="23"/>
      <c r="AR60" s="22">
        <f t="shared" si="100"/>
        <v>0</v>
      </c>
      <c r="AS60" s="24"/>
      <c r="AT60" s="23"/>
      <c r="AU60" s="22">
        <f t="shared" si="101"/>
        <v>0</v>
      </c>
      <c r="AV60" s="24"/>
      <c r="AW60" s="23"/>
      <c r="AX60" s="22">
        <f t="shared" si="102"/>
        <v>0</v>
      </c>
      <c r="AY60" s="23">
        <f t="shared" si="85"/>
        <v>0</v>
      </c>
      <c r="AZ60" s="23">
        <f t="shared" si="85"/>
        <v>0</v>
      </c>
      <c r="BA60" s="22">
        <f t="shared" si="103"/>
        <v>0</v>
      </c>
      <c r="BB60" s="24">
        <f t="shared" si="86"/>
        <v>0</v>
      </c>
      <c r="BC60" s="23">
        <f t="shared" si="86"/>
        <v>0</v>
      </c>
      <c r="BD60" s="22">
        <f t="shared" si="104"/>
        <v>0</v>
      </c>
      <c r="BE60" s="24"/>
      <c r="BF60" s="24"/>
      <c r="BG60" s="20">
        <f t="shared" si="87"/>
        <v>0</v>
      </c>
    </row>
    <row r="61" spans="1:59" ht="13.5" hidden="1" customHeight="1" outlineLevel="1" x14ac:dyDescent="0.25">
      <c r="A61" s="100"/>
      <c r="B61" s="84" t="s">
        <v>52</v>
      </c>
      <c r="C61" s="83" t="s">
        <v>32</v>
      </c>
      <c r="D61" s="20"/>
      <c r="E61" s="20"/>
      <c r="F61" s="24"/>
      <c r="G61" s="23"/>
      <c r="H61" s="22">
        <f t="shared" si="88"/>
        <v>0</v>
      </c>
      <c r="I61" s="24"/>
      <c r="J61" s="23"/>
      <c r="K61" s="22">
        <f t="shared" si="89"/>
        <v>0</v>
      </c>
      <c r="L61" s="24"/>
      <c r="M61" s="23"/>
      <c r="N61" s="22">
        <f t="shared" si="90"/>
        <v>0</v>
      </c>
      <c r="O61" s="24">
        <f t="shared" si="82"/>
        <v>0</v>
      </c>
      <c r="P61" s="23">
        <f t="shared" si="82"/>
        <v>0</v>
      </c>
      <c r="Q61" s="22">
        <f t="shared" si="91"/>
        <v>0</v>
      </c>
      <c r="R61" s="24"/>
      <c r="S61" s="23"/>
      <c r="T61" s="22">
        <f t="shared" si="92"/>
        <v>0</v>
      </c>
      <c r="U61" s="24"/>
      <c r="V61" s="23"/>
      <c r="W61" s="22">
        <f t="shared" si="93"/>
        <v>0</v>
      </c>
      <c r="X61" s="24"/>
      <c r="Y61" s="23"/>
      <c r="Z61" s="22">
        <f t="shared" si="94"/>
        <v>0</v>
      </c>
      <c r="AA61" s="24">
        <f t="shared" si="83"/>
        <v>0</v>
      </c>
      <c r="AB61" s="23">
        <f t="shared" si="83"/>
        <v>0</v>
      </c>
      <c r="AC61" s="22">
        <f t="shared" si="95"/>
        <v>0</v>
      </c>
      <c r="AD61" s="24"/>
      <c r="AE61" s="23"/>
      <c r="AF61" s="22">
        <f t="shared" si="96"/>
        <v>0</v>
      </c>
      <c r="AG61" s="24"/>
      <c r="AH61" s="23"/>
      <c r="AI61" s="22">
        <f t="shared" si="97"/>
        <v>0</v>
      </c>
      <c r="AJ61" s="24"/>
      <c r="AK61" s="23"/>
      <c r="AL61" s="22">
        <f t="shared" si="98"/>
        <v>0</v>
      </c>
      <c r="AM61" s="24">
        <f t="shared" si="84"/>
        <v>0</v>
      </c>
      <c r="AN61" s="23">
        <f t="shared" si="84"/>
        <v>0</v>
      </c>
      <c r="AO61" s="22">
        <f t="shared" si="99"/>
        <v>0</v>
      </c>
      <c r="AP61" s="24"/>
      <c r="AQ61" s="23"/>
      <c r="AR61" s="22">
        <f t="shared" si="100"/>
        <v>0</v>
      </c>
      <c r="AS61" s="24"/>
      <c r="AT61" s="23"/>
      <c r="AU61" s="22">
        <f t="shared" si="101"/>
        <v>0</v>
      </c>
      <c r="AV61" s="24"/>
      <c r="AW61" s="23"/>
      <c r="AX61" s="22">
        <f t="shared" si="102"/>
        <v>0</v>
      </c>
      <c r="AY61" s="23">
        <f t="shared" si="85"/>
        <v>0</v>
      </c>
      <c r="AZ61" s="23">
        <f t="shared" si="85"/>
        <v>0</v>
      </c>
      <c r="BA61" s="22">
        <f t="shared" si="103"/>
        <v>0</v>
      </c>
      <c r="BB61" s="24">
        <f t="shared" si="86"/>
        <v>0</v>
      </c>
      <c r="BC61" s="23">
        <f t="shared" si="86"/>
        <v>0</v>
      </c>
      <c r="BD61" s="22">
        <f t="shared" si="104"/>
        <v>0</v>
      </c>
      <c r="BE61" s="24"/>
      <c r="BF61" s="24"/>
      <c r="BG61" s="20">
        <f t="shared" si="87"/>
        <v>0</v>
      </c>
    </row>
    <row r="62" spans="1:59" ht="13.5" hidden="1" customHeight="1" outlineLevel="1" x14ac:dyDescent="0.25">
      <c r="A62" s="100"/>
      <c r="B62" s="84" t="s">
        <v>53</v>
      </c>
      <c r="C62" s="83" t="s">
        <v>32</v>
      </c>
      <c r="D62" s="20"/>
      <c r="E62" s="20"/>
      <c r="F62" s="24"/>
      <c r="G62" s="23"/>
      <c r="H62" s="22">
        <f t="shared" si="88"/>
        <v>0</v>
      </c>
      <c r="I62" s="24"/>
      <c r="J62" s="23"/>
      <c r="K62" s="22">
        <f t="shared" si="89"/>
        <v>0</v>
      </c>
      <c r="L62" s="24"/>
      <c r="M62" s="23"/>
      <c r="N62" s="22">
        <f t="shared" si="90"/>
        <v>0</v>
      </c>
      <c r="O62" s="24">
        <f t="shared" si="82"/>
        <v>0</v>
      </c>
      <c r="P62" s="23">
        <f t="shared" si="82"/>
        <v>0</v>
      </c>
      <c r="Q62" s="22">
        <f t="shared" si="91"/>
        <v>0</v>
      </c>
      <c r="R62" s="24"/>
      <c r="S62" s="23"/>
      <c r="T62" s="22">
        <f t="shared" si="92"/>
        <v>0</v>
      </c>
      <c r="U62" s="24"/>
      <c r="V62" s="23"/>
      <c r="W62" s="22">
        <f t="shared" si="93"/>
        <v>0</v>
      </c>
      <c r="X62" s="24"/>
      <c r="Y62" s="23"/>
      <c r="Z62" s="22">
        <f t="shared" si="94"/>
        <v>0</v>
      </c>
      <c r="AA62" s="24">
        <f t="shared" si="83"/>
        <v>0</v>
      </c>
      <c r="AB62" s="23">
        <f t="shared" si="83"/>
        <v>0</v>
      </c>
      <c r="AC62" s="22">
        <f t="shared" si="95"/>
        <v>0</v>
      </c>
      <c r="AD62" s="24"/>
      <c r="AE62" s="23"/>
      <c r="AF62" s="22">
        <f t="shared" si="96"/>
        <v>0</v>
      </c>
      <c r="AG62" s="24"/>
      <c r="AH62" s="23"/>
      <c r="AI62" s="22">
        <f t="shared" si="97"/>
        <v>0</v>
      </c>
      <c r="AJ62" s="24"/>
      <c r="AK62" s="23"/>
      <c r="AL62" s="22">
        <f t="shared" si="98"/>
        <v>0</v>
      </c>
      <c r="AM62" s="24">
        <f t="shared" si="84"/>
        <v>0</v>
      </c>
      <c r="AN62" s="23">
        <f t="shared" si="84"/>
        <v>0</v>
      </c>
      <c r="AO62" s="22">
        <f t="shared" si="99"/>
        <v>0</v>
      </c>
      <c r="AP62" s="24"/>
      <c r="AQ62" s="23"/>
      <c r="AR62" s="22">
        <f t="shared" si="100"/>
        <v>0</v>
      </c>
      <c r="AS62" s="24"/>
      <c r="AT62" s="23"/>
      <c r="AU62" s="22">
        <f t="shared" si="101"/>
        <v>0</v>
      </c>
      <c r="AV62" s="24"/>
      <c r="AW62" s="23"/>
      <c r="AX62" s="22">
        <f t="shared" si="102"/>
        <v>0</v>
      </c>
      <c r="AY62" s="23">
        <f t="shared" si="85"/>
        <v>0</v>
      </c>
      <c r="AZ62" s="23">
        <f t="shared" si="85"/>
        <v>0</v>
      </c>
      <c r="BA62" s="22">
        <f t="shared" si="103"/>
        <v>0</v>
      </c>
      <c r="BB62" s="24">
        <f t="shared" si="86"/>
        <v>0</v>
      </c>
      <c r="BC62" s="23">
        <f t="shared" si="86"/>
        <v>0</v>
      </c>
      <c r="BD62" s="22">
        <f t="shared" si="104"/>
        <v>0</v>
      </c>
      <c r="BE62" s="24"/>
      <c r="BF62" s="24"/>
      <c r="BG62" s="20">
        <f t="shared" si="87"/>
        <v>0</v>
      </c>
    </row>
    <row r="63" spans="1:59" ht="13.5" hidden="1" customHeight="1" outlineLevel="1" x14ac:dyDescent="0.25">
      <c r="A63" s="100"/>
      <c r="B63" s="84" t="s">
        <v>54</v>
      </c>
      <c r="C63" s="83" t="s">
        <v>32</v>
      </c>
      <c r="D63" s="20"/>
      <c r="E63" s="20"/>
      <c r="F63" s="24"/>
      <c r="G63" s="23"/>
      <c r="H63" s="22">
        <f t="shared" si="88"/>
        <v>0</v>
      </c>
      <c r="I63" s="24"/>
      <c r="J63" s="23"/>
      <c r="K63" s="22">
        <f t="shared" si="89"/>
        <v>0</v>
      </c>
      <c r="L63" s="24"/>
      <c r="M63" s="23"/>
      <c r="N63" s="22">
        <f t="shared" si="90"/>
        <v>0</v>
      </c>
      <c r="O63" s="24">
        <f t="shared" si="82"/>
        <v>0</v>
      </c>
      <c r="P63" s="23">
        <f t="shared" si="82"/>
        <v>0</v>
      </c>
      <c r="Q63" s="22">
        <f t="shared" si="91"/>
        <v>0</v>
      </c>
      <c r="R63" s="24"/>
      <c r="S63" s="23"/>
      <c r="T63" s="22">
        <f t="shared" si="92"/>
        <v>0</v>
      </c>
      <c r="U63" s="24"/>
      <c r="V63" s="23"/>
      <c r="W63" s="22">
        <f t="shared" si="93"/>
        <v>0</v>
      </c>
      <c r="X63" s="24"/>
      <c r="Y63" s="23"/>
      <c r="Z63" s="22">
        <f t="shared" si="94"/>
        <v>0</v>
      </c>
      <c r="AA63" s="24">
        <f t="shared" si="83"/>
        <v>0</v>
      </c>
      <c r="AB63" s="23">
        <f t="shared" si="83"/>
        <v>0</v>
      </c>
      <c r="AC63" s="22">
        <f t="shared" si="95"/>
        <v>0</v>
      </c>
      <c r="AD63" s="24"/>
      <c r="AE63" s="23"/>
      <c r="AF63" s="22">
        <f t="shared" si="96"/>
        <v>0</v>
      </c>
      <c r="AG63" s="24"/>
      <c r="AH63" s="23"/>
      <c r="AI63" s="22">
        <f t="shared" si="97"/>
        <v>0</v>
      </c>
      <c r="AJ63" s="24"/>
      <c r="AK63" s="23"/>
      <c r="AL63" s="22">
        <f t="shared" si="98"/>
        <v>0</v>
      </c>
      <c r="AM63" s="24">
        <f t="shared" si="84"/>
        <v>0</v>
      </c>
      <c r="AN63" s="23">
        <f t="shared" si="84"/>
        <v>0</v>
      </c>
      <c r="AO63" s="22">
        <f t="shared" si="99"/>
        <v>0</v>
      </c>
      <c r="AP63" s="24"/>
      <c r="AQ63" s="23"/>
      <c r="AR63" s="22">
        <f t="shared" si="100"/>
        <v>0</v>
      </c>
      <c r="AS63" s="24"/>
      <c r="AT63" s="23"/>
      <c r="AU63" s="22">
        <f t="shared" si="101"/>
        <v>0</v>
      </c>
      <c r="AV63" s="24"/>
      <c r="AW63" s="23"/>
      <c r="AX63" s="22">
        <f t="shared" si="102"/>
        <v>0</v>
      </c>
      <c r="AY63" s="23">
        <f t="shared" si="85"/>
        <v>0</v>
      </c>
      <c r="AZ63" s="23">
        <f t="shared" si="85"/>
        <v>0</v>
      </c>
      <c r="BA63" s="22">
        <f t="shared" si="103"/>
        <v>0</v>
      </c>
      <c r="BB63" s="24">
        <f t="shared" si="86"/>
        <v>0</v>
      </c>
      <c r="BC63" s="23">
        <f t="shared" si="86"/>
        <v>0</v>
      </c>
      <c r="BD63" s="22">
        <f t="shared" si="104"/>
        <v>0</v>
      </c>
      <c r="BE63" s="24"/>
      <c r="BF63" s="24"/>
      <c r="BG63" s="20">
        <f t="shared" si="87"/>
        <v>0</v>
      </c>
    </row>
    <row r="64" spans="1:59" ht="13.5" hidden="1" customHeight="1" outlineLevel="1" x14ac:dyDescent="0.25">
      <c r="A64" s="90"/>
      <c r="B64" s="84" t="s">
        <v>55</v>
      </c>
      <c r="C64" s="80" t="s">
        <v>32</v>
      </c>
      <c r="D64" s="20"/>
      <c r="E64" s="20"/>
      <c r="F64" s="24"/>
      <c r="G64" s="23"/>
      <c r="H64" s="22">
        <f t="shared" si="88"/>
        <v>0</v>
      </c>
      <c r="I64" s="24"/>
      <c r="J64" s="23"/>
      <c r="K64" s="22">
        <f t="shared" si="89"/>
        <v>0</v>
      </c>
      <c r="L64" s="24"/>
      <c r="M64" s="23"/>
      <c r="N64" s="22">
        <f t="shared" si="90"/>
        <v>0</v>
      </c>
      <c r="O64" s="24">
        <f t="shared" si="82"/>
        <v>0</v>
      </c>
      <c r="P64" s="23">
        <f t="shared" si="82"/>
        <v>0</v>
      </c>
      <c r="Q64" s="22">
        <f t="shared" si="91"/>
        <v>0</v>
      </c>
      <c r="R64" s="24"/>
      <c r="S64" s="23"/>
      <c r="T64" s="22">
        <f t="shared" si="92"/>
        <v>0</v>
      </c>
      <c r="U64" s="24"/>
      <c r="V64" s="23"/>
      <c r="W64" s="22">
        <f t="shared" si="93"/>
        <v>0</v>
      </c>
      <c r="X64" s="24"/>
      <c r="Y64" s="23"/>
      <c r="Z64" s="22">
        <f t="shared" si="94"/>
        <v>0</v>
      </c>
      <c r="AA64" s="24">
        <f t="shared" si="83"/>
        <v>0</v>
      </c>
      <c r="AB64" s="23">
        <f t="shared" si="83"/>
        <v>0</v>
      </c>
      <c r="AC64" s="22">
        <f t="shared" si="95"/>
        <v>0</v>
      </c>
      <c r="AD64" s="24"/>
      <c r="AE64" s="23"/>
      <c r="AF64" s="22">
        <f t="shared" si="96"/>
        <v>0</v>
      </c>
      <c r="AG64" s="24"/>
      <c r="AH64" s="23"/>
      <c r="AI64" s="22">
        <f t="shared" si="97"/>
        <v>0</v>
      </c>
      <c r="AJ64" s="24"/>
      <c r="AK64" s="23"/>
      <c r="AL64" s="22">
        <f t="shared" si="98"/>
        <v>0</v>
      </c>
      <c r="AM64" s="24">
        <f t="shared" si="84"/>
        <v>0</v>
      </c>
      <c r="AN64" s="23">
        <f t="shared" si="84"/>
        <v>0</v>
      </c>
      <c r="AO64" s="22">
        <f t="shared" si="99"/>
        <v>0</v>
      </c>
      <c r="AP64" s="24"/>
      <c r="AQ64" s="23"/>
      <c r="AR64" s="22">
        <f t="shared" si="100"/>
        <v>0</v>
      </c>
      <c r="AS64" s="24"/>
      <c r="AT64" s="23"/>
      <c r="AU64" s="22">
        <f t="shared" si="101"/>
        <v>0</v>
      </c>
      <c r="AV64" s="24"/>
      <c r="AW64" s="23"/>
      <c r="AX64" s="22">
        <f t="shared" si="102"/>
        <v>0</v>
      </c>
      <c r="AY64" s="23">
        <f t="shared" si="85"/>
        <v>0</v>
      </c>
      <c r="AZ64" s="23">
        <f t="shared" si="85"/>
        <v>0</v>
      </c>
      <c r="BA64" s="22">
        <f t="shared" si="103"/>
        <v>0</v>
      </c>
      <c r="BB64" s="24">
        <f t="shared" si="86"/>
        <v>0</v>
      </c>
      <c r="BC64" s="23">
        <f t="shared" si="86"/>
        <v>0</v>
      </c>
      <c r="BD64" s="22">
        <f t="shared" si="104"/>
        <v>0</v>
      </c>
      <c r="BE64" s="24"/>
      <c r="BF64" s="24"/>
      <c r="BG64" s="20">
        <f t="shared" si="87"/>
        <v>0</v>
      </c>
    </row>
    <row r="65" spans="1:59" ht="13.5" hidden="1" customHeight="1" outlineLevel="1" x14ac:dyDescent="0.25">
      <c r="A65" s="90"/>
      <c r="B65" s="99" t="s">
        <v>56</v>
      </c>
      <c r="C65" s="80" t="s">
        <v>32</v>
      </c>
      <c r="D65" s="20"/>
      <c r="E65" s="20"/>
      <c r="F65" s="24"/>
      <c r="G65" s="23"/>
      <c r="H65" s="22">
        <f t="shared" si="88"/>
        <v>0</v>
      </c>
      <c r="I65" s="24"/>
      <c r="J65" s="23"/>
      <c r="K65" s="22">
        <f t="shared" si="89"/>
        <v>0</v>
      </c>
      <c r="L65" s="24"/>
      <c r="M65" s="23"/>
      <c r="N65" s="22">
        <f t="shared" si="90"/>
        <v>0</v>
      </c>
      <c r="O65" s="24">
        <f t="shared" si="82"/>
        <v>0</v>
      </c>
      <c r="P65" s="23">
        <f t="shared" si="82"/>
        <v>0</v>
      </c>
      <c r="Q65" s="22">
        <f t="shared" si="91"/>
        <v>0</v>
      </c>
      <c r="R65" s="24"/>
      <c r="S65" s="23"/>
      <c r="T65" s="22">
        <f t="shared" si="92"/>
        <v>0</v>
      </c>
      <c r="U65" s="24"/>
      <c r="V65" s="23"/>
      <c r="W65" s="22">
        <f t="shared" si="93"/>
        <v>0</v>
      </c>
      <c r="X65" s="24"/>
      <c r="Y65" s="23"/>
      <c r="Z65" s="22">
        <f t="shared" si="94"/>
        <v>0</v>
      </c>
      <c r="AA65" s="24">
        <f t="shared" si="83"/>
        <v>0</v>
      </c>
      <c r="AB65" s="23">
        <f t="shared" si="83"/>
        <v>0</v>
      </c>
      <c r="AC65" s="22">
        <f t="shared" si="95"/>
        <v>0</v>
      </c>
      <c r="AD65" s="24"/>
      <c r="AE65" s="23"/>
      <c r="AF65" s="22">
        <f t="shared" si="96"/>
        <v>0</v>
      </c>
      <c r="AG65" s="24"/>
      <c r="AH65" s="23"/>
      <c r="AI65" s="22">
        <f t="shared" si="97"/>
        <v>0</v>
      </c>
      <c r="AJ65" s="24"/>
      <c r="AK65" s="23"/>
      <c r="AL65" s="22">
        <f t="shared" si="98"/>
        <v>0</v>
      </c>
      <c r="AM65" s="24">
        <f t="shared" si="84"/>
        <v>0</v>
      </c>
      <c r="AN65" s="23">
        <f t="shared" si="84"/>
        <v>0</v>
      </c>
      <c r="AO65" s="22">
        <f t="shared" si="99"/>
        <v>0</v>
      </c>
      <c r="AP65" s="24"/>
      <c r="AQ65" s="23"/>
      <c r="AR65" s="22">
        <f t="shared" si="100"/>
        <v>0</v>
      </c>
      <c r="AS65" s="24"/>
      <c r="AT65" s="23"/>
      <c r="AU65" s="22">
        <f t="shared" si="101"/>
        <v>0</v>
      </c>
      <c r="AV65" s="24"/>
      <c r="AW65" s="23"/>
      <c r="AX65" s="22">
        <f t="shared" si="102"/>
        <v>0</v>
      </c>
      <c r="AY65" s="23">
        <f t="shared" si="85"/>
        <v>0</v>
      </c>
      <c r="AZ65" s="23">
        <f t="shared" si="85"/>
        <v>0</v>
      </c>
      <c r="BA65" s="22">
        <f t="shared" si="103"/>
        <v>0</v>
      </c>
      <c r="BB65" s="24">
        <f t="shared" si="86"/>
        <v>0</v>
      </c>
      <c r="BC65" s="23">
        <f t="shared" si="86"/>
        <v>0</v>
      </c>
      <c r="BD65" s="22">
        <f t="shared" si="104"/>
        <v>0</v>
      </c>
      <c r="BE65" s="24"/>
      <c r="BF65" s="24"/>
      <c r="BG65" s="20">
        <f t="shared" si="87"/>
        <v>0</v>
      </c>
    </row>
    <row r="66" spans="1:59" ht="13.5" hidden="1" customHeight="1" outlineLevel="1" x14ac:dyDescent="0.25">
      <c r="A66" s="90"/>
      <c r="B66" s="84" t="s">
        <v>57</v>
      </c>
      <c r="C66" s="80" t="s">
        <v>32</v>
      </c>
      <c r="D66" s="20"/>
      <c r="E66" s="20"/>
      <c r="F66" s="24"/>
      <c r="G66" s="23"/>
      <c r="H66" s="22">
        <f t="shared" si="88"/>
        <v>0</v>
      </c>
      <c r="I66" s="24"/>
      <c r="J66" s="23"/>
      <c r="K66" s="22">
        <f t="shared" si="89"/>
        <v>0</v>
      </c>
      <c r="L66" s="24"/>
      <c r="M66" s="23"/>
      <c r="N66" s="22">
        <f t="shared" si="90"/>
        <v>0</v>
      </c>
      <c r="O66" s="24">
        <f t="shared" si="82"/>
        <v>0</v>
      </c>
      <c r="P66" s="23">
        <f t="shared" si="82"/>
        <v>0</v>
      </c>
      <c r="Q66" s="22">
        <f t="shared" si="91"/>
        <v>0</v>
      </c>
      <c r="R66" s="24"/>
      <c r="S66" s="23"/>
      <c r="T66" s="22">
        <f t="shared" si="92"/>
        <v>0</v>
      </c>
      <c r="U66" s="24"/>
      <c r="V66" s="23"/>
      <c r="W66" s="22">
        <f t="shared" si="93"/>
        <v>0</v>
      </c>
      <c r="X66" s="24"/>
      <c r="Y66" s="23"/>
      <c r="Z66" s="22">
        <f t="shared" si="94"/>
        <v>0</v>
      </c>
      <c r="AA66" s="24">
        <f t="shared" si="83"/>
        <v>0</v>
      </c>
      <c r="AB66" s="23">
        <f t="shared" si="83"/>
        <v>0</v>
      </c>
      <c r="AC66" s="22">
        <f t="shared" si="95"/>
        <v>0</v>
      </c>
      <c r="AD66" s="24"/>
      <c r="AE66" s="23"/>
      <c r="AF66" s="22">
        <f t="shared" si="96"/>
        <v>0</v>
      </c>
      <c r="AG66" s="24"/>
      <c r="AH66" s="23"/>
      <c r="AI66" s="22">
        <f t="shared" si="97"/>
        <v>0</v>
      </c>
      <c r="AJ66" s="24"/>
      <c r="AK66" s="23"/>
      <c r="AL66" s="22">
        <f t="shared" si="98"/>
        <v>0</v>
      </c>
      <c r="AM66" s="24">
        <f t="shared" si="84"/>
        <v>0</v>
      </c>
      <c r="AN66" s="23">
        <f t="shared" si="84"/>
        <v>0</v>
      </c>
      <c r="AO66" s="22">
        <f t="shared" si="99"/>
        <v>0</v>
      </c>
      <c r="AP66" s="24"/>
      <c r="AQ66" s="23"/>
      <c r="AR66" s="22">
        <f t="shared" si="100"/>
        <v>0</v>
      </c>
      <c r="AS66" s="24"/>
      <c r="AT66" s="23"/>
      <c r="AU66" s="22">
        <f t="shared" si="101"/>
        <v>0</v>
      </c>
      <c r="AV66" s="24"/>
      <c r="AW66" s="23"/>
      <c r="AX66" s="22">
        <f t="shared" si="102"/>
        <v>0</v>
      </c>
      <c r="AY66" s="23">
        <f t="shared" si="85"/>
        <v>0</v>
      </c>
      <c r="AZ66" s="23">
        <f t="shared" si="85"/>
        <v>0</v>
      </c>
      <c r="BA66" s="22">
        <f t="shared" si="103"/>
        <v>0</v>
      </c>
      <c r="BB66" s="24">
        <f t="shared" si="86"/>
        <v>0</v>
      </c>
      <c r="BC66" s="23">
        <f t="shared" si="86"/>
        <v>0</v>
      </c>
      <c r="BD66" s="22">
        <f t="shared" si="104"/>
        <v>0</v>
      </c>
      <c r="BE66" s="24"/>
      <c r="BF66" s="24"/>
      <c r="BG66" s="20">
        <f t="shared" si="87"/>
        <v>0</v>
      </c>
    </row>
    <row r="67" spans="1:59" ht="13.5" hidden="1" customHeight="1" outlineLevel="1" x14ac:dyDescent="0.25">
      <c r="A67" s="90"/>
      <c r="B67" s="99" t="s">
        <v>58</v>
      </c>
      <c r="C67" s="80" t="s">
        <v>32</v>
      </c>
      <c r="D67" s="157"/>
      <c r="E67" s="157"/>
      <c r="F67" s="115"/>
      <c r="G67" s="107"/>
      <c r="H67" s="108">
        <f t="shared" si="88"/>
        <v>0</v>
      </c>
      <c r="I67" s="115"/>
      <c r="J67" s="107"/>
      <c r="K67" s="108">
        <f t="shared" si="89"/>
        <v>0</v>
      </c>
      <c r="L67" s="115"/>
      <c r="M67" s="107"/>
      <c r="N67" s="108">
        <f t="shared" si="90"/>
        <v>0</v>
      </c>
      <c r="O67" s="115">
        <f t="shared" si="82"/>
        <v>0</v>
      </c>
      <c r="P67" s="107">
        <f t="shared" si="82"/>
        <v>0</v>
      </c>
      <c r="Q67" s="108">
        <f t="shared" si="91"/>
        <v>0</v>
      </c>
      <c r="R67" s="115"/>
      <c r="S67" s="107"/>
      <c r="T67" s="108">
        <f t="shared" si="92"/>
        <v>0</v>
      </c>
      <c r="U67" s="115"/>
      <c r="V67" s="107"/>
      <c r="W67" s="108">
        <f t="shared" si="93"/>
        <v>0</v>
      </c>
      <c r="X67" s="115"/>
      <c r="Y67" s="107"/>
      <c r="Z67" s="108">
        <f t="shared" si="94"/>
        <v>0</v>
      </c>
      <c r="AA67" s="115">
        <f t="shared" si="83"/>
        <v>0</v>
      </c>
      <c r="AB67" s="107">
        <f t="shared" si="83"/>
        <v>0</v>
      </c>
      <c r="AC67" s="108">
        <f t="shared" si="95"/>
        <v>0</v>
      </c>
      <c r="AD67" s="115"/>
      <c r="AE67" s="107"/>
      <c r="AF67" s="108">
        <f t="shared" si="96"/>
        <v>0</v>
      </c>
      <c r="AG67" s="115"/>
      <c r="AH67" s="107"/>
      <c r="AI67" s="108">
        <f t="shared" si="97"/>
        <v>0</v>
      </c>
      <c r="AJ67" s="115"/>
      <c r="AK67" s="107"/>
      <c r="AL67" s="108">
        <f t="shared" si="98"/>
        <v>0</v>
      </c>
      <c r="AM67" s="115">
        <f t="shared" si="84"/>
        <v>0</v>
      </c>
      <c r="AN67" s="107">
        <f t="shared" si="84"/>
        <v>0</v>
      </c>
      <c r="AO67" s="108">
        <f t="shared" si="99"/>
        <v>0</v>
      </c>
      <c r="AP67" s="115"/>
      <c r="AQ67" s="107"/>
      <c r="AR67" s="108">
        <f t="shared" si="100"/>
        <v>0</v>
      </c>
      <c r="AS67" s="115"/>
      <c r="AT67" s="107"/>
      <c r="AU67" s="108">
        <f t="shared" si="101"/>
        <v>0</v>
      </c>
      <c r="AV67" s="115"/>
      <c r="AW67" s="107"/>
      <c r="AX67" s="108">
        <f t="shared" si="102"/>
        <v>0</v>
      </c>
      <c r="AY67" s="107">
        <f t="shared" si="85"/>
        <v>0</v>
      </c>
      <c r="AZ67" s="107">
        <f t="shared" si="85"/>
        <v>0</v>
      </c>
      <c r="BA67" s="108">
        <f t="shared" si="103"/>
        <v>0</v>
      </c>
      <c r="BB67" s="115">
        <f t="shared" si="86"/>
        <v>0</v>
      </c>
      <c r="BC67" s="107">
        <f t="shared" si="86"/>
        <v>0</v>
      </c>
      <c r="BD67" s="108">
        <f t="shared" si="104"/>
        <v>0</v>
      </c>
      <c r="BE67" s="115"/>
      <c r="BF67" s="115"/>
      <c r="BG67" s="20">
        <f t="shared" si="87"/>
        <v>0</v>
      </c>
    </row>
    <row r="68" spans="1:59" ht="13.5" hidden="1" customHeight="1" outlineLevel="1" x14ac:dyDescent="0.25">
      <c r="A68" s="90"/>
      <c r="B68" s="84" t="s">
        <v>59</v>
      </c>
      <c r="C68" s="80" t="s">
        <v>32</v>
      </c>
      <c r="D68" s="157"/>
      <c r="E68" s="157"/>
      <c r="F68" s="115"/>
      <c r="G68" s="107"/>
      <c r="H68" s="108">
        <f t="shared" si="88"/>
        <v>0</v>
      </c>
      <c r="I68" s="115"/>
      <c r="J68" s="107"/>
      <c r="K68" s="108">
        <f t="shared" si="89"/>
        <v>0</v>
      </c>
      <c r="L68" s="115"/>
      <c r="M68" s="107"/>
      <c r="N68" s="108">
        <f t="shared" si="90"/>
        <v>0</v>
      </c>
      <c r="O68" s="115">
        <f t="shared" si="82"/>
        <v>0</v>
      </c>
      <c r="P68" s="107">
        <f t="shared" si="82"/>
        <v>0</v>
      </c>
      <c r="Q68" s="108">
        <f t="shared" si="91"/>
        <v>0</v>
      </c>
      <c r="R68" s="115"/>
      <c r="S68" s="107"/>
      <c r="T68" s="108">
        <f t="shared" si="92"/>
        <v>0</v>
      </c>
      <c r="U68" s="115"/>
      <c r="V68" s="107"/>
      <c r="W68" s="108">
        <f t="shared" si="93"/>
        <v>0</v>
      </c>
      <c r="X68" s="115"/>
      <c r="Y68" s="107"/>
      <c r="Z68" s="108">
        <f t="shared" si="94"/>
        <v>0</v>
      </c>
      <c r="AA68" s="115">
        <f t="shared" si="83"/>
        <v>0</v>
      </c>
      <c r="AB68" s="107">
        <f t="shared" si="83"/>
        <v>0</v>
      </c>
      <c r="AC68" s="108">
        <f t="shared" si="95"/>
        <v>0</v>
      </c>
      <c r="AD68" s="115"/>
      <c r="AE68" s="107"/>
      <c r="AF68" s="108">
        <f t="shared" si="96"/>
        <v>0</v>
      </c>
      <c r="AG68" s="115"/>
      <c r="AH68" s="107"/>
      <c r="AI68" s="108">
        <f t="shared" si="97"/>
        <v>0</v>
      </c>
      <c r="AJ68" s="115"/>
      <c r="AK68" s="107"/>
      <c r="AL68" s="108">
        <f t="shared" si="98"/>
        <v>0</v>
      </c>
      <c r="AM68" s="115">
        <f t="shared" si="84"/>
        <v>0</v>
      </c>
      <c r="AN68" s="107">
        <f t="shared" si="84"/>
        <v>0</v>
      </c>
      <c r="AO68" s="108">
        <f t="shared" si="99"/>
        <v>0</v>
      </c>
      <c r="AP68" s="115"/>
      <c r="AQ68" s="107"/>
      <c r="AR68" s="108">
        <f t="shared" si="100"/>
        <v>0</v>
      </c>
      <c r="AS68" s="115"/>
      <c r="AT68" s="107"/>
      <c r="AU68" s="108">
        <f t="shared" si="101"/>
        <v>0</v>
      </c>
      <c r="AV68" s="115"/>
      <c r="AW68" s="107"/>
      <c r="AX68" s="108">
        <f t="shared" si="102"/>
        <v>0</v>
      </c>
      <c r="AY68" s="107">
        <f t="shared" si="85"/>
        <v>0</v>
      </c>
      <c r="AZ68" s="107">
        <f t="shared" si="85"/>
        <v>0</v>
      </c>
      <c r="BA68" s="108">
        <f t="shared" si="103"/>
        <v>0</v>
      </c>
      <c r="BB68" s="115">
        <f t="shared" si="86"/>
        <v>0</v>
      </c>
      <c r="BC68" s="107">
        <f t="shared" si="86"/>
        <v>0</v>
      </c>
      <c r="BD68" s="108">
        <f t="shared" si="104"/>
        <v>0</v>
      </c>
      <c r="BE68" s="115"/>
      <c r="BF68" s="115"/>
      <c r="BG68" s="20">
        <f t="shared" si="87"/>
        <v>0</v>
      </c>
    </row>
    <row r="69" spans="1:59" ht="13.5" hidden="1" customHeight="1" outlineLevel="1" x14ac:dyDescent="0.25">
      <c r="A69" s="90"/>
      <c r="B69" s="99" t="s">
        <v>60</v>
      </c>
      <c r="C69" s="80" t="s">
        <v>32</v>
      </c>
      <c r="D69" s="157"/>
      <c r="E69" s="157"/>
      <c r="F69" s="115"/>
      <c r="G69" s="107"/>
      <c r="H69" s="108">
        <f t="shared" si="88"/>
        <v>0</v>
      </c>
      <c r="I69" s="115"/>
      <c r="J69" s="107"/>
      <c r="K69" s="108">
        <f t="shared" si="89"/>
        <v>0</v>
      </c>
      <c r="L69" s="115"/>
      <c r="M69" s="107"/>
      <c r="N69" s="108">
        <f t="shared" si="90"/>
        <v>0</v>
      </c>
      <c r="O69" s="115">
        <f>SUM(F69,I69,L69)</f>
        <v>0</v>
      </c>
      <c r="P69" s="107">
        <f>SUM(G69,J69,M69)</f>
        <v>0</v>
      </c>
      <c r="Q69" s="108">
        <f t="shared" si="91"/>
        <v>0</v>
      </c>
      <c r="R69" s="115"/>
      <c r="S69" s="107"/>
      <c r="T69" s="108">
        <f t="shared" si="92"/>
        <v>0</v>
      </c>
      <c r="U69" s="115"/>
      <c r="V69" s="107"/>
      <c r="W69" s="108">
        <f t="shared" si="93"/>
        <v>0</v>
      </c>
      <c r="X69" s="115"/>
      <c r="Y69" s="107"/>
      <c r="Z69" s="108">
        <f t="shared" si="94"/>
        <v>0</v>
      </c>
      <c r="AA69" s="115">
        <f>SUM(R69,U69,X69)</f>
        <v>0</v>
      </c>
      <c r="AB69" s="107">
        <f>SUM(S69,V69,Y69)</f>
        <v>0</v>
      </c>
      <c r="AC69" s="108">
        <f t="shared" si="95"/>
        <v>0</v>
      </c>
      <c r="AD69" s="115"/>
      <c r="AE69" s="107"/>
      <c r="AF69" s="108">
        <f t="shared" si="96"/>
        <v>0</v>
      </c>
      <c r="AG69" s="115"/>
      <c r="AH69" s="107"/>
      <c r="AI69" s="108">
        <f t="shared" si="97"/>
        <v>0</v>
      </c>
      <c r="AJ69" s="115"/>
      <c r="AK69" s="107"/>
      <c r="AL69" s="108">
        <f t="shared" si="98"/>
        <v>0</v>
      </c>
      <c r="AM69" s="115">
        <f>SUM(AD69,AG69,AJ69)</f>
        <v>0</v>
      </c>
      <c r="AN69" s="107">
        <f>SUM(AE69,AH69,AK69)</f>
        <v>0</v>
      </c>
      <c r="AO69" s="108">
        <f t="shared" si="99"/>
        <v>0</v>
      </c>
      <c r="AP69" s="115"/>
      <c r="AQ69" s="107"/>
      <c r="AR69" s="108">
        <f t="shared" si="100"/>
        <v>0</v>
      </c>
      <c r="AS69" s="115"/>
      <c r="AT69" s="107"/>
      <c r="AU69" s="108">
        <f t="shared" si="101"/>
        <v>0</v>
      </c>
      <c r="AV69" s="115"/>
      <c r="AW69" s="107"/>
      <c r="AX69" s="108">
        <f t="shared" si="102"/>
        <v>0</v>
      </c>
      <c r="AY69" s="107">
        <f>SUM(AP69,AS69,AV69)</f>
        <v>0</v>
      </c>
      <c r="AZ69" s="107">
        <f>SUM(AQ69,AT69,AW69)</f>
        <v>0</v>
      </c>
      <c r="BA69" s="108">
        <f t="shared" si="103"/>
        <v>0</v>
      </c>
      <c r="BB69" s="115">
        <f>SUM(F69,I69,L69,R69,U69,X69,AD69,AG69,AJ69,AP69,AS69,AV69)</f>
        <v>0</v>
      </c>
      <c r="BC69" s="107">
        <f>SUM(G69,J69,M69,S69,V69,Y69,AE69,AH69,AK69,AQ69,AT69,AW69)</f>
        <v>0</v>
      </c>
      <c r="BD69" s="108">
        <f t="shared" si="104"/>
        <v>0</v>
      </c>
      <c r="BE69" s="115"/>
      <c r="BF69" s="115"/>
      <c r="BG69" s="20">
        <f t="shared" si="87"/>
        <v>0</v>
      </c>
    </row>
    <row r="70" spans="1:59" ht="13.5" hidden="1" customHeight="1" outlineLevel="1" x14ac:dyDescent="0.25">
      <c r="A70" s="90"/>
      <c r="B70" s="84" t="s">
        <v>61</v>
      </c>
      <c r="C70" s="80" t="s">
        <v>32</v>
      </c>
      <c r="D70" s="157"/>
      <c r="E70" s="157"/>
      <c r="F70" s="115"/>
      <c r="G70" s="107"/>
      <c r="H70" s="108">
        <f t="shared" si="88"/>
        <v>0</v>
      </c>
      <c r="I70" s="115"/>
      <c r="J70" s="107"/>
      <c r="K70" s="108">
        <f t="shared" si="89"/>
        <v>0</v>
      </c>
      <c r="L70" s="115"/>
      <c r="M70" s="107"/>
      <c r="N70" s="108">
        <f t="shared" si="90"/>
        <v>0</v>
      </c>
      <c r="O70" s="115">
        <f>SUM(F70,I70,L70)</f>
        <v>0</v>
      </c>
      <c r="P70" s="107">
        <f>SUM(G70,J70,M70)</f>
        <v>0</v>
      </c>
      <c r="Q70" s="108">
        <f t="shared" si="91"/>
        <v>0</v>
      </c>
      <c r="R70" s="115"/>
      <c r="S70" s="107"/>
      <c r="T70" s="108">
        <f t="shared" si="92"/>
        <v>0</v>
      </c>
      <c r="U70" s="115"/>
      <c r="V70" s="107"/>
      <c r="W70" s="108">
        <f t="shared" si="93"/>
        <v>0</v>
      </c>
      <c r="X70" s="115"/>
      <c r="Y70" s="107"/>
      <c r="Z70" s="108">
        <f t="shared" si="94"/>
        <v>0</v>
      </c>
      <c r="AA70" s="115">
        <f>SUM(R70,U70,X70)</f>
        <v>0</v>
      </c>
      <c r="AB70" s="107">
        <f>SUM(S70,V70,Y70)</f>
        <v>0</v>
      </c>
      <c r="AC70" s="108">
        <f t="shared" si="95"/>
        <v>0</v>
      </c>
      <c r="AD70" s="115"/>
      <c r="AE70" s="107"/>
      <c r="AF70" s="108">
        <f t="shared" si="96"/>
        <v>0</v>
      </c>
      <c r="AG70" s="115"/>
      <c r="AH70" s="107"/>
      <c r="AI70" s="108">
        <f t="shared" si="97"/>
        <v>0</v>
      </c>
      <c r="AJ70" s="115"/>
      <c r="AK70" s="107"/>
      <c r="AL70" s="108">
        <f t="shared" si="98"/>
        <v>0</v>
      </c>
      <c r="AM70" s="115">
        <f>SUM(AD70,AG70,AJ70)</f>
        <v>0</v>
      </c>
      <c r="AN70" s="107">
        <f>SUM(AE70,AH70,AK70)</f>
        <v>0</v>
      </c>
      <c r="AO70" s="108">
        <f t="shared" si="99"/>
        <v>0</v>
      </c>
      <c r="AP70" s="115"/>
      <c r="AQ70" s="107"/>
      <c r="AR70" s="108">
        <f t="shared" si="100"/>
        <v>0</v>
      </c>
      <c r="AS70" s="115"/>
      <c r="AT70" s="107"/>
      <c r="AU70" s="108">
        <f t="shared" si="101"/>
        <v>0</v>
      </c>
      <c r="AV70" s="115"/>
      <c r="AW70" s="107"/>
      <c r="AX70" s="108">
        <f t="shared" si="102"/>
        <v>0</v>
      </c>
      <c r="AY70" s="107">
        <f>SUM(AP70,AS70,AV70)</f>
        <v>0</v>
      </c>
      <c r="AZ70" s="107">
        <f>SUM(AQ70,AT70,AW70)</f>
        <v>0</v>
      </c>
      <c r="BA70" s="108">
        <f t="shared" si="103"/>
        <v>0</v>
      </c>
      <c r="BB70" s="115">
        <f>SUM(F70,I70,L70,R70,U70,X70,AD70,AG70,AJ70,AP70,AS70,AV70)</f>
        <v>0</v>
      </c>
      <c r="BC70" s="107">
        <f>SUM(G70,J70,M70,S70,V70,Y70,AE70,AH70,AK70,AQ70,AT70,AW70)</f>
        <v>0</v>
      </c>
      <c r="BD70" s="108">
        <f t="shared" si="104"/>
        <v>0</v>
      </c>
      <c r="BE70" s="115"/>
      <c r="BF70" s="115"/>
      <c r="BG70" s="20">
        <f t="shared" si="87"/>
        <v>0</v>
      </c>
    </row>
    <row r="71" spans="1:59" s="210" customFormat="1" ht="13.5" customHeight="1" collapsed="1" thickBot="1" x14ac:dyDescent="0.3">
      <c r="A71" s="89"/>
      <c r="B71" s="95" t="s">
        <v>62</v>
      </c>
      <c r="C71" s="88" t="s">
        <v>32</v>
      </c>
      <c r="D71" s="93">
        <f>SUM(D72)</f>
        <v>0</v>
      </c>
      <c r="E71" s="93">
        <f>SUM(E72)</f>
        <v>0</v>
      </c>
      <c r="F71" s="187">
        <f>SUM(F72)</f>
        <v>0</v>
      </c>
      <c r="G71" s="92">
        <f>SUM(G72)</f>
        <v>0</v>
      </c>
      <c r="H71" s="91">
        <f t="shared" si="88"/>
        <v>0</v>
      </c>
      <c r="I71" s="187">
        <f>SUM(I72)</f>
        <v>0</v>
      </c>
      <c r="J71" s="92">
        <f>SUM(J72)</f>
        <v>0</v>
      </c>
      <c r="K71" s="91">
        <f t="shared" si="89"/>
        <v>0</v>
      </c>
      <c r="L71" s="187">
        <f>SUM(L72)</f>
        <v>0</v>
      </c>
      <c r="M71" s="92">
        <f>SUM(M72)</f>
        <v>0</v>
      </c>
      <c r="N71" s="91">
        <f t="shared" si="90"/>
        <v>0</v>
      </c>
      <c r="O71" s="187">
        <f>SUM(O72)</f>
        <v>0</v>
      </c>
      <c r="P71" s="92">
        <f>SUM(P72)</f>
        <v>0</v>
      </c>
      <c r="Q71" s="91">
        <f t="shared" si="91"/>
        <v>0</v>
      </c>
      <c r="R71" s="187">
        <f>SUM(R72)</f>
        <v>0</v>
      </c>
      <c r="S71" s="92">
        <f>SUM(S72)</f>
        <v>0</v>
      </c>
      <c r="T71" s="91">
        <f t="shared" si="92"/>
        <v>0</v>
      </c>
      <c r="U71" s="187">
        <f>SUM(U72)</f>
        <v>0</v>
      </c>
      <c r="V71" s="92">
        <f>SUM(V72)</f>
        <v>0</v>
      </c>
      <c r="W71" s="91">
        <f t="shared" si="93"/>
        <v>0</v>
      </c>
      <c r="X71" s="187">
        <f>SUM(X72)</f>
        <v>0</v>
      </c>
      <c r="Y71" s="92">
        <f>SUM(Y72)</f>
        <v>0</v>
      </c>
      <c r="Z71" s="91">
        <f t="shared" si="94"/>
        <v>0</v>
      </c>
      <c r="AA71" s="187">
        <f>SUM(AA72)</f>
        <v>0</v>
      </c>
      <c r="AB71" s="92">
        <f>SUM(AB72)</f>
        <v>0</v>
      </c>
      <c r="AC71" s="91">
        <f t="shared" si="95"/>
        <v>0</v>
      </c>
      <c r="AD71" s="187">
        <f>SUM(AD72)</f>
        <v>0</v>
      </c>
      <c r="AE71" s="92">
        <f>SUM(AE72)</f>
        <v>0</v>
      </c>
      <c r="AF71" s="91">
        <f t="shared" si="96"/>
        <v>0</v>
      </c>
      <c r="AG71" s="187">
        <f>SUM(AG72)</f>
        <v>0</v>
      </c>
      <c r="AH71" s="92">
        <f>SUM(AH72)</f>
        <v>0</v>
      </c>
      <c r="AI71" s="91">
        <f t="shared" si="97"/>
        <v>0</v>
      </c>
      <c r="AJ71" s="187">
        <f>SUM(AJ72)</f>
        <v>0</v>
      </c>
      <c r="AK71" s="92">
        <f>SUM(AK72)</f>
        <v>0</v>
      </c>
      <c r="AL71" s="91">
        <f t="shared" si="98"/>
        <v>0</v>
      </c>
      <c r="AM71" s="187">
        <f>SUM(AM72)</f>
        <v>0</v>
      </c>
      <c r="AN71" s="92">
        <f>SUM(AN72)</f>
        <v>0</v>
      </c>
      <c r="AO71" s="91">
        <f t="shared" si="99"/>
        <v>0</v>
      </c>
      <c r="AP71" s="187">
        <f>SUM(AP72)</f>
        <v>0</v>
      </c>
      <c r="AQ71" s="92">
        <f>SUM(AQ72)</f>
        <v>0</v>
      </c>
      <c r="AR71" s="91">
        <f t="shared" si="100"/>
        <v>0</v>
      </c>
      <c r="AS71" s="187">
        <f>SUM(AS72)</f>
        <v>0</v>
      </c>
      <c r="AT71" s="92">
        <f>SUM(AT72)</f>
        <v>0</v>
      </c>
      <c r="AU71" s="91">
        <f t="shared" si="101"/>
        <v>0</v>
      </c>
      <c r="AV71" s="187">
        <f>SUM(AV72)</f>
        <v>0</v>
      </c>
      <c r="AW71" s="92">
        <f>SUM(AW72)</f>
        <v>0</v>
      </c>
      <c r="AX71" s="91">
        <f t="shared" si="102"/>
        <v>0</v>
      </c>
      <c r="AY71" s="92">
        <f>SUM(AY72)</f>
        <v>0</v>
      </c>
      <c r="AZ71" s="92">
        <f>SUM(AZ72)</f>
        <v>0</v>
      </c>
      <c r="BA71" s="91">
        <f t="shared" si="103"/>
        <v>0</v>
      </c>
      <c r="BB71" s="187">
        <f>SUM(BB72)</f>
        <v>0</v>
      </c>
      <c r="BC71" s="92">
        <f>SUM(BC72)</f>
        <v>0</v>
      </c>
      <c r="BD71" s="91">
        <f t="shared" si="104"/>
        <v>0</v>
      </c>
      <c r="BE71" s="187">
        <f t="shared" ref="BE71:BG71" si="105">SUM(BE72)</f>
        <v>0</v>
      </c>
      <c r="BF71" s="187">
        <f t="shared" si="105"/>
        <v>0</v>
      </c>
      <c r="BG71" s="93">
        <f t="shared" si="105"/>
        <v>0</v>
      </c>
    </row>
    <row r="72" spans="1:59" ht="13.5" hidden="1" customHeight="1" outlineLevel="1" thickBot="1" x14ac:dyDescent="0.3">
      <c r="A72" s="87"/>
      <c r="B72" s="84" t="s">
        <v>63</v>
      </c>
      <c r="C72" s="86" t="s">
        <v>32</v>
      </c>
      <c r="D72" s="20"/>
      <c r="E72" s="20"/>
      <c r="F72" s="24"/>
      <c r="G72" s="23"/>
      <c r="H72" s="22">
        <f t="shared" si="88"/>
        <v>0</v>
      </c>
      <c r="I72" s="24"/>
      <c r="J72" s="23"/>
      <c r="K72" s="22">
        <f t="shared" si="89"/>
        <v>0</v>
      </c>
      <c r="L72" s="24"/>
      <c r="M72" s="23"/>
      <c r="N72" s="22">
        <f t="shared" si="90"/>
        <v>0</v>
      </c>
      <c r="O72" s="24">
        <f>SUM(F72,I72,L72)</f>
        <v>0</v>
      </c>
      <c r="P72" s="23">
        <f>SUM(G72,J72,M72)</f>
        <v>0</v>
      </c>
      <c r="Q72" s="22">
        <f t="shared" si="91"/>
        <v>0</v>
      </c>
      <c r="R72" s="24"/>
      <c r="S72" s="23"/>
      <c r="T72" s="22">
        <f t="shared" si="92"/>
        <v>0</v>
      </c>
      <c r="U72" s="24"/>
      <c r="V72" s="23"/>
      <c r="W72" s="22">
        <f t="shared" si="93"/>
        <v>0</v>
      </c>
      <c r="X72" s="24"/>
      <c r="Y72" s="23"/>
      <c r="Z72" s="22">
        <f t="shared" si="94"/>
        <v>0</v>
      </c>
      <c r="AA72" s="24">
        <f>SUM(R72,U72,X72)</f>
        <v>0</v>
      </c>
      <c r="AB72" s="23">
        <f>SUM(S72,V72,Y72)</f>
        <v>0</v>
      </c>
      <c r="AC72" s="22">
        <f t="shared" si="95"/>
        <v>0</v>
      </c>
      <c r="AD72" s="24"/>
      <c r="AE72" s="23"/>
      <c r="AF72" s="22">
        <f t="shared" si="96"/>
        <v>0</v>
      </c>
      <c r="AG72" s="24"/>
      <c r="AH72" s="23"/>
      <c r="AI72" s="22">
        <f t="shared" si="97"/>
        <v>0</v>
      </c>
      <c r="AJ72" s="24"/>
      <c r="AK72" s="23"/>
      <c r="AL72" s="22">
        <f t="shared" si="98"/>
        <v>0</v>
      </c>
      <c r="AM72" s="24">
        <f>SUM(AD72,AG72,AJ72)</f>
        <v>0</v>
      </c>
      <c r="AN72" s="23">
        <f>SUM(AE72,AH72,AK72)</f>
        <v>0</v>
      </c>
      <c r="AO72" s="22">
        <f t="shared" si="99"/>
        <v>0</v>
      </c>
      <c r="AP72" s="24"/>
      <c r="AQ72" s="23"/>
      <c r="AR72" s="22">
        <f t="shared" si="100"/>
        <v>0</v>
      </c>
      <c r="AS72" s="24"/>
      <c r="AT72" s="23"/>
      <c r="AU72" s="22">
        <f t="shared" si="101"/>
        <v>0</v>
      </c>
      <c r="AV72" s="24"/>
      <c r="AW72" s="23"/>
      <c r="AX72" s="22">
        <f t="shared" si="102"/>
        <v>0</v>
      </c>
      <c r="AY72" s="23">
        <f>SUM(AP72,AS72,AV72)</f>
        <v>0</v>
      </c>
      <c r="AZ72" s="23">
        <f>SUM(AQ72,AT72,AW72)</f>
        <v>0</v>
      </c>
      <c r="BA72" s="22">
        <f t="shared" si="103"/>
        <v>0</v>
      </c>
      <c r="BB72" s="24">
        <f>SUM(F72,I72,L72,R72,U72,X72,AD72,AG72,AJ72,AP72,AS72,AV72)</f>
        <v>0</v>
      </c>
      <c r="BC72" s="23">
        <f>SUM(G72,J72,M72,S72,V72,Y72,AE72,AH72,AK72,AQ72,AT72,AW72)</f>
        <v>0</v>
      </c>
      <c r="BD72" s="22">
        <f t="shared" si="104"/>
        <v>0</v>
      </c>
      <c r="BE72" s="24"/>
      <c r="BF72" s="24"/>
      <c r="BG72" s="20">
        <f>BB72+BE72+BF72</f>
        <v>0</v>
      </c>
    </row>
    <row r="73" spans="1:59" s="210" customFormat="1" ht="13.5" customHeight="1" collapsed="1" x14ac:dyDescent="0.25">
      <c r="A73" s="106" t="s">
        <v>66</v>
      </c>
      <c r="B73" s="105" t="s">
        <v>67</v>
      </c>
      <c r="C73" s="104" t="s">
        <v>68</v>
      </c>
      <c r="D73" s="192">
        <f>D74+D84+D103</f>
        <v>0</v>
      </c>
      <c r="E73" s="192">
        <f>E74+E84+E103</f>
        <v>0</v>
      </c>
      <c r="F73" s="195">
        <f>F74+F84+F103</f>
        <v>0</v>
      </c>
      <c r="G73" s="193">
        <f>G74+G84+G103</f>
        <v>0</v>
      </c>
      <c r="H73" s="194">
        <f t="shared" ref="H73:H88" si="106">G73-F73</f>
        <v>0</v>
      </c>
      <c r="I73" s="195">
        <f>I74+I84+I103</f>
        <v>0</v>
      </c>
      <c r="J73" s="193">
        <f>J74+J84+J103</f>
        <v>0</v>
      </c>
      <c r="K73" s="194">
        <f t="shared" ref="K73:K88" si="107">J73-I73</f>
        <v>0</v>
      </c>
      <c r="L73" s="195">
        <f>L74+L84+L103</f>
        <v>0</v>
      </c>
      <c r="M73" s="193">
        <f>M74+M84+M103</f>
        <v>0</v>
      </c>
      <c r="N73" s="194">
        <f t="shared" ref="N73:N88" si="108">M73-L73</f>
        <v>0</v>
      </c>
      <c r="O73" s="195">
        <f>O74+O84+O103</f>
        <v>0</v>
      </c>
      <c r="P73" s="193">
        <f>P74+P84+P103</f>
        <v>0</v>
      </c>
      <c r="Q73" s="194">
        <f t="shared" ref="Q73:Q88" si="109">P73-O73</f>
        <v>0</v>
      </c>
      <c r="R73" s="195">
        <f>R74+R84+R103</f>
        <v>0</v>
      </c>
      <c r="S73" s="193">
        <f>S74+S84+S103</f>
        <v>0</v>
      </c>
      <c r="T73" s="194">
        <f t="shared" ref="T73:T88" si="110">S73-R73</f>
        <v>0</v>
      </c>
      <c r="U73" s="195">
        <f>U74+U84+U103</f>
        <v>0</v>
      </c>
      <c r="V73" s="193">
        <f>V74+V84+V103</f>
        <v>0</v>
      </c>
      <c r="W73" s="194">
        <f t="shared" ref="W73:W88" si="111">V73-U73</f>
        <v>0</v>
      </c>
      <c r="X73" s="195">
        <f>X74+X84+X103</f>
        <v>0</v>
      </c>
      <c r="Y73" s="193">
        <f>Y74+Y84+Y103</f>
        <v>0</v>
      </c>
      <c r="Z73" s="194">
        <f t="shared" ref="Z73:Z88" si="112">Y73-X73</f>
        <v>0</v>
      </c>
      <c r="AA73" s="195">
        <f>AA74+AA84+AA103</f>
        <v>0</v>
      </c>
      <c r="AB73" s="193">
        <f>AB74+AB84+AB103</f>
        <v>0</v>
      </c>
      <c r="AC73" s="194">
        <f t="shared" ref="AC73:AC88" si="113">AB73-AA73</f>
        <v>0</v>
      </c>
      <c r="AD73" s="195">
        <f>AD74+AD84+AD103</f>
        <v>0</v>
      </c>
      <c r="AE73" s="193">
        <f>AE74+AE84+AE103</f>
        <v>0</v>
      </c>
      <c r="AF73" s="194">
        <f t="shared" ref="AF73:AF88" si="114">AE73-AD73</f>
        <v>0</v>
      </c>
      <c r="AG73" s="195">
        <f>AG74+AG84+AG103</f>
        <v>0</v>
      </c>
      <c r="AH73" s="193">
        <f>AH74+AH84+AH103</f>
        <v>0</v>
      </c>
      <c r="AI73" s="194">
        <f t="shared" ref="AI73:AI88" si="115">AH73-AG73</f>
        <v>0</v>
      </c>
      <c r="AJ73" s="195">
        <f>AJ74+AJ84+AJ103</f>
        <v>0</v>
      </c>
      <c r="AK73" s="193">
        <f>AK74+AK84+AK103</f>
        <v>0</v>
      </c>
      <c r="AL73" s="194">
        <f t="shared" ref="AL73:AL88" si="116">AK73-AJ73</f>
        <v>0</v>
      </c>
      <c r="AM73" s="195">
        <f>AM74+AM84+AM103</f>
        <v>0</v>
      </c>
      <c r="AN73" s="193">
        <f>AN74+AN84+AN103</f>
        <v>0</v>
      </c>
      <c r="AO73" s="194">
        <f t="shared" ref="AO73:AO88" si="117">AN73-AM73</f>
        <v>0</v>
      </c>
      <c r="AP73" s="195">
        <f>AP74+AP84+AP103</f>
        <v>0</v>
      </c>
      <c r="AQ73" s="193">
        <f>AQ74+AQ84+AQ103</f>
        <v>0</v>
      </c>
      <c r="AR73" s="194">
        <f t="shared" ref="AR73:AR88" si="118">AQ73-AP73</f>
        <v>0</v>
      </c>
      <c r="AS73" s="195">
        <f>AS74+AS84+AS103</f>
        <v>0</v>
      </c>
      <c r="AT73" s="193">
        <f>AT74+AT84+AT103</f>
        <v>0</v>
      </c>
      <c r="AU73" s="194">
        <f t="shared" ref="AU73:AU88" si="119">AT73-AS73</f>
        <v>0</v>
      </c>
      <c r="AV73" s="195">
        <f>AV74+AV84+AV103</f>
        <v>0</v>
      </c>
      <c r="AW73" s="193">
        <f>AW74+AW84+AW103</f>
        <v>0</v>
      </c>
      <c r="AX73" s="194">
        <f t="shared" ref="AX73:AX88" si="120">AW73-AV73</f>
        <v>0</v>
      </c>
      <c r="AY73" s="193">
        <f>AY74+AY84+AY103</f>
        <v>0</v>
      </c>
      <c r="AZ73" s="193">
        <f>AZ74+AZ84+AZ103</f>
        <v>0</v>
      </c>
      <c r="BA73" s="194">
        <f t="shared" ref="BA73:BA88" si="121">AZ73-AY73</f>
        <v>0</v>
      </c>
      <c r="BB73" s="195">
        <f>BB74+BB84+BB103</f>
        <v>0</v>
      </c>
      <c r="BC73" s="193">
        <f>BC74+BC84+BC103</f>
        <v>0</v>
      </c>
      <c r="BD73" s="194">
        <f t="shared" ref="BD73:BD88" si="122">BC73-BB73</f>
        <v>0</v>
      </c>
      <c r="BE73" s="195">
        <f t="shared" ref="BE73:BF73" si="123">BE74+BE84+BE103</f>
        <v>0</v>
      </c>
      <c r="BF73" s="195">
        <f t="shared" si="123"/>
        <v>0</v>
      </c>
      <c r="BG73" s="192">
        <f t="shared" ref="BG73" si="124">BG74+BG84+BG103</f>
        <v>0</v>
      </c>
    </row>
    <row r="74" spans="1:59" s="210" customFormat="1" ht="13.5" customHeight="1" x14ac:dyDescent="0.25">
      <c r="A74" s="103"/>
      <c r="B74" s="102" t="s">
        <v>33</v>
      </c>
      <c r="C74" s="101" t="s">
        <v>68</v>
      </c>
      <c r="D74" s="188">
        <f>SUM(D75:D83)</f>
        <v>0</v>
      </c>
      <c r="E74" s="188">
        <f>SUM(E75:E83)</f>
        <v>0</v>
      </c>
      <c r="F74" s="191">
        <f>SUM(F75:F83)</f>
        <v>0</v>
      </c>
      <c r="G74" s="189">
        <f>SUM(G75:G83)</f>
        <v>0</v>
      </c>
      <c r="H74" s="190">
        <f t="shared" si="106"/>
        <v>0</v>
      </c>
      <c r="I74" s="191">
        <f>SUM(I75:I83)</f>
        <v>0</v>
      </c>
      <c r="J74" s="189">
        <f>SUM(J75:J83)</f>
        <v>0</v>
      </c>
      <c r="K74" s="190">
        <f t="shared" si="107"/>
        <v>0</v>
      </c>
      <c r="L74" s="191">
        <f>SUM(L75:L83)</f>
        <v>0</v>
      </c>
      <c r="M74" s="189">
        <f>SUM(M75:M83)</f>
        <v>0</v>
      </c>
      <c r="N74" s="190">
        <f t="shared" si="108"/>
        <v>0</v>
      </c>
      <c r="O74" s="191">
        <f>SUM(O75:O83)</f>
        <v>0</v>
      </c>
      <c r="P74" s="189">
        <f>SUM(P75:P83)</f>
        <v>0</v>
      </c>
      <c r="Q74" s="190">
        <f t="shared" si="109"/>
        <v>0</v>
      </c>
      <c r="R74" s="191">
        <f>SUM(R75:R83)</f>
        <v>0</v>
      </c>
      <c r="S74" s="189">
        <f>SUM(S75:S83)</f>
        <v>0</v>
      </c>
      <c r="T74" s="190">
        <f t="shared" si="110"/>
        <v>0</v>
      </c>
      <c r="U74" s="191">
        <f>SUM(U75:U83)</f>
        <v>0</v>
      </c>
      <c r="V74" s="189">
        <f>SUM(V75:V83)</f>
        <v>0</v>
      </c>
      <c r="W74" s="190">
        <f t="shared" si="111"/>
        <v>0</v>
      </c>
      <c r="X74" s="191">
        <f>SUM(X75:X83)</f>
        <v>0</v>
      </c>
      <c r="Y74" s="189">
        <f>SUM(Y75:Y83)</f>
        <v>0</v>
      </c>
      <c r="Z74" s="190">
        <f t="shared" si="112"/>
        <v>0</v>
      </c>
      <c r="AA74" s="191">
        <f>SUM(AA75:AA83)</f>
        <v>0</v>
      </c>
      <c r="AB74" s="189">
        <f>SUM(AB75:AB83)</f>
        <v>0</v>
      </c>
      <c r="AC74" s="190">
        <f t="shared" si="113"/>
        <v>0</v>
      </c>
      <c r="AD74" s="191">
        <f>SUM(AD75:AD83)</f>
        <v>0</v>
      </c>
      <c r="AE74" s="189">
        <f>SUM(AE75:AE83)</f>
        <v>0</v>
      </c>
      <c r="AF74" s="190">
        <f t="shared" si="114"/>
        <v>0</v>
      </c>
      <c r="AG74" s="191">
        <f>SUM(AG75:AG83)</f>
        <v>0</v>
      </c>
      <c r="AH74" s="189">
        <f>SUM(AH75:AH83)</f>
        <v>0</v>
      </c>
      <c r="AI74" s="190">
        <f t="shared" si="115"/>
        <v>0</v>
      </c>
      <c r="AJ74" s="191">
        <f>SUM(AJ75:AJ83)</f>
        <v>0</v>
      </c>
      <c r="AK74" s="189">
        <f>SUM(AK75:AK83)</f>
        <v>0</v>
      </c>
      <c r="AL74" s="190">
        <f t="shared" si="116"/>
        <v>0</v>
      </c>
      <c r="AM74" s="191">
        <f>SUM(AM75:AM83)</f>
        <v>0</v>
      </c>
      <c r="AN74" s="189">
        <f>SUM(AN75:AN83)</f>
        <v>0</v>
      </c>
      <c r="AO74" s="190">
        <f t="shared" si="117"/>
        <v>0</v>
      </c>
      <c r="AP74" s="191">
        <f>SUM(AP75:AP83)</f>
        <v>0</v>
      </c>
      <c r="AQ74" s="189">
        <f>SUM(AQ75:AQ83)</f>
        <v>0</v>
      </c>
      <c r="AR74" s="190">
        <f t="shared" si="118"/>
        <v>0</v>
      </c>
      <c r="AS74" s="191">
        <f>SUM(AS75:AS83)</f>
        <v>0</v>
      </c>
      <c r="AT74" s="189">
        <f>SUM(AT75:AT83)</f>
        <v>0</v>
      </c>
      <c r="AU74" s="190">
        <f t="shared" si="119"/>
        <v>0</v>
      </c>
      <c r="AV74" s="191">
        <f>SUM(AV75:AV83)</f>
        <v>0</v>
      </c>
      <c r="AW74" s="189">
        <f>SUM(AW75:AW83)</f>
        <v>0</v>
      </c>
      <c r="AX74" s="190">
        <f t="shared" si="120"/>
        <v>0</v>
      </c>
      <c r="AY74" s="189">
        <f>SUM(AY75:AY83)</f>
        <v>0</v>
      </c>
      <c r="AZ74" s="189">
        <f>SUM(AZ75:AZ83)</f>
        <v>0</v>
      </c>
      <c r="BA74" s="190">
        <f t="shared" si="121"/>
        <v>0</v>
      </c>
      <c r="BB74" s="191">
        <f>SUM(BB75:BB83)</f>
        <v>0</v>
      </c>
      <c r="BC74" s="189">
        <f>SUM(BC75:BC83)</f>
        <v>0</v>
      </c>
      <c r="BD74" s="190">
        <f t="shared" si="122"/>
        <v>0</v>
      </c>
      <c r="BE74" s="191">
        <f t="shared" ref="BE74:BF74" si="125">SUM(BE75:BE83)</f>
        <v>0</v>
      </c>
      <c r="BF74" s="191">
        <f t="shared" si="125"/>
        <v>0</v>
      </c>
      <c r="BG74" s="188">
        <f t="shared" ref="BG74" si="126">SUM(BG75:BG83)</f>
        <v>0</v>
      </c>
    </row>
    <row r="75" spans="1:59" ht="13.5" hidden="1" customHeight="1" outlineLevel="1" x14ac:dyDescent="0.25">
      <c r="A75" s="100"/>
      <c r="B75" s="84" t="s">
        <v>34</v>
      </c>
      <c r="C75" s="83" t="s">
        <v>68</v>
      </c>
      <c r="D75" s="20"/>
      <c r="E75" s="20"/>
      <c r="F75" s="24"/>
      <c r="G75" s="23"/>
      <c r="H75" s="22">
        <f t="shared" si="106"/>
        <v>0</v>
      </c>
      <c r="I75" s="24"/>
      <c r="J75" s="23"/>
      <c r="K75" s="22">
        <f t="shared" si="107"/>
        <v>0</v>
      </c>
      <c r="L75" s="24"/>
      <c r="M75" s="23"/>
      <c r="N75" s="22">
        <f t="shared" si="108"/>
        <v>0</v>
      </c>
      <c r="O75" s="24">
        <f t="shared" ref="O75:P83" si="127">SUM(F75,I75,L75)</f>
        <v>0</v>
      </c>
      <c r="P75" s="23">
        <f t="shared" si="127"/>
        <v>0</v>
      </c>
      <c r="Q75" s="22">
        <f t="shared" si="109"/>
        <v>0</v>
      </c>
      <c r="R75" s="24"/>
      <c r="S75" s="23"/>
      <c r="T75" s="22">
        <f t="shared" si="110"/>
        <v>0</v>
      </c>
      <c r="U75" s="24"/>
      <c r="V75" s="23"/>
      <c r="W75" s="22">
        <f t="shared" si="111"/>
        <v>0</v>
      </c>
      <c r="X75" s="24"/>
      <c r="Y75" s="23"/>
      <c r="Z75" s="22">
        <f t="shared" si="112"/>
        <v>0</v>
      </c>
      <c r="AA75" s="24">
        <f t="shared" ref="AA75:AB83" si="128">SUM(R75,U75,X75)</f>
        <v>0</v>
      </c>
      <c r="AB75" s="23">
        <f t="shared" si="128"/>
        <v>0</v>
      </c>
      <c r="AC75" s="22">
        <f t="shared" si="113"/>
        <v>0</v>
      </c>
      <c r="AD75" s="24"/>
      <c r="AE75" s="23"/>
      <c r="AF75" s="22">
        <f t="shared" si="114"/>
        <v>0</v>
      </c>
      <c r="AG75" s="24"/>
      <c r="AH75" s="23"/>
      <c r="AI75" s="22">
        <f t="shared" si="115"/>
        <v>0</v>
      </c>
      <c r="AJ75" s="24"/>
      <c r="AK75" s="23"/>
      <c r="AL75" s="22">
        <f t="shared" si="116"/>
        <v>0</v>
      </c>
      <c r="AM75" s="24">
        <f t="shared" ref="AM75:AN83" si="129">SUM(AD75,AG75,AJ75)</f>
        <v>0</v>
      </c>
      <c r="AN75" s="23">
        <f t="shared" si="129"/>
        <v>0</v>
      </c>
      <c r="AO75" s="22">
        <f t="shared" si="117"/>
        <v>0</v>
      </c>
      <c r="AP75" s="24"/>
      <c r="AQ75" s="23"/>
      <c r="AR75" s="22">
        <f t="shared" si="118"/>
        <v>0</v>
      </c>
      <c r="AS75" s="24"/>
      <c r="AT75" s="23"/>
      <c r="AU75" s="22">
        <f t="shared" si="119"/>
        <v>0</v>
      </c>
      <c r="AV75" s="24"/>
      <c r="AW75" s="23"/>
      <c r="AX75" s="22">
        <f t="shared" si="120"/>
        <v>0</v>
      </c>
      <c r="AY75" s="23">
        <f t="shared" ref="AY75:AZ83" si="130">SUM(AP75,AS75,AV75)</f>
        <v>0</v>
      </c>
      <c r="AZ75" s="23">
        <f t="shared" si="130"/>
        <v>0</v>
      </c>
      <c r="BA75" s="22">
        <f t="shared" si="121"/>
        <v>0</v>
      </c>
      <c r="BB75" s="24">
        <f t="shared" ref="BB75:BC83" si="131">SUM(F75,I75,L75,R75,U75,X75,AD75,AG75,AJ75,AP75,AS75,AV75)</f>
        <v>0</v>
      </c>
      <c r="BC75" s="23">
        <f t="shared" si="131"/>
        <v>0</v>
      </c>
      <c r="BD75" s="22">
        <f t="shared" si="122"/>
        <v>0</v>
      </c>
      <c r="BE75" s="24"/>
      <c r="BF75" s="24"/>
      <c r="BG75" s="20">
        <f>BB75+BE75+BF75</f>
        <v>0</v>
      </c>
    </row>
    <row r="76" spans="1:59" ht="13.5" hidden="1" customHeight="1" outlineLevel="1" x14ac:dyDescent="0.25">
      <c r="A76" s="100"/>
      <c r="B76" s="84" t="s">
        <v>35</v>
      </c>
      <c r="C76" s="83" t="s">
        <v>68</v>
      </c>
      <c r="D76" s="20"/>
      <c r="E76" s="20"/>
      <c r="F76" s="24"/>
      <c r="G76" s="23"/>
      <c r="H76" s="22">
        <f t="shared" si="106"/>
        <v>0</v>
      </c>
      <c r="I76" s="24"/>
      <c r="J76" s="23"/>
      <c r="K76" s="22">
        <f t="shared" si="107"/>
        <v>0</v>
      </c>
      <c r="L76" s="24"/>
      <c r="M76" s="23"/>
      <c r="N76" s="22">
        <f t="shared" si="108"/>
        <v>0</v>
      </c>
      <c r="O76" s="24">
        <f t="shared" si="127"/>
        <v>0</v>
      </c>
      <c r="P76" s="23">
        <f t="shared" si="127"/>
        <v>0</v>
      </c>
      <c r="Q76" s="22">
        <f t="shared" si="109"/>
        <v>0</v>
      </c>
      <c r="R76" s="24"/>
      <c r="S76" s="23"/>
      <c r="T76" s="22">
        <f t="shared" si="110"/>
        <v>0</v>
      </c>
      <c r="U76" s="24"/>
      <c r="V76" s="23"/>
      <c r="W76" s="22">
        <f t="shared" si="111"/>
        <v>0</v>
      </c>
      <c r="X76" s="24"/>
      <c r="Y76" s="23"/>
      <c r="Z76" s="22">
        <f t="shared" si="112"/>
        <v>0</v>
      </c>
      <c r="AA76" s="24">
        <f t="shared" si="128"/>
        <v>0</v>
      </c>
      <c r="AB76" s="23">
        <f t="shared" si="128"/>
        <v>0</v>
      </c>
      <c r="AC76" s="22">
        <f t="shared" si="113"/>
        <v>0</v>
      </c>
      <c r="AD76" s="24"/>
      <c r="AE76" s="23"/>
      <c r="AF76" s="22">
        <f t="shared" si="114"/>
        <v>0</v>
      </c>
      <c r="AG76" s="24"/>
      <c r="AH76" s="23"/>
      <c r="AI76" s="22">
        <f t="shared" si="115"/>
        <v>0</v>
      </c>
      <c r="AJ76" s="24"/>
      <c r="AK76" s="23"/>
      <c r="AL76" s="22">
        <f t="shared" si="116"/>
        <v>0</v>
      </c>
      <c r="AM76" s="24">
        <f t="shared" si="129"/>
        <v>0</v>
      </c>
      <c r="AN76" s="23">
        <f t="shared" si="129"/>
        <v>0</v>
      </c>
      <c r="AO76" s="22">
        <f t="shared" si="117"/>
        <v>0</v>
      </c>
      <c r="AP76" s="24"/>
      <c r="AQ76" s="23"/>
      <c r="AR76" s="22">
        <f t="shared" si="118"/>
        <v>0</v>
      </c>
      <c r="AS76" s="24"/>
      <c r="AT76" s="23"/>
      <c r="AU76" s="22">
        <f t="shared" si="119"/>
        <v>0</v>
      </c>
      <c r="AV76" s="24"/>
      <c r="AW76" s="23"/>
      <c r="AX76" s="22">
        <f t="shared" si="120"/>
        <v>0</v>
      </c>
      <c r="AY76" s="23">
        <f t="shared" si="130"/>
        <v>0</v>
      </c>
      <c r="AZ76" s="23">
        <f t="shared" si="130"/>
        <v>0</v>
      </c>
      <c r="BA76" s="22">
        <f t="shared" si="121"/>
        <v>0</v>
      </c>
      <c r="BB76" s="24">
        <f t="shared" si="131"/>
        <v>0</v>
      </c>
      <c r="BC76" s="23">
        <f t="shared" si="131"/>
        <v>0</v>
      </c>
      <c r="BD76" s="22">
        <f t="shared" si="122"/>
        <v>0</v>
      </c>
      <c r="BE76" s="24"/>
      <c r="BF76" s="24"/>
      <c r="BG76" s="20">
        <f t="shared" ref="BG76:BG83" si="132">BB76+BE76+BF76</f>
        <v>0</v>
      </c>
    </row>
    <row r="77" spans="1:59" ht="13.5" hidden="1" customHeight="1" outlineLevel="1" x14ac:dyDescent="0.25">
      <c r="A77" s="100"/>
      <c r="B77" s="84" t="s">
        <v>36</v>
      </c>
      <c r="C77" s="83" t="s">
        <v>68</v>
      </c>
      <c r="D77" s="20"/>
      <c r="E77" s="20"/>
      <c r="F77" s="24"/>
      <c r="G77" s="23"/>
      <c r="H77" s="22">
        <f t="shared" si="106"/>
        <v>0</v>
      </c>
      <c r="I77" s="24"/>
      <c r="J77" s="23"/>
      <c r="K77" s="22">
        <f t="shared" si="107"/>
        <v>0</v>
      </c>
      <c r="L77" s="24"/>
      <c r="M77" s="23"/>
      <c r="N77" s="22">
        <f t="shared" si="108"/>
        <v>0</v>
      </c>
      <c r="O77" s="24">
        <f t="shared" si="127"/>
        <v>0</v>
      </c>
      <c r="P77" s="23">
        <f t="shared" si="127"/>
        <v>0</v>
      </c>
      <c r="Q77" s="22">
        <f t="shared" si="109"/>
        <v>0</v>
      </c>
      <c r="R77" s="24"/>
      <c r="S77" s="23"/>
      <c r="T77" s="22">
        <f t="shared" si="110"/>
        <v>0</v>
      </c>
      <c r="U77" s="24"/>
      <c r="V77" s="23"/>
      <c r="W77" s="22">
        <f t="shared" si="111"/>
        <v>0</v>
      </c>
      <c r="X77" s="24"/>
      <c r="Y77" s="23"/>
      <c r="Z77" s="22">
        <f t="shared" si="112"/>
        <v>0</v>
      </c>
      <c r="AA77" s="24">
        <f t="shared" si="128"/>
        <v>0</v>
      </c>
      <c r="AB77" s="23">
        <f t="shared" si="128"/>
        <v>0</v>
      </c>
      <c r="AC77" s="22">
        <f t="shared" si="113"/>
        <v>0</v>
      </c>
      <c r="AD77" s="24"/>
      <c r="AE77" s="23"/>
      <c r="AF77" s="22">
        <f t="shared" si="114"/>
        <v>0</v>
      </c>
      <c r="AG77" s="24"/>
      <c r="AH77" s="23"/>
      <c r="AI77" s="22">
        <f t="shared" si="115"/>
        <v>0</v>
      </c>
      <c r="AJ77" s="24"/>
      <c r="AK77" s="23"/>
      <c r="AL77" s="22">
        <f t="shared" si="116"/>
        <v>0</v>
      </c>
      <c r="AM77" s="24">
        <f t="shared" si="129"/>
        <v>0</v>
      </c>
      <c r="AN77" s="23">
        <f t="shared" si="129"/>
        <v>0</v>
      </c>
      <c r="AO77" s="22">
        <f t="shared" si="117"/>
        <v>0</v>
      </c>
      <c r="AP77" s="24"/>
      <c r="AQ77" s="23"/>
      <c r="AR77" s="22">
        <f t="shared" si="118"/>
        <v>0</v>
      </c>
      <c r="AS77" s="24"/>
      <c r="AT77" s="23"/>
      <c r="AU77" s="22">
        <f t="shared" si="119"/>
        <v>0</v>
      </c>
      <c r="AV77" s="24"/>
      <c r="AW77" s="23"/>
      <c r="AX77" s="22">
        <f t="shared" si="120"/>
        <v>0</v>
      </c>
      <c r="AY77" s="23">
        <f t="shared" si="130"/>
        <v>0</v>
      </c>
      <c r="AZ77" s="23">
        <f t="shared" si="130"/>
        <v>0</v>
      </c>
      <c r="BA77" s="22">
        <f t="shared" si="121"/>
        <v>0</v>
      </c>
      <c r="BB77" s="24">
        <f t="shared" si="131"/>
        <v>0</v>
      </c>
      <c r="BC77" s="23">
        <f t="shared" si="131"/>
        <v>0</v>
      </c>
      <c r="BD77" s="22">
        <f t="shared" si="122"/>
        <v>0</v>
      </c>
      <c r="BE77" s="24"/>
      <c r="BF77" s="24"/>
      <c r="BG77" s="20">
        <f t="shared" si="132"/>
        <v>0</v>
      </c>
    </row>
    <row r="78" spans="1:59" ht="13.5" hidden="1" customHeight="1" outlineLevel="1" x14ac:dyDescent="0.25">
      <c r="A78" s="100"/>
      <c r="B78" s="84" t="s">
        <v>37</v>
      </c>
      <c r="C78" s="83" t="s">
        <v>68</v>
      </c>
      <c r="D78" s="20"/>
      <c r="E78" s="20"/>
      <c r="F78" s="24"/>
      <c r="G78" s="23"/>
      <c r="H78" s="22">
        <f t="shared" si="106"/>
        <v>0</v>
      </c>
      <c r="I78" s="24"/>
      <c r="J78" s="23"/>
      <c r="K78" s="22">
        <f t="shared" si="107"/>
        <v>0</v>
      </c>
      <c r="L78" s="24"/>
      <c r="M78" s="23"/>
      <c r="N78" s="22">
        <f t="shared" si="108"/>
        <v>0</v>
      </c>
      <c r="O78" s="24">
        <f t="shared" si="127"/>
        <v>0</v>
      </c>
      <c r="P78" s="23">
        <f t="shared" si="127"/>
        <v>0</v>
      </c>
      <c r="Q78" s="22">
        <f t="shared" si="109"/>
        <v>0</v>
      </c>
      <c r="R78" s="24"/>
      <c r="S78" s="23"/>
      <c r="T78" s="22">
        <f t="shared" si="110"/>
        <v>0</v>
      </c>
      <c r="U78" s="24"/>
      <c r="V78" s="23"/>
      <c r="W78" s="22">
        <f t="shared" si="111"/>
        <v>0</v>
      </c>
      <c r="X78" s="24"/>
      <c r="Y78" s="23"/>
      <c r="Z78" s="22">
        <f t="shared" si="112"/>
        <v>0</v>
      </c>
      <c r="AA78" s="24">
        <f t="shared" si="128"/>
        <v>0</v>
      </c>
      <c r="AB78" s="23">
        <f t="shared" si="128"/>
        <v>0</v>
      </c>
      <c r="AC78" s="22">
        <f t="shared" si="113"/>
        <v>0</v>
      </c>
      <c r="AD78" s="24"/>
      <c r="AE78" s="23"/>
      <c r="AF78" s="22">
        <f t="shared" si="114"/>
        <v>0</v>
      </c>
      <c r="AG78" s="24"/>
      <c r="AH78" s="23"/>
      <c r="AI78" s="22">
        <f t="shared" si="115"/>
        <v>0</v>
      </c>
      <c r="AJ78" s="24"/>
      <c r="AK78" s="23"/>
      <c r="AL78" s="22">
        <f t="shared" si="116"/>
        <v>0</v>
      </c>
      <c r="AM78" s="24">
        <f t="shared" si="129"/>
        <v>0</v>
      </c>
      <c r="AN78" s="23">
        <f t="shared" si="129"/>
        <v>0</v>
      </c>
      <c r="AO78" s="22">
        <f t="shared" si="117"/>
        <v>0</v>
      </c>
      <c r="AP78" s="24"/>
      <c r="AQ78" s="23"/>
      <c r="AR78" s="22">
        <f t="shared" si="118"/>
        <v>0</v>
      </c>
      <c r="AS78" s="24"/>
      <c r="AT78" s="23"/>
      <c r="AU78" s="22">
        <f t="shared" si="119"/>
        <v>0</v>
      </c>
      <c r="AV78" s="24"/>
      <c r="AW78" s="23"/>
      <c r="AX78" s="22">
        <f t="shared" si="120"/>
        <v>0</v>
      </c>
      <c r="AY78" s="23">
        <f t="shared" si="130"/>
        <v>0</v>
      </c>
      <c r="AZ78" s="23">
        <f t="shared" si="130"/>
        <v>0</v>
      </c>
      <c r="BA78" s="22">
        <f t="shared" si="121"/>
        <v>0</v>
      </c>
      <c r="BB78" s="24">
        <f t="shared" si="131"/>
        <v>0</v>
      </c>
      <c r="BC78" s="23">
        <f t="shared" si="131"/>
        <v>0</v>
      </c>
      <c r="BD78" s="22">
        <f t="shared" si="122"/>
        <v>0</v>
      </c>
      <c r="BE78" s="24"/>
      <c r="BF78" s="24"/>
      <c r="BG78" s="20">
        <f t="shared" si="132"/>
        <v>0</v>
      </c>
    </row>
    <row r="79" spans="1:59" ht="13.5" hidden="1" customHeight="1" outlineLevel="1" x14ac:dyDescent="0.25">
      <c r="A79" s="100"/>
      <c r="B79" s="84" t="s">
        <v>38</v>
      </c>
      <c r="C79" s="83" t="s">
        <v>68</v>
      </c>
      <c r="D79" s="20"/>
      <c r="E79" s="20"/>
      <c r="F79" s="24"/>
      <c r="G79" s="23"/>
      <c r="H79" s="22">
        <f t="shared" si="106"/>
        <v>0</v>
      </c>
      <c r="I79" s="24"/>
      <c r="J79" s="23"/>
      <c r="K79" s="22">
        <f t="shared" si="107"/>
        <v>0</v>
      </c>
      <c r="L79" s="24"/>
      <c r="M79" s="23"/>
      <c r="N79" s="22">
        <f t="shared" si="108"/>
        <v>0</v>
      </c>
      <c r="O79" s="24">
        <f t="shared" si="127"/>
        <v>0</v>
      </c>
      <c r="P79" s="23">
        <f t="shared" si="127"/>
        <v>0</v>
      </c>
      <c r="Q79" s="22">
        <f t="shared" si="109"/>
        <v>0</v>
      </c>
      <c r="R79" s="24"/>
      <c r="S79" s="23"/>
      <c r="T79" s="22">
        <f t="shared" si="110"/>
        <v>0</v>
      </c>
      <c r="U79" s="24"/>
      <c r="V79" s="23"/>
      <c r="W79" s="22">
        <f t="shared" si="111"/>
        <v>0</v>
      </c>
      <c r="X79" s="24"/>
      <c r="Y79" s="23"/>
      <c r="Z79" s="22">
        <f t="shared" si="112"/>
        <v>0</v>
      </c>
      <c r="AA79" s="24">
        <f t="shared" si="128"/>
        <v>0</v>
      </c>
      <c r="AB79" s="23">
        <f t="shared" si="128"/>
        <v>0</v>
      </c>
      <c r="AC79" s="22">
        <f t="shared" si="113"/>
        <v>0</v>
      </c>
      <c r="AD79" s="24"/>
      <c r="AE79" s="23"/>
      <c r="AF79" s="22">
        <f t="shared" si="114"/>
        <v>0</v>
      </c>
      <c r="AG79" s="24"/>
      <c r="AH79" s="23"/>
      <c r="AI79" s="22">
        <f t="shared" si="115"/>
        <v>0</v>
      </c>
      <c r="AJ79" s="24"/>
      <c r="AK79" s="23"/>
      <c r="AL79" s="22">
        <f t="shared" si="116"/>
        <v>0</v>
      </c>
      <c r="AM79" s="24">
        <f t="shared" si="129"/>
        <v>0</v>
      </c>
      <c r="AN79" s="23">
        <f t="shared" si="129"/>
        <v>0</v>
      </c>
      <c r="AO79" s="22">
        <f t="shared" si="117"/>
        <v>0</v>
      </c>
      <c r="AP79" s="24"/>
      <c r="AQ79" s="23"/>
      <c r="AR79" s="22">
        <f t="shared" si="118"/>
        <v>0</v>
      </c>
      <c r="AS79" s="24"/>
      <c r="AT79" s="23"/>
      <c r="AU79" s="22">
        <f t="shared" si="119"/>
        <v>0</v>
      </c>
      <c r="AV79" s="24"/>
      <c r="AW79" s="23"/>
      <c r="AX79" s="22">
        <f t="shared" si="120"/>
        <v>0</v>
      </c>
      <c r="AY79" s="23">
        <f t="shared" si="130"/>
        <v>0</v>
      </c>
      <c r="AZ79" s="23">
        <f t="shared" si="130"/>
        <v>0</v>
      </c>
      <c r="BA79" s="22">
        <f t="shared" si="121"/>
        <v>0</v>
      </c>
      <c r="BB79" s="24">
        <f t="shared" si="131"/>
        <v>0</v>
      </c>
      <c r="BC79" s="23">
        <f t="shared" si="131"/>
        <v>0</v>
      </c>
      <c r="BD79" s="22">
        <f t="shared" si="122"/>
        <v>0</v>
      </c>
      <c r="BE79" s="24"/>
      <c r="BF79" s="24"/>
      <c r="BG79" s="20">
        <f t="shared" si="132"/>
        <v>0</v>
      </c>
    </row>
    <row r="80" spans="1:59" ht="13.5" hidden="1" customHeight="1" outlineLevel="1" x14ac:dyDescent="0.25">
      <c r="A80" s="100"/>
      <c r="B80" s="84" t="s">
        <v>39</v>
      </c>
      <c r="C80" s="83" t="s">
        <v>68</v>
      </c>
      <c r="D80" s="20"/>
      <c r="E80" s="20"/>
      <c r="F80" s="24"/>
      <c r="G80" s="23"/>
      <c r="H80" s="22">
        <f t="shared" si="106"/>
        <v>0</v>
      </c>
      <c r="I80" s="24"/>
      <c r="J80" s="23"/>
      <c r="K80" s="22">
        <f t="shared" si="107"/>
        <v>0</v>
      </c>
      <c r="L80" s="24"/>
      <c r="M80" s="23"/>
      <c r="N80" s="22">
        <f t="shared" si="108"/>
        <v>0</v>
      </c>
      <c r="O80" s="24">
        <f t="shared" si="127"/>
        <v>0</v>
      </c>
      <c r="P80" s="23">
        <f t="shared" si="127"/>
        <v>0</v>
      </c>
      <c r="Q80" s="22">
        <f t="shared" si="109"/>
        <v>0</v>
      </c>
      <c r="R80" s="24"/>
      <c r="S80" s="23"/>
      <c r="T80" s="22">
        <f t="shared" si="110"/>
        <v>0</v>
      </c>
      <c r="U80" s="24"/>
      <c r="V80" s="23"/>
      <c r="W80" s="22">
        <f t="shared" si="111"/>
        <v>0</v>
      </c>
      <c r="X80" s="24"/>
      <c r="Y80" s="23"/>
      <c r="Z80" s="22">
        <f t="shared" si="112"/>
        <v>0</v>
      </c>
      <c r="AA80" s="24">
        <f t="shared" si="128"/>
        <v>0</v>
      </c>
      <c r="AB80" s="23">
        <f t="shared" si="128"/>
        <v>0</v>
      </c>
      <c r="AC80" s="22">
        <f t="shared" si="113"/>
        <v>0</v>
      </c>
      <c r="AD80" s="24"/>
      <c r="AE80" s="23"/>
      <c r="AF80" s="22">
        <f t="shared" si="114"/>
        <v>0</v>
      </c>
      <c r="AG80" s="24"/>
      <c r="AH80" s="23"/>
      <c r="AI80" s="22">
        <f t="shared" si="115"/>
        <v>0</v>
      </c>
      <c r="AJ80" s="24"/>
      <c r="AK80" s="23"/>
      <c r="AL80" s="22">
        <f t="shared" si="116"/>
        <v>0</v>
      </c>
      <c r="AM80" s="24">
        <f t="shared" si="129"/>
        <v>0</v>
      </c>
      <c r="AN80" s="23">
        <f t="shared" si="129"/>
        <v>0</v>
      </c>
      <c r="AO80" s="22">
        <f t="shared" si="117"/>
        <v>0</v>
      </c>
      <c r="AP80" s="24"/>
      <c r="AQ80" s="23"/>
      <c r="AR80" s="22">
        <f t="shared" si="118"/>
        <v>0</v>
      </c>
      <c r="AS80" s="24"/>
      <c r="AT80" s="23"/>
      <c r="AU80" s="22">
        <f t="shared" si="119"/>
        <v>0</v>
      </c>
      <c r="AV80" s="24"/>
      <c r="AW80" s="23"/>
      <c r="AX80" s="22">
        <f t="shared" si="120"/>
        <v>0</v>
      </c>
      <c r="AY80" s="23">
        <f t="shared" si="130"/>
        <v>0</v>
      </c>
      <c r="AZ80" s="23">
        <f t="shared" si="130"/>
        <v>0</v>
      </c>
      <c r="BA80" s="22">
        <f t="shared" si="121"/>
        <v>0</v>
      </c>
      <c r="BB80" s="24">
        <f t="shared" si="131"/>
        <v>0</v>
      </c>
      <c r="BC80" s="23">
        <f t="shared" si="131"/>
        <v>0</v>
      </c>
      <c r="BD80" s="22">
        <f t="shared" si="122"/>
        <v>0</v>
      </c>
      <c r="BE80" s="24"/>
      <c r="BF80" s="24"/>
      <c r="BG80" s="20">
        <f t="shared" si="132"/>
        <v>0</v>
      </c>
    </row>
    <row r="81" spans="1:59" ht="13.5" hidden="1" customHeight="1" outlineLevel="1" x14ac:dyDescent="0.25">
      <c r="A81" s="100"/>
      <c r="B81" s="84" t="s">
        <v>40</v>
      </c>
      <c r="C81" s="83" t="s">
        <v>68</v>
      </c>
      <c r="D81" s="20"/>
      <c r="E81" s="20"/>
      <c r="F81" s="24"/>
      <c r="G81" s="23"/>
      <c r="H81" s="22">
        <f t="shared" si="106"/>
        <v>0</v>
      </c>
      <c r="I81" s="24"/>
      <c r="J81" s="23"/>
      <c r="K81" s="22">
        <f t="shared" si="107"/>
        <v>0</v>
      </c>
      <c r="L81" s="24"/>
      <c r="M81" s="23"/>
      <c r="N81" s="22">
        <f t="shared" si="108"/>
        <v>0</v>
      </c>
      <c r="O81" s="24">
        <f t="shared" si="127"/>
        <v>0</v>
      </c>
      <c r="P81" s="23">
        <f t="shared" si="127"/>
        <v>0</v>
      </c>
      <c r="Q81" s="22">
        <f t="shared" si="109"/>
        <v>0</v>
      </c>
      <c r="R81" s="24"/>
      <c r="S81" s="23"/>
      <c r="T81" s="22">
        <f t="shared" si="110"/>
        <v>0</v>
      </c>
      <c r="U81" s="24"/>
      <c r="V81" s="23"/>
      <c r="W81" s="22">
        <f t="shared" si="111"/>
        <v>0</v>
      </c>
      <c r="X81" s="24"/>
      <c r="Y81" s="23"/>
      <c r="Z81" s="22">
        <f t="shared" si="112"/>
        <v>0</v>
      </c>
      <c r="AA81" s="24">
        <f t="shared" si="128"/>
        <v>0</v>
      </c>
      <c r="AB81" s="23">
        <f t="shared" si="128"/>
        <v>0</v>
      </c>
      <c r="AC81" s="22">
        <f t="shared" si="113"/>
        <v>0</v>
      </c>
      <c r="AD81" s="24"/>
      <c r="AE81" s="23"/>
      <c r="AF81" s="22">
        <f t="shared" si="114"/>
        <v>0</v>
      </c>
      <c r="AG81" s="24"/>
      <c r="AH81" s="23"/>
      <c r="AI81" s="22">
        <f t="shared" si="115"/>
        <v>0</v>
      </c>
      <c r="AJ81" s="24"/>
      <c r="AK81" s="23"/>
      <c r="AL81" s="22">
        <f t="shared" si="116"/>
        <v>0</v>
      </c>
      <c r="AM81" s="24">
        <f t="shared" si="129"/>
        <v>0</v>
      </c>
      <c r="AN81" s="23">
        <f t="shared" si="129"/>
        <v>0</v>
      </c>
      <c r="AO81" s="22">
        <f t="shared" si="117"/>
        <v>0</v>
      </c>
      <c r="AP81" s="24"/>
      <c r="AQ81" s="23"/>
      <c r="AR81" s="22">
        <f t="shared" si="118"/>
        <v>0</v>
      </c>
      <c r="AS81" s="24"/>
      <c r="AT81" s="23"/>
      <c r="AU81" s="22">
        <f t="shared" si="119"/>
        <v>0</v>
      </c>
      <c r="AV81" s="24"/>
      <c r="AW81" s="23"/>
      <c r="AX81" s="22">
        <f t="shared" si="120"/>
        <v>0</v>
      </c>
      <c r="AY81" s="23">
        <f t="shared" si="130"/>
        <v>0</v>
      </c>
      <c r="AZ81" s="23">
        <f t="shared" si="130"/>
        <v>0</v>
      </c>
      <c r="BA81" s="22">
        <f t="shared" si="121"/>
        <v>0</v>
      </c>
      <c r="BB81" s="24">
        <f t="shared" si="131"/>
        <v>0</v>
      </c>
      <c r="BC81" s="23">
        <f t="shared" si="131"/>
        <v>0</v>
      </c>
      <c r="BD81" s="22">
        <f t="shared" si="122"/>
        <v>0</v>
      </c>
      <c r="BE81" s="24"/>
      <c r="BF81" s="24"/>
      <c r="BG81" s="20">
        <f t="shared" si="132"/>
        <v>0</v>
      </c>
    </row>
    <row r="82" spans="1:59" ht="13.5" hidden="1" customHeight="1" outlineLevel="1" x14ac:dyDescent="0.25">
      <c r="A82" s="100"/>
      <c r="B82" s="84" t="s">
        <v>41</v>
      </c>
      <c r="C82" s="83" t="s">
        <v>68</v>
      </c>
      <c r="D82" s="20"/>
      <c r="E82" s="20"/>
      <c r="F82" s="24"/>
      <c r="G82" s="23"/>
      <c r="H82" s="22">
        <f t="shared" si="106"/>
        <v>0</v>
      </c>
      <c r="I82" s="24"/>
      <c r="J82" s="23"/>
      <c r="K82" s="22">
        <f t="shared" si="107"/>
        <v>0</v>
      </c>
      <c r="L82" s="24"/>
      <c r="M82" s="23"/>
      <c r="N82" s="22">
        <f t="shared" si="108"/>
        <v>0</v>
      </c>
      <c r="O82" s="24">
        <f t="shared" si="127"/>
        <v>0</v>
      </c>
      <c r="P82" s="23">
        <f t="shared" si="127"/>
        <v>0</v>
      </c>
      <c r="Q82" s="22">
        <f t="shared" si="109"/>
        <v>0</v>
      </c>
      <c r="R82" s="24"/>
      <c r="S82" s="23"/>
      <c r="T82" s="22">
        <f t="shared" si="110"/>
        <v>0</v>
      </c>
      <c r="U82" s="24"/>
      <c r="V82" s="23"/>
      <c r="W82" s="22">
        <f t="shared" si="111"/>
        <v>0</v>
      </c>
      <c r="X82" s="24"/>
      <c r="Y82" s="23"/>
      <c r="Z82" s="22">
        <f t="shared" si="112"/>
        <v>0</v>
      </c>
      <c r="AA82" s="24">
        <f t="shared" si="128"/>
        <v>0</v>
      </c>
      <c r="AB82" s="23">
        <f t="shared" si="128"/>
        <v>0</v>
      </c>
      <c r="AC82" s="22">
        <f t="shared" si="113"/>
        <v>0</v>
      </c>
      <c r="AD82" s="24"/>
      <c r="AE82" s="23"/>
      <c r="AF82" s="22">
        <f t="shared" si="114"/>
        <v>0</v>
      </c>
      <c r="AG82" s="24"/>
      <c r="AH82" s="23"/>
      <c r="AI82" s="22">
        <f t="shared" si="115"/>
        <v>0</v>
      </c>
      <c r="AJ82" s="24"/>
      <c r="AK82" s="23"/>
      <c r="AL82" s="22">
        <f t="shared" si="116"/>
        <v>0</v>
      </c>
      <c r="AM82" s="24">
        <f t="shared" si="129"/>
        <v>0</v>
      </c>
      <c r="AN82" s="23">
        <f t="shared" si="129"/>
        <v>0</v>
      </c>
      <c r="AO82" s="22">
        <f t="shared" si="117"/>
        <v>0</v>
      </c>
      <c r="AP82" s="24"/>
      <c r="AQ82" s="23"/>
      <c r="AR82" s="22">
        <f t="shared" si="118"/>
        <v>0</v>
      </c>
      <c r="AS82" s="24"/>
      <c r="AT82" s="23"/>
      <c r="AU82" s="22">
        <f t="shared" si="119"/>
        <v>0</v>
      </c>
      <c r="AV82" s="24"/>
      <c r="AW82" s="23"/>
      <c r="AX82" s="22">
        <f t="shared" si="120"/>
        <v>0</v>
      </c>
      <c r="AY82" s="23">
        <f t="shared" si="130"/>
        <v>0</v>
      </c>
      <c r="AZ82" s="23">
        <f t="shared" si="130"/>
        <v>0</v>
      </c>
      <c r="BA82" s="22">
        <f t="shared" si="121"/>
        <v>0</v>
      </c>
      <c r="BB82" s="24">
        <f t="shared" si="131"/>
        <v>0</v>
      </c>
      <c r="BC82" s="23">
        <f t="shared" si="131"/>
        <v>0</v>
      </c>
      <c r="BD82" s="22">
        <f t="shared" si="122"/>
        <v>0</v>
      </c>
      <c r="BE82" s="24"/>
      <c r="BF82" s="24"/>
      <c r="BG82" s="20">
        <f t="shared" si="132"/>
        <v>0</v>
      </c>
    </row>
    <row r="83" spans="1:59" ht="13.5" hidden="1" customHeight="1" outlineLevel="1" x14ac:dyDescent="0.25">
      <c r="A83" s="28"/>
      <c r="B83" s="84" t="s">
        <v>42</v>
      </c>
      <c r="C83" s="83" t="s">
        <v>68</v>
      </c>
      <c r="D83" s="20"/>
      <c r="E83" s="20"/>
      <c r="F83" s="24"/>
      <c r="G83" s="23"/>
      <c r="H83" s="22">
        <f t="shared" si="106"/>
        <v>0</v>
      </c>
      <c r="I83" s="24"/>
      <c r="J83" s="23"/>
      <c r="K83" s="22">
        <f t="shared" si="107"/>
        <v>0</v>
      </c>
      <c r="L83" s="24"/>
      <c r="M83" s="23"/>
      <c r="N83" s="22">
        <f t="shared" si="108"/>
        <v>0</v>
      </c>
      <c r="O83" s="24">
        <f t="shared" si="127"/>
        <v>0</v>
      </c>
      <c r="P83" s="23">
        <f t="shared" si="127"/>
        <v>0</v>
      </c>
      <c r="Q83" s="22">
        <f t="shared" si="109"/>
        <v>0</v>
      </c>
      <c r="R83" s="24"/>
      <c r="S83" s="23"/>
      <c r="T83" s="22">
        <f t="shared" si="110"/>
        <v>0</v>
      </c>
      <c r="U83" s="24"/>
      <c r="V83" s="23"/>
      <c r="W83" s="22">
        <f t="shared" si="111"/>
        <v>0</v>
      </c>
      <c r="X83" s="24"/>
      <c r="Y83" s="23"/>
      <c r="Z83" s="22">
        <f t="shared" si="112"/>
        <v>0</v>
      </c>
      <c r="AA83" s="24">
        <f t="shared" si="128"/>
        <v>0</v>
      </c>
      <c r="AB83" s="23">
        <f t="shared" si="128"/>
        <v>0</v>
      </c>
      <c r="AC83" s="22">
        <f t="shared" si="113"/>
        <v>0</v>
      </c>
      <c r="AD83" s="24"/>
      <c r="AE83" s="23"/>
      <c r="AF83" s="22">
        <f t="shared" si="114"/>
        <v>0</v>
      </c>
      <c r="AG83" s="24"/>
      <c r="AH83" s="23"/>
      <c r="AI83" s="22">
        <f t="shared" si="115"/>
        <v>0</v>
      </c>
      <c r="AJ83" s="24"/>
      <c r="AK83" s="23"/>
      <c r="AL83" s="22">
        <f t="shared" si="116"/>
        <v>0</v>
      </c>
      <c r="AM83" s="24">
        <f t="shared" si="129"/>
        <v>0</v>
      </c>
      <c r="AN83" s="23">
        <f t="shared" si="129"/>
        <v>0</v>
      </c>
      <c r="AO83" s="22">
        <f t="shared" si="117"/>
        <v>0</v>
      </c>
      <c r="AP83" s="24"/>
      <c r="AQ83" s="23"/>
      <c r="AR83" s="22">
        <f t="shared" si="118"/>
        <v>0</v>
      </c>
      <c r="AS83" s="24"/>
      <c r="AT83" s="23"/>
      <c r="AU83" s="22">
        <f t="shared" si="119"/>
        <v>0</v>
      </c>
      <c r="AV83" s="24"/>
      <c r="AW83" s="23"/>
      <c r="AX83" s="22">
        <f t="shared" si="120"/>
        <v>0</v>
      </c>
      <c r="AY83" s="23">
        <f t="shared" si="130"/>
        <v>0</v>
      </c>
      <c r="AZ83" s="23">
        <f t="shared" si="130"/>
        <v>0</v>
      </c>
      <c r="BA83" s="22">
        <f t="shared" si="121"/>
        <v>0</v>
      </c>
      <c r="BB83" s="24">
        <f t="shared" si="131"/>
        <v>0</v>
      </c>
      <c r="BC83" s="23">
        <f t="shared" si="131"/>
        <v>0</v>
      </c>
      <c r="BD83" s="22">
        <f t="shared" si="122"/>
        <v>0</v>
      </c>
      <c r="BE83" s="24"/>
      <c r="BF83" s="24"/>
      <c r="BG83" s="20">
        <f t="shared" si="132"/>
        <v>0</v>
      </c>
    </row>
    <row r="84" spans="1:59" s="210" customFormat="1" ht="13.5" customHeight="1" collapsed="1" x14ac:dyDescent="0.25">
      <c r="A84" s="103"/>
      <c r="B84" s="102" t="s">
        <v>43</v>
      </c>
      <c r="C84" s="101" t="s">
        <v>68</v>
      </c>
      <c r="D84" s="188">
        <f>SUM(D85:D102)</f>
        <v>0</v>
      </c>
      <c r="E84" s="188">
        <f>SUM(E85:E102)</f>
        <v>0</v>
      </c>
      <c r="F84" s="191">
        <f>SUM(F85:F102)</f>
        <v>0</v>
      </c>
      <c r="G84" s="189">
        <f>SUM(G85:G102)</f>
        <v>0</v>
      </c>
      <c r="H84" s="190">
        <f t="shared" si="106"/>
        <v>0</v>
      </c>
      <c r="I84" s="191">
        <f>SUM(I85:I102)</f>
        <v>0</v>
      </c>
      <c r="J84" s="189">
        <f>SUM(J85:J102)</f>
        <v>0</v>
      </c>
      <c r="K84" s="190">
        <f t="shared" si="107"/>
        <v>0</v>
      </c>
      <c r="L84" s="191">
        <f>SUM(L85:L102)</f>
        <v>0</v>
      </c>
      <c r="M84" s="189">
        <f>SUM(M85:M102)</f>
        <v>0</v>
      </c>
      <c r="N84" s="190">
        <f t="shared" si="108"/>
        <v>0</v>
      </c>
      <c r="O84" s="191">
        <f>SUM(O85:O102)</f>
        <v>0</v>
      </c>
      <c r="P84" s="189">
        <f>SUM(P85:P102)</f>
        <v>0</v>
      </c>
      <c r="Q84" s="190">
        <f t="shared" si="109"/>
        <v>0</v>
      </c>
      <c r="R84" s="191">
        <f>SUM(R85:R102)</f>
        <v>0</v>
      </c>
      <c r="S84" s="189">
        <f>SUM(S85:S102)</f>
        <v>0</v>
      </c>
      <c r="T84" s="190">
        <f t="shared" si="110"/>
        <v>0</v>
      </c>
      <c r="U84" s="191">
        <f>SUM(U85:U102)</f>
        <v>0</v>
      </c>
      <c r="V84" s="189">
        <f>SUM(V85:V102)</f>
        <v>0</v>
      </c>
      <c r="W84" s="190">
        <f t="shared" si="111"/>
        <v>0</v>
      </c>
      <c r="X84" s="191">
        <f>SUM(X85:X102)</f>
        <v>0</v>
      </c>
      <c r="Y84" s="189">
        <f>SUM(Y85:Y102)</f>
        <v>0</v>
      </c>
      <c r="Z84" s="190">
        <f t="shared" si="112"/>
        <v>0</v>
      </c>
      <c r="AA84" s="191">
        <f>SUM(AA85:AA102)</f>
        <v>0</v>
      </c>
      <c r="AB84" s="189">
        <f>SUM(AB85:AB102)</f>
        <v>0</v>
      </c>
      <c r="AC84" s="190">
        <f t="shared" si="113"/>
        <v>0</v>
      </c>
      <c r="AD84" s="191">
        <f>SUM(AD85:AD102)</f>
        <v>0</v>
      </c>
      <c r="AE84" s="189">
        <f>SUM(AE85:AE102)</f>
        <v>0</v>
      </c>
      <c r="AF84" s="190">
        <f t="shared" si="114"/>
        <v>0</v>
      </c>
      <c r="AG84" s="191">
        <f>SUM(AG85:AG102)</f>
        <v>0</v>
      </c>
      <c r="AH84" s="189">
        <f>SUM(AH85:AH102)</f>
        <v>0</v>
      </c>
      <c r="AI84" s="190">
        <f t="shared" si="115"/>
        <v>0</v>
      </c>
      <c r="AJ84" s="191">
        <f>SUM(AJ85:AJ102)</f>
        <v>0</v>
      </c>
      <c r="AK84" s="189">
        <f>SUM(AK85:AK102)</f>
        <v>0</v>
      </c>
      <c r="AL84" s="190">
        <f t="shared" si="116"/>
        <v>0</v>
      </c>
      <c r="AM84" s="191">
        <f>SUM(AM85:AM102)</f>
        <v>0</v>
      </c>
      <c r="AN84" s="189">
        <f>SUM(AN85:AN102)</f>
        <v>0</v>
      </c>
      <c r="AO84" s="190">
        <f t="shared" si="117"/>
        <v>0</v>
      </c>
      <c r="AP84" s="191">
        <f>SUM(AP85:AP102)</f>
        <v>0</v>
      </c>
      <c r="AQ84" s="189">
        <f>SUM(AQ85:AQ102)</f>
        <v>0</v>
      </c>
      <c r="AR84" s="190">
        <f t="shared" si="118"/>
        <v>0</v>
      </c>
      <c r="AS84" s="191">
        <f>SUM(AS85:AS102)</f>
        <v>0</v>
      </c>
      <c r="AT84" s="189">
        <f>SUM(AT85:AT102)</f>
        <v>0</v>
      </c>
      <c r="AU84" s="190">
        <f t="shared" si="119"/>
        <v>0</v>
      </c>
      <c r="AV84" s="191">
        <f>SUM(AV85:AV102)</f>
        <v>0</v>
      </c>
      <c r="AW84" s="189">
        <f>SUM(AW85:AW102)</f>
        <v>0</v>
      </c>
      <c r="AX84" s="190">
        <f t="shared" si="120"/>
        <v>0</v>
      </c>
      <c r="AY84" s="189">
        <f>SUM(AY85:AY102)</f>
        <v>0</v>
      </c>
      <c r="AZ84" s="189">
        <f>SUM(AZ85:AZ102)</f>
        <v>0</v>
      </c>
      <c r="BA84" s="190">
        <f t="shared" si="121"/>
        <v>0</v>
      </c>
      <c r="BB84" s="191">
        <f>SUM(BB85:BB102)</f>
        <v>0</v>
      </c>
      <c r="BC84" s="189">
        <f>SUM(BC85:BC102)</f>
        <v>0</v>
      </c>
      <c r="BD84" s="190">
        <f t="shared" si="122"/>
        <v>0</v>
      </c>
      <c r="BE84" s="191">
        <f t="shared" ref="BE84:BF84" si="133">SUM(BE85:BE102)</f>
        <v>0</v>
      </c>
      <c r="BF84" s="191">
        <f t="shared" si="133"/>
        <v>0</v>
      </c>
      <c r="BG84" s="188">
        <f t="shared" ref="BG84" si="134">SUM(BG85:BG102)</f>
        <v>0</v>
      </c>
    </row>
    <row r="85" spans="1:59" ht="13.5" hidden="1" customHeight="1" outlineLevel="1" x14ac:dyDescent="0.25">
      <c r="A85" s="28"/>
      <c r="B85" s="84" t="s">
        <v>44</v>
      </c>
      <c r="C85" s="83" t="s">
        <v>68</v>
      </c>
      <c r="D85" s="20"/>
      <c r="E85" s="20"/>
      <c r="F85" s="24"/>
      <c r="G85" s="23"/>
      <c r="H85" s="22">
        <f t="shared" si="106"/>
        <v>0</v>
      </c>
      <c r="I85" s="24"/>
      <c r="J85" s="23"/>
      <c r="K85" s="22">
        <f t="shared" si="107"/>
        <v>0</v>
      </c>
      <c r="L85" s="24"/>
      <c r="M85" s="23"/>
      <c r="N85" s="22">
        <f t="shared" si="108"/>
        <v>0</v>
      </c>
      <c r="O85" s="24">
        <f t="shared" ref="O85:P100" si="135">SUM(F85,I85,L85)</f>
        <v>0</v>
      </c>
      <c r="P85" s="23">
        <f t="shared" si="135"/>
        <v>0</v>
      </c>
      <c r="Q85" s="22">
        <f t="shared" si="109"/>
        <v>0</v>
      </c>
      <c r="R85" s="24"/>
      <c r="S85" s="23"/>
      <c r="T85" s="22">
        <f t="shared" si="110"/>
        <v>0</v>
      </c>
      <c r="U85" s="24"/>
      <c r="V85" s="23"/>
      <c r="W85" s="22">
        <f t="shared" si="111"/>
        <v>0</v>
      </c>
      <c r="X85" s="24"/>
      <c r="Y85" s="23"/>
      <c r="Z85" s="22">
        <f t="shared" si="112"/>
        <v>0</v>
      </c>
      <c r="AA85" s="24">
        <f t="shared" ref="AA85:AB100" si="136">SUM(R85,U85,X85)</f>
        <v>0</v>
      </c>
      <c r="AB85" s="23">
        <f t="shared" si="136"/>
        <v>0</v>
      </c>
      <c r="AC85" s="22">
        <f t="shared" si="113"/>
        <v>0</v>
      </c>
      <c r="AD85" s="24"/>
      <c r="AE85" s="23"/>
      <c r="AF85" s="22">
        <f t="shared" si="114"/>
        <v>0</v>
      </c>
      <c r="AG85" s="24"/>
      <c r="AH85" s="23"/>
      <c r="AI85" s="22">
        <f t="shared" si="115"/>
        <v>0</v>
      </c>
      <c r="AJ85" s="24"/>
      <c r="AK85" s="23"/>
      <c r="AL85" s="22">
        <f t="shared" si="116"/>
        <v>0</v>
      </c>
      <c r="AM85" s="24">
        <f t="shared" ref="AM85:AN100" si="137">SUM(AD85,AG85,AJ85)</f>
        <v>0</v>
      </c>
      <c r="AN85" s="23">
        <f t="shared" si="137"/>
        <v>0</v>
      </c>
      <c r="AO85" s="22">
        <f t="shared" si="117"/>
        <v>0</v>
      </c>
      <c r="AP85" s="24"/>
      <c r="AQ85" s="23"/>
      <c r="AR85" s="22">
        <f t="shared" si="118"/>
        <v>0</v>
      </c>
      <c r="AS85" s="24"/>
      <c r="AT85" s="23"/>
      <c r="AU85" s="22">
        <f t="shared" si="119"/>
        <v>0</v>
      </c>
      <c r="AV85" s="24"/>
      <c r="AW85" s="23"/>
      <c r="AX85" s="22">
        <f t="shared" si="120"/>
        <v>0</v>
      </c>
      <c r="AY85" s="23">
        <f t="shared" ref="AY85:AZ100" si="138">SUM(AP85,AS85,AV85)</f>
        <v>0</v>
      </c>
      <c r="AZ85" s="23">
        <f t="shared" si="138"/>
        <v>0</v>
      </c>
      <c r="BA85" s="22">
        <f t="shared" si="121"/>
        <v>0</v>
      </c>
      <c r="BB85" s="24">
        <f t="shared" ref="BB85:BC100" si="139">SUM(F85,I85,L85,R85,U85,X85,AD85,AG85,AJ85,AP85,AS85,AV85)</f>
        <v>0</v>
      </c>
      <c r="BC85" s="23">
        <f t="shared" si="139"/>
        <v>0</v>
      </c>
      <c r="BD85" s="22">
        <f t="shared" si="122"/>
        <v>0</v>
      </c>
      <c r="BE85" s="24"/>
      <c r="BF85" s="24"/>
      <c r="BG85" s="20">
        <f>BB85+BE85+BF85</f>
        <v>0</v>
      </c>
    </row>
    <row r="86" spans="1:59" ht="13.5" hidden="1" customHeight="1" outlineLevel="1" x14ac:dyDescent="0.25">
      <c r="A86" s="28"/>
      <c r="B86" s="84" t="s">
        <v>45</v>
      </c>
      <c r="C86" s="83" t="s">
        <v>68</v>
      </c>
      <c r="D86" s="20"/>
      <c r="E86" s="20"/>
      <c r="F86" s="24"/>
      <c r="G86" s="23"/>
      <c r="H86" s="22">
        <f t="shared" si="106"/>
        <v>0</v>
      </c>
      <c r="I86" s="24"/>
      <c r="J86" s="23"/>
      <c r="K86" s="22">
        <f t="shared" si="107"/>
        <v>0</v>
      </c>
      <c r="L86" s="24"/>
      <c r="M86" s="23"/>
      <c r="N86" s="22">
        <f t="shared" si="108"/>
        <v>0</v>
      </c>
      <c r="O86" s="24">
        <f t="shared" si="135"/>
        <v>0</v>
      </c>
      <c r="P86" s="23">
        <f t="shared" si="135"/>
        <v>0</v>
      </c>
      <c r="Q86" s="22">
        <f t="shared" si="109"/>
        <v>0</v>
      </c>
      <c r="R86" s="24"/>
      <c r="S86" s="23"/>
      <c r="T86" s="22">
        <f t="shared" si="110"/>
        <v>0</v>
      </c>
      <c r="U86" s="24"/>
      <c r="V86" s="23"/>
      <c r="W86" s="22">
        <f t="shared" si="111"/>
        <v>0</v>
      </c>
      <c r="X86" s="24"/>
      <c r="Y86" s="23"/>
      <c r="Z86" s="22">
        <f t="shared" si="112"/>
        <v>0</v>
      </c>
      <c r="AA86" s="24">
        <f t="shared" si="136"/>
        <v>0</v>
      </c>
      <c r="AB86" s="23">
        <f t="shared" si="136"/>
        <v>0</v>
      </c>
      <c r="AC86" s="22">
        <f t="shared" si="113"/>
        <v>0</v>
      </c>
      <c r="AD86" s="24"/>
      <c r="AE86" s="23"/>
      <c r="AF86" s="22">
        <f t="shared" si="114"/>
        <v>0</v>
      </c>
      <c r="AG86" s="24"/>
      <c r="AH86" s="23"/>
      <c r="AI86" s="22">
        <f t="shared" si="115"/>
        <v>0</v>
      </c>
      <c r="AJ86" s="24"/>
      <c r="AK86" s="23"/>
      <c r="AL86" s="22">
        <f t="shared" si="116"/>
        <v>0</v>
      </c>
      <c r="AM86" s="24">
        <f t="shared" si="137"/>
        <v>0</v>
      </c>
      <c r="AN86" s="23">
        <f t="shared" si="137"/>
        <v>0</v>
      </c>
      <c r="AO86" s="22">
        <f t="shared" si="117"/>
        <v>0</v>
      </c>
      <c r="AP86" s="24"/>
      <c r="AQ86" s="23"/>
      <c r="AR86" s="22">
        <f t="shared" si="118"/>
        <v>0</v>
      </c>
      <c r="AS86" s="24"/>
      <c r="AT86" s="23"/>
      <c r="AU86" s="22">
        <f t="shared" si="119"/>
        <v>0</v>
      </c>
      <c r="AV86" s="24"/>
      <c r="AW86" s="23"/>
      <c r="AX86" s="22">
        <f t="shared" si="120"/>
        <v>0</v>
      </c>
      <c r="AY86" s="23">
        <f t="shared" si="138"/>
        <v>0</v>
      </c>
      <c r="AZ86" s="23">
        <f t="shared" si="138"/>
        <v>0</v>
      </c>
      <c r="BA86" s="22">
        <f t="shared" si="121"/>
        <v>0</v>
      </c>
      <c r="BB86" s="24">
        <f t="shared" si="139"/>
        <v>0</v>
      </c>
      <c r="BC86" s="23">
        <f t="shared" si="139"/>
        <v>0</v>
      </c>
      <c r="BD86" s="22">
        <f t="shared" si="122"/>
        <v>0</v>
      </c>
      <c r="BE86" s="24"/>
      <c r="BF86" s="24"/>
      <c r="BG86" s="20">
        <f t="shared" ref="BG86:BG102" si="140">BB86+BE86+BF86</f>
        <v>0</v>
      </c>
    </row>
    <row r="87" spans="1:59" ht="13.5" hidden="1" customHeight="1" outlineLevel="1" x14ac:dyDescent="0.25">
      <c r="A87" s="28"/>
      <c r="B87" s="84" t="s">
        <v>46</v>
      </c>
      <c r="C87" s="83" t="s">
        <v>68</v>
      </c>
      <c r="D87" s="20"/>
      <c r="E87" s="20"/>
      <c r="F87" s="24"/>
      <c r="G87" s="23"/>
      <c r="H87" s="22">
        <f t="shared" si="106"/>
        <v>0</v>
      </c>
      <c r="I87" s="24"/>
      <c r="J87" s="23"/>
      <c r="K87" s="22">
        <f t="shared" si="107"/>
        <v>0</v>
      </c>
      <c r="L87" s="24"/>
      <c r="M87" s="23"/>
      <c r="N87" s="22">
        <f t="shared" si="108"/>
        <v>0</v>
      </c>
      <c r="O87" s="24">
        <f t="shared" si="135"/>
        <v>0</v>
      </c>
      <c r="P87" s="23">
        <f t="shared" si="135"/>
        <v>0</v>
      </c>
      <c r="Q87" s="22">
        <f t="shared" si="109"/>
        <v>0</v>
      </c>
      <c r="R87" s="24"/>
      <c r="S87" s="23"/>
      <c r="T87" s="22">
        <f t="shared" si="110"/>
        <v>0</v>
      </c>
      <c r="U87" s="24"/>
      <c r="V87" s="23"/>
      <c r="W87" s="22">
        <f t="shared" si="111"/>
        <v>0</v>
      </c>
      <c r="X87" s="24"/>
      <c r="Y87" s="23"/>
      <c r="Z87" s="22">
        <f t="shared" si="112"/>
        <v>0</v>
      </c>
      <c r="AA87" s="24">
        <f t="shared" si="136"/>
        <v>0</v>
      </c>
      <c r="AB87" s="23">
        <f t="shared" si="136"/>
        <v>0</v>
      </c>
      <c r="AC87" s="22">
        <f t="shared" si="113"/>
        <v>0</v>
      </c>
      <c r="AD87" s="24"/>
      <c r="AE87" s="23"/>
      <c r="AF87" s="22">
        <f t="shared" si="114"/>
        <v>0</v>
      </c>
      <c r="AG87" s="24"/>
      <c r="AH87" s="23"/>
      <c r="AI87" s="22">
        <f t="shared" si="115"/>
        <v>0</v>
      </c>
      <c r="AJ87" s="24"/>
      <c r="AK87" s="23"/>
      <c r="AL87" s="22">
        <f t="shared" si="116"/>
        <v>0</v>
      </c>
      <c r="AM87" s="24">
        <f t="shared" si="137"/>
        <v>0</v>
      </c>
      <c r="AN87" s="23">
        <f t="shared" si="137"/>
        <v>0</v>
      </c>
      <c r="AO87" s="22">
        <f t="shared" si="117"/>
        <v>0</v>
      </c>
      <c r="AP87" s="24"/>
      <c r="AQ87" s="23"/>
      <c r="AR87" s="22">
        <f t="shared" si="118"/>
        <v>0</v>
      </c>
      <c r="AS87" s="24"/>
      <c r="AT87" s="23"/>
      <c r="AU87" s="22">
        <f t="shared" si="119"/>
        <v>0</v>
      </c>
      <c r="AV87" s="24"/>
      <c r="AW87" s="23"/>
      <c r="AX87" s="22">
        <f t="shared" si="120"/>
        <v>0</v>
      </c>
      <c r="AY87" s="23">
        <f t="shared" si="138"/>
        <v>0</v>
      </c>
      <c r="AZ87" s="23">
        <f t="shared" si="138"/>
        <v>0</v>
      </c>
      <c r="BA87" s="22">
        <f t="shared" si="121"/>
        <v>0</v>
      </c>
      <c r="BB87" s="24">
        <f t="shared" si="139"/>
        <v>0</v>
      </c>
      <c r="BC87" s="23">
        <f t="shared" si="139"/>
        <v>0</v>
      </c>
      <c r="BD87" s="22">
        <f t="shared" si="122"/>
        <v>0</v>
      </c>
      <c r="BE87" s="24"/>
      <c r="BF87" s="24"/>
      <c r="BG87" s="20">
        <f t="shared" si="140"/>
        <v>0</v>
      </c>
    </row>
    <row r="88" spans="1:59" ht="13.5" hidden="1" customHeight="1" outlineLevel="1" x14ac:dyDescent="0.25">
      <c r="A88" s="28"/>
      <c r="B88" s="84" t="s">
        <v>47</v>
      </c>
      <c r="C88" s="83" t="s">
        <v>68</v>
      </c>
      <c r="D88" s="20"/>
      <c r="E88" s="20"/>
      <c r="F88" s="24"/>
      <c r="G88" s="23"/>
      <c r="H88" s="22">
        <f t="shared" si="106"/>
        <v>0</v>
      </c>
      <c r="I88" s="24"/>
      <c r="J88" s="23"/>
      <c r="K88" s="22">
        <f t="shared" si="107"/>
        <v>0</v>
      </c>
      <c r="L88" s="24"/>
      <c r="M88" s="23"/>
      <c r="N88" s="22">
        <f t="shared" si="108"/>
        <v>0</v>
      </c>
      <c r="O88" s="24">
        <f t="shared" si="135"/>
        <v>0</v>
      </c>
      <c r="P88" s="23">
        <f t="shared" si="135"/>
        <v>0</v>
      </c>
      <c r="Q88" s="22">
        <f t="shared" si="109"/>
        <v>0</v>
      </c>
      <c r="R88" s="24"/>
      <c r="S88" s="23"/>
      <c r="T88" s="22">
        <f t="shared" si="110"/>
        <v>0</v>
      </c>
      <c r="U88" s="24"/>
      <c r="V88" s="23"/>
      <c r="W88" s="22">
        <f t="shared" si="111"/>
        <v>0</v>
      </c>
      <c r="X88" s="24"/>
      <c r="Y88" s="23"/>
      <c r="Z88" s="22">
        <f t="shared" si="112"/>
        <v>0</v>
      </c>
      <c r="AA88" s="24">
        <f t="shared" si="136"/>
        <v>0</v>
      </c>
      <c r="AB88" s="23">
        <f t="shared" si="136"/>
        <v>0</v>
      </c>
      <c r="AC88" s="22">
        <f t="shared" si="113"/>
        <v>0</v>
      </c>
      <c r="AD88" s="24"/>
      <c r="AE88" s="23"/>
      <c r="AF88" s="22">
        <f t="shared" si="114"/>
        <v>0</v>
      </c>
      <c r="AG88" s="24"/>
      <c r="AH88" s="23"/>
      <c r="AI88" s="22">
        <f t="shared" si="115"/>
        <v>0</v>
      </c>
      <c r="AJ88" s="24"/>
      <c r="AK88" s="23"/>
      <c r="AL88" s="22">
        <f t="shared" si="116"/>
        <v>0</v>
      </c>
      <c r="AM88" s="24">
        <f t="shared" si="137"/>
        <v>0</v>
      </c>
      <c r="AN88" s="23">
        <f t="shared" si="137"/>
        <v>0</v>
      </c>
      <c r="AO88" s="22">
        <f t="shared" si="117"/>
        <v>0</v>
      </c>
      <c r="AP88" s="24"/>
      <c r="AQ88" s="23"/>
      <c r="AR88" s="22">
        <f t="shared" si="118"/>
        <v>0</v>
      </c>
      <c r="AS88" s="24"/>
      <c r="AT88" s="23"/>
      <c r="AU88" s="22">
        <f t="shared" si="119"/>
        <v>0</v>
      </c>
      <c r="AV88" s="24"/>
      <c r="AW88" s="23"/>
      <c r="AX88" s="22">
        <f t="shared" si="120"/>
        <v>0</v>
      </c>
      <c r="AY88" s="23">
        <f t="shared" si="138"/>
        <v>0</v>
      </c>
      <c r="AZ88" s="23">
        <f t="shared" si="138"/>
        <v>0</v>
      </c>
      <c r="BA88" s="22">
        <f t="shared" si="121"/>
        <v>0</v>
      </c>
      <c r="BB88" s="24">
        <f t="shared" si="139"/>
        <v>0</v>
      </c>
      <c r="BC88" s="23">
        <f t="shared" si="139"/>
        <v>0</v>
      </c>
      <c r="BD88" s="22">
        <f t="shared" si="122"/>
        <v>0</v>
      </c>
      <c r="BE88" s="24"/>
      <c r="BF88" s="24"/>
      <c r="BG88" s="20">
        <f t="shared" si="140"/>
        <v>0</v>
      </c>
    </row>
    <row r="89" spans="1:59" ht="13.5" hidden="1" customHeight="1" outlineLevel="1" x14ac:dyDescent="0.25">
      <c r="A89" s="28"/>
      <c r="B89" s="84" t="s">
        <v>48</v>
      </c>
      <c r="C89" s="83" t="s">
        <v>68</v>
      </c>
      <c r="D89" s="20"/>
      <c r="E89" s="20"/>
      <c r="F89" s="24"/>
      <c r="G89" s="23"/>
      <c r="H89" s="22">
        <f t="shared" ref="H89:H104" si="141">G89-F89</f>
        <v>0</v>
      </c>
      <c r="I89" s="24"/>
      <c r="J89" s="23"/>
      <c r="K89" s="22">
        <f t="shared" ref="K89:K104" si="142">J89-I89</f>
        <v>0</v>
      </c>
      <c r="L89" s="24"/>
      <c r="M89" s="23"/>
      <c r="N89" s="22">
        <f t="shared" ref="N89:N104" si="143">M89-L89</f>
        <v>0</v>
      </c>
      <c r="O89" s="24">
        <f t="shared" si="135"/>
        <v>0</v>
      </c>
      <c r="P89" s="23">
        <f t="shared" si="135"/>
        <v>0</v>
      </c>
      <c r="Q89" s="22">
        <f t="shared" ref="Q89:Q104" si="144">P89-O89</f>
        <v>0</v>
      </c>
      <c r="R89" s="24"/>
      <c r="S89" s="23"/>
      <c r="T89" s="22">
        <f t="shared" ref="T89:T104" si="145">S89-R89</f>
        <v>0</v>
      </c>
      <c r="U89" s="24"/>
      <c r="V89" s="23"/>
      <c r="W89" s="22">
        <f t="shared" ref="W89:W104" si="146">V89-U89</f>
        <v>0</v>
      </c>
      <c r="X89" s="24"/>
      <c r="Y89" s="23"/>
      <c r="Z89" s="22">
        <f t="shared" ref="Z89:Z104" si="147">Y89-X89</f>
        <v>0</v>
      </c>
      <c r="AA89" s="24">
        <f t="shared" si="136"/>
        <v>0</v>
      </c>
      <c r="AB89" s="23">
        <f t="shared" si="136"/>
        <v>0</v>
      </c>
      <c r="AC89" s="22">
        <f t="shared" ref="AC89:AC104" si="148">AB89-AA89</f>
        <v>0</v>
      </c>
      <c r="AD89" s="24"/>
      <c r="AE89" s="23"/>
      <c r="AF89" s="22">
        <f t="shared" ref="AF89:AF104" si="149">AE89-AD89</f>
        <v>0</v>
      </c>
      <c r="AG89" s="24"/>
      <c r="AH89" s="23"/>
      <c r="AI89" s="22">
        <f t="shared" ref="AI89:AI104" si="150">AH89-AG89</f>
        <v>0</v>
      </c>
      <c r="AJ89" s="24"/>
      <c r="AK89" s="23"/>
      <c r="AL89" s="22">
        <f t="shared" ref="AL89:AL104" si="151">AK89-AJ89</f>
        <v>0</v>
      </c>
      <c r="AM89" s="24">
        <f t="shared" si="137"/>
        <v>0</v>
      </c>
      <c r="AN89" s="23">
        <f t="shared" si="137"/>
        <v>0</v>
      </c>
      <c r="AO89" s="22">
        <f t="shared" ref="AO89:AO104" si="152">AN89-AM89</f>
        <v>0</v>
      </c>
      <c r="AP89" s="24"/>
      <c r="AQ89" s="23"/>
      <c r="AR89" s="22">
        <f t="shared" ref="AR89:AR104" si="153">AQ89-AP89</f>
        <v>0</v>
      </c>
      <c r="AS89" s="24"/>
      <c r="AT89" s="23"/>
      <c r="AU89" s="22">
        <f t="shared" ref="AU89:AU104" si="154">AT89-AS89</f>
        <v>0</v>
      </c>
      <c r="AV89" s="24"/>
      <c r="AW89" s="23"/>
      <c r="AX89" s="22">
        <f t="shared" ref="AX89:AX104" si="155">AW89-AV89</f>
        <v>0</v>
      </c>
      <c r="AY89" s="23">
        <f t="shared" si="138"/>
        <v>0</v>
      </c>
      <c r="AZ89" s="23">
        <f t="shared" si="138"/>
        <v>0</v>
      </c>
      <c r="BA89" s="22">
        <f t="shared" ref="BA89:BA104" si="156">AZ89-AY89</f>
        <v>0</v>
      </c>
      <c r="BB89" s="24">
        <f t="shared" si="139"/>
        <v>0</v>
      </c>
      <c r="BC89" s="23">
        <f t="shared" si="139"/>
        <v>0</v>
      </c>
      <c r="BD89" s="22">
        <f t="shared" ref="BD89:BD104" si="157">BC89-BB89</f>
        <v>0</v>
      </c>
      <c r="BE89" s="24"/>
      <c r="BF89" s="24"/>
      <c r="BG89" s="20">
        <f t="shared" si="140"/>
        <v>0</v>
      </c>
    </row>
    <row r="90" spans="1:59" ht="13.5" hidden="1" customHeight="1" outlineLevel="1" x14ac:dyDescent="0.25">
      <c r="A90" s="28"/>
      <c r="B90" s="84" t="s">
        <v>49</v>
      </c>
      <c r="C90" s="83" t="s">
        <v>68</v>
      </c>
      <c r="D90" s="20"/>
      <c r="E90" s="20"/>
      <c r="F90" s="24"/>
      <c r="G90" s="23"/>
      <c r="H90" s="22">
        <f t="shared" si="141"/>
        <v>0</v>
      </c>
      <c r="I90" s="24"/>
      <c r="J90" s="23"/>
      <c r="K90" s="22">
        <f t="shared" si="142"/>
        <v>0</v>
      </c>
      <c r="L90" s="24"/>
      <c r="M90" s="23"/>
      <c r="N90" s="22">
        <f t="shared" si="143"/>
        <v>0</v>
      </c>
      <c r="O90" s="24">
        <f t="shared" si="135"/>
        <v>0</v>
      </c>
      <c r="P90" s="23">
        <f t="shared" si="135"/>
        <v>0</v>
      </c>
      <c r="Q90" s="22">
        <f t="shared" si="144"/>
        <v>0</v>
      </c>
      <c r="R90" s="24"/>
      <c r="S90" s="23"/>
      <c r="T90" s="22">
        <f t="shared" si="145"/>
        <v>0</v>
      </c>
      <c r="U90" s="24"/>
      <c r="V90" s="23"/>
      <c r="W90" s="22">
        <f t="shared" si="146"/>
        <v>0</v>
      </c>
      <c r="X90" s="24"/>
      <c r="Y90" s="23"/>
      <c r="Z90" s="22">
        <f t="shared" si="147"/>
        <v>0</v>
      </c>
      <c r="AA90" s="24">
        <f t="shared" si="136"/>
        <v>0</v>
      </c>
      <c r="AB90" s="23">
        <f t="shared" si="136"/>
        <v>0</v>
      </c>
      <c r="AC90" s="22">
        <f t="shared" si="148"/>
        <v>0</v>
      </c>
      <c r="AD90" s="24"/>
      <c r="AE90" s="23"/>
      <c r="AF90" s="22">
        <f t="shared" si="149"/>
        <v>0</v>
      </c>
      <c r="AG90" s="24"/>
      <c r="AH90" s="23"/>
      <c r="AI90" s="22">
        <f t="shared" si="150"/>
        <v>0</v>
      </c>
      <c r="AJ90" s="24"/>
      <c r="AK90" s="23"/>
      <c r="AL90" s="22">
        <f t="shared" si="151"/>
        <v>0</v>
      </c>
      <c r="AM90" s="24">
        <f t="shared" si="137"/>
        <v>0</v>
      </c>
      <c r="AN90" s="23">
        <f t="shared" si="137"/>
        <v>0</v>
      </c>
      <c r="AO90" s="22">
        <f t="shared" si="152"/>
        <v>0</v>
      </c>
      <c r="AP90" s="24"/>
      <c r="AQ90" s="23"/>
      <c r="AR90" s="22">
        <f t="shared" si="153"/>
        <v>0</v>
      </c>
      <c r="AS90" s="24"/>
      <c r="AT90" s="23"/>
      <c r="AU90" s="22">
        <f t="shared" si="154"/>
        <v>0</v>
      </c>
      <c r="AV90" s="24"/>
      <c r="AW90" s="23"/>
      <c r="AX90" s="22">
        <f t="shared" si="155"/>
        <v>0</v>
      </c>
      <c r="AY90" s="23">
        <f t="shared" si="138"/>
        <v>0</v>
      </c>
      <c r="AZ90" s="23">
        <f t="shared" si="138"/>
        <v>0</v>
      </c>
      <c r="BA90" s="22">
        <f t="shared" si="156"/>
        <v>0</v>
      </c>
      <c r="BB90" s="24">
        <f t="shared" si="139"/>
        <v>0</v>
      </c>
      <c r="BC90" s="23">
        <f t="shared" si="139"/>
        <v>0</v>
      </c>
      <c r="BD90" s="22">
        <f t="shared" si="157"/>
        <v>0</v>
      </c>
      <c r="BE90" s="24"/>
      <c r="BF90" s="24"/>
      <c r="BG90" s="20">
        <f t="shared" si="140"/>
        <v>0</v>
      </c>
    </row>
    <row r="91" spans="1:59" ht="13.5" hidden="1" customHeight="1" outlineLevel="1" x14ac:dyDescent="0.25">
      <c r="A91" s="28"/>
      <c r="B91" s="84" t="s">
        <v>50</v>
      </c>
      <c r="C91" s="83" t="s">
        <v>68</v>
      </c>
      <c r="D91" s="20"/>
      <c r="E91" s="20"/>
      <c r="F91" s="24"/>
      <c r="G91" s="23"/>
      <c r="H91" s="22">
        <f t="shared" si="141"/>
        <v>0</v>
      </c>
      <c r="I91" s="24"/>
      <c r="J91" s="23"/>
      <c r="K91" s="22">
        <f t="shared" si="142"/>
        <v>0</v>
      </c>
      <c r="L91" s="24"/>
      <c r="M91" s="23"/>
      <c r="N91" s="22">
        <f t="shared" si="143"/>
        <v>0</v>
      </c>
      <c r="O91" s="24">
        <f t="shared" si="135"/>
        <v>0</v>
      </c>
      <c r="P91" s="23">
        <f t="shared" si="135"/>
        <v>0</v>
      </c>
      <c r="Q91" s="22">
        <f t="shared" si="144"/>
        <v>0</v>
      </c>
      <c r="R91" s="24"/>
      <c r="S91" s="23"/>
      <c r="T91" s="22">
        <f t="shared" si="145"/>
        <v>0</v>
      </c>
      <c r="U91" s="24"/>
      <c r="V91" s="23"/>
      <c r="W91" s="22">
        <f t="shared" si="146"/>
        <v>0</v>
      </c>
      <c r="X91" s="24"/>
      <c r="Y91" s="23"/>
      <c r="Z91" s="22">
        <f t="shared" si="147"/>
        <v>0</v>
      </c>
      <c r="AA91" s="24">
        <f t="shared" si="136"/>
        <v>0</v>
      </c>
      <c r="AB91" s="23">
        <f t="shared" si="136"/>
        <v>0</v>
      </c>
      <c r="AC91" s="22">
        <f t="shared" si="148"/>
        <v>0</v>
      </c>
      <c r="AD91" s="24"/>
      <c r="AE91" s="23"/>
      <c r="AF91" s="22">
        <f t="shared" si="149"/>
        <v>0</v>
      </c>
      <c r="AG91" s="24"/>
      <c r="AH91" s="23"/>
      <c r="AI91" s="22">
        <f t="shared" si="150"/>
        <v>0</v>
      </c>
      <c r="AJ91" s="24"/>
      <c r="AK91" s="23"/>
      <c r="AL91" s="22">
        <f t="shared" si="151"/>
        <v>0</v>
      </c>
      <c r="AM91" s="24">
        <f t="shared" si="137"/>
        <v>0</v>
      </c>
      <c r="AN91" s="23">
        <f t="shared" si="137"/>
        <v>0</v>
      </c>
      <c r="AO91" s="22">
        <f t="shared" si="152"/>
        <v>0</v>
      </c>
      <c r="AP91" s="24"/>
      <c r="AQ91" s="23"/>
      <c r="AR91" s="22">
        <f t="shared" si="153"/>
        <v>0</v>
      </c>
      <c r="AS91" s="24"/>
      <c r="AT91" s="23"/>
      <c r="AU91" s="22">
        <f t="shared" si="154"/>
        <v>0</v>
      </c>
      <c r="AV91" s="24"/>
      <c r="AW91" s="23"/>
      <c r="AX91" s="22">
        <f t="shared" si="155"/>
        <v>0</v>
      </c>
      <c r="AY91" s="23">
        <f t="shared" si="138"/>
        <v>0</v>
      </c>
      <c r="AZ91" s="23">
        <f t="shared" si="138"/>
        <v>0</v>
      </c>
      <c r="BA91" s="22">
        <f t="shared" si="156"/>
        <v>0</v>
      </c>
      <c r="BB91" s="24">
        <f t="shared" si="139"/>
        <v>0</v>
      </c>
      <c r="BC91" s="23">
        <f t="shared" si="139"/>
        <v>0</v>
      </c>
      <c r="BD91" s="22">
        <f t="shared" si="157"/>
        <v>0</v>
      </c>
      <c r="BE91" s="24"/>
      <c r="BF91" s="24"/>
      <c r="BG91" s="20">
        <f t="shared" si="140"/>
        <v>0</v>
      </c>
    </row>
    <row r="92" spans="1:59" ht="13.5" hidden="1" customHeight="1" outlineLevel="1" x14ac:dyDescent="0.25">
      <c r="A92" s="28"/>
      <c r="B92" s="84" t="s">
        <v>51</v>
      </c>
      <c r="C92" s="83" t="s">
        <v>68</v>
      </c>
      <c r="D92" s="20"/>
      <c r="E92" s="20"/>
      <c r="F92" s="24"/>
      <c r="G92" s="23"/>
      <c r="H92" s="22">
        <f t="shared" si="141"/>
        <v>0</v>
      </c>
      <c r="I92" s="24"/>
      <c r="J92" s="23"/>
      <c r="K92" s="22">
        <f t="shared" si="142"/>
        <v>0</v>
      </c>
      <c r="L92" s="24"/>
      <c r="M92" s="23"/>
      <c r="N92" s="22">
        <f t="shared" si="143"/>
        <v>0</v>
      </c>
      <c r="O92" s="24">
        <f t="shared" si="135"/>
        <v>0</v>
      </c>
      <c r="P92" s="23">
        <f t="shared" si="135"/>
        <v>0</v>
      </c>
      <c r="Q92" s="22">
        <f t="shared" si="144"/>
        <v>0</v>
      </c>
      <c r="R92" s="24"/>
      <c r="S92" s="23"/>
      <c r="T92" s="22">
        <f t="shared" si="145"/>
        <v>0</v>
      </c>
      <c r="U92" s="24"/>
      <c r="V92" s="23"/>
      <c r="W92" s="22">
        <f t="shared" si="146"/>
        <v>0</v>
      </c>
      <c r="X92" s="24"/>
      <c r="Y92" s="23"/>
      <c r="Z92" s="22">
        <f t="shared" si="147"/>
        <v>0</v>
      </c>
      <c r="AA92" s="24">
        <f t="shared" si="136"/>
        <v>0</v>
      </c>
      <c r="AB92" s="23">
        <f t="shared" si="136"/>
        <v>0</v>
      </c>
      <c r="AC92" s="22">
        <f t="shared" si="148"/>
        <v>0</v>
      </c>
      <c r="AD92" s="24"/>
      <c r="AE92" s="23"/>
      <c r="AF92" s="22">
        <f t="shared" si="149"/>
        <v>0</v>
      </c>
      <c r="AG92" s="24"/>
      <c r="AH92" s="23"/>
      <c r="AI92" s="22">
        <f t="shared" si="150"/>
        <v>0</v>
      </c>
      <c r="AJ92" s="24"/>
      <c r="AK92" s="23"/>
      <c r="AL92" s="22">
        <f t="shared" si="151"/>
        <v>0</v>
      </c>
      <c r="AM92" s="24">
        <f t="shared" si="137"/>
        <v>0</v>
      </c>
      <c r="AN92" s="23">
        <f t="shared" si="137"/>
        <v>0</v>
      </c>
      <c r="AO92" s="22">
        <f t="shared" si="152"/>
        <v>0</v>
      </c>
      <c r="AP92" s="24"/>
      <c r="AQ92" s="23"/>
      <c r="AR92" s="22">
        <f t="shared" si="153"/>
        <v>0</v>
      </c>
      <c r="AS92" s="24"/>
      <c r="AT92" s="23"/>
      <c r="AU92" s="22">
        <f t="shared" si="154"/>
        <v>0</v>
      </c>
      <c r="AV92" s="24"/>
      <c r="AW92" s="23"/>
      <c r="AX92" s="22">
        <f t="shared" si="155"/>
        <v>0</v>
      </c>
      <c r="AY92" s="23">
        <f t="shared" si="138"/>
        <v>0</v>
      </c>
      <c r="AZ92" s="23">
        <f t="shared" si="138"/>
        <v>0</v>
      </c>
      <c r="BA92" s="22">
        <f t="shared" si="156"/>
        <v>0</v>
      </c>
      <c r="BB92" s="24">
        <f t="shared" si="139"/>
        <v>0</v>
      </c>
      <c r="BC92" s="23">
        <f t="shared" si="139"/>
        <v>0</v>
      </c>
      <c r="BD92" s="22">
        <f t="shared" si="157"/>
        <v>0</v>
      </c>
      <c r="BE92" s="24"/>
      <c r="BF92" s="24"/>
      <c r="BG92" s="20">
        <f t="shared" si="140"/>
        <v>0</v>
      </c>
    </row>
    <row r="93" spans="1:59" ht="13.5" hidden="1" customHeight="1" outlineLevel="1" x14ac:dyDescent="0.25">
      <c r="A93" s="28"/>
      <c r="B93" s="84" t="s">
        <v>52</v>
      </c>
      <c r="C93" s="83" t="s">
        <v>68</v>
      </c>
      <c r="D93" s="20"/>
      <c r="E93" s="20"/>
      <c r="F93" s="24"/>
      <c r="G93" s="23"/>
      <c r="H93" s="22">
        <f t="shared" si="141"/>
        <v>0</v>
      </c>
      <c r="I93" s="24"/>
      <c r="J93" s="23"/>
      <c r="K93" s="22">
        <f t="shared" si="142"/>
        <v>0</v>
      </c>
      <c r="L93" s="24"/>
      <c r="M93" s="23"/>
      <c r="N93" s="22">
        <f t="shared" si="143"/>
        <v>0</v>
      </c>
      <c r="O93" s="24">
        <f t="shared" si="135"/>
        <v>0</v>
      </c>
      <c r="P93" s="23">
        <f t="shared" si="135"/>
        <v>0</v>
      </c>
      <c r="Q93" s="22">
        <f t="shared" si="144"/>
        <v>0</v>
      </c>
      <c r="R93" s="24"/>
      <c r="S93" s="23"/>
      <c r="T93" s="22">
        <f t="shared" si="145"/>
        <v>0</v>
      </c>
      <c r="U93" s="24"/>
      <c r="V93" s="23"/>
      <c r="W93" s="22">
        <f t="shared" si="146"/>
        <v>0</v>
      </c>
      <c r="X93" s="24"/>
      <c r="Y93" s="23"/>
      <c r="Z93" s="22">
        <f t="shared" si="147"/>
        <v>0</v>
      </c>
      <c r="AA93" s="24">
        <f t="shared" si="136"/>
        <v>0</v>
      </c>
      <c r="AB93" s="23">
        <f t="shared" si="136"/>
        <v>0</v>
      </c>
      <c r="AC93" s="22">
        <f t="shared" si="148"/>
        <v>0</v>
      </c>
      <c r="AD93" s="24"/>
      <c r="AE93" s="23"/>
      <c r="AF93" s="22">
        <f t="shared" si="149"/>
        <v>0</v>
      </c>
      <c r="AG93" s="24"/>
      <c r="AH93" s="23"/>
      <c r="AI93" s="22">
        <f t="shared" si="150"/>
        <v>0</v>
      </c>
      <c r="AJ93" s="24"/>
      <c r="AK93" s="23"/>
      <c r="AL93" s="22">
        <f t="shared" si="151"/>
        <v>0</v>
      </c>
      <c r="AM93" s="24">
        <f t="shared" si="137"/>
        <v>0</v>
      </c>
      <c r="AN93" s="23">
        <f t="shared" si="137"/>
        <v>0</v>
      </c>
      <c r="AO93" s="22">
        <f t="shared" si="152"/>
        <v>0</v>
      </c>
      <c r="AP93" s="24"/>
      <c r="AQ93" s="23"/>
      <c r="AR93" s="22">
        <f t="shared" si="153"/>
        <v>0</v>
      </c>
      <c r="AS93" s="24"/>
      <c r="AT93" s="23"/>
      <c r="AU93" s="22">
        <f t="shared" si="154"/>
        <v>0</v>
      </c>
      <c r="AV93" s="24"/>
      <c r="AW93" s="23"/>
      <c r="AX93" s="22">
        <f t="shared" si="155"/>
        <v>0</v>
      </c>
      <c r="AY93" s="23">
        <f t="shared" si="138"/>
        <v>0</v>
      </c>
      <c r="AZ93" s="23">
        <f t="shared" si="138"/>
        <v>0</v>
      </c>
      <c r="BA93" s="22">
        <f t="shared" si="156"/>
        <v>0</v>
      </c>
      <c r="BB93" s="24">
        <f t="shared" si="139"/>
        <v>0</v>
      </c>
      <c r="BC93" s="23">
        <f t="shared" si="139"/>
        <v>0</v>
      </c>
      <c r="BD93" s="22">
        <f t="shared" si="157"/>
        <v>0</v>
      </c>
      <c r="BE93" s="24"/>
      <c r="BF93" s="24"/>
      <c r="BG93" s="20">
        <f t="shared" si="140"/>
        <v>0</v>
      </c>
    </row>
    <row r="94" spans="1:59" ht="13.5" hidden="1" customHeight="1" outlineLevel="1" x14ac:dyDescent="0.25">
      <c r="A94" s="28"/>
      <c r="B94" s="84" t="s">
        <v>53</v>
      </c>
      <c r="C94" s="83" t="s">
        <v>68</v>
      </c>
      <c r="D94" s="20"/>
      <c r="E94" s="20"/>
      <c r="F94" s="24"/>
      <c r="G94" s="23"/>
      <c r="H94" s="22">
        <f t="shared" si="141"/>
        <v>0</v>
      </c>
      <c r="I94" s="24"/>
      <c r="J94" s="23"/>
      <c r="K94" s="22">
        <f t="shared" si="142"/>
        <v>0</v>
      </c>
      <c r="L94" s="24"/>
      <c r="M94" s="23"/>
      <c r="N94" s="22">
        <f t="shared" si="143"/>
        <v>0</v>
      </c>
      <c r="O94" s="24">
        <f t="shared" si="135"/>
        <v>0</v>
      </c>
      <c r="P94" s="23">
        <f t="shared" si="135"/>
        <v>0</v>
      </c>
      <c r="Q94" s="22">
        <f t="shared" si="144"/>
        <v>0</v>
      </c>
      <c r="R94" s="24"/>
      <c r="S94" s="23"/>
      <c r="T94" s="22">
        <f t="shared" si="145"/>
        <v>0</v>
      </c>
      <c r="U94" s="24"/>
      <c r="V94" s="23"/>
      <c r="W94" s="22">
        <f t="shared" si="146"/>
        <v>0</v>
      </c>
      <c r="X94" s="24"/>
      <c r="Y94" s="23"/>
      <c r="Z94" s="22">
        <f t="shared" si="147"/>
        <v>0</v>
      </c>
      <c r="AA94" s="24">
        <f t="shared" si="136"/>
        <v>0</v>
      </c>
      <c r="AB94" s="23">
        <f t="shared" si="136"/>
        <v>0</v>
      </c>
      <c r="AC94" s="22">
        <f t="shared" si="148"/>
        <v>0</v>
      </c>
      <c r="AD94" s="24"/>
      <c r="AE94" s="23"/>
      <c r="AF94" s="22">
        <f t="shared" si="149"/>
        <v>0</v>
      </c>
      <c r="AG94" s="24"/>
      <c r="AH94" s="23"/>
      <c r="AI94" s="22">
        <f t="shared" si="150"/>
        <v>0</v>
      </c>
      <c r="AJ94" s="24"/>
      <c r="AK94" s="23"/>
      <c r="AL94" s="22">
        <f t="shared" si="151"/>
        <v>0</v>
      </c>
      <c r="AM94" s="24">
        <f t="shared" si="137"/>
        <v>0</v>
      </c>
      <c r="AN94" s="23">
        <f t="shared" si="137"/>
        <v>0</v>
      </c>
      <c r="AO94" s="22">
        <f t="shared" si="152"/>
        <v>0</v>
      </c>
      <c r="AP94" s="24"/>
      <c r="AQ94" s="23"/>
      <c r="AR94" s="22">
        <f t="shared" si="153"/>
        <v>0</v>
      </c>
      <c r="AS94" s="24"/>
      <c r="AT94" s="23"/>
      <c r="AU94" s="22">
        <f t="shared" si="154"/>
        <v>0</v>
      </c>
      <c r="AV94" s="24"/>
      <c r="AW94" s="23"/>
      <c r="AX94" s="22">
        <f t="shared" si="155"/>
        <v>0</v>
      </c>
      <c r="AY94" s="23">
        <f t="shared" si="138"/>
        <v>0</v>
      </c>
      <c r="AZ94" s="23">
        <f t="shared" si="138"/>
        <v>0</v>
      </c>
      <c r="BA94" s="22">
        <f t="shared" si="156"/>
        <v>0</v>
      </c>
      <c r="BB94" s="24">
        <f t="shared" si="139"/>
        <v>0</v>
      </c>
      <c r="BC94" s="23">
        <f t="shared" si="139"/>
        <v>0</v>
      </c>
      <c r="BD94" s="22">
        <f t="shared" si="157"/>
        <v>0</v>
      </c>
      <c r="BE94" s="24"/>
      <c r="BF94" s="24"/>
      <c r="BG94" s="20">
        <f t="shared" si="140"/>
        <v>0</v>
      </c>
    </row>
    <row r="95" spans="1:59" ht="13.5" hidden="1" customHeight="1" outlineLevel="1" x14ac:dyDescent="0.25">
      <c r="A95" s="28"/>
      <c r="B95" s="84" t="s">
        <v>54</v>
      </c>
      <c r="C95" s="83" t="s">
        <v>68</v>
      </c>
      <c r="D95" s="20"/>
      <c r="E95" s="20"/>
      <c r="F95" s="24"/>
      <c r="G95" s="23"/>
      <c r="H95" s="22">
        <f t="shared" si="141"/>
        <v>0</v>
      </c>
      <c r="I95" s="24"/>
      <c r="J95" s="23"/>
      <c r="K95" s="22">
        <f t="shared" si="142"/>
        <v>0</v>
      </c>
      <c r="L95" s="24"/>
      <c r="M95" s="23"/>
      <c r="N95" s="22">
        <f t="shared" si="143"/>
        <v>0</v>
      </c>
      <c r="O95" s="24">
        <f t="shared" si="135"/>
        <v>0</v>
      </c>
      <c r="P95" s="23">
        <f t="shared" si="135"/>
        <v>0</v>
      </c>
      <c r="Q95" s="22">
        <f t="shared" si="144"/>
        <v>0</v>
      </c>
      <c r="R95" s="24"/>
      <c r="S95" s="23"/>
      <c r="T95" s="22">
        <f t="shared" si="145"/>
        <v>0</v>
      </c>
      <c r="U95" s="24"/>
      <c r="V95" s="23"/>
      <c r="W95" s="22">
        <f t="shared" si="146"/>
        <v>0</v>
      </c>
      <c r="X95" s="24"/>
      <c r="Y95" s="23"/>
      <c r="Z95" s="22">
        <f t="shared" si="147"/>
        <v>0</v>
      </c>
      <c r="AA95" s="24">
        <f t="shared" si="136"/>
        <v>0</v>
      </c>
      <c r="AB95" s="23">
        <f t="shared" si="136"/>
        <v>0</v>
      </c>
      <c r="AC95" s="22">
        <f t="shared" si="148"/>
        <v>0</v>
      </c>
      <c r="AD95" s="24"/>
      <c r="AE95" s="23"/>
      <c r="AF95" s="22">
        <f t="shared" si="149"/>
        <v>0</v>
      </c>
      <c r="AG95" s="24"/>
      <c r="AH95" s="23"/>
      <c r="AI95" s="22">
        <f t="shared" si="150"/>
        <v>0</v>
      </c>
      <c r="AJ95" s="24"/>
      <c r="AK95" s="23"/>
      <c r="AL95" s="22">
        <f t="shared" si="151"/>
        <v>0</v>
      </c>
      <c r="AM95" s="24">
        <f t="shared" si="137"/>
        <v>0</v>
      </c>
      <c r="AN95" s="23">
        <f t="shared" si="137"/>
        <v>0</v>
      </c>
      <c r="AO95" s="22">
        <f t="shared" si="152"/>
        <v>0</v>
      </c>
      <c r="AP95" s="24"/>
      <c r="AQ95" s="23"/>
      <c r="AR95" s="22">
        <f t="shared" si="153"/>
        <v>0</v>
      </c>
      <c r="AS95" s="24"/>
      <c r="AT95" s="23"/>
      <c r="AU95" s="22">
        <f t="shared" si="154"/>
        <v>0</v>
      </c>
      <c r="AV95" s="24"/>
      <c r="AW95" s="23"/>
      <c r="AX95" s="22">
        <f t="shared" si="155"/>
        <v>0</v>
      </c>
      <c r="AY95" s="23">
        <f t="shared" si="138"/>
        <v>0</v>
      </c>
      <c r="AZ95" s="23">
        <f t="shared" si="138"/>
        <v>0</v>
      </c>
      <c r="BA95" s="22">
        <f t="shared" si="156"/>
        <v>0</v>
      </c>
      <c r="BB95" s="24">
        <f t="shared" si="139"/>
        <v>0</v>
      </c>
      <c r="BC95" s="23">
        <f t="shared" si="139"/>
        <v>0</v>
      </c>
      <c r="BD95" s="22">
        <f t="shared" si="157"/>
        <v>0</v>
      </c>
      <c r="BE95" s="24"/>
      <c r="BF95" s="24"/>
      <c r="BG95" s="20">
        <f t="shared" si="140"/>
        <v>0</v>
      </c>
    </row>
    <row r="96" spans="1:59" ht="13.5" hidden="1" customHeight="1" outlineLevel="1" x14ac:dyDescent="0.25">
      <c r="A96" s="82"/>
      <c r="B96" s="84" t="s">
        <v>55</v>
      </c>
      <c r="C96" s="80" t="s">
        <v>68</v>
      </c>
      <c r="D96" s="20"/>
      <c r="E96" s="20"/>
      <c r="F96" s="24"/>
      <c r="G96" s="23"/>
      <c r="H96" s="22">
        <f t="shared" si="141"/>
        <v>0</v>
      </c>
      <c r="I96" s="24"/>
      <c r="J96" s="23"/>
      <c r="K96" s="22">
        <f t="shared" si="142"/>
        <v>0</v>
      </c>
      <c r="L96" s="24"/>
      <c r="M96" s="23"/>
      <c r="N96" s="22">
        <f t="shared" si="143"/>
        <v>0</v>
      </c>
      <c r="O96" s="24">
        <f t="shared" si="135"/>
        <v>0</v>
      </c>
      <c r="P96" s="23">
        <f t="shared" si="135"/>
        <v>0</v>
      </c>
      <c r="Q96" s="22">
        <f t="shared" si="144"/>
        <v>0</v>
      </c>
      <c r="R96" s="24"/>
      <c r="S96" s="23"/>
      <c r="T96" s="22">
        <f t="shared" si="145"/>
        <v>0</v>
      </c>
      <c r="U96" s="24"/>
      <c r="V96" s="23"/>
      <c r="W96" s="22">
        <f t="shared" si="146"/>
        <v>0</v>
      </c>
      <c r="X96" s="24"/>
      <c r="Y96" s="23"/>
      <c r="Z96" s="22">
        <f t="shared" si="147"/>
        <v>0</v>
      </c>
      <c r="AA96" s="24">
        <f t="shared" si="136"/>
        <v>0</v>
      </c>
      <c r="AB96" s="23">
        <f t="shared" si="136"/>
        <v>0</v>
      </c>
      <c r="AC96" s="22">
        <f t="shared" si="148"/>
        <v>0</v>
      </c>
      <c r="AD96" s="24"/>
      <c r="AE96" s="23"/>
      <c r="AF96" s="22">
        <f t="shared" si="149"/>
        <v>0</v>
      </c>
      <c r="AG96" s="24"/>
      <c r="AH96" s="23"/>
      <c r="AI96" s="22">
        <f t="shared" si="150"/>
        <v>0</v>
      </c>
      <c r="AJ96" s="24"/>
      <c r="AK96" s="23"/>
      <c r="AL96" s="22">
        <f t="shared" si="151"/>
        <v>0</v>
      </c>
      <c r="AM96" s="24">
        <f t="shared" si="137"/>
        <v>0</v>
      </c>
      <c r="AN96" s="23">
        <f t="shared" si="137"/>
        <v>0</v>
      </c>
      <c r="AO96" s="22">
        <f t="shared" si="152"/>
        <v>0</v>
      </c>
      <c r="AP96" s="24"/>
      <c r="AQ96" s="23"/>
      <c r="AR96" s="22">
        <f t="shared" si="153"/>
        <v>0</v>
      </c>
      <c r="AS96" s="24"/>
      <c r="AT96" s="23"/>
      <c r="AU96" s="22">
        <f t="shared" si="154"/>
        <v>0</v>
      </c>
      <c r="AV96" s="24"/>
      <c r="AW96" s="23"/>
      <c r="AX96" s="22">
        <f t="shared" si="155"/>
        <v>0</v>
      </c>
      <c r="AY96" s="23">
        <f t="shared" si="138"/>
        <v>0</v>
      </c>
      <c r="AZ96" s="23">
        <f t="shared" si="138"/>
        <v>0</v>
      </c>
      <c r="BA96" s="22">
        <f t="shared" si="156"/>
        <v>0</v>
      </c>
      <c r="BB96" s="24">
        <f t="shared" si="139"/>
        <v>0</v>
      </c>
      <c r="BC96" s="23">
        <f t="shared" si="139"/>
        <v>0</v>
      </c>
      <c r="BD96" s="22">
        <f t="shared" si="157"/>
        <v>0</v>
      </c>
      <c r="BE96" s="24"/>
      <c r="BF96" s="24"/>
      <c r="BG96" s="20">
        <f t="shared" si="140"/>
        <v>0</v>
      </c>
    </row>
    <row r="97" spans="1:59" ht="13.5" hidden="1" customHeight="1" outlineLevel="1" x14ac:dyDescent="0.25">
      <c r="A97" s="82"/>
      <c r="B97" s="99" t="s">
        <v>56</v>
      </c>
      <c r="C97" s="80" t="s">
        <v>68</v>
      </c>
      <c r="D97" s="20"/>
      <c r="E97" s="20"/>
      <c r="F97" s="24"/>
      <c r="G97" s="23"/>
      <c r="H97" s="22">
        <f t="shared" si="141"/>
        <v>0</v>
      </c>
      <c r="I97" s="24"/>
      <c r="J97" s="23"/>
      <c r="K97" s="22">
        <f t="shared" si="142"/>
        <v>0</v>
      </c>
      <c r="L97" s="24"/>
      <c r="M97" s="23"/>
      <c r="N97" s="22">
        <f t="shared" si="143"/>
        <v>0</v>
      </c>
      <c r="O97" s="24">
        <f t="shared" si="135"/>
        <v>0</v>
      </c>
      <c r="P97" s="23">
        <f t="shared" si="135"/>
        <v>0</v>
      </c>
      <c r="Q97" s="22">
        <f t="shared" si="144"/>
        <v>0</v>
      </c>
      <c r="R97" s="24"/>
      <c r="S97" s="23"/>
      <c r="T97" s="22">
        <f t="shared" si="145"/>
        <v>0</v>
      </c>
      <c r="U97" s="24"/>
      <c r="V97" s="23"/>
      <c r="W97" s="22">
        <f t="shared" si="146"/>
        <v>0</v>
      </c>
      <c r="X97" s="24"/>
      <c r="Y97" s="23"/>
      <c r="Z97" s="22">
        <f t="shared" si="147"/>
        <v>0</v>
      </c>
      <c r="AA97" s="24">
        <f t="shared" si="136"/>
        <v>0</v>
      </c>
      <c r="AB97" s="23">
        <f t="shared" si="136"/>
        <v>0</v>
      </c>
      <c r="AC97" s="22">
        <f t="shared" si="148"/>
        <v>0</v>
      </c>
      <c r="AD97" s="24"/>
      <c r="AE97" s="23"/>
      <c r="AF97" s="22">
        <f t="shared" si="149"/>
        <v>0</v>
      </c>
      <c r="AG97" s="24"/>
      <c r="AH97" s="23"/>
      <c r="AI97" s="22">
        <f t="shared" si="150"/>
        <v>0</v>
      </c>
      <c r="AJ97" s="24"/>
      <c r="AK97" s="23"/>
      <c r="AL97" s="22">
        <f t="shared" si="151"/>
        <v>0</v>
      </c>
      <c r="AM97" s="24">
        <f t="shared" si="137"/>
        <v>0</v>
      </c>
      <c r="AN97" s="23">
        <f t="shared" si="137"/>
        <v>0</v>
      </c>
      <c r="AO97" s="22">
        <f t="shared" si="152"/>
        <v>0</v>
      </c>
      <c r="AP97" s="24"/>
      <c r="AQ97" s="23"/>
      <c r="AR97" s="22">
        <f t="shared" si="153"/>
        <v>0</v>
      </c>
      <c r="AS97" s="24"/>
      <c r="AT97" s="23"/>
      <c r="AU97" s="22">
        <f t="shared" si="154"/>
        <v>0</v>
      </c>
      <c r="AV97" s="24"/>
      <c r="AW97" s="23"/>
      <c r="AX97" s="22">
        <f t="shared" si="155"/>
        <v>0</v>
      </c>
      <c r="AY97" s="23">
        <f t="shared" si="138"/>
        <v>0</v>
      </c>
      <c r="AZ97" s="23">
        <f t="shared" si="138"/>
        <v>0</v>
      </c>
      <c r="BA97" s="22">
        <f t="shared" si="156"/>
        <v>0</v>
      </c>
      <c r="BB97" s="24">
        <f t="shared" si="139"/>
        <v>0</v>
      </c>
      <c r="BC97" s="23">
        <f t="shared" si="139"/>
        <v>0</v>
      </c>
      <c r="BD97" s="22">
        <f t="shared" si="157"/>
        <v>0</v>
      </c>
      <c r="BE97" s="24"/>
      <c r="BF97" s="24"/>
      <c r="BG97" s="20">
        <f t="shared" si="140"/>
        <v>0</v>
      </c>
    </row>
    <row r="98" spans="1:59" ht="13.5" hidden="1" customHeight="1" outlineLevel="1" x14ac:dyDescent="0.25">
      <c r="A98" s="82"/>
      <c r="B98" s="84" t="s">
        <v>57</v>
      </c>
      <c r="C98" s="80" t="s">
        <v>68</v>
      </c>
      <c r="D98" s="20"/>
      <c r="E98" s="20"/>
      <c r="F98" s="24"/>
      <c r="G98" s="23"/>
      <c r="H98" s="22">
        <f t="shared" si="141"/>
        <v>0</v>
      </c>
      <c r="I98" s="24"/>
      <c r="J98" s="23"/>
      <c r="K98" s="22">
        <f t="shared" si="142"/>
        <v>0</v>
      </c>
      <c r="L98" s="24"/>
      <c r="M98" s="23"/>
      <c r="N98" s="22">
        <f t="shared" si="143"/>
        <v>0</v>
      </c>
      <c r="O98" s="24">
        <f t="shared" si="135"/>
        <v>0</v>
      </c>
      <c r="P98" s="23">
        <f t="shared" si="135"/>
        <v>0</v>
      </c>
      <c r="Q98" s="22">
        <f t="shared" si="144"/>
        <v>0</v>
      </c>
      <c r="R98" s="24"/>
      <c r="S98" s="23"/>
      <c r="T98" s="22">
        <f t="shared" si="145"/>
        <v>0</v>
      </c>
      <c r="U98" s="24"/>
      <c r="V98" s="23"/>
      <c r="W98" s="22">
        <f t="shared" si="146"/>
        <v>0</v>
      </c>
      <c r="X98" s="24"/>
      <c r="Y98" s="23"/>
      <c r="Z98" s="22">
        <f t="shared" si="147"/>
        <v>0</v>
      </c>
      <c r="AA98" s="24">
        <f t="shared" si="136"/>
        <v>0</v>
      </c>
      <c r="AB98" s="23">
        <f t="shared" si="136"/>
        <v>0</v>
      </c>
      <c r="AC98" s="22">
        <f t="shared" si="148"/>
        <v>0</v>
      </c>
      <c r="AD98" s="24"/>
      <c r="AE98" s="23"/>
      <c r="AF98" s="22">
        <f t="shared" si="149"/>
        <v>0</v>
      </c>
      <c r="AG98" s="24"/>
      <c r="AH98" s="23"/>
      <c r="AI98" s="22">
        <f t="shared" si="150"/>
        <v>0</v>
      </c>
      <c r="AJ98" s="24"/>
      <c r="AK98" s="23"/>
      <c r="AL98" s="22">
        <f t="shared" si="151"/>
        <v>0</v>
      </c>
      <c r="AM98" s="24">
        <f t="shared" si="137"/>
        <v>0</v>
      </c>
      <c r="AN98" s="23">
        <f t="shared" si="137"/>
        <v>0</v>
      </c>
      <c r="AO98" s="22">
        <f t="shared" si="152"/>
        <v>0</v>
      </c>
      <c r="AP98" s="24"/>
      <c r="AQ98" s="23"/>
      <c r="AR98" s="22">
        <f t="shared" si="153"/>
        <v>0</v>
      </c>
      <c r="AS98" s="24"/>
      <c r="AT98" s="23"/>
      <c r="AU98" s="22">
        <f t="shared" si="154"/>
        <v>0</v>
      </c>
      <c r="AV98" s="24"/>
      <c r="AW98" s="23"/>
      <c r="AX98" s="22">
        <f t="shared" si="155"/>
        <v>0</v>
      </c>
      <c r="AY98" s="23">
        <f t="shared" si="138"/>
        <v>0</v>
      </c>
      <c r="AZ98" s="23">
        <f t="shared" si="138"/>
        <v>0</v>
      </c>
      <c r="BA98" s="22">
        <f t="shared" si="156"/>
        <v>0</v>
      </c>
      <c r="BB98" s="24">
        <f t="shared" si="139"/>
        <v>0</v>
      </c>
      <c r="BC98" s="23">
        <f t="shared" si="139"/>
        <v>0</v>
      </c>
      <c r="BD98" s="22">
        <f t="shared" si="157"/>
        <v>0</v>
      </c>
      <c r="BE98" s="24"/>
      <c r="BF98" s="24"/>
      <c r="BG98" s="20">
        <f t="shared" si="140"/>
        <v>0</v>
      </c>
    </row>
    <row r="99" spans="1:59" ht="13.5" hidden="1" customHeight="1" outlineLevel="1" x14ac:dyDescent="0.25">
      <c r="A99" s="82"/>
      <c r="B99" s="99" t="s">
        <v>58</v>
      </c>
      <c r="C99" s="80" t="s">
        <v>68</v>
      </c>
      <c r="D99" s="157"/>
      <c r="E99" s="157"/>
      <c r="F99" s="115"/>
      <c r="G99" s="107"/>
      <c r="H99" s="108">
        <f t="shared" si="141"/>
        <v>0</v>
      </c>
      <c r="I99" s="115"/>
      <c r="J99" s="107"/>
      <c r="K99" s="108">
        <f t="shared" si="142"/>
        <v>0</v>
      </c>
      <c r="L99" s="115"/>
      <c r="M99" s="107"/>
      <c r="N99" s="108">
        <f t="shared" si="143"/>
        <v>0</v>
      </c>
      <c r="O99" s="115">
        <f t="shared" si="135"/>
        <v>0</v>
      </c>
      <c r="P99" s="107">
        <f t="shared" si="135"/>
        <v>0</v>
      </c>
      <c r="Q99" s="108">
        <f t="shared" si="144"/>
        <v>0</v>
      </c>
      <c r="R99" s="115"/>
      <c r="S99" s="107"/>
      <c r="T99" s="108">
        <f t="shared" si="145"/>
        <v>0</v>
      </c>
      <c r="U99" s="115"/>
      <c r="V99" s="107"/>
      <c r="W99" s="108">
        <f t="shared" si="146"/>
        <v>0</v>
      </c>
      <c r="X99" s="115"/>
      <c r="Y99" s="107"/>
      <c r="Z99" s="108">
        <f t="shared" si="147"/>
        <v>0</v>
      </c>
      <c r="AA99" s="115">
        <f t="shared" si="136"/>
        <v>0</v>
      </c>
      <c r="AB99" s="107">
        <f t="shared" si="136"/>
        <v>0</v>
      </c>
      <c r="AC99" s="108">
        <f t="shared" si="148"/>
        <v>0</v>
      </c>
      <c r="AD99" s="115"/>
      <c r="AE99" s="107"/>
      <c r="AF99" s="108">
        <f t="shared" si="149"/>
        <v>0</v>
      </c>
      <c r="AG99" s="115"/>
      <c r="AH99" s="107"/>
      <c r="AI99" s="108">
        <f t="shared" si="150"/>
        <v>0</v>
      </c>
      <c r="AJ99" s="115"/>
      <c r="AK99" s="107"/>
      <c r="AL99" s="108">
        <f t="shared" si="151"/>
        <v>0</v>
      </c>
      <c r="AM99" s="115">
        <f t="shared" si="137"/>
        <v>0</v>
      </c>
      <c r="AN99" s="107">
        <f t="shared" si="137"/>
        <v>0</v>
      </c>
      <c r="AO99" s="108">
        <f t="shared" si="152"/>
        <v>0</v>
      </c>
      <c r="AP99" s="115"/>
      <c r="AQ99" s="107"/>
      <c r="AR99" s="108">
        <f t="shared" si="153"/>
        <v>0</v>
      </c>
      <c r="AS99" s="115"/>
      <c r="AT99" s="107"/>
      <c r="AU99" s="108">
        <f t="shared" si="154"/>
        <v>0</v>
      </c>
      <c r="AV99" s="115"/>
      <c r="AW99" s="107"/>
      <c r="AX99" s="108">
        <f t="shared" si="155"/>
        <v>0</v>
      </c>
      <c r="AY99" s="107">
        <f t="shared" si="138"/>
        <v>0</v>
      </c>
      <c r="AZ99" s="107">
        <f t="shared" si="138"/>
        <v>0</v>
      </c>
      <c r="BA99" s="108">
        <f t="shared" si="156"/>
        <v>0</v>
      </c>
      <c r="BB99" s="115">
        <f t="shared" si="139"/>
        <v>0</v>
      </c>
      <c r="BC99" s="107">
        <f t="shared" si="139"/>
        <v>0</v>
      </c>
      <c r="BD99" s="108">
        <f t="shared" si="157"/>
        <v>0</v>
      </c>
      <c r="BE99" s="115"/>
      <c r="BF99" s="115"/>
      <c r="BG99" s="20">
        <f t="shared" si="140"/>
        <v>0</v>
      </c>
    </row>
    <row r="100" spans="1:59" ht="13.5" hidden="1" customHeight="1" outlineLevel="1" x14ac:dyDescent="0.25">
      <c r="A100" s="82"/>
      <c r="B100" s="84" t="s">
        <v>59</v>
      </c>
      <c r="C100" s="80" t="s">
        <v>68</v>
      </c>
      <c r="D100" s="157"/>
      <c r="E100" s="157"/>
      <c r="F100" s="115"/>
      <c r="G100" s="107"/>
      <c r="H100" s="108">
        <f t="shared" si="141"/>
        <v>0</v>
      </c>
      <c r="I100" s="115"/>
      <c r="J100" s="107"/>
      <c r="K100" s="108">
        <f t="shared" si="142"/>
        <v>0</v>
      </c>
      <c r="L100" s="115"/>
      <c r="M100" s="107"/>
      <c r="N100" s="108">
        <f t="shared" si="143"/>
        <v>0</v>
      </c>
      <c r="O100" s="115">
        <f t="shared" si="135"/>
        <v>0</v>
      </c>
      <c r="P100" s="107">
        <f t="shared" si="135"/>
        <v>0</v>
      </c>
      <c r="Q100" s="108">
        <f t="shared" si="144"/>
        <v>0</v>
      </c>
      <c r="R100" s="115"/>
      <c r="S100" s="107"/>
      <c r="T100" s="108">
        <f t="shared" si="145"/>
        <v>0</v>
      </c>
      <c r="U100" s="115"/>
      <c r="V100" s="107"/>
      <c r="W100" s="108">
        <f t="shared" si="146"/>
        <v>0</v>
      </c>
      <c r="X100" s="115"/>
      <c r="Y100" s="107"/>
      <c r="Z100" s="108">
        <f t="shared" si="147"/>
        <v>0</v>
      </c>
      <c r="AA100" s="115">
        <f t="shared" si="136"/>
        <v>0</v>
      </c>
      <c r="AB100" s="107">
        <f t="shared" si="136"/>
        <v>0</v>
      </c>
      <c r="AC100" s="108">
        <f t="shared" si="148"/>
        <v>0</v>
      </c>
      <c r="AD100" s="115"/>
      <c r="AE100" s="107"/>
      <c r="AF100" s="108">
        <f t="shared" si="149"/>
        <v>0</v>
      </c>
      <c r="AG100" s="115"/>
      <c r="AH100" s="107"/>
      <c r="AI100" s="108">
        <f t="shared" si="150"/>
        <v>0</v>
      </c>
      <c r="AJ100" s="115"/>
      <c r="AK100" s="107"/>
      <c r="AL100" s="108">
        <f t="shared" si="151"/>
        <v>0</v>
      </c>
      <c r="AM100" s="115">
        <f t="shared" si="137"/>
        <v>0</v>
      </c>
      <c r="AN100" s="107">
        <f t="shared" si="137"/>
        <v>0</v>
      </c>
      <c r="AO100" s="108">
        <f t="shared" si="152"/>
        <v>0</v>
      </c>
      <c r="AP100" s="115"/>
      <c r="AQ100" s="107"/>
      <c r="AR100" s="108">
        <f t="shared" si="153"/>
        <v>0</v>
      </c>
      <c r="AS100" s="115"/>
      <c r="AT100" s="107"/>
      <c r="AU100" s="108">
        <f t="shared" si="154"/>
        <v>0</v>
      </c>
      <c r="AV100" s="115"/>
      <c r="AW100" s="107"/>
      <c r="AX100" s="108">
        <f t="shared" si="155"/>
        <v>0</v>
      </c>
      <c r="AY100" s="107">
        <f t="shared" si="138"/>
        <v>0</v>
      </c>
      <c r="AZ100" s="107">
        <f t="shared" si="138"/>
        <v>0</v>
      </c>
      <c r="BA100" s="108">
        <f t="shared" si="156"/>
        <v>0</v>
      </c>
      <c r="BB100" s="115">
        <f t="shared" si="139"/>
        <v>0</v>
      </c>
      <c r="BC100" s="107">
        <f t="shared" si="139"/>
        <v>0</v>
      </c>
      <c r="BD100" s="108">
        <f t="shared" si="157"/>
        <v>0</v>
      </c>
      <c r="BE100" s="115"/>
      <c r="BF100" s="115"/>
      <c r="BG100" s="20">
        <f t="shared" si="140"/>
        <v>0</v>
      </c>
    </row>
    <row r="101" spans="1:59" ht="13.5" hidden="1" customHeight="1" outlineLevel="1" x14ac:dyDescent="0.25">
      <c r="A101" s="82"/>
      <c r="B101" s="99" t="s">
        <v>60</v>
      </c>
      <c r="C101" s="80" t="s">
        <v>68</v>
      </c>
      <c r="D101" s="157"/>
      <c r="E101" s="157"/>
      <c r="F101" s="115"/>
      <c r="G101" s="107"/>
      <c r="H101" s="108">
        <f t="shared" si="141"/>
        <v>0</v>
      </c>
      <c r="I101" s="115"/>
      <c r="J101" s="107"/>
      <c r="K101" s="108">
        <f t="shared" si="142"/>
        <v>0</v>
      </c>
      <c r="L101" s="115"/>
      <c r="M101" s="107"/>
      <c r="N101" s="108">
        <f t="shared" si="143"/>
        <v>0</v>
      </c>
      <c r="O101" s="115">
        <f>SUM(F101,I101,L101)</f>
        <v>0</v>
      </c>
      <c r="P101" s="107">
        <f>SUM(G101,J101,M101)</f>
        <v>0</v>
      </c>
      <c r="Q101" s="108">
        <f t="shared" si="144"/>
        <v>0</v>
      </c>
      <c r="R101" s="115"/>
      <c r="S101" s="107"/>
      <c r="T101" s="108">
        <f t="shared" si="145"/>
        <v>0</v>
      </c>
      <c r="U101" s="115"/>
      <c r="V101" s="107"/>
      <c r="W101" s="108">
        <f t="shared" si="146"/>
        <v>0</v>
      </c>
      <c r="X101" s="115"/>
      <c r="Y101" s="107"/>
      <c r="Z101" s="108">
        <f t="shared" si="147"/>
        <v>0</v>
      </c>
      <c r="AA101" s="115">
        <f>SUM(R101,U101,X101)</f>
        <v>0</v>
      </c>
      <c r="AB101" s="107">
        <f>SUM(S101,V101,Y101)</f>
        <v>0</v>
      </c>
      <c r="AC101" s="108">
        <f t="shared" si="148"/>
        <v>0</v>
      </c>
      <c r="AD101" s="115"/>
      <c r="AE101" s="107"/>
      <c r="AF101" s="108">
        <f t="shared" si="149"/>
        <v>0</v>
      </c>
      <c r="AG101" s="115"/>
      <c r="AH101" s="107"/>
      <c r="AI101" s="108">
        <f t="shared" si="150"/>
        <v>0</v>
      </c>
      <c r="AJ101" s="115"/>
      <c r="AK101" s="107"/>
      <c r="AL101" s="108">
        <f t="shared" si="151"/>
        <v>0</v>
      </c>
      <c r="AM101" s="115">
        <f>SUM(AD101,AG101,AJ101)</f>
        <v>0</v>
      </c>
      <c r="AN101" s="107">
        <f>SUM(AE101,AH101,AK101)</f>
        <v>0</v>
      </c>
      <c r="AO101" s="108">
        <f t="shared" si="152"/>
        <v>0</v>
      </c>
      <c r="AP101" s="115"/>
      <c r="AQ101" s="107"/>
      <c r="AR101" s="108">
        <f t="shared" si="153"/>
        <v>0</v>
      </c>
      <c r="AS101" s="115"/>
      <c r="AT101" s="107"/>
      <c r="AU101" s="108">
        <f t="shared" si="154"/>
        <v>0</v>
      </c>
      <c r="AV101" s="115"/>
      <c r="AW101" s="107"/>
      <c r="AX101" s="108">
        <f t="shared" si="155"/>
        <v>0</v>
      </c>
      <c r="AY101" s="107">
        <f>SUM(AP101,AS101,AV101)</f>
        <v>0</v>
      </c>
      <c r="AZ101" s="107">
        <f>SUM(AQ101,AT101,AW101)</f>
        <v>0</v>
      </c>
      <c r="BA101" s="108">
        <f t="shared" si="156"/>
        <v>0</v>
      </c>
      <c r="BB101" s="115">
        <f>SUM(F101,I101,L101,R101,U101,X101,AD101,AG101,AJ101,AP101,AS101,AV101)</f>
        <v>0</v>
      </c>
      <c r="BC101" s="107">
        <f>SUM(G101,J101,M101,S101,V101,Y101,AE101,AH101,AK101,AQ101,AT101,AW101)</f>
        <v>0</v>
      </c>
      <c r="BD101" s="108">
        <f t="shared" si="157"/>
        <v>0</v>
      </c>
      <c r="BE101" s="115"/>
      <c r="BF101" s="115"/>
      <c r="BG101" s="20">
        <f t="shared" si="140"/>
        <v>0</v>
      </c>
    </row>
    <row r="102" spans="1:59" ht="13.5" hidden="1" customHeight="1" outlineLevel="1" x14ac:dyDescent="0.25">
      <c r="A102" s="82"/>
      <c r="B102" s="84" t="s">
        <v>61</v>
      </c>
      <c r="C102" s="80" t="s">
        <v>68</v>
      </c>
      <c r="D102" s="157"/>
      <c r="E102" s="157"/>
      <c r="F102" s="115"/>
      <c r="G102" s="107"/>
      <c r="H102" s="108">
        <f t="shared" si="141"/>
        <v>0</v>
      </c>
      <c r="I102" s="115"/>
      <c r="J102" s="107"/>
      <c r="K102" s="108">
        <f t="shared" si="142"/>
        <v>0</v>
      </c>
      <c r="L102" s="115"/>
      <c r="M102" s="107"/>
      <c r="N102" s="108">
        <f t="shared" si="143"/>
        <v>0</v>
      </c>
      <c r="O102" s="115">
        <f>SUM(F102,I102,L102)</f>
        <v>0</v>
      </c>
      <c r="P102" s="107">
        <f>SUM(G102,J102,M102)</f>
        <v>0</v>
      </c>
      <c r="Q102" s="108">
        <f t="shared" si="144"/>
        <v>0</v>
      </c>
      <c r="R102" s="115"/>
      <c r="S102" s="107"/>
      <c r="T102" s="108">
        <f t="shared" si="145"/>
        <v>0</v>
      </c>
      <c r="U102" s="115"/>
      <c r="V102" s="107"/>
      <c r="W102" s="108">
        <f t="shared" si="146"/>
        <v>0</v>
      </c>
      <c r="X102" s="115"/>
      <c r="Y102" s="107"/>
      <c r="Z102" s="108">
        <f t="shared" si="147"/>
        <v>0</v>
      </c>
      <c r="AA102" s="115">
        <f>SUM(R102,U102,X102)</f>
        <v>0</v>
      </c>
      <c r="AB102" s="107">
        <f>SUM(S102,V102,Y102)</f>
        <v>0</v>
      </c>
      <c r="AC102" s="108">
        <f t="shared" si="148"/>
        <v>0</v>
      </c>
      <c r="AD102" s="115"/>
      <c r="AE102" s="107"/>
      <c r="AF102" s="108">
        <f t="shared" si="149"/>
        <v>0</v>
      </c>
      <c r="AG102" s="115"/>
      <c r="AH102" s="107"/>
      <c r="AI102" s="108">
        <f t="shared" si="150"/>
        <v>0</v>
      </c>
      <c r="AJ102" s="115"/>
      <c r="AK102" s="107"/>
      <c r="AL102" s="108">
        <f t="shared" si="151"/>
        <v>0</v>
      </c>
      <c r="AM102" s="115">
        <f>SUM(AD102,AG102,AJ102)</f>
        <v>0</v>
      </c>
      <c r="AN102" s="107">
        <f>SUM(AE102,AH102,AK102)</f>
        <v>0</v>
      </c>
      <c r="AO102" s="108">
        <f t="shared" si="152"/>
        <v>0</v>
      </c>
      <c r="AP102" s="115"/>
      <c r="AQ102" s="107"/>
      <c r="AR102" s="108">
        <f t="shared" si="153"/>
        <v>0</v>
      </c>
      <c r="AS102" s="115"/>
      <c r="AT102" s="107"/>
      <c r="AU102" s="108">
        <f t="shared" si="154"/>
        <v>0</v>
      </c>
      <c r="AV102" s="115"/>
      <c r="AW102" s="107"/>
      <c r="AX102" s="108">
        <f t="shared" si="155"/>
        <v>0</v>
      </c>
      <c r="AY102" s="107">
        <f>SUM(AP102,AS102,AV102)</f>
        <v>0</v>
      </c>
      <c r="AZ102" s="107">
        <f>SUM(AQ102,AT102,AW102)</f>
        <v>0</v>
      </c>
      <c r="BA102" s="108">
        <f t="shared" si="156"/>
        <v>0</v>
      </c>
      <c r="BB102" s="115">
        <f>SUM(F102,I102,L102,R102,U102,X102,AD102,AG102,AJ102,AP102,AS102,AV102)</f>
        <v>0</v>
      </c>
      <c r="BC102" s="107">
        <f>SUM(G102,J102,M102,S102,V102,Y102,AE102,AH102,AK102,AQ102,AT102,AW102)</f>
        <v>0</v>
      </c>
      <c r="BD102" s="108">
        <f t="shared" si="157"/>
        <v>0</v>
      </c>
      <c r="BE102" s="115"/>
      <c r="BF102" s="115"/>
      <c r="BG102" s="20">
        <f t="shared" si="140"/>
        <v>0</v>
      </c>
    </row>
    <row r="103" spans="1:59" s="210" customFormat="1" ht="13.5" customHeight="1" collapsed="1" thickBot="1" x14ac:dyDescent="0.3">
      <c r="A103" s="85"/>
      <c r="B103" s="95" t="s">
        <v>62</v>
      </c>
      <c r="C103" s="88" t="s">
        <v>68</v>
      </c>
      <c r="D103" s="93">
        <f>SUM(D104)</f>
        <v>0</v>
      </c>
      <c r="E103" s="93">
        <f>SUM(E104)</f>
        <v>0</v>
      </c>
      <c r="F103" s="187">
        <f>SUM(F104)</f>
        <v>0</v>
      </c>
      <c r="G103" s="92">
        <f>SUM(G104)</f>
        <v>0</v>
      </c>
      <c r="H103" s="91">
        <f t="shared" si="141"/>
        <v>0</v>
      </c>
      <c r="I103" s="187">
        <f>SUM(I104)</f>
        <v>0</v>
      </c>
      <c r="J103" s="92">
        <f>SUM(J104)</f>
        <v>0</v>
      </c>
      <c r="K103" s="91">
        <f t="shared" si="142"/>
        <v>0</v>
      </c>
      <c r="L103" s="187">
        <f>SUM(L104)</f>
        <v>0</v>
      </c>
      <c r="M103" s="92">
        <f>SUM(M104)</f>
        <v>0</v>
      </c>
      <c r="N103" s="91">
        <f t="shared" si="143"/>
        <v>0</v>
      </c>
      <c r="O103" s="187">
        <f>SUM(O104)</f>
        <v>0</v>
      </c>
      <c r="P103" s="92">
        <f>SUM(P104)</f>
        <v>0</v>
      </c>
      <c r="Q103" s="91">
        <f t="shared" si="144"/>
        <v>0</v>
      </c>
      <c r="R103" s="187">
        <f>SUM(R104)</f>
        <v>0</v>
      </c>
      <c r="S103" s="92">
        <f>SUM(S104)</f>
        <v>0</v>
      </c>
      <c r="T103" s="91">
        <f t="shared" si="145"/>
        <v>0</v>
      </c>
      <c r="U103" s="187">
        <f>SUM(U104)</f>
        <v>0</v>
      </c>
      <c r="V103" s="92">
        <f>SUM(V104)</f>
        <v>0</v>
      </c>
      <c r="W103" s="91">
        <f t="shared" si="146"/>
        <v>0</v>
      </c>
      <c r="X103" s="187">
        <f>SUM(X104)</f>
        <v>0</v>
      </c>
      <c r="Y103" s="92">
        <f>SUM(Y104)</f>
        <v>0</v>
      </c>
      <c r="Z103" s="91">
        <f t="shared" si="147"/>
        <v>0</v>
      </c>
      <c r="AA103" s="187">
        <f>SUM(AA104)</f>
        <v>0</v>
      </c>
      <c r="AB103" s="92">
        <f>SUM(AB104)</f>
        <v>0</v>
      </c>
      <c r="AC103" s="91">
        <f t="shared" si="148"/>
        <v>0</v>
      </c>
      <c r="AD103" s="187">
        <f>SUM(AD104)</f>
        <v>0</v>
      </c>
      <c r="AE103" s="92">
        <f>SUM(AE104)</f>
        <v>0</v>
      </c>
      <c r="AF103" s="91">
        <f t="shared" si="149"/>
        <v>0</v>
      </c>
      <c r="AG103" s="187">
        <f>SUM(AG104)</f>
        <v>0</v>
      </c>
      <c r="AH103" s="92">
        <f>SUM(AH104)</f>
        <v>0</v>
      </c>
      <c r="AI103" s="91">
        <f t="shared" si="150"/>
        <v>0</v>
      </c>
      <c r="AJ103" s="187">
        <f>SUM(AJ104)</f>
        <v>0</v>
      </c>
      <c r="AK103" s="92">
        <f>SUM(AK104)</f>
        <v>0</v>
      </c>
      <c r="AL103" s="91">
        <f t="shared" si="151"/>
        <v>0</v>
      </c>
      <c r="AM103" s="187">
        <f>SUM(AM104)</f>
        <v>0</v>
      </c>
      <c r="AN103" s="92">
        <f>SUM(AN104)</f>
        <v>0</v>
      </c>
      <c r="AO103" s="91">
        <f t="shared" si="152"/>
        <v>0</v>
      </c>
      <c r="AP103" s="187">
        <f>SUM(AP104)</f>
        <v>0</v>
      </c>
      <c r="AQ103" s="92">
        <f>SUM(AQ104)</f>
        <v>0</v>
      </c>
      <c r="AR103" s="91">
        <f t="shared" si="153"/>
        <v>0</v>
      </c>
      <c r="AS103" s="187">
        <f>SUM(AS104)</f>
        <v>0</v>
      </c>
      <c r="AT103" s="92">
        <f>SUM(AT104)</f>
        <v>0</v>
      </c>
      <c r="AU103" s="91">
        <f t="shared" si="154"/>
        <v>0</v>
      </c>
      <c r="AV103" s="187">
        <f>SUM(AV104)</f>
        <v>0</v>
      </c>
      <c r="AW103" s="92">
        <f>SUM(AW104)</f>
        <v>0</v>
      </c>
      <c r="AX103" s="91">
        <f t="shared" si="155"/>
        <v>0</v>
      </c>
      <c r="AY103" s="92">
        <f>SUM(AY104)</f>
        <v>0</v>
      </c>
      <c r="AZ103" s="92">
        <f>SUM(AZ104)</f>
        <v>0</v>
      </c>
      <c r="BA103" s="91">
        <f t="shared" si="156"/>
        <v>0</v>
      </c>
      <c r="BB103" s="187">
        <f>SUM(BB104)</f>
        <v>0</v>
      </c>
      <c r="BC103" s="92">
        <f>SUM(BC104)</f>
        <v>0</v>
      </c>
      <c r="BD103" s="91">
        <f t="shared" si="157"/>
        <v>0</v>
      </c>
      <c r="BE103" s="187">
        <f t="shared" ref="BE103:BG103" si="158">SUM(BE104)</f>
        <v>0</v>
      </c>
      <c r="BF103" s="187">
        <f t="shared" si="158"/>
        <v>0</v>
      </c>
      <c r="BG103" s="93">
        <f t="shared" si="158"/>
        <v>0</v>
      </c>
    </row>
    <row r="104" spans="1:59" ht="13.5" hidden="1" customHeight="1" outlineLevel="1" thickBot="1" x14ac:dyDescent="0.3">
      <c r="A104" s="11"/>
      <c r="B104" s="84" t="s">
        <v>63</v>
      </c>
      <c r="C104" s="86" t="s">
        <v>68</v>
      </c>
      <c r="D104" s="20"/>
      <c r="E104" s="20"/>
      <c r="F104" s="24"/>
      <c r="G104" s="23"/>
      <c r="H104" s="22">
        <f t="shared" si="141"/>
        <v>0</v>
      </c>
      <c r="I104" s="24"/>
      <c r="J104" s="23"/>
      <c r="K104" s="22">
        <f t="shared" si="142"/>
        <v>0</v>
      </c>
      <c r="L104" s="24"/>
      <c r="M104" s="23"/>
      <c r="N104" s="22">
        <f t="shared" si="143"/>
        <v>0</v>
      </c>
      <c r="O104" s="24">
        <f>SUM(F104,I104,L104)</f>
        <v>0</v>
      </c>
      <c r="P104" s="23">
        <f>SUM(G104,J104,M104)</f>
        <v>0</v>
      </c>
      <c r="Q104" s="22">
        <f t="shared" si="144"/>
        <v>0</v>
      </c>
      <c r="R104" s="24"/>
      <c r="S104" s="23"/>
      <c r="T104" s="22">
        <f t="shared" si="145"/>
        <v>0</v>
      </c>
      <c r="U104" s="24"/>
      <c r="V104" s="23"/>
      <c r="W104" s="22">
        <f t="shared" si="146"/>
        <v>0</v>
      </c>
      <c r="X104" s="24"/>
      <c r="Y104" s="23"/>
      <c r="Z104" s="22">
        <f t="shared" si="147"/>
        <v>0</v>
      </c>
      <c r="AA104" s="24">
        <f>SUM(R104,U104,X104)</f>
        <v>0</v>
      </c>
      <c r="AB104" s="23">
        <f>SUM(S104,V104,Y104)</f>
        <v>0</v>
      </c>
      <c r="AC104" s="22">
        <f t="shared" si="148"/>
        <v>0</v>
      </c>
      <c r="AD104" s="24"/>
      <c r="AE104" s="23"/>
      <c r="AF104" s="22">
        <f t="shared" si="149"/>
        <v>0</v>
      </c>
      <c r="AG104" s="24"/>
      <c r="AH104" s="23"/>
      <c r="AI104" s="22">
        <f t="shared" si="150"/>
        <v>0</v>
      </c>
      <c r="AJ104" s="24"/>
      <c r="AK104" s="23"/>
      <c r="AL104" s="22">
        <f t="shared" si="151"/>
        <v>0</v>
      </c>
      <c r="AM104" s="24">
        <f>SUM(AD104,AG104,AJ104)</f>
        <v>0</v>
      </c>
      <c r="AN104" s="23">
        <f>SUM(AE104,AH104,AK104)</f>
        <v>0</v>
      </c>
      <c r="AO104" s="22">
        <f t="shared" si="152"/>
        <v>0</v>
      </c>
      <c r="AP104" s="24"/>
      <c r="AQ104" s="23"/>
      <c r="AR104" s="22">
        <f t="shared" si="153"/>
        <v>0</v>
      </c>
      <c r="AS104" s="24"/>
      <c r="AT104" s="23"/>
      <c r="AU104" s="22">
        <f t="shared" si="154"/>
        <v>0</v>
      </c>
      <c r="AV104" s="24"/>
      <c r="AW104" s="23"/>
      <c r="AX104" s="22">
        <f t="shared" si="155"/>
        <v>0</v>
      </c>
      <c r="AY104" s="23">
        <f>SUM(AP104,AS104,AV104)</f>
        <v>0</v>
      </c>
      <c r="AZ104" s="23">
        <f>SUM(AQ104,AT104,AW104)</f>
        <v>0</v>
      </c>
      <c r="BA104" s="22">
        <f t="shared" si="156"/>
        <v>0</v>
      </c>
      <c r="BB104" s="24">
        <f>SUM(F104,I104,L104,R104,U104,X104,AD104,AG104,AJ104,AP104,AS104,AV104)</f>
        <v>0</v>
      </c>
      <c r="BC104" s="23">
        <f>SUM(G104,J104,M104,S104,V104,Y104,AE104,AH104,AK104,AQ104,AT104,AW104)</f>
        <v>0</v>
      </c>
      <c r="BD104" s="22">
        <f t="shared" si="157"/>
        <v>0</v>
      </c>
      <c r="BE104" s="24"/>
      <c r="BF104" s="24"/>
      <c r="BG104" s="20">
        <f>BB104+BE104+BF104</f>
        <v>0</v>
      </c>
    </row>
    <row r="105" spans="1:59" s="210" customFormat="1" ht="13.5" customHeight="1" collapsed="1" x14ac:dyDescent="0.25">
      <c r="A105" s="106" t="s">
        <v>69</v>
      </c>
      <c r="B105" s="105" t="s">
        <v>70</v>
      </c>
      <c r="C105" s="104" t="s">
        <v>68</v>
      </c>
      <c r="D105" s="192">
        <f>D106+D116+D135</f>
        <v>0</v>
      </c>
      <c r="E105" s="192">
        <f>E106+E116+E135</f>
        <v>0</v>
      </c>
      <c r="F105" s="195">
        <f>F106+F116+F135</f>
        <v>0</v>
      </c>
      <c r="G105" s="193">
        <f>G106+G116+G135</f>
        <v>0</v>
      </c>
      <c r="H105" s="194">
        <f t="shared" ref="H105:H120" si="159">G105-F105</f>
        <v>0</v>
      </c>
      <c r="I105" s="195">
        <f>I106+I116+I135</f>
        <v>0</v>
      </c>
      <c r="J105" s="193">
        <f>J106+J116+J135</f>
        <v>0</v>
      </c>
      <c r="K105" s="194">
        <f t="shared" ref="K105:K120" si="160">J105-I105</f>
        <v>0</v>
      </c>
      <c r="L105" s="195">
        <f>L106+L116+L135</f>
        <v>0</v>
      </c>
      <c r="M105" s="193">
        <f>M106+M116+M135</f>
        <v>0</v>
      </c>
      <c r="N105" s="194">
        <f t="shared" ref="N105:N120" si="161">M105-L105</f>
        <v>0</v>
      </c>
      <c r="O105" s="195">
        <f>O106+O116+O135</f>
        <v>0</v>
      </c>
      <c r="P105" s="193">
        <f>P106+P116+P135</f>
        <v>0</v>
      </c>
      <c r="Q105" s="194">
        <f t="shared" ref="Q105:Q120" si="162">P105-O105</f>
        <v>0</v>
      </c>
      <c r="R105" s="195">
        <f>R106+R116+R135</f>
        <v>0</v>
      </c>
      <c r="S105" s="193">
        <f>S106+S116+S135</f>
        <v>0</v>
      </c>
      <c r="T105" s="194">
        <f t="shared" ref="T105:T120" si="163">S105-R105</f>
        <v>0</v>
      </c>
      <c r="U105" s="195">
        <f>U106+U116+U135</f>
        <v>0</v>
      </c>
      <c r="V105" s="193">
        <f>V106+V116+V135</f>
        <v>0</v>
      </c>
      <c r="W105" s="194">
        <f t="shared" ref="W105:W120" si="164">V105-U105</f>
        <v>0</v>
      </c>
      <c r="X105" s="195">
        <f>X106+X116+X135</f>
        <v>0</v>
      </c>
      <c r="Y105" s="193">
        <f>Y106+Y116+Y135</f>
        <v>0</v>
      </c>
      <c r="Z105" s="194">
        <f t="shared" ref="Z105:Z120" si="165">Y105-X105</f>
        <v>0</v>
      </c>
      <c r="AA105" s="195">
        <f>AA106+AA116+AA135</f>
        <v>0</v>
      </c>
      <c r="AB105" s="193">
        <f>AB106+AB116+AB135</f>
        <v>0</v>
      </c>
      <c r="AC105" s="194">
        <f t="shared" ref="AC105:AC120" si="166">AB105-AA105</f>
        <v>0</v>
      </c>
      <c r="AD105" s="195">
        <f>AD106+AD116+AD135</f>
        <v>0</v>
      </c>
      <c r="AE105" s="193">
        <f>AE106+AE116+AE135</f>
        <v>0</v>
      </c>
      <c r="AF105" s="194">
        <f t="shared" ref="AF105:AF120" si="167">AE105-AD105</f>
        <v>0</v>
      </c>
      <c r="AG105" s="195">
        <f>AG106+AG116+AG135</f>
        <v>0</v>
      </c>
      <c r="AH105" s="193">
        <f>AH106+AH116+AH135</f>
        <v>0</v>
      </c>
      <c r="AI105" s="194">
        <f t="shared" ref="AI105:AI120" si="168">AH105-AG105</f>
        <v>0</v>
      </c>
      <c r="AJ105" s="195">
        <f>AJ106+AJ116+AJ135</f>
        <v>0</v>
      </c>
      <c r="AK105" s="193">
        <f>AK106+AK116+AK135</f>
        <v>0</v>
      </c>
      <c r="AL105" s="194">
        <f t="shared" ref="AL105:AL120" si="169">AK105-AJ105</f>
        <v>0</v>
      </c>
      <c r="AM105" s="195">
        <f>AM106+AM116+AM135</f>
        <v>0</v>
      </c>
      <c r="AN105" s="193">
        <f>AN106+AN116+AN135</f>
        <v>0</v>
      </c>
      <c r="AO105" s="194">
        <f t="shared" ref="AO105:AO120" si="170">AN105-AM105</f>
        <v>0</v>
      </c>
      <c r="AP105" s="195">
        <f>AP106+AP116+AP135</f>
        <v>0</v>
      </c>
      <c r="AQ105" s="193">
        <f>AQ106+AQ116+AQ135</f>
        <v>0</v>
      </c>
      <c r="AR105" s="194">
        <f t="shared" ref="AR105:AR120" si="171">AQ105-AP105</f>
        <v>0</v>
      </c>
      <c r="AS105" s="195">
        <f>AS106+AS116+AS135</f>
        <v>0</v>
      </c>
      <c r="AT105" s="193">
        <f>AT106+AT116+AT135</f>
        <v>0</v>
      </c>
      <c r="AU105" s="194">
        <f t="shared" ref="AU105:AU120" si="172">AT105-AS105</f>
        <v>0</v>
      </c>
      <c r="AV105" s="195">
        <f>AV106+AV116+AV135</f>
        <v>0</v>
      </c>
      <c r="AW105" s="193">
        <f>AW106+AW116+AW135</f>
        <v>0</v>
      </c>
      <c r="AX105" s="194">
        <f t="shared" ref="AX105:AX120" si="173">AW105-AV105</f>
        <v>0</v>
      </c>
      <c r="AY105" s="193">
        <f>AY106+AY116+AY135</f>
        <v>0</v>
      </c>
      <c r="AZ105" s="193">
        <f>AZ106+AZ116+AZ135</f>
        <v>0</v>
      </c>
      <c r="BA105" s="194">
        <f t="shared" ref="BA105:BA120" si="174">AZ105-AY105</f>
        <v>0</v>
      </c>
      <c r="BB105" s="195">
        <f>BB106+BB116+BB135</f>
        <v>0</v>
      </c>
      <c r="BC105" s="193">
        <f>BC106+BC116+BC135</f>
        <v>0</v>
      </c>
      <c r="BD105" s="194">
        <f t="shared" ref="BD105:BD120" si="175">BC105-BB105</f>
        <v>0</v>
      </c>
      <c r="BE105" s="195">
        <f t="shared" ref="BE105:BF105" si="176">BE106+BE116+BE135</f>
        <v>0</v>
      </c>
      <c r="BF105" s="195">
        <f t="shared" si="176"/>
        <v>0</v>
      </c>
      <c r="BG105" s="192">
        <f t="shared" ref="BG105" si="177">BG106+BG116+BG135</f>
        <v>0</v>
      </c>
    </row>
    <row r="106" spans="1:59" s="210" customFormat="1" ht="13.5" customHeight="1" x14ac:dyDescent="0.25">
      <c r="A106" s="103"/>
      <c r="B106" s="102" t="s">
        <v>33</v>
      </c>
      <c r="C106" s="101" t="s">
        <v>68</v>
      </c>
      <c r="D106" s="188">
        <f>SUM(D107:D115)</f>
        <v>0</v>
      </c>
      <c r="E106" s="188">
        <f>SUM(E107:E115)</f>
        <v>0</v>
      </c>
      <c r="F106" s="191">
        <f>SUM(F107:F115)</f>
        <v>0</v>
      </c>
      <c r="G106" s="189">
        <f>SUM(G107:G115)</f>
        <v>0</v>
      </c>
      <c r="H106" s="190">
        <f t="shared" si="159"/>
        <v>0</v>
      </c>
      <c r="I106" s="191">
        <f>SUM(I107:I115)</f>
        <v>0</v>
      </c>
      <c r="J106" s="189">
        <f>SUM(J107:J115)</f>
        <v>0</v>
      </c>
      <c r="K106" s="190">
        <f t="shared" si="160"/>
        <v>0</v>
      </c>
      <c r="L106" s="191">
        <f>SUM(L107:L115)</f>
        <v>0</v>
      </c>
      <c r="M106" s="189">
        <f>SUM(M107:M115)</f>
        <v>0</v>
      </c>
      <c r="N106" s="190">
        <f t="shared" si="161"/>
        <v>0</v>
      </c>
      <c r="O106" s="191">
        <f>SUM(O107:O115)</f>
        <v>0</v>
      </c>
      <c r="P106" s="189">
        <f>SUM(P107:P115)</f>
        <v>0</v>
      </c>
      <c r="Q106" s="190">
        <f t="shared" si="162"/>
        <v>0</v>
      </c>
      <c r="R106" s="191">
        <f>SUM(R107:R115)</f>
        <v>0</v>
      </c>
      <c r="S106" s="189">
        <f>SUM(S107:S115)</f>
        <v>0</v>
      </c>
      <c r="T106" s="190">
        <f t="shared" si="163"/>
        <v>0</v>
      </c>
      <c r="U106" s="191">
        <f>SUM(U107:U115)</f>
        <v>0</v>
      </c>
      <c r="V106" s="189">
        <f>SUM(V107:V115)</f>
        <v>0</v>
      </c>
      <c r="W106" s="190">
        <f t="shared" si="164"/>
        <v>0</v>
      </c>
      <c r="X106" s="191">
        <f>SUM(X107:X115)</f>
        <v>0</v>
      </c>
      <c r="Y106" s="189">
        <f>SUM(Y107:Y115)</f>
        <v>0</v>
      </c>
      <c r="Z106" s="190">
        <f t="shared" si="165"/>
        <v>0</v>
      </c>
      <c r="AA106" s="191">
        <f>SUM(AA107:AA115)</f>
        <v>0</v>
      </c>
      <c r="AB106" s="189">
        <f>SUM(AB107:AB115)</f>
        <v>0</v>
      </c>
      <c r="AC106" s="190">
        <f t="shared" si="166"/>
        <v>0</v>
      </c>
      <c r="AD106" s="191">
        <f>SUM(AD107:AD115)</f>
        <v>0</v>
      </c>
      <c r="AE106" s="189">
        <f>SUM(AE107:AE115)</f>
        <v>0</v>
      </c>
      <c r="AF106" s="190">
        <f t="shared" si="167"/>
        <v>0</v>
      </c>
      <c r="AG106" s="191">
        <f>SUM(AG107:AG115)</f>
        <v>0</v>
      </c>
      <c r="AH106" s="189">
        <f>SUM(AH107:AH115)</f>
        <v>0</v>
      </c>
      <c r="AI106" s="190">
        <f t="shared" si="168"/>
        <v>0</v>
      </c>
      <c r="AJ106" s="191">
        <f>SUM(AJ107:AJ115)</f>
        <v>0</v>
      </c>
      <c r="AK106" s="189">
        <f>SUM(AK107:AK115)</f>
        <v>0</v>
      </c>
      <c r="AL106" s="190">
        <f t="shared" si="169"/>
        <v>0</v>
      </c>
      <c r="AM106" s="191">
        <f>SUM(AM107:AM115)</f>
        <v>0</v>
      </c>
      <c r="AN106" s="189">
        <f>SUM(AN107:AN115)</f>
        <v>0</v>
      </c>
      <c r="AO106" s="190">
        <f t="shared" si="170"/>
        <v>0</v>
      </c>
      <c r="AP106" s="191">
        <f>SUM(AP107:AP115)</f>
        <v>0</v>
      </c>
      <c r="AQ106" s="189">
        <f>SUM(AQ107:AQ115)</f>
        <v>0</v>
      </c>
      <c r="AR106" s="190">
        <f t="shared" si="171"/>
        <v>0</v>
      </c>
      <c r="AS106" s="191">
        <f>SUM(AS107:AS115)</f>
        <v>0</v>
      </c>
      <c r="AT106" s="189">
        <f>SUM(AT107:AT115)</f>
        <v>0</v>
      </c>
      <c r="AU106" s="190">
        <f t="shared" si="172"/>
        <v>0</v>
      </c>
      <c r="AV106" s="191">
        <f>SUM(AV107:AV115)</f>
        <v>0</v>
      </c>
      <c r="AW106" s="189">
        <f>SUM(AW107:AW115)</f>
        <v>0</v>
      </c>
      <c r="AX106" s="190">
        <f t="shared" si="173"/>
        <v>0</v>
      </c>
      <c r="AY106" s="189">
        <f>SUM(AY107:AY115)</f>
        <v>0</v>
      </c>
      <c r="AZ106" s="189">
        <f>SUM(AZ107:AZ115)</f>
        <v>0</v>
      </c>
      <c r="BA106" s="190">
        <f t="shared" si="174"/>
        <v>0</v>
      </c>
      <c r="BB106" s="191">
        <f>SUM(BB107:BB115)</f>
        <v>0</v>
      </c>
      <c r="BC106" s="189">
        <f>SUM(BC107:BC115)</f>
        <v>0</v>
      </c>
      <c r="BD106" s="190">
        <f t="shared" si="175"/>
        <v>0</v>
      </c>
      <c r="BE106" s="191">
        <f t="shared" ref="BE106:BF106" si="178">SUM(BE107:BE115)</f>
        <v>0</v>
      </c>
      <c r="BF106" s="191">
        <f t="shared" si="178"/>
        <v>0</v>
      </c>
      <c r="BG106" s="188">
        <f t="shared" ref="BG106" si="179">SUM(BG107:BG115)</f>
        <v>0</v>
      </c>
    </row>
    <row r="107" spans="1:59" ht="13.5" hidden="1" customHeight="1" outlineLevel="1" x14ac:dyDescent="0.25">
      <c r="A107" s="100"/>
      <c r="B107" s="84" t="s">
        <v>34</v>
      </c>
      <c r="C107" s="83" t="s">
        <v>68</v>
      </c>
      <c r="D107" s="20"/>
      <c r="E107" s="20"/>
      <c r="F107" s="24"/>
      <c r="G107" s="23"/>
      <c r="H107" s="22">
        <f t="shared" si="159"/>
        <v>0</v>
      </c>
      <c r="I107" s="24"/>
      <c r="J107" s="23"/>
      <c r="K107" s="22">
        <f t="shared" si="160"/>
        <v>0</v>
      </c>
      <c r="L107" s="24"/>
      <c r="M107" s="23"/>
      <c r="N107" s="22">
        <f t="shared" si="161"/>
        <v>0</v>
      </c>
      <c r="O107" s="24">
        <f t="shared" ref="O107:P115" si="180">SUM(F107,I107,L107)</f>
        <v>0</v>
      </c>
      <c r="P107" s="23">
        <f t="shared" si="180"/>
        <v>0</v>
      </c>
      <c r="Q107" s="22">
        <f t="shared" si="162"/>
        <v>0</v>
      </c>
      <c r="R107" s="24"/>
      <c r="S107" s="23"/>
      <c r="T107" s="22">
        <f t="shared" si="163"/>
        <v>0</v>
      </c>
      <c r="U107" s="24"/>
      <c r="V107" s="23"/>
      <c r="W107" s="22">
        <f t="shared" si="164"/>
        <v>0</v>
      </c>
      <c r="X107" s="24"/>
      <c r="Y107" s="23"/>
      <c r="Z107" s="22">
        <f t="shared" si="165"/>
        <v>0</v>
      </c>
      <c r="AA107" s="24">
        <f t="shared" ref="AA107:AB115" si="181">SUM(R107,U107,X107)</f>
        <v>0</v>
      </c>
      <c r="AB107" s="23">
        <f t="shared" si="181"/>
        <v>0</v>
      </c>
      <c r="AC107" s="22">
        <f t="shared" si="166"/>
        <v>0</v>
      </c>
      <c r="AD107" s="24"/>
      <c r="AE107" s="23"/>
      <c r="AF107" s="22">
        <f t="shared" si="167"/>
        <v>0</v>
      </c>
      <c r="AG107" s="24"/>
      <c r="AH107" s="23"/>
      <c r="AI107" s="22">
        <f t="shared" si="168"/>
        <v>0</v>
      </c>
      <c r="AJ107" s="24"/>
      <c r="AK107" s="23"/>
      <c r="AL107" s="22">
        <f t="shared" si="169"/>
        <v>0</v>
      </c>
      <c r="AM107" s="24">
        <f t="shared" ref="AM107:AN115" si="182">SUM(AD107,AG107,AJ107)</f>
        <v>0</v>
      </c>
      <c r="AN107" s="23">
        <f t="shared" si="182"/>
        <v>0</v>
      </c>
      <c r="AO107" s="22">
        <f t="shared" si="170"/>
        <v>0</v>
      </c>
      <c r="AP107" s="24"/>
      <c r="AQ107" s="23"/>
      <c r="AR107" s="22">
        <f t="shared" si="171"/>
        <v>0</v>
      </c>
      <c r="AS107" s="24"/>
      <c r="AT107" s="23"/>
      <c r="AU107" s="22">
        <f t="shared" si="172"/>
        <v>0</v>
      </c>
      <c r="AV107" s="24"/>
      <c r="AW107" s="23"/>
      <c r="AX107" s="22">
        <f t="shared" si="173"/>
        <v>0</v>
      </c>
      <c r="AY107" s="23">
        <f t="shared" ref="AY107:AZ115" si="183">SUM(AP107,AS107,AV107)</f>
        <v>0</v>
      </c>
      <c r="AZ107" s="23">
        <f t="shared" si="183"/>
        <v>0</v>
      </c>
      <c r="BA107" s="22">
        <f t="shared" si="174"/>
        <v>0</v>
      </c>
      <c r="BB107" s="24">
        <f t="shared" ref="BB107:BC115" si="184">SUM(F107,I107,L107,R107,U107,X107,AD107,AG107,AJ107,AP107,AS107,AV107)</f>
        <v>0</v>
      </c>
      <c r="BC107" s="23">
        <f t="shared" si="184"/>
        <v>0</v>
      </c>
      <c r="BD107" s="22">
        <f t="shared" si="175"/>
        <v>0</v>
      </c>
      <c r="BE107" s="24"/>
      <c r="BF107" s="24"/>
      <c r="BG107" s="20">
        <f>BB107+BE107+BF107</f>
        <v>0</v>
      </c>
    </row>
    <row r="108" spans="1:59" ht="13.5" hidden="1" customHeight="1" outlineLevel="1" x14ac:dyDescent="0.25">
      <c r="A108" s="100"/>
      <c r="B108" s="84" t="s">
        <v>35</v>
      </c>
      <c r="C108" s="83" t="s">
        <v>68</v>
      </c>
      <c r="D108" s="20"/>
      <c r="E108" s="20"/>
      <c r="F108" s="24"/>
      <c r="G108" s="23"/>
      <c r="H108" s="22">
        <f t="shared" si="159"/>
        <v>0</v>
      </c>
      <c r="I108" s="24"/>
      <c r="J108" s="23"/>
      <c r="K108" s="22">
        <f t="shared" si="160"/>
        <v>0</v>
      </c>
      <c r="L108" s="24"/>
      <c r="M108" s="23"/>
      <c r="N108" s="22">
        <f t="shared" si="161"/>
        <v>0</v>
      </c>
      <c r="O108" s="24">
        <f t="shared" si="180"/>
        <v>0</v>
      </c>
      <c r="P108" s="23">
        <f t="shared" si="180"/>
        <v>0</v>
      </c>
      <c r="Q108" s="22">
        <f t="shared" si="162"/>
        <v>0</v>
      </c>
      <c r="R108" s="24"/>
      <c r="S108" s="23"/>
      <c r="T108" s="22">
        <f t="shared" si="163"/>
        <v>0</v>
      </c>
      <c r="U108" s="24"/>
      <c r="V108" s="23"/>
      <c r="W108" s="22">
        <f t="shared" si="164"/>
        <v>0</v>
      </c>
      <c r="X108" s="24"/>
      <c r="Y108" s="23"/>
      <c r="Z108" s="22">
        <f t="shared" si="165"/>
        <v>0</v>
      </c>
      <c r="AA108" s="24">
        <f t="shared" si="181"/>
        <v>0</v>
      </c>
      <c r="AB108" s="23">
        <f t="shared" si="181"/>
        <v>0</v>
      </c>
      <c r="AC108" s="22">
        <f t="shared" si="166"/>
        <v>0</v>
      </c>
      <c r="AD108" s="24"/>
      <c r="AE108" s="23"/>
      <c r="AF108" s="22">
        <f t="shared" si="167"/>
        <v>0</v>
      </c>
      <c r="AG108" s="24"/>
      <c r="AH108" s="23"/>
      <c r="AI108" s="22">
        <f t="shared" si="168"/>
        <v>0</v>
      </c>
      <c r="AJ108" s="24"/>
      <c r="AK108" s="23"/>
      <c r="AL108" s="22">
        <f t="shared" si="169"/>
        <v>0</v>
      </c>
      <c r="AM108" s="24">
        <f t="shared" si="182"/>
        <v>0</v>
      </c>
      <c r="AN108" s="23">
        <f t="shared" si="182"/>
        <v>0</v>
      </c>
      <c r="AO108" s="22">
        <f t="shared" si="170"/>
        <v>0</v>
      </c>
      <c r="AP108" s="24"/>
      <c r="AQ108" s="23"/>
      <c r="AR108" s="22">
        <f t="shared" si="171"/>
        <v>0</v>
      </c>
      <c r="AS108" s="24"/>
      <c r="AT108" s="23"/>
      <c r="AU108" s="22">
        <f t="shared" si="172"/>
        <v>0</v>
      </c>
      <c r="AV108" s="24"/>
      <c r="AW108" s="23"/>
      <c r="AX108" s="22">
        <f t="shared" si="173"/>
        <v>0</v>
      </c>
      <c r="AY108" s="23">
        <f t="shared" si="183"/>
        <v>0</v>
      </c>
      <c r="AZ108" s="23">
        <f t="shared" si="183"/>
        <v>0</v>
      </c>
      <c r="BA108" s="22">
        <f t="shared" si="174"/>
        <v>0</v>
      </c>
      <c r="BB108" s="24">
        <f t="shared" si="184"/>
        <v>0</v>
      </c>
      <c r="BC108" s="23">
        <f t="shared" si="184"/>
        <v>0</v>
      </c>
      <c r="BD108" s="22">
        <f t="shared" si="175"/>
        <v>0</v>
      </c>
      <c r="BE108" s="24"/>
      <c r="BF108" s="24"/>
      <c r="BG108" s="20">
        <f t="shared" ref="BG108:BG115" si="185">BB108+BE108+BF108</f>
        <v>0</v>
      </c>
    </row>
    <row r="109" spans="1:59" ht="13.5" hidden="1" customHeight="1" outlineLevel="1" x14ac:dyDescent="0.25">
      <c r="A109" s="100"/>
      <c r="B109" s="84" t="s">
        <v>36</v>
      </c>
      <c r="C109" s="83" t="s">
        <v>68</v>
      </c>
      <c r="D109" s="20"/>
      <c r="E109" s="20"/>
      <c r="F109" s="24"/>
      <c r="G109" s="23"/>
      <c r="H109" s="22">
        <f t="shared" si="159"/>
        <v>0</v>
      </c>
      <c r="I109" s="24"/>
      <c r="J109" s="23"/>
      <c r="K109" s="22">
        <f t="shared" si="160"/>
        <v>0</v>
      </c>
      <c r="L109" s="24"/>
      <c r="M109" s="23"/>
      <c r="N109" s="22">
        <f t="shared" si="161"/>
        <v>0</v>
      </c>
      <c r="O109" s="24">
        <f t="shared" si="180"/>
        <v>0</v>
      </c>
      <c r="P109" s="23">
        <f t="shared" si="180"/>
        <v>0</v>
      </c>
      <c r="Q109" s="22">
        <f t="shared" si="162"/>
        <v>0</v>
      </c>
      <c r="R109" s="24"/>
      <c r="S109" s="23"/>
      <c r="T109" s="22">
        <f t="shared" si="163"/>
        <v>0</v>
      </c>
      <c r="U109" s="24"/>
      <c r="V109" s="23"/>
      <c r="W109" s="22">
        <f t="shared" si="164"/>
        <v>0</v>
      </c>
      <c r="X109" s="24"/>
      <c r="Y109" s="23"/>
      <c r="Z109" s="22">
        <f t="shared" si="165"/>
        <v>0</v>
      </c>
      <c r="AA109" s="24">
        <f t="shared" si="181"/>
        <v>0</v>
      </c>
      <c r="AB109" s="23">
        <f t="shared" si="181"/>
        <v>0</v>
      </c>
      <c r="AC109" s="22">
        <f t="shared" si="166"/>
        <v>0</v>
      </c>
      <c r="AD109" s="24"/>
      <c r="AE109" s="23"/>
      <c r="AF109" s="22">
        <f t="shared" si="167"/>
        <v>0</v>
      </c>
      <c r="AG109" s="24"/>
      <c r="AH109" s="23"/>
      <c r="AI109" s="22">
        <f t="shared" si="168"/>
        <v>0</v>
      </c>
      <c r="AJ109" s="24"/>
      <c r="AK109" s="23"/>
      <c r="AL109" s="22">
        <f t="shared" si="169"/>
        <v>0</v>
      </c>
      <c r="AM109" s="24">
        <f t="shared" si="182"/>
        <v>0</v>
      </c>
      <c r="AN109" s="23">
        <f t="shared" si="182"/>
        <v>0</v>
      </c>
      <c r="AO109" s="22">
        <f t="shared" si="170"/>
        <v>0</v>
      </c>
      <c r="AP109" s="24"/>
      <c r="AQ109" s="23"/>
      <c r="AR109" s="22">
        <f t="shared" si="171"/>
        <v>0</v>
      </c>
      <c r="AS109" s="24"/>
      <c r="AT109" s="23"/>
      <c r="AU109" s="22">
        <f t="shared" si="172"/>
        <v>0</v>
      </c>
      <c r="AV109" s="24"/>
      <c r="AW109" s="23"/>
      <c r="AX109" s="22">
        <f t="shared" si="173"/>
        <v>0</v>
      </c>
      <c r="AY109" s="23">
        <f t="shared" si="183"/>
        <v>0</v>
      </c>
      <c r="AZ109" s="23">
        <f t="shared" si="183"/>
        <v>0</v>
      </c>
      <c r="BA109" s="22">
        <f t="shared" si="174"/>
        <v>0</v>
      </c>
      <c r="BB109" s="24">
        <f t="shared" si="184"/>
        <v>0</v>
      </c>
      <c r="BC109" s="23">
        <f t="shared" si="184"/>
        <v>0</v>
      </c>
      <c r="BD109" s="22">
        <f t="shared" si="175"/>
        <v>0</v>
      </c>
      <c r="BE109" s="24"/>
      <c r="BF109" s="24"/>
      <c r="BG109" s="20">
        <f t="shared" si="185"/>
        <v>0</v>
      </c>
    </row>
    <row r="110" spans="1:59" ht="13.5" hidden="1" customHeight="1" outlineLevel="1" x14ac:dyDescent="0.25">
      <c r="A110" s="100"/>
      <c r="B110" s="84" t="s">
        <v>37</v>
      </c>
      <c r="C110" s="83" t="s">
        <v>68</v>
      </c>
      <c r="D110" s="20"/>
      <c r="E110" s="20"/>
      <c r="F110" s="24"/>
      <c r="G110" s="23"/>
      <c r="H110" s="22">
        <f t="shared" si="159"/>
        <v>0</v>
      </c>
      <c r="I110" s="24"/>
      <c r="J110" s="23"/>
      <c r="K110" s="22">
        <f t="shared" si="160"/>
        <v>0</v>
      </c>
      <c r="L110" s="24"/>
      <c r="M110" s="23"/>
      <c r="N110" s="22">
        <f t="shared" si="161"/>
        <v>0</v>
      </c>
      <c r="O110" s="24">
        <f t="shared" si="180"/>
        <v>0</v>
      </c>
      <c r="P110" s="23">
        <f t="shared" si="180"/>
        <v>0</v>
      </c>
      <c r="Q110" s="22">
        <f t="shared" si="162"/>
        <v>0</v>
      </c>
      <c r="R110" s="24"/>
      <c r="S110" s="23"/>
      <c r="T110" s="22">
        <f t="shared" si="163"/>
        <v>0</v>
      </c>
      <c r="U110" s="24"/>
      <c r="V110" s="23"/>
      <c r="W110" s="22">
        <f t="shared" si="164"/>
        <v>0</v>
      </c>
      <c r="X110" s="24"/>
      <c r="Y110" s="23"/>
      <c r="Z110" s="22">
        <f t="shared" si="165"/>
        <v>0</v>
      </c>
      <c r="AA110" s="24">
        <f t="shared" si="181"/>
        <v>0</v>
      </c>
      <c r="AB110" s="23">
        <f t="shared" si="181"/>
        <v>0</v>
      </c>
      <c r="AC110" s="22">
        <f t="shared" si="166"/>
        <v>0</v>
      </c>
      <c r="AD110" s="24"/>
      <c r="AE110" s="23"/>
      <c r="AF110" s="22">
        <f t="shared" si="167"/>
        <v>0</v>
      </c>
      <c r="AG110" s="24"/>
      <c r="AH110" s="23"/>
      <c r="AI110" s="22">
        <f t="shared" si="168"/>
        <v>0</v>
      </c>
      <c r="AJ110" s="24"/>
      <c r="AK110" s="23"/>
      <c r="AL110" s="22">
        <f t="shared" si="169"/>
        <v>0</v>
      </c>
      <c r="AM110" s="24">
        <f t="shared" si="182"/>
        <v>0</v>
      </c>
      <c r="AN110" s="23">
        <f t="shared" si="182"/>
        <v>0</v>
      </c>
      <c r="AO110" s="22">
        <f t="shared" si="170"/>
        <v>0</v>
      </c>
      <c r="AP110" s="24"/>
      <c r="AQ110" s="23"/>
      <c r="AR110" s="22">
        <f t="shared" si="171"/>
        <v>0</v>
      </c>
      <c r="AS110" s="24"/>
      <c r="AT110" s="23"/>
      <c r="AU110" s="22">
        <f t="shared" si="172"/>
        <v>0</v>
      </c>
      <c r="AV110" s="24"/>
      <c r="AW110" s="23"/>
      <c r="AX110" s="22">
        <f t="shared" si="173"/>
        <v>0</v>
      </c>
      <c r="AY110" s="23">
        <f t="shared" si="183"/>
        <v>0</v>
      </c>
      <c r="AZ110" s="23">
        <f t="shared" si="183"/>
        <v>0</v>
      </c>
      <c r="BA110" s="22">
        <f t="shared" si="174"/>
        <v>0</v>
      </c>
      <c r="BB110" s="24">
        <f t="shared" si="184"/>
        <v>0</v>
      </c>
      <c r="BC110" s="23">
        <f t="shared" si="184"/>
        <v>0</v>
      </c>
      <c r="BD110" s="22">
        <f t="shared" si="175"/>
        <v>0</v>
      </c>
      <c r="BE110" s="24"/>
      <c r="BF110" s="24"/>
      <c r="BG110" s="20">
        <f t="shared" si="185"/>
        <v>0</v>
      </c>
    </row>
    <row r="111" spans="1:59" ht="13.5" hidden="1" customHeight="1" outlineLevel="1" x14ac:dyDescent="0.25">
      <c r="A111" s="100"/>
      <c r="B111" s="84" t="s">
        <v>38</v>
      </c>
      <c r="C111" s="83" t="s">
        <v>68</v>
      </c>
      <c r="D111" s="20"/>
      <c r="E111" s="20"/>
      <c r="F111" s="24"/>
      <c r="G111" s="23"/>
      <c r="H111" s="22">
        <f t="shared" si="159"/>
        <v>0</v>
      </c>
      <c r="I111" s="24"/>
      <c r="J111" s="23"/>
      <c r="K111" s="22">
        <f t="shared" si="160"/>
        <v>0</v>
      </c>
      <c r="L111" s="24"/>
      <c r="M111" s="23"/>
      <c r="N111" s="22">
        <f t="shared" si="161"/>
        <v>0</v>
      </c>
      <c r="O111" s="24">
        <f t="shared" si="180"/>
        <v>0</v>
      </c>
      <c r="P111" s="23">
        <f t="shared" si="180"/>
        <v>0</v>
      </c>
      <c r="Q111" s="22">
        <f t="shared" si="162"/>
        <v>0</v>
      </c>
      <c r="R111" s="24"/>
      <c r="S111" s="23"/>
      <c r="T111" s="22">
        <f t="shared" si="163"/>
        <v>0</v>
      </c>
      <c r="U111" s="24"/>
      <c r="V111" s="23"/>
      <c r="W111" s="22">
        <f t="shared" si="164"/>
        <v>0</v>
      </c>
      <c r="X111" s="24"/>
      <c r="Y111" s="23"/>
      <c r="Z111" s="22">
        <f t="shared" si="165"/>
        <v>0</v>
      </c>
      <c r="AA111" s="24">
        <f t="shared" si="181"/>
        <v>0</v>
      </c>
      <c r="AB111" s="23">
        <f t="shared" si="181"/>
        <v>0</v>
      </c>
      <c r="AC111" s="22">
        <f t="shared" si="166"/>
        <v>0</v>
      </c>
      <c r="AD111" s="24"/>
      <c r="AE111" s="23"/>
      <c r="AF111" s="22">
        <f t="shared" si="167"/>
        <v>0</v>
      </c>
      <c r="AG111" s="24"/>
      <c r="AH111" s="23"/>
      <c r="AI111" s="22">
        <f t="shared" si="168"/>
        <v>0</v>
      </c>
      <c r="AJ111" s="24"/>
      <c r="AK111" s="23"/>
      <c r="AL111" s="22">
        <f t="shared" si="169"/>
        <v>0</v>
      </c>
      <c r="AM111" s="24">
        <f t="shared" si="182"/>
        <v>0</v>
      </c>
      <c r="AN111" s="23">
        <f t="shared" si="182"/>
        <v>0</v>
      </c>
      <c r="AO111" s="22">
        <f t="shared" si="170"/>
        <v>0</v>
      </c>
      <c r="AP111" s="24"/>
      <c r="AQ111" s="23"/>
      <c r="AR111" s="22">
        <f t="shared" si="171"/>
        <v>0</v>
      </c>
      <c r="AS111" s="24"/>
      <c r="AT111" s="23"/>
      <c r="AU111" s="22">
        <f t="shared" si="172"/>
        <v>0</v>
      </c>
      <c r="AV111" s="24"/>
      <c r="AW111" s="23"/>
      <c r="AX111" s="22">
        <f t="shared" si="173"/>
        <v>0</v>
      </c>
      <c r="AY111" s="23">
        <f t="shared" si="183"/>
        <v>0</v>
      </c>
      <c r="AZ111" s="23">
        <f t="shared" si="183"/>
        <v>0</v>
      </c>
      <c r="BA111" s="22">
        <f t="shared" si="174"/>
        <v>0</v>
      </c>
      <c r="BB111" s="24">
        <f t="shared" si="184"/>
        <v>0</v>
      </c>
      <c r="BC111" s="23">
        <f t="shared" si="184"/>
        <v>0</v>
      </c>
      <c r="BD111" s="22">
        <f t="shared" si="175"/>
        <v>0</v>
      </c>
      <c r="BE111" s="24"/>
      <c r="BF111" s="24"/>
      <c r="BG111" s="20">
        <f t="shared" si="185"/>
        <v>0</v>
      </c>
    </row>
    <row r="112" spans="1:59" ht="13.5" hidden="1" customHeight="1" outlineLevel="1" x14ac:dyDescent="0.25">
      <c r="A112" s="100"/>
      <c r="B112" s="84" t="s">
        <v>39</v>
      </c>
      <c r="C112" s="83" t="s">
        <v>68</v>
      </c>
      <c r="D112" s="20"/>
      <c r="E112" s="20"/>
      <c r="F112" s="24"/>
      <c r="G112" s="23"/>
      <c r="H112" s="22">
        <f t="shared" si="159"/>
        <v>0</v>
      </c>
      <c r="I112" s="24"/>
      <c r="J112" s="23"/>
      <c r="K112" s="22">
        <f t="shared" si="160"/>
        <v>0</v>
      </c>
      <c r="L112" s="24"/>
      <c r="M112" s="23"/>
      <c r="N112" s="22">
        <f t="shared" si="161"/>
        <v>0</v>
      </c>
      <c r="O112" s="24">
        <f t="shared" si="180"/>
        <v>0</v>
      </c>
      <c r="P112" s="23">
        <f t="shared" si="180"/>
        <v>0</v>
      </c>
      <c r="Q112" s="22">
        <f t="shared" si="162"/>
        <v>0</v>
      </c>
      <c r="R112" s="24"/>
      <c r="S112" s="23"/>
      <c r="T112" s="22">
        <f t="shared" si="163"/>
        <v>0</v>
      </c>
      <c r="U112" s="24"/>
      <c r="V112" s="23"/>
      <c r="W112" s="22">
        <f t="shared" si="164"/>
        <v>0</v>
      </c>
      <c r="X112" s="24"/>
      <c r="Y112" s="23"/>
      <c r="Z112" s="22">
        <f t="shared" si="165"/>
        <v>0</v>
      </c>
      <c r="AA112" s="24">
        <f t="shared" si="181"/>
        <v>0</v>
      </c>
      <c r="AB112" s="23">
        <f t="shared" si="181"/>
        <v>0</v>
      </c>
      <c r="AC112" s="22">
        <f t="shared" si="166"/>
        <v>0</v>
      </c>
      <c r="AD112" s="24"/>
      <c r="AE112" s="23"/>
      <c r="AF112" s="22">
        <f t="shared" si="167"/>
        <v>0</v>
      </c>
      <c r="AG112" s="24"/>
      <c r="AH112" s="23"/>
      <c r="AI112" s="22">
        <f t="shared" si="168"/>
        <v>0</v>
      </c>
      <c r="AJ112" s="24"/>
      <c r="AK112" s="23"/>
      <c r="AL112" s="22">
        <f t="shared" si="169"/>
        <v>0</v>
      </c>
      <c r="AM112" s="24">
        <f t="shared" si="182"/>
        <v>0</v>
      </c>
      <c r="AN112" s="23">
        <f t="shared" si="182"/>
        <v>0</v>
      </c>
      <c r="AO112" s="22">
        <f t="shared" si="170"/>
        <v>0</v>
      </c>
      <c r="AP112" s="24"/>
      <c r="AQ112" s="23"/>
      <c r="AR112" s="22">
        <f t="shared" si="171"/>
        <v>0</v>
      </c>
      <c r="AS112" s="24"/>
      <c r="AT112" s="23"/>
      <c r="AU112" s="22">
        <f t="shared" si="172"/>
        <v>0</v>
      </c>
      <c r="AV112" s="24"/>
      <c r="AW112" s="23"/>
      <c r="AX112" s="22">
        <f t="shared" si="173"/>
        <v>0</v>
      </c>
      <c r="AY112" s="23">
        <f t="shared" si="183"/>
        <v>0</v>
      </c>
      <c r="AZ112" s="23">
        <f t="shared" si="183"/>
        <v>0</v>
      </c>
      <c r="BA112" s="22">
        <f t="shared" si="174"/>
        <v>0</v>
      </c>
      <c r="BB112" s="24">
        <f t="shared" si="184"/>
        <v>0</v>
      </c>
      <c r="BC112" s="23">
        <f t="shared" si="184"/>
        <v>0</v>
      </c>
      <c r="BD112" s="22">
        <f t="shared" si="175"/>
        <v>0</v>
      </c>
      <c r="BE112" s="24"/>
      <c r="BF112" s="24"/>
      <c r="BG112" s="20">
        <f t="shared" si="185"/>
        <v>0</v>
      </c>
    </row>
    <row r="113" spans="1:59" ht="13.5" hidden="1" customHeight="1" outlineLevel="1" x14ac:dyDescent="0.25">
      <c r="A113" s="100"/>
      <c r="B113" s="84" t="s">
        <v>40</v>
      </c>
      <c r="C113" s="83" t="s">
        <v>68</v>
      </c>
      <c r="D113" s="20"/>
      <c r="E113" s="20"/>
      <c r="F113" s="24"/>
      <c r="G113" s="23"/>
      <c r="H113" s="22">
        <f t="shared" si="159"/>
        <v>0</v>
      </c>
      <c r="I113" s="24"/>
      <c r="J113" s="23"/>
      <c r="K113" s="22">
        <f t="shared" si="160"/>
        <v>0</v>
      </c>
      <c r="L113" s="24"/>
      <c r="M113" s="23"/>
      <c r="N113" s="22">
        <f t="shared" si="161"/>
        <v>0</v>
      </c>
      <c r="O113" s="24">
        <f t="shared" si="180"/>
        <v>0</v>
      </c>
      <c r="P113" s="23">
        <f t="shared" si="180"/>
        <v>0</v>
      </c>
      <c r="Q113" s="22">
        <f t="shared" si="162"/>
        <v>0</v>
      </c>
      <c r="R113" s="24"/>
      <c r="S113" s="23"/>
      <c r="T113" s="22">
        <f t="shared" si="163"/>
        <v>0</v>
      </c>
      <c r="U113" s="24"/>
      <c r="V113" s="23"/>
      <c r="W113" s="22">
        <f t="shared" si="164"/>
        <v>0</v>
      </c>
      <c r="X113" s="24"/>
      <c r="Y113" s="23"/>
      <c r="Z113" s="22">
        <f t="shared" si="165"/>
        <v>0</v>
      </c>
      <c r="AA113" s="24">
        <f t="shared" si="181"/>
        <v>0</v>
      </c>
      <c r="AB113" s="23">
        <f t="shared" si="181"/>
        <v>0</v>
      </c>
      <c r="AC113" s="22">
        <f t="shared" si="166"/>
        <v>0</v>
      </c>
      <c r="AD113" s="24"/>
      <c r="AE113" s="23"/>
      <c r="AF113" s="22">
        <f t="shared" si="167"/>
        <v>0</v>
      </c>
      <c r="AG113" s="24"/>
      <c r="AH113" s="23"/>
      <c r="AI113" s="22">
        <f t="shared" si="168"/>
        <v>0</v>
      </c>
      <c r="AJ113" s="24"/>
      <c r="AK113" s="23"/>
      <c r="AL113" s="22">
        <f t="shared" si="169"/>
        <v>0</v>
      </c>
      <c r="AM113" s="24">
        <f t="shared" si="182"/>
        <v>0</v>
      </c>
      <c r="AN113" s="23">
        <f t="shared" si="182"/>
        <v>0</v>
      </c>
      <c r="AO113" s="22">
        <f t="shared" si="170"/>
        <v>0</v>
      </c>
      <c r="AP113" s="24"/>
      <c r="AQ113" s="23"/>
      <c r="AR113" s="22">
        <f t="shared" si="171"/>
        <v>0</v>
      </c>
      <c r="AS113" s="24"/>
      <c r="AT113" s="23"/>
      <c r="AU113" s="22">
        <f t="shared" si="172"/>
        <v>0</v>
      </c>
      <c r="AV113" s="24"/>
      <c r="AW113" s="23"/>
      <c r="AX113" s="22">
        <f t="shared" si="173"/>
        <v>0</v>
      </c>
      <c r="AY113" s="23">
        <f t="shared" si="183"/>
        <v>0</v>
      </c>
      <c r="AZ113" s="23">
        <f t="shared" si="183"/>
        <v>0</v>
      </c>
      <c r="BA113" s="22">
        <f t="shared" si="174"/>
        <v>0</v>
      </c>
      <c r="BB113" s="24">
        <f t="shared" si="184"/>
        <v>0</v>
      </c>
      <c r="BC113" s="23">
        <f t="shared" si="184"/>
        <v>0</v>
      </c>
      <c r="BD113" s="22">
        <f t="shared" si="175"/>
        <v>0</v>
      </c>
      <c r="BE113" s="24"/>
      <c r="BF113" s="24"/>
      <c r="BG113" s="20">
        <f t="shared" si="185"/>
        <v>0</v>
      </c>
    </row>
    <row r="114" spans="1:59" ht="13.5" hidden="1" customHeight="1" outlineLevel="1" x14ac:dyDescent="0.25">
      <c r="A114" s="100"/>
      <c r="B114" s="84" t="s">
        <v>41</v>
      </c>
      <c r="C114" s="83" t="s">
        <v>68</v>
      </c>
      <c r="D114" s="20"/>
      <c r="E114" s="20"/>
      <c r="F114" s="24"/>
      <c r="G114" s="23"/>
      <c r="H114" s="22">
        <f t="shared" si="159"/>
        <v>0</v>
      </c>
      <c r="I114" s="24"/>
      <c r="J114" s="23"/>
      <c r="K114" s="22">
        <f t="shared" si="160"/>
        <v>0</v>
      </c>
      <c r="L114" s="24"/>
      <c r="M114" s="23"/>
      <c r="N114" s="22">
        <f t="shared" si="161"/>
        <v>0</v>
      </c>
      <c r="O114" s="24">
        <f t="shared" si="180"/>
        <v>0</v>
      </c>
      <c r="P114" s="23">
        <f t="shared" si="180"/>
        <v>0</v>
      </c>
      <c r="Q114" s="22">
        <f t="shared" si="162"/>
        <v>0</v>
      </c>
      <c r="R114" s="24"/>
      <c r="S114" s="23"/>
      <c r="T114" s="22">
        <f t="shared" si="163"/>
        <v>0</v>
      </c>
      <c r="U114" s="24"/>
      <c r="V114" s="23"/>
      <c r="W114" s="22">
        <f t="shared" si="164"/>
        <v>0</v>
      </c>
      <c r="X114" s="24"/>
      <c r="Y114" s="23"/>
      <c r="Z114" s="22">
        <f t="shared" si="165"/>
        <v>0</v>
      </c>
      <c r="AA114" s="24">
        <f t="shared" si="181"/>
        <v>0</v>
      </c>
      <c r="AB114" s="23">
        <f t="shared" si="181"/>
        <v>0</v>
      </c>
      <c r="AC114" s="22">
        <f t="shared" si="166"/>
        <v>0</v>
      </c>
      <c r="AD114" s="24"/>
      <c r="AE114" s="23"/>
      <c r="AF114" s="22">
        <f t="shared" si="167"/>
        <v>0</v>
      </c>
      <c r="AG114" s="24"/>
      <c r="AH114" s="23"/>
      <c r="AI114" s="22">
        <f t="shared" si="168"/>
        <v>0</v>
      </c>
      <c r="AJ114" s="24"/>
      <c r="AK114" s="23"/>
      <c r="AL114" s="22">
        <f t="shared" si="169"/>
        <v>0</v>
      </c>
      <c r="AM114" s="24">
        <f t="shared" si="182"/>
        <v>0</v>
      </c>
      <c r="AN114" s="23">
        <f t="shared" si="182"/>
        <v>0</v>
      </c>
      <c r="AO114" s="22">
        <f t="shared" si="170"/>
        <v>0</v>
      </c>
      <c r="AP114" s="24"/>
      <c r="AQ114" s="23"/>
      <c r="AR114" s="22">
        <f t="shared" si="171"/>
        <v>0</v>
      </c>
      <c r="AS114" s="24"/>
      <c r="AT114" s="23"/>
      <c r="AU114" s="22">
        <f t="shared" si="172"/>
        <v>0</v>
      </c>
      <c r="AV114" s="24"/>
      <c r="AW114" s="23"/>
      <c r="AX114" s="22">
        <f t="shared" si="173"/>
        <v>0</v>
      </c>
      <c r="AY114" s="23">
        <f t="shared" si="183"/>
        <v>0</v>
      </c>
      <c r="AZ114" s="23">
        <f t="shared" si="183"/>
        <v>0</v>
      </c>
      <c r="BA114" s="22">
        <f t="shared" si="174"/>
        <v>0</v>
      </c>
      <c r="BB114" s="24">
        <f t="shared" si="184"/>
        <v>0</v>
      </c>
      <c r="BC114" s="23">
        <f t="shared" si="184"/>
        <v>0</v>
      </c>
      <c r="BD114" s="22">
        <f t="shared" si="175"/>
        <v>0</v>
      </c>
      <c r="BE114" s="24"/>
      <c r="BF114" s="24"/>
      <c r="BG114" s="20">
        <f t="shared" si="185"/>
        <v>0</v>
      </c>
    </row>
    <row r="115" spans="1:59" ht="13.5" hidden="1" customHeight="1" outlineLevel="1" x14ac:dyDescent="0.25">
      <c r="A115" s="28"/>
      <c r="B115" s="84" t="s">
        <v>42</v>
      </c>
      <c r="C115" s="83" t="s">
        <v>68</v>
      </c>
      <c r="D115" s="20"/>
      <c r="E115" s="20"/>
      <c r="F115" s="24"/>
      <c r="G115" s="23"/>
      <c r="H115" s="22">
        <f t="shared" si="159"/>
        <v>0</v>
      </c>
      <c r="I115" s="24"/>
      <c r="J115" s="23"/>
      <c r="K115" s="22">
        <f t="shared" si="160"/>
        <v>0</v>
      </c>
      <c r="L115" s="24"/>
      <c r="M115" s="23"/>
      <c r="N115" s="22">
        <f t="shared" si="161"/>
        <v>0</v>
      </c>
      <c r="O115" s="24">
        <f t="shared" si="180"/>
        <v>0</v>
      </c>
      <c r="P115" s="23">
        <f t="shared" si="180"/>
        <v>0</v>
      </c>
      <c r="Q115" s="22">
        <f t="shared" si="162"/>
        <v>0</v>
      </c>
      <c r="R115" s="24"/>
      <c r="S115" s="23"/>
      <c r="T115" s="22">
        <f t="shared" si="163"/>
        <v>0</v>
      </c>
      <c r="U115" s="24"/>
      <c r="V115" s="23"/>
      <c r="W115" s="22">
        <f t="shared" si="164"/>
        <v>0</v>
      </c>
      <c r="X115" s="24"/>
      <c r="Y115" s="23"/>
      <c r="Z115" s="22">
        <f t="shared" si="165"/>
        <v>0</v>
      </c>
      <c r="AA115" s="24">
        <f t="shared" si="181"/>
        <v>0</v>
      </c>
      <c r="AB115" s="23">
        <f t="shared" si="181"/>
        <v>0</v>
      </c>
      <c r="AC115" s="22">
        <f t="shared" si="166"/>
        <v>0</v>
      </c>
      <c r="AD115" s="24"/>
      <c r="AE115" s="23"/>
      <c r="AF115" s="22">
        <f t="shared" si="167"/>
        <v>0</v>
      </c>
      <c r="AG115" s="24"/>
      <c r="AH115" s="23"/>
      <c r="AI115" s="22">
        <f t="shared" si="168"/>
        <v>0</v>
      </c>
      <c r="AJ115" s="24"/>
      <c r="AK115" s="23"/>
      <c r="AL115" s="22">
        <f t="shared" si="169"/>
        <v>0</v>
      </c>
      <c r="AM115" s="24">
        <f t="shared" si="182"/>
        <v>0</v>
      </c>
      <c r="AN115" s="23">
        <f t="shared" si="182"/>
        <v>0</v>
      </c>
      <c r="AO115" s="22">
        <f t="shared" si="170"/>
        <v>0</v>
      </c>
      <c r="AP115" s="24"/>
      <c r="AQ115" s="23"/>
      <c r="AR115" s="22">
        <f t="shared" si="171"/>
        <v>0</v>
      </c>
      <c r="AS115" s="24"/>
      <c r="AT115" s="23"/>
      <c r="AU115" s="22">
        <f t="shared" si="172"/>
        <v>0</v>
      </c>
      <c r="AV115" s="24"/>
      <c r="AW115" s="23"/>
      <c r="AX115" s="22">
        <f t="shared" si="173"/>
        <v>0</v>
      </c>
      <c r="AY115" s="23">
        <f t="shared" si="183"/>
        <v>0</v>
      </c>
      <c r="AZ115" s="23">
        <f t="shared" si="183"/>
        <v>0</v>
      </c>
      <c r="BA115" s="22">
        <f t="shared" si="174"/>
        <v>0</v>
      </c>
      <c r="BB115" s="24">
        <f t="shared" si="184"/>
        <v>0</v>
      </c>
      <c r="BC115" s="23">
        <f t="shared" si="184"/>
        <v>0</v>
      </c>
      <c r="BD115" s="22">
        <f t="shared" si="175"/>
        <v>0</v>
      </c>
      <c r="BE115" s="24"/>
      <c r="BF115" s="24"/>
      <c r="BG115" s="20">
        <f t="shared" si="185"/>
        <v>0</v>
      </c>
    </row>
    <row r="116" spans="1:59" s="210" customFormat="1" ht="13.5" customHeight="1" collapsed="1" x14ac:dyDescent="0.25">
      <c r="A116" s="103"/>
      <c r="B116" s="102" t="s">
        <v>43</v>
      </c>
      <c r="C116" s="101" t="s">
        <v>68</v>
      </c>
      <c r="D116" s="188">
        <f>SUM(D117:D134)</f>
        <v>0</v>
      </c>
      <c r="E116" s="188">
        <f>SUM(E117:E134)</f>
        <v>0</v>
      </c>
      <c r="F116" s="191">
        <f>SUM(F117:F134)</f>
        <v>0</v>
      </c>
      <c r="G116" s="189">
        <f>SUM(G117:G134)</f>
        <v>0</v>
      </c>
      <c r="H116" s="190">
        <f t="shared" si="159"/>
        <v>0</v>
      </c>
      <c r="I116" s="191">
        <f>SUM(I117:I134)</f>
        <v>0</v>
      </c>
      <c r="J116" s="189">
        <f>SUM(J117:J134)</f>
        <v>0</v>
      </c>
      <c r="K116" s="190">
        <f t="shared" si="160"/>
        <v>0</v>
      </c>
      <c r="L116" s="191">
        <f>SUM(L117:L134)</f>
        <v>0</v>
      </c>
      <c r="M116" s="189">
        <f>SUM(M117:M134)</f>
        <v>0</v>
      </c>
      <c r="N116" s="190">
        <f t="shared" si="161"/>
        <v>0</v>
      </c>
      <c r="O116" s="191">
        <f>SUM(O117:O134)</f>
        <v>0</v>
      </c>
      <c r="P116" s="189">
        <f>SUM(P117:P134)</f>
        <v>0</v>
      </c>
      <c r="Q116" s="190">
        <f t="shared" si="162"/>
        <v>0</v>
      </c>
      <c r="R116" s="191">
        <f>SUM(R117:R134)</f>
        <v>0</v>
      </c>
      <c r="S116" s="189">
        <f>SUM(S117:S134)</f>
        <v>0</v>
      </c>
      <c r="T116" s="190">
        <f t="shared" si="163"/>
        <v>0</v>
      </c>
      <c r="U116" s="191">
        <f>SUM(U117:U134)</f>
        <v>0</v>
      </c>
      <c r="V116" s="189">
        <f>SUM(V117:V134)</f>
        <v>0</v>
      </c>
      <c r="W116" s="190">
        <f t="shared" si="164"/>
        <v>0</v>
      </c>
      <c r="X116" s="191">
        <f>SUM(X117:X134)</f>
        <v>0</v>
      </c>
      <c r="Y116" s="189">
        <f>SUM(Y117:Y134)</f>
        <v>0</v>
      </c>
      <c r="Z116" s="190">
        <f t="shared" si="165"/>
        <v>0</v>
      </c>
      <c r="AA116" s="191">
        <f>SUM(AA117:AA134)</f>
        <v>0</v>
      </c>
      <c r="AB116" s="189">
        <f>SUM(AB117:AB134)</f>
        <v>0</v>
      </c>
      <c r="AC116" s="190">
        <f t="shared" si="166"/>
        <v>0</v>
      </c>
      <c r="AD116" s="191">
        <f>SUM(AD117:AD134)</f>
        <v>0</v>
      </c>
      <c r="AE116" s="189">
        <f>SUM(AE117:AE134)</f>
        <v>0</v>
      </c>
      <c r="AF116" s="190">
        <f t="shared" si="167"/>
        <v>0</v>
      </c>
      <c r="AG116" s="191">
        <f>SUM(AG117:AG134)</f>
        <v>0</v>
      </c>
      <c r="AH116" s="189">
        <f>SUM(AH117:AH134)</f>
        <v>0</v>
      </c>
      <c r="AI116" s="190">
        <f t="shared" si="168"/>
        <v>0</v>
      </c>
      <c r="AJ116" s="191">
        <f>SUM(AJ117:AJ134)</f>
        <v>0</v>
      </c>
      <c r="AK116" s="189">
        <f>SUM(AK117:AK134)</f>
        <v>0</v>
      </c>
      <c r="AL116" s="190">
        <f t="shared" si="169"/>
        <v>0</v>
      </c>
      <c r="AM116" s="191">
        <f>SUM(AM117:AM134)</f>
        <v>0</v>
      </c>
      <c r="AN116" s="189">
        <f>SUM(AN117:AN134)</f>
        <v>0</v>
      </c>
      <c r="AO116" s="190">
        <f t="shared" si="170"/>
        <v>0</v>
      </c>
      <c r="AP116" s="191">
        <f>SUM(AP117:AP134)</f>
        <v>0</v>
      </c>
      <c r="AQ116" s="189">
        <f>SUM(AQ117:AQ134)</f>
        <v>0</v>
      </c>
      <c r="AR116" s="190">
        <f t="shared" si="171"/>
        <v>0</v>
      </c>
      <c r="AS116" s="191">
        <f>SUM(AS117:AS134)</f>
        <v>0</v>
      </c>
      <c r="AT116" s="189">
        <f>SUM(AT117:AT134)</f>
        <v>0</v>
      </c>
      <c r="AU116" s="190">
        <f t="shared" si="172"/>
        <v>0</v>
      </c>
      <c r="AV116" s="191">
        <f>SUM(AV117:AV134)</f>
        <v>0</v>
      </c>
      <c r="AW116" s="189">
        <f>SUM(AW117:AW134)</f>
        <v>0</v>
      </c>
      <c r="AX116" s="190">
        <f t="shared" si="173"/>
        <v>0</v>
      </c>
      <c r="AY116" s="189">
        <f>SUM(AY117:AY134)</f>
        <v>0</v>
      </c>
      <c r="AZ116" s="189">
        <f>SUM(AZ117:AZ134)</f>
        <v>0</v>
      </c>
      <c r="BA116" s="190">
        <f t="shared" si="174"/>
        <v>0</v>
      </c>
      <c r="BB116" s="191">
        <f>SUM(BB117:BB134)</f>
        <v>0</v>
      </c>
      <c r="BC116" s="189">
        <f>SUM(BC117:BC134)</f>
        <v>0</v>
      </c>
      <c r="BD116" s="190">
        <f t="shared" si="175"/>
        <v>0</v>
      </c>
      <c r="BE116" s="191">
        <f t="shared" ref="BE116:BF116" si="186">SUM(BE117:BE134)</f>
        <v>0</v>
      </c>
      <c r="BF116" s="191">
        <f t="shared" si="186"/>
        <v>0</v>
      </c>
      <c r="BG116" s="188">
        <f t="shared" ref="BG116" si="187">SUM(BG117:BG134)</f>
        <v>0</v>
      </c>
    </row>
    <row r="117" spans="1:59" ht="13.5" hidden="1" customHeight="1" outlineLevel="1" x14ac:dyDescent="0.25">
      <c r="A117" s="28"/>
      <c r="B117" s="84" t="s">
        <v>44</v>
      </c>
      <c r="C117" s="83" t="s">
        <v>68</v>
      </c>
      <c r="D117" s="20"/>
      <c r="E117" s="20"/>
      <c r="F117" s="24"/>
      <c r="G117" s="23"/>
      <c r="H117" s="22">
        <f t="shared" si="159"/>
        <v>0</v>
      </c>
      <c r="I117" s="24"/>
      <c r="J117" s="23"/>
      <c r="K117" s="22">
        <f t="shared" si="160"/>
        <v>0</v>
      </c>
      <c r="L117" s="24"/>
      <c r="M117" s="23"/>
      <c r="N117" s="22">
        <f t="shared" si="161"/>
        <v>0</v>
      </c>
      <c r="O117" s="24">
        <f t="shared" ref="O117:P132" si="188">SUM(F117,I117,L117)</f>
        <v>0</v>
      </c>
      <c r="P117" s="23">
        <f t="shared" si="188"/>
        <v>0</v>
      </c>
      <c r="Q117" s="22">
        <f t="shared" si="162"/>
        <v>0</v>
      </c>
      <c r="R117" s="24"/>
      <c r="S117" s="23"/>
      <c r="T117" s="22">
        <f t="shared" si="163"/>
        <v>0</v>
      </c>
      <c r="U117" s="24"/>
      <c r="V117" s="23"/>
      <c r="W117" s="22">
        <f t="shared" si="164"/>
        <v>0</v>
      </c>
      <c r="X117" s="24"/>
      <c r="Y117" s="23"/>
      <c r="Z117" s="22">
        <f t="shared" si="165"/>
        <v>0</v>
      </c>
      <c r="AA117" s="24">
        <f t="shared" ref="AA117:AB132" si="189">SUM(R117,U117,X117)</f>
        <v>0</v>
      </c>
      <c r="AB117" s="23">
        <f t="shared" si="189"/>
        <v>0</v>
      </c>
      <c r="AC117" s="22">
        <f t="shared" si="166"/>
        <v>0</v>
      </c>
      <c r="AD117" s="24"/>
      <c r="AE117" s="23"/>
      <c r="AF117" s="22">
        <f t="shared" si="167"/>
        <v>0</v>
      </c>
      <c r="AG117" s="24"/>
      <c r="AH117" s="23"/>
      <c r="AI117" s="22">
        <f t="shared" si="168"/>
        <v>0</v>
      </c>
      <c r="AJ117" s="24"/>
      <c r="AK117" s="23"/>
      <c r="AL117" s="22">
        <f t="shared" si="169"/>
        <v>0</v>
      </c>
      <c r="AM117" s="24">
        <f t="shared" ref="AM117:AN132" si="190">SUM(AD117,AG117,AJ117)</f>
        <v>0</v>
      </c>
      <c r="AN117" s="23">
        <f t="shared" si="190"/>
        <v>0</v>
      </c>
      <c r="AO117" s="22">
        <f t="shared" si="170"/>
        <v>0</v>
      </c>
      <c r="AP117" s="24"/>
      <c r="AQ117" s="23"/>
      <c r="AR117" s="22">
        <f t="shared" si="171"/>
        <v>0</v>
      </c>
      <c r="AS117" s="24"/>
      <c r="AT117" s="23"/>
      <c r="AU117" s="22">
        <f t="shared" si="172"/>
        <v>0</v>
      </c>
      <c r="AV117" s="24"/>
      <c r="AW117" s="23"/>
      <c r="AX117" s="22">
        <f t="shared" si="173"/>
        <v>0</v>
      </c>
      <c r="AY117" s="23">
        <f t="shared" ref="AY117:AZ132" si="191">SUM(AP117,AS117,AV117)</f>
        <v>0</v>
      </c>
      <c r="AZ117" s="23">
        <f t="shared" si="191"/>
        <v>0</v>
      </c>
      <c r="BA117" s="22">
        <f t="shared" si="174"/>
        <v>0</v>
      </c>
      <c r="BB117" s="24">
        <f t="shared" ref="BB117:BC132" si="192">SUM(F117,I117,L117,R117,U117,X117,AD117,AG117,AJ117,AP117,AS117,AV117)</f>
        <v>0</v>
      </c>
      <c r="BC117" s="23">
        <f t="shared" si="192"/>
        <v>0</v>
      </c>
      <c r="BD117" s="22">
        <f t="shared" si="175"/>
        <v>0</v>
      </c>
      <c r="BE117" s="24"/>
      <c r="BF117" s="24"/>
      <c r="BG117" s="20">
        <f>BB117+BE117+BF117</f>
        <v>0</v>
      </c>
    </row>
    <row r="118" spans="1:59" ht="13.5" hidden="1" customHeight="1" outlineLevel="1" x14ac:dyDescent="0.25">
      <c r="A118" s="28"/>
      <c r="B118" s="84" t="s">
        <v>45</v>
      </c>
      <c r="C118" s="83" t="s">
        <v>68</v>
      </c>
      <c r="D118" s="20"/>
      <c r="E118" s="20"/>
      <c r="F118" s="24"/>
      <c r="G118" s="23"/>
      <c r="H118" s="22">
        <f t="shared" si="159"/>
        <v>0</v>
      </c>
      <c r="I118" s="24"/>
      <c r="J118" s="23"/>
      <c r="K118" s="22">
        <f t="shared" si="160"/>
        <v>0</v>
      </c>
      <c r="L118" s="24"/>
      <c r="M118" s="23"/>
      <c r="N118" s="22">
        <f t="shared" si="161"/>
        <v>0</v>
      </c>
      <c r="O118" s="24">
        <f t="shared" si="188"/>
        <v>0</v>
      </c>
      <c r="P118" s="23">
        <f t="shared" si="188"/>
        <v>0</v>
      </c>
      <c r="Q118" s="22">
        <f t="shared" si="162"/>
        <v>0</v>
      </c>
      <c r="R118" s="24"/>
      <c r="S118" s="23"/>
      <c r="T118" s="22">
        <f t="shared" si="163"/>
        <v>0</v>
      </c>
      <c r="U118" s="24"/>
      <c r="V118" s="23"/>
      <c r="W118" s="22">
        <f t="shared" si="164"/>
        <v>0</v>
      </c>
      <c r="X118" s="24"/>
      <c r="Y118" s="23"/>
      <c r="Z118" s="22">
        <f t="shared" si="165"/>
        <v>0</v>
      </c>
      <c r="AA118" s="24">
        <f t="shared" si="189"/>
        <v>0</v>
      </c>
      <c r="AB118" s="23">
        <f t="shared" si="189"/>
        <v>0</v>
      </c>
      <c r="AC118" s="22">
        <f t="shared" si="166"/>
        <v>0</v>
      </c>
      <c r="AD118" s="24"/>
      <c r="AE118" s="23"/>
      <c r="AF118" s="22">
        <f t="shared" si="167"/>
        <v>0</v>
      </c>
      <c r="AG118" s="24"/>
      <c r="AH118" s="23"/>
      <c r="AI118" s="22">
        <f t="shared" si="168"/>
        <v>0</v>
      </c>
      <c r="AJ118" s="24"/>
      <c r="AK118" s="23"/>
      <c r="AL118" s="22">
        <f t="shared" si="169"/>
        <v>0</v>
      </c>
      <c r="AM118" s="24">
        <f t="shared" si="190"/>
        <v>0</v>
      </c>
      <c r="AN118" s="23">
        <f t="shared" si="190"/>
        <v>0</v>
      </c>
      <c r="AO118" s="22">
        <f t="shared" si="170"/>
        <v>0</v>
      </c>
      <c r="AP118" s="24"/>
      <c r="AQ118" s="23"/>
      <c r="AR118" s="22">
        <f t="shared" si="171"/>
        <v>0</v>
      </c>
      <c r="AS118" s="24"/>
      <c r="AT118" s="23"/>
      <c r="AU118" s="22">
        <f t="shared" si="172"/>
        <v>0</v>
      </c>
      <c r="AV118" s="24"/>
      <c r="AW118" s="23"/>
      <c r="AX118" s="22">
        <f t="shared" si="173"/>
        <v>0</v>
      </c>
      <c r="AY118" s="23">
        <f t="shared" si="191"/>
        <v>0</v>
      </c>
      <c r="AZ118" s="23">
        <f t="shared" si="191"/>
        <v>0</v>
      </c>
      <c r="BA118" s="22">
        <f t="shared" si="174"/>
        <v>0</v>
      </c>
      <c r="BB118" s="24">
        <f t="shared" si="192"/>
        <v>0</v>
      </c>
      <c r="BC118" s="23">
        <f t="shared" si="192"/>
        <v>0</v>
      </c>
      <c r="BD118" s="22">
        <f t="shared" si="175"/>
        <v>0</v>
      </c>
      <c r="BE118" s="24"/>
      <c r="BF118" s="24"/>
      <c r="BG118" s="20">
        <f t="shared" ref="BG118:BG134" si="193">BB118+BE118+BF118</f>
        <v>0</v>
      </c>
    </row>
    <row r="119" spans="1:59" ht="13.5" hidden="1" customHeight="1" outlineLevel="1" x14ac:dyDescent="0.25">
      <c r="A119" s="28"/>
      <c r="B119" s="84" t="s">
        <v>46</v>
      </c>
      <c r="C119" s="83" t="s">
        <v>68</v>
      </c>
      <c r="D119" s="20"/>
      <c r="E119" s="20"/>
      <c r="F119" s="24"/>
      <c r="G119" s="23"/>
      <c r="H119" s="22">
        <f t="shared" si="159"/>
        <v>0</v>
      </c>
      <c r="I119" s="24"/>
      <c r="J119" s="23"/>
      <c r="K119" s="22">
        <f t="shared" si="160"/>
        <v>0</v>
      </c>
      <c r="L119" s="24"/>
      <c r="M119" s="23"/>
      <c r="N119" s="22">
        <f t="shared" si="161"/>
        <v>0</v>
      </c>
      <c r="O119" s="24">
        <f t="shared" si="188"/>
        <v>0</v>
      </c>
      <c r="P119" s="23">
        <f t="shared" si="188"/>
        <v>0</v>
      </c>
      <c r="Q119" s="22">
        <f t="shared" si="162"/>
        <v>0</v>
      </c>
      <c r="R119" s="24"/>
      <c r="S119" s="23"/>
      <c r="T119" s="22">
        <f t="shared" si="163"/>
        <v>0</v>
      </c>
      <c r="U119" s="24"/>
      <c r="V119" s="23"/>
      <c r="W119" s="22">
        <f t="shared" si="164"/>
        <v>0</v>
      </c>
      <c r="X119" s="24"/>
      <c r="Y119" s="23"/>
      <c r="Z119" s="22">
        <f t="shared" si="165"/>
        <v>0</v>
      </c>
      <c r="AA119" s="24">
        <f t="shared" si="189"/>
        <v>0</v>
      </c>
      <c r="AB119" s="23">
        <f t="shared" si="189"/>
        <v>0</v>
      </c>
      <c r="AC119" s="22">
        <f t="shared" si="166"/>
        <v>0</v>
      </c>
      <c r="AD119" s="24"/>
      <c r="AE119" s="23"/>
      <c r="AF119" s="22">
        <f t="shared" si="167"/>
        <v>0</v>
      </c>
      <c r="AG119" s="24"/>
      <c r="AH119" s="23"/>
      <c r="AI119" s="22">
        <f t="shared" si="168"/>
        <v>0</v>
      </c>
      <c r="AJ119" s="24"/>
      <c r="AK119" s="23"/>
      <c r="AL119" s="22">
        <f t="shared" si="169"/>
        <v>0</v>
      </c>
      <c r="AM119" s="24">
        <f t="shared" si="190"/>
        <v>0</v>
      </c>
      <c r="AN119" s="23">
        <f t="shared" si="190"/>
        <v>0</v>
      </c>
      <c r="AO119" s="22">
        <f t="shared" si="170"/>
        <v>0</v>
      </c>
      <c r="AP119" s="24"/>
      <c r="AQ119" s="23"/>
      <c r="AR119" s="22">
        <f t="shared" si="171"/>
        <v>0</v>
      </c>
      <c r="AS119" s="24"/>
      <c r="AT119" s="23"/>
      <c r="AU119" s="22">
        <f t="shared" si="172"/>
        <v>0</v>
      </c>
      <c r="AV119" s="24"/>
      <c r="AW119" s="23"/>
      <c r="AX119" s="22">
        <f t="shared" si="173"/>
        <v>0</v>
      </c>
      <c r="AY119" s="23">
        <f t="shared" si="191"/>
        <v>0</v>
      </c>
      <c r="AZ119" s="23">
        <f t="shared" si="191"/>
        <v>0</v>
      </c>
      <c r="BA119" s="22">
        <f t="shared" si="174"/>
        <v>0</v>
      </c>
      <c r="BB119" s="24">
        <f t="shared" si="192"/>
        <v>0</v>
      </c>
      <c r="BC119" s="23">
        <f t="shared" si="192"/>
        <v>0</v>
      </c>
      <c r="BD119" s="22">
        <f t="shared" si="175"/>
        <v>0</v>
      </c>
      <c r="BE119" s="24"/>
      <c r="BF119" s="24"/>
      <c r="BG119" s="20">
        <f t="shared" si="193"/>
        <v>0</v>
      </c>
    </row>
    <row r="120" spans="1:59" ht="13.5" hidden="1" customHeight="1" outlineLevel="1" x14ac:dyDescent="0.25">
      <c r="A120" s="28"/>
      <c r="B120" s="84" t="s">
        <v>47</v>
      </c>
      <c r="C120" s="83" t="s">
        <v>68</v>
      </c>
      <c r="D120" s="20"/>
      <c r="E120" s="20"/>
      <c r="F120" s="24"/>
      <c r="G120" s="23"/>
      <c r="H120" s="22">
        <f t="shared" si="159"/>
        <v>0</v>
      </c>
      <c r="I120" s="24"/>
      <c r="J120" s="23"/>
      <c r="K120" s="22">
        <f t="shared" si="160"/>
        <v>0</v>
      </c>
      <c r="L120" s="24"/>
      <c r="M120" s="23"/>
      <c r="N120" s="22">
        <f t="shared" si="161"/>
        <v>0</v>
      </c>
      <c r="O120" s="24">
        <f t="shared" si="188"/>
        <v>0</v>
      </c>
      <c r="P120" s="23">
        <f t="shared" si="188"/>
        <v>0</v>
      </c>
      <c r="Q120" s="22">
        <f t="shared" si="162"/>
        <v>0</v>
      </c>
      <c r="R120" s="24"/>
      <c r="S120" s="23"/>
      <c r="T120" s="22">
        <f t="shared" si="163"/>
        <v>0</v>
      </c>
      <c r="U120" s="24"/>
      <c r="V120" s="23"/>
      <c r="W120" s="22">
        <f t="shared" si="164"/>
        <v>0</v>
      </c>
      <c r="X120" s="24"/>
      <c r="Y120" s="23"/>
      <c r="Z120" s="22">
        <f t="shared" si="165"/>
        <v>0</v>
      </c>
      <c r="AA120" s="24">
        <f t="shared" si="189"/>
        <v>0</v>
      </c>
      <c r="AB120" s="23">
        <f t="shared" si="189"/>
        <v>0</v>
      </c>
      <c r="AC120" s="22">
        <f t="shared" si="166"/>
        <v>0</v>
      </c>
      <c r="AD120" s="24"/>
      <c r="AE120" s="23"/>
      <c r="AF120" s="22">
        <f t="shared" si="167"/>
        <v>0</v>
      </c>
      <c r="AG120" s="24"/>
      <c r="AH120" s="23"/>
      <c r="AI120" s="22">
        <f t="shared" si="168"/>
        <v>0</v>
      </c>
      <c r="AJ120" s="24"/>
      <c r="AK120" s="23"/>
      <c r="AL120" s="22">
        <f t="shared" si="169"/>
        <v>0</v>
      </c>
      <c r="AM120" s="24">
        <f t="shared" si="190"/>
        <v>0</v>
      </c>
      <c r="AN120" s="23">
        <f t="shared" si="190"/>
        <v>0</v>
      </c>
      <c r="AO120" s="22">
        <f t="shared" si="170"/>
        <v>0</v>
      </c>
      <c r="AP120" s="24"/>
      <c r="AQ120" s="23"/>
      <c r="AR120" s="22">
        <f t="shared" si="171"/>
        <v>0</v>
      </c>
      <c r="AS120" s="24"/>
      <c r="AT120" s="23"/>
      <c r="AU120" s="22">
        <f t="shared" si="172"/>
        <v>0</v>
      </c>
      <c r="AV120" s="24"/>
      <c r="AW120" s="23"/>
      <c r="AX120" s="22">
        <f t="shared" si="173"/>
        <v>0</v>
      </c>
      <c r="AY120" s="23">
        <f t="shared" si="191"/>
        <v>0</v>
      </c>
      <c r="AZ120" s="23">
        <f t="shared" si="191"/>
        <v>0</v>
      </c>
      <c r="BA120" s="22">
        <f t="shared" si="174"/>
        <v>0</v>
      </c>
      <c r="BB120" s="24">
        <f t="shared" si="192"/>
        <v>0</v>
      </c>
      <c r="BC120" s="23">
        <f t="shared" si="192"/>
        <v>0</v>
      </c>
      <c r="BD120" s="22">
        <f t="shared" si="175"/>
        <v>0</v>
      </c>
      <c r="BE120" s="24"/>
      <c r="BF120" s="24"/>
      <c r="BG120" s="20">
        <f t="shared" si="193"/>
        <v>0</v>
      </c>
    </row>
    <row r="121" spans="1:59" ht="13.5" hidden="1" customHeight="1" outlineLevel="1" x14ac:dyDescent="0.25">
      <c r="A121" s="28"/>
      <c r="B121" s="84" t="s">
        <v>48</v>
      </c>
      <c r="C121" s="83" t="s">
        <v>68</v>
      </c>
      <c r="D121" s="20"/>
      <c r="E121" s="20"/>
      <c r="F121" s="24"/>
      <c r="G121" s="23"/>
      <c r="H121" s="22">
        <f t="shared" ref="H121:H136" si="194">G121-F121</f>
        <v>0</v>
      </c>
      <c r="I121" s="24"/>
      <c r="J121" s="23"/>
      <c r="K121" s="22">
        <f t="shared" ref="K121:K136" si="195">J121-I121</f>
        <v>0</v>
      </c>
      <c r="L121" s="24"/>
      <c r="M121" s="23"/>
      <c r="N121" s="22">
        <f t="shared" ref="N121:N136" si="196">M121-L121</f>
        <v>0</v>
      </c>
      <c r="O121" s="24">
        <f t="shared" si="188"/>
        <v>0</v>
      </c>
      <c r="P121" s="23">
        <f t="shared" si="188"/>
        <v>0</v>
      </c>
      <c r="Q121" s="22">
        <f t="shared" ref="Q121:Q136" si="197">P121-O121</f>
        <v>0</v>
      </c>
      <c r="R121" s="24"/>
      <c r="S121" s="23"/>
      <c r="T121" s="22">
        <f t="shared" ref="T121:T136" si="198">S121-R121</f>
        <v>0</v>
      </c>
      <c r="U121" s="24"/>
      <c r="V121" s="23"/>
      <c r="W121" s="22">
        <f t="shared" ref="W121:W136" si="199">V121-U121</f>
        <v>0</v>
      </c>
      <c r="X121" s="24"/>
      <c r="Y121" s="23"/>
      <c r="Z121" s="22">
        <f t="shared" ref="Z121:Z136" si="200">Y121-X121</f>
        <v>0</v>
      </c>
      <c r="AA121" s="24">
        <f t="shared" si="189"/>
        <v>0</v>
      </c>
      <c r="AB121" s="23">
        <f t="shared" si="189"/>
        <v>0</v>
      </c>
      <c r="AC121" s="22">
        <f t="shared" ref="AC121:AC136" si="201">AB121-AA121</f>
        <v>0</v>
      </c>
      <c r="AD121" s="24"/>
      <c r="AE121" s="23"/>
      <c r="AF121" s="22">
        <f t="shared" ref="AF121:AF136" si="202">AE121-AD121</f>
        <v>0</v>
      </c>
      <c r="AG121" s="24"/>
      <c r="AH121" s="23"/>
      <c r="AI121" s="22">
        <f t="shared" ref="AI121:AI136" si="203">AH121-AG121</f>
        <v>0</v>
      </c>
      <c r="AJ121" s="24"/>
      <c r="AK121" s="23"/>
      <c r="AL121" s="22">
        <f t="shared" ref="AL121:AL136" si="204">AK121-AJ121</f>
        <v>0</v>
      </c>
      <c r="AM121" s="24">
        <f t="shared" si="190"/>
        <v>0</v>
      </c>
      <c r="AN121" s="23">
        <f t="shared" si="190"/>
        <v>0</v>
      </c>
      <c r="AO121" s="22">
        <f t="shared" ref="AO121:AO136" si="205">AN121-AM121</f>
        <v>0</v>
      </c>
      <c r="AP121" s="24"/>
      <c r="AQ121" s="23"/>
      <c r="AR121" s="22">
        <f t="shared" ref="AR121:AR136" si="206">AQ121-AP121</f>
        <v>0</v>
      </c>
      <c r="AS121" s="24"/>
      <c r="AT121" s="23"/>
      <c r="AU121" s="22">
        <f t="shared" ref="AU121:AU136" si="207">AT121-AS121</f>
        <v>0</v>
      </c>
      <c r="AV121" s="24"/>
      <c r="AW121" s="23"/>
      <c r="AX121" s="22">
        <f t="shared" ref="AX121:AX136" si="208">AW121-AV121</f>
        <v>0</v>
      </c>
      <c r="AY121" s="23">
        <f t="shared" si="191"/>
        <v>0</v>
      </c>
      <c r="AZ121" s="23">
        <f t="shared" si="191"/>
        <v>0</v>
      </c>
      <c r="BA121" s="22">
        <f t="shared" ref="BA121:BA136" si="209">AZ121-AY121</f>
        <v>0</v>
      </c>
      <c r="BB121" s="24">
        <f t="shared" si="192"/>
        <v>0</v>
      </c>
      <c r="BC121" s="23">
        <f t="shared" si="192"/>
        <v>0</v>
      </c>
      <c r="BD121" s="22">
        <f t="shared" ref="BD121:BD136" si="210">BC121-BB121</f>
        <v>0</v>
      </c>
      <c r="BE121" s="24"/>
      <c r="BF121" s="24"/>
      <c r="BG121" s="20">
        <f t="shared" si="193"/>
        <v>0</v>
      </c>
    </row>
    <row r="122" spans="1:59" ht="13.5" hidden="1" customHeight="1" outlineLevel="1" x14ac:dyDescent="0.25">
      <c r="A122" s="28"/>
      <c r="B122" s="84" t="s">
        <v>49</v>
      </c>
      <c r="C122" s="83" t="s">
        <v>68</v>
      </c>
      <c r="D122" s="20"/>
      <c r="E122" s="20"/>
      <c r="F122" s="24"/>
      <c r="G122" s="23"/>
      <c r="H122" s="22">
        <f t="shared" si="194"/>
        <v>0</v>
      </c>
      <c r="I122" s="24"/>
      <c r="J122" s="23"/>
      <c r="K122" s="22">
        <f t="shared" si="195"/>
        <v>0</v>
      </c>
      <c r="L122" s="24"/>
      <c r="M122" s="23"/>
      <c r="N122" s="22">
        <f t="shared" si="196"/>
        <v>0</v>
      </c>
      <c r="O122" s="24">
        <f t="shared" si="188"/>
        <v>0</v>
      </c>
      <c r="P122" s="23">
        <f t="shared" si="188"/>
        <v>0</v>
      </c>
      <c r="Q122" s="22">
        <f t="shared" si="197"/>
        <v>0</v>
      </c>
      <c r="R122" s="24"/>
      <c r="S122" s="23"/>
      <c r="T122" s="22">
        <f t="shared" si="198"/>
        <v>0</v>
      </c>
      <c r="U122" s="24"/>
      <c r="V122" s="23"/>
      <c r="W122" s="22">
        <f t="shared" si="199"/>
        <v>0</v>
      </c>
      <c r="X122" s="24"/>
      <c r="Y122" s="23"/>
      <c r="Z122" s="22">
        <f t="shared" si="200"/>
        <v>0</v>
      </c>
      <c r="AA122" s="24">
        <f t="shared" si="189"/>
        <v>0</v>
      </c>
      <c r="AB122" s="23">
        <f t="shared" si="189"/>
        <v>0</v>
      </c>
      <c r="AC122" s="22">
        <f t="shared" si="201"/>
        <v>0</v>
      </c>
      <c r="AD122" s="24"/>
      <c r="AE122" s="23"/>
      <c r="AF122" s="22">
        <f t="shared" si="202"/>
        <v>0</v>
      </c>
      <c r="AG122" s="24"/>
      <c r="AH122" s="23"/>
      <c r="AI122" s="22">
        <f t="shared" si="203"/>
        <v>0</v>
      </c>
      <c r="AJ122" s="24"/>
      <c r="AK122" s="23"/>
      <c r="AL122" s="22">
        <f t="shared" si="204"/>
        <v>0</v>
      </c>
      <c r="AM122" s="24">
        <f t="shared" si="190"/>
        <v>0</v>
      </c>
      <c r="AN122" s="23">
        <f t="shared" si="190"/>
        <v>0</v>
      </c>
      <c r="AO122" s="22">
        <f t="shared" si="205"/>
        <v>0</v>
      </c>
      <c r="AP122" s="24"/>
      <c r="AQ122" s="23"/>
      <c r="AR122" s="22">
        <f t="shared" si="206"/>
        <v>0</v>
      </c>
      <c r="AS122" s="24"/>
      <c r="AT122" s="23"/>
      <c r="AU122" s="22">
        <f t="shared" si="207"/>
        <v>0</v>
      </c>
      <c r="AV122" s="24"/>
      <c r="AW122" s="23"/>
      <c r="AX122" s="22">
        <f t="shared" si="208"/>
        <v>0</v>
      </c>
      <c r="AY122" s="23">
        <f t="shared" si="191"/>
        <v>0</v>
      </c>
      <c r="AZ122" s="23">
        <f t="shared" si="191"/>
        <v>0</v>
      </c>
      <c r="BA122" s="22">
        <f t="shared" si="209"/>
        <v>0</v>
      </c>
      <c r="BB122" s="24">
        <f t="shared" si="192"/>
        <v>0</v>
      </c>
      <c r="BC122" s="23">
        <f t="shared" si="192"/>
        <v>0</v>
      </c>
      <c r="BD122" s="22">
        <f t="shared" si="210"/>
        <v>0</v>
      </c>
      <c r="BE122" s="24"/>
      <c r="BF122" s="24"/>
      <c r="BG122" s="20">
        <f t="shared" si="193"/>
        <v>0</v>
      </c>
    </row>
    <row r="123" spans="1:59" ht="13.5" hidden="1" customHeight="1" outlineLevel="1" x14ac:dyDescent="0.25">
      <c r="A123" s="28"/>
      <c r="B123" s="84" t="s">
        <v>50</v>
      </c>
      <c r="C123" s="83" t="s">
        <v>68</v>
      </c>
      <c r="D123" s="20"/>
      <c r="E123" s="20"/>
      <c r="F123" s="24"/>
      <c r="G123" s="23"/>
      <c r="H123" s="22">
        <f t="shared" si="194"/>
        <v>0</v>
      </c>
      <c r="I123" s="24"/>
      <c r="J123" s="23"/>
      <c r="K123" s="22">
        <f t="shared" si="195"/>
        <v>0</v>
      </c>
      <c r="L123" s="24"/>
      <c r="M123" s="23"/>
      <c r="N123" s="22">
        <f t="shared" si="196"/>
        <v>0</v>
      </c>
      <c r="O123" s="24">
        <f t="shared" si="188"/>
        <v>0</v>
      </c>
      <c r="P123" s="23">
        <f t="shared" si="188"/>
        <v>0</v>
      </c>
      <c r="Q123" s="22">
        <f t="shared" si="197"/>
        <v>0</v>
      </c>
      <c r="R123" s="24"/>
      <c r="S123" s="23"/>
      <c r="T123" s="22">
        <f t="shared" si="198"/>
        <v>0</v>
      </c>
      <c r="U123" s="24"/>
      <c r="V123" s="23"/>
      <c r="W123" s="22">
        <f t="shared" si="199"/>
        <v>0</v>
      </c>
      <c r="X123" s="24"/>
      <c r="Y123" s="23"/>
      <c r="Z123" s="22">
        <f t="shared" si="200"/>
        <v>0</v>
      </c>
      <c r="AA123" s="24">
        <f t="shared" si="189"/>
        <v>0</v>
      </c>
      <c r="AB123" s="23">
        <f t="shared" si="189"/>
        <v>0</v>
      </c>
      <c r="AC123" s="22">
        <f t="shared" si="201"/>
        <v>0</v>
      </c>
      <c r="AD123" s="24"/>
      <c r="AE123" s="23"/>
      <c r="AF123" s="22">
        <f t="shared" si="202"/>
        <v>0</v>
      </c>
      <c r="AG123" s="24"/>
      <c r="AH123" s="23"/>
      <c r="AI123" s="22">
        <f t="shared" si="203"/>
        <v>0</v>
      </c>
      <c r="AJ123" s="24"/>
      <c r="AK123" s="23"/>
      <c r="AL123" s="22">
        <f t="shared" si="204"/>
        <v>0</v>
      </c>
      <c r="AM123" s="24">
        <f t="shared" si="190"/>
        <v>0</v>
      </c>
      <c r="AN123" s="23">
        <f t="shared" si="190"/>
        <v>0</v>
      </c>
      <c r="AO123" s="22">
        <f t="shared" si="205"/>
        <v>0</v>
      </c>
      <c r="AP123" s="24"/>
      <c r="AQ123" s="23"/>
      <c r="AR123" s="22">
        <f t="shared" si="206"/>
        <v>0</v>
      </c>
      <c r="AS123" s="24"/>
      <c r="AT123" s="23"/>
      <c r="AU123" s="22">
        <f t="shared" si="207"/>
        <v>0</v>
      </c>
      <c r="AV123" s="24"/>
      <c r="AW123" s="23"/>
      <c r="AX123" s="22">
        <f t="shared" si="208"/>
        <v>0</v>
      </c>
      <c r="AY123" s="23">
        <f t="shared" si="191"/>
        <v>0</v>
      </c>
      <c r="AZ123" s="23">
        <f t="shared" si="191"/>
        <v>0</v>
      </c>
      <c r="BA123" s="22">
        <f t="shared" si="209"/>
        <v>0</v>
      </c>
      <c r="BB123" s="24">
        <f t="shared" si="192"/>
        <v>0</v>
      </c>
      <c r="BC123" s="23">
        <f t="shared" si="192"/>
        <v>0</v>
      </c>
      <c r="BD123" s="22">
        <f t="shared" si="210"/>
        <v>0</v>
      </c>
      <c r="BE123" s="24"/>
      <c r="BF123" s="24"/>
      <c r="BG123" s="20">
        <f t="shared" si="193"/>
        <v>0</v>
      </c>
    </row>
    <row r="124" spans="1:59" ht="13.5" hidden="1" customHeight="1" outlineLevel="1" x14ac:dyDescent="0.25">
      <c r="A124" s="28"/>
      <c r="B124" s="84" t="s">
        <v>51</v>
      </c>
      <c r="C124" s="83" t="s">
        <v>68</v>
      </c>
      <c r="D124" s="20"/>
      <c r="E124" s="20"/>
      <c r="F124" s="24"/>
      <c r="G124" s="23"/>
      <c r="H124" s="22">
        <f t="shared" si="194"/>
        <v>0</v>
      </c>
      <c r="I124" s="24"/>
      <c r="J124" s="23"/>
      <c r="K124" s="22">
        <f t="shared" si="195"/>
        <v>0</v>
      </c>
      <c r="L124" s="24"/>
      <c r="M124" s="23"/>
      <c r="N124" s="22">
        <f t="shared" si="196"/>
        <v>0</v>
      </c>
      <c r="O124" s="24">
        <f t="shared" si="188"/>
        <v>0</v>
      </c>
      <c r="P124" s="23">
        <f t="shared" si="188"/>
        <v>0</v>
      </c>
      <c r="Q124" s="22">
        <f t="shared" si="197"/>
        <v>0</v>
      </c>
      <c r="R124" s="24"/>
      <c r="S124" s="23"/>
      <c r="T124" s="22">
        <f t="shared" si="198"/>
        <v>0</v>
      </c>
      <c r="U124" s="24"/>
      <c r="V124" s="23"/>
      <c r="W124" s="22">
        <f t="shared" si="199"/>
        <v>0</v>
      </c>
      <c r="X124" s="24"/>
      <c r="Y124" s="23"/>
      <c r="Z124" s="22">
        <f t="shared" si="200"/>
        <v>0</v>
      </c>
      <c r="AA124" s="24">
        <f t="shared" si="189"/>
        <v>0</v>
      </c>
      <c r="AB124" s="23">
        <f t="shared" si="189"/>
        <v>0</v>
      </c>
      <c r="AC124" s="22">
        <f t="shared" si="201"/>
        <v>0</v>
      </c>
      <c r="AD124" s="24"/>
      <c r="AE124" s="23"/>
      <c r="AF124" s="22">
        <f t="shared" si="202"/>
        <v>0</v>
      </c>
      <c r="AG124" s="24"/>
      <c r="AH124" s="23"/>
      <c r="AI124" s="22">
        <f t="shared" si="203"/>
        <v>0</v>
      </c>
      <c r="AJ124" s="24"/>
      <c r="AK124" s="23"/>
      <c r="AL124" s="22">
        <f t="shared" si="204"/>
        <v>0</v>
      </c>
      <c r="AM124" s="24">
        <f t="shared" si="190"/>
        <v>0</v>
      </c>
      <c r="AN124" s="23">
        <f t="shared" si="190"/>
        <v>0</v>
      </c>
      <c r="AO124" s="22">
        <f t="shared" si="205"/>
        <v>0</v>
      </c>
      <c r="AP124" s="24"/>
      <c r="AQ124" s="23"/>
      <c r="AR124" s="22">
        <f t="shared" si="206"/>
        <v>0</v>
      </c>
      <c r="AS124" s="24"/>
      <c r="AT124" s="23"/>
      <c r="AU124" s="22">
        <f t="shared" si="207"/>
        <v>0</v>
      </c>
      <c r="AV124" s="24"/>
      <c r="AW124" s="23"/>
      <c r="AX124" s="22">
        <f t="shared" si="208"/>
        <v>0</v>
      </c>
      <c r="AY124" s="23">
        <f t="shared" si="191"/>
        <v>0</v>
      </c>
      <c r="AZ124" s="23">
        <f t="shared" si="191"/>
        <v>0</v>
      </c>
      <c r="BA124" s="22">
        <f t="shared" si="209"/>
        <v>0</v>
      </c>
      <c r="BB124" s="24">
        <f t="shared" si="192"/>
        <v>0</v>
      </c>
      <c r="BC124" s="23">
        <f t="shared" si="192"/>
        <v>0</v>
      </c>
      <c r="BD124" s="22">
        <f t="shared" si="210"/>
        <v>0</v>
      </c>
      <c r="BE124" s="24"/>
      <c r="BF124" s="24"/>
      <c r="BG124" s="20">
        <f t="shared" si="193"/>
        <v>0</v>
      </c>
    </row>
    <row r="125" spans="1:59" ht="13.5" hidden="1" customHeight="1" outlineLevel="1" x14ac:dyDescent="0.25">
      <c r="A125" s="28"/>
      <c r="B125" s="84" t="s">
        <v>52</v>
      </c>
      <c r="C125" s="83" t="s">
        <v>68</v>
      </c>
      <c r="D125" s="20"/>
      <c r="E125" s="20"/>
      <c r="F125" s="24"/>
      <c r="G125" s="23"/>
      <c r="H125" s="22">
        <f t="shared" si="194"/>
        <v>0</v>
      </c>
      <c r="I125" s="24"/>
      <c r="J125" s="23"/>
      <c r="K125" s="22">
        <f t="shared" si="195"/>
        <v>0</v>
      </c>
      <c r="L125" s="24"/>
      <c r="M125" s="23"/>
      <c r="N125" s="22">
        <f t="shared" si="196"/>
        <v>0</v>
      </c>
      <c r="O125" s="24">
        <f t="shared" si="188"/>
        <v>0</v>
      </c>
      <c r="P125" s="23">
        <f t="shared" si="188"/>
        <v>0</v>
      </c>
      <c r="Q125" s="22">
        <f t="shared" si="197"/>
        <v>0</v>
      </c>
      <c r="R125" s="24"/>
      <c r="S125" s="23"/>
      <c r="T125" s="22">
        <f t="shared" si="198"/>
        <v>0</v>
      </c>
      <c r="U125" s="24"/>
      <c r="V125" s="23"/>
      <c r="W125" s="22">
        <f t="shared" si="199"/>
        <v>0</v>
      </c>
      <c r="X125" s="24"/>
      <c r="Y125" s="23"/>
      <c r="Z125" s="22">
        <f t="shared" si="200"/>
        <v>0</v>
      </c>
      <c r="AA125" s="24">
        <f t="shared" si="189"/>
        <v>0</v>
      </c>
      <c r="AB125" s="23">
        <f t="shared" si="189"/>
        <v>0</v>
      </c>
      <c r="AC125" s="22">
        <f t="shared" si="201"/>
        <v>0</v>
      </c>
      <c r="AD125" s="24"/>
      <c r="AE125" s="23"/>
      <c r="AF125" s="22">
        <f t="shared" si="202"/>
        <v>0</v>
      </c>
      <c r="AG125" s="24"/>
      <c r="AH125" s="23"/>
      <c r="AI125" s="22">
        <f t="shared" si="203"/>
        <v>0</v>
      </c>
      <c r="AJ125" s="24"/>
      <c r="AK125" s="23"/>
      <c r="AL125" s="22">
        <f t="shared" si="204"/>
        <v>0</v>
      </c>
      <c r="AM125" s="24">
        <f t="shared" si="190"/>
        <v>0</v>
      </c>
      <c r="AN125" s="23">
        <f t="shared" si="190"/>
        <v>0</v>
      </c>
      <c r="AO125" s="22">
        <f t="shared" si="205"/>
        <v>0</v>
      </c>
      <c r="AP125" s="24"/>
      <c r="AQ125" s="23"/>
      <c r="AR125" s="22">
        <f t="shared" si="206"/>
        <v>0</v>
      </c>
      <c r="AS125" s="24"/>
      <c r="AT125" s="23"/>
      <c r="AU125" s="22">
        <f t="shared" si="207"/>
        <v>0</v>
      </c>
      <c r="AV125" s="24"/>
      <c r="AW125" s="23"/>
      <c r="AX125" s="22">
        <f t="shared" si="208"/>
        <v>0</v>
      </c>
      <c r="AY125" s="23">
        <f t="shared" si="191"/>
        <v>0</v>
      </c>
      <c r="AZ125" s="23">
        <f t="shared" si="191"/>
        <v>0</v>
      </c>
      <c r="BA125" s="22">
        <f t="shared" si="209"/>
        <v>0</v>
      </c>
      <c r="BB125" s="24">
        <f t="shared" si="192"/>
        <v>0</v>
      </c>
      <c r="BC125" s="23">
        <f t="shared" si="192"/>
        <v>0</v>
      </c>
      <c r="BD125" s="22">
        <f t="shared" si="210"/>
        <v>0</v>
      </c>
      <c r="BE125" s="24"/>
      <c r="BF125" s="24"/>
      <c r="BG125" s="20">
        <f t="shared" si="193"/>
        <v>0</v>
      </c>
    </row>
    <row r="126" spans="1:59" ht="13.5" hidden="1" customHeight="1" outlineLevel="1" x14ac:dyDescent="0.25">
      <c r="A126" s="28"/>
      <c r="B126" s="84" t="s">
        <v>53</v>
      </c>
      <c r="C126" s="83" t="s">
        <v>68</v>
      </c>
      <c r="D126" s="20"/>
      <c r="E126" s="20"/>
      <c r="F126" s="24"/>
      <c r="G126" s="23"/>
      <c r="H126" s="22">
        <f t="shared" si="194"/>
        <v>0</v>
      </c>
      <c r="I126" s="24"/>
      <c r="J126" s="23"/>
      <c r="K126" s="22">
        <f t="shared" si="195"/>
        <v>0</v>
      </c>
      <c r="L126" s="24"/>
      <c r="M126" s="23"/>
      <c r="N126" s="22">
        <f t="shared" si="196"/>
        <v>0</v>
      </c>
      <c r="O126" s="24">
        <f t="shared" si="188"/>
        <v>0</v>
      </c>
      <c r="P126" s="23">
        <f t="shared" si="188"/>
        <v>0</v>
      </c>
      <c r="Q126" s="22">
        <f t="shared" si="197"/>
        <v>0</v>
      </c>
      <c r="R126" s="24"/>
      <c r="S126" s="23"/>
      <c r="T126" s="22">
        <f t="shared" si="198"/>
        <v>0</v>
      </c>
      <c r="U126" s="24"/>
      <c r="V126" s="23"/>
      <c r="W126" s="22">
        <f t="shared" si="199"/>
        <v>0</v>
      </c>
      <c r="X126" s="24"/>
      <c r="Y126" s="23"/>
      <c r="Z126" s="22">
        <f t="shared" si="200"/>
        <v>0</v>
      </c>
      <c r="AA126" s="24">
        <f t="shared" si="189"/>
        <v>0</v>
      </c>
      <c r="AB126" s="23">
        <f t="shared" si="189"/>
        <v>0</v>
      </c>
      <c r="AC126" s="22">
        <f t="shared" si="201"/>
        <v>0</v>
      </c>
      <c r="AD126" s="24"/>
      <c r="AE126" s="23"/>
      <c r="AF126" s="22">
        <f t="shared" si="202"/>
        <v>0</v>
      </c>
      <c r="AG126" s="24"/>
      <c r="AH126" s="23"/>
      <c r="AI126" s="22">
        <f t="shared" si="203"/>
        <v>0</v>
      </c>
      <c r="AJ126" s="24"/>
      <c r="AK126" s="23"/>
      <c r="AL126" s="22">
        <f t="shared" si="204"/>
        <v>0</v>
      </c>
      <c r="AM126" s="24">
        <f t="shared" si="190"/>
        <v>0</v>
      </c>
      <c r="AN126" s="23">
        <f t="shared" si="190"/>
        <v>0</v>
      </c>
      <c r="AO126" s="22">
        <f t="shared" si="205"/>
        <v>0</v>
      </c>
      <c r="AP126" s="24"/>
      <c r="AQ126" s="23"/>
      <c r="AR126" s="22">
        <f t="shared" si="206"/>
        <v>0</v>
      </c>
      <c r="AS126" s="24"/>
      <c r="AT126" s="23"/>
      <c r="AU126" s="22">
        <f t="shared" si="207"/>
        <v>0</v>
      </c>
      <c r="AV126" s="24"/>
      <c r="AW126" s="23"/>
      <c r="AX126" s="22">
        <f t="shared" si="208"/>
        <v>0</v>
      </c>
      <c r="AY126" s="23">
        <f t="shared" si="191"/>
        <v>0</v>
      </c>
      <c r="AZ126" s="23">
        <f t="shared" si="191"/>
        <v>0</v>
      </c>
      <c r="BA126" s="22">
        <f t="shared" si="209"/>
        <v>0</v>
      </c>
      <c r="BB126" s="24">
        <f t="shared" si="192"/>
        <v>0</v>
      </c>
      <c r="BC126" s="23">
        <f t="shared" si="192"/>
        <v>0</v>
      </c>
      <c r="BD126" s="22">
        <f t="shared" si="210"/>
        <v>0</v>
      </c>
      <c r="BE126" s="24"/>
      <c r="BF126" s="24"/>
      <c r="BG126" s="20">
        <f t="shared" si="193"/>
        <v>0</v>
      </c>
    </row>
    <row r="127" spans="1:59" ht="13.5" hidden="1" customHeight="1" outlineLevel="1" x14ac:dyDescent="0.25">
      <c r="A127" s="28"/>
      <c r="B127" s="84" t="s">
        <v>54</v>
      </c>
      <c r="C127" s="83" t="s">
        <v>68</v>
      </c>
      <c r="D127" s="20"/>
      <c r="E127" s="20"/>
      <c r="F127" s="24"/>
      <c r="G127" s="23"/>
      <c r="H127" s="22">
        <f t="shared" si="194"/>
        <v>0</v>
      </c>
      <c r="I127" s="24"/>
      <c r="J127" s="23"/>
      <c r="K127" s="22">
        <f t="shared" si="195"/>
        <v>0</v>
      </c>
      <c r="L127" s="24"/>
      <c r="M127" s="23"/>
      <c r="N127" s="22">
        <f t="shared" si="196"/>
        <v>0</v>
      </c>
      <c r="O127" s="24">
        <f t="shared" si="188"/>
        <v>0</v>
      </c>
      <c r="P127" s="23">
        <f t="shared" si="188"/>
        <v>0</v>
      </c>
      <c r="Q127" s="22">
        <f t="shared" si="197"/>
        <v>0</v>
      </c>
      <c r="R127" s="24"/>
      <c r="S127" s="23"/>
      <c r="T127" s="22">
        <f t="shared" si="198"/>
        <v>0</v>
      </c>
      <c r="U127" s="24"/>
      <c r="V127" s="23"/>
      <c r="W127" s="22">
        <f t="shared" si="199"/>
        <v>0</v>
      </c>
      <c r="X127" s="24"/>
      <c r="Y127" s="23"/>
      <c r="Z127" s="22">
        <f t="shared" si="200"/>
        <v>0</v>
      </c>
      <c r="AA127" s="24">
        <f t="shared" si="189"/>
        <v>0</v>
      </c>
      <c r="AB127" s="23">
        <f t="shared" si="189"/>
        <v>0</v>
      </c>
      <c r="AC127" s="22">
        <f t="shared" si="201"/>
        <v>0</v>
      </c>
      <c r="AD127" s="24"/>
      <c r="AE127" s="23"/>
      <c r="AF127" s="22">
        <f t="shared" si="202"/>
        <v>0</v>
      </c>
      <c r="AG127" s="24"/>
      <c r="AH127" s="23"/>
      <c r="AI127" s="22">
        <f t="shared" si="203"/>
        <v>0</v>
      </c>
      <c r="AJ127" s="24"/>
      <c r="AK127" s="23"/>
      <c r="AL127" s="22">
        <f t="shared" si="204"/>
        <v>0</v>
      </c>
      <c r="AM127" s="24">
        <f t="shared" si="190"/>
        <v>0</v>
      </c>
      <c r="AN127" s="23">
        <f t="shared" si="190"/>
        <v>0</v>
      </c>
      <c r="AO127" s="22">
        <f t="shared" si="205"/>
        <v>0</v>
      </c>
      <c r="AP127" s="24"/>
      <c r="AQ127" s="23"/>
      <c r="AR127" s="22">
        <f t="shared" si="206"/>
        <v>0</v>
      </c>
      <c r="AS127" s="24"/>
      <c r="AT127" s="23"/>
      <c r="AU127" s="22">
        <f t="shared" si="207"/>
        <v>0</v>
      </c>
      <c r="AV127" s="24"/>
      <c r="AW127" s="23"/>
      <c r="AX127" s="22">
        <f t="shared" si="208"/>
        <v>0</v>
      </c>
      <c r="AY127" s="23">
        <f t="shared" si="191"/>
        <v>0</v>
      </c>
      <c r="AZ127" s="23">
        <f t="shared" si="191"/>
        <v>0</v>
      </c>
      <c r="BA127" s="22">
        <f t="shared" si="209"/>
        <v>0</v>
      </c>
      <c r="BB127" s="24">
        <f t="shared" si="192"/>
        <v>0</v>
      </c>
      <c r="BC127" s="23">
        <f t="shared" si="192"/>
        <v>0</v>
      </c>
      <c r="BD127" s="22">
        <f t="shared" si="210"/>
        <v>0</v>
      </c>
      <c r="BE127" s="24"/>
      <c r="BF127" s="24"/>
      <c r="BG127" s="20">
        <f t="shared" si="193"/>
        <v>0</v>
      </c>
    </row>
    <row r="128" spans="1:59" ht="13.5" hidden="1" customHeight="1" outlineLevel="1" x14ac:dyDescent="0.25">
      <c r="A128" s="82"/>
      <c r="B128" s="84" t="s">
        <v>55</v>
      </c>
      <c r="C128" s="80" t="s">
        <v>68</v>
      </c>
      <c r="D128" s="20"/>
      <c r="E128" s="20"/>
      <c r="F128" s="24"/>
      <c r="G128" s="23"/>
      <c r="H128" s="22">
        <f t="shared" si="194"/>
        <v>0</v>
      </c>
      <c r="I128" s="24"/>
      <c r="J128" s="23"/>
      <c r="K128" s="22">
        <f t="shared" si="195"/>
        <v>0</v>
      </c>
      <c r="L128" s="24"/>
      <c r="M128" s="23"/>
      <c r="N128" s="22">
        <f t="shared" si="196"/>
        <v>0</v>
      </c>
      <c r="O128" s="24">
        <f t="shared" si="188"/>
        <v>0</v>
      </c>
      <c r="P128" s="23">
        <f t="shared" si="188"/>
        <v>0</v>
      </c>
      <c r="Q128" s="22">
        <f t="shared" si="197"/>
        <v>0</v>
      </c>
      <c r="R128" s="24"/>
      <c r="S128" s="23"/>
      <c r="T128" s="22">
        <f t="shared" si="198"/>
        <v>0</v>
      </c>
      <c r="U128" s="24"/>
      <c r="V128" s="23"/>
      <c r="W128" s="22">
        <f t="shared" si="199"/>
        <v>0</v>
      </c>
      <c r="X128" s="24"/>
      <c r="Y128" s="23"/>
      <c r="Z128" s="22">
        <f t="shared" si="200"/>
        <v>0</v>
      </c>
      <c r="AA128" s="24">
        <f t="shared" si="189"/>
        <v>0</v>
      </c>
      <c r="AB128" s="23">
        <f t="shared" si="189"/>
        <v>0</v>
      </c>
      <c r="AC128" s="22">
        <f t="shared" si="201"/>
        <v>0</v>
      </c>
      <c r="AD128" s="24"/>
      <c r="AE128" s="23"/>
      <c r="AF128" s="22">
        <f t="shared" si="202"/>
        <v>0</v>
      </c>
      <c r="AG128" s="24"/>
      <c r="AH128" s="23"/>
      <c r="AI128" s="22">
        <f t="shared" si="203"/>
        <v>0</v>
      </c>
      <c r="AJ128" s="24"/>
      <c r="AK128" s="23"/>
      <c r="AL128" s="22">
        <f t="shared" si="204"/>
        <v>0</v>
      </c>
      <c r="AM128" s="24">
        <f t="shared" si="190"/>
        <v>0</v>
      </c>
      <c r="AN128" s="23">
        <f t="shared" si="190"/>
        <v>0</v>
      </c>
      <c r="AO128" s="22">
        <f t="shared" si="205"/>
        <v>0</v>
      </c>
      <c r="AP128" s="24"/>
      <c r="AQ128" s="23"/>
      <c r="AR128" s="22">
        <f t="shared" si="206"/>
        <v>0</v>
      </c>
      <c r="AS128" s="24"/>
      <c r="AT128" s="23"/>
      <c r="AU128" s="22">
        <f t="shared" si="207"/>
        <v>0</v>
      </c>
      <c r="AV128" s="24"/>
      <c r="AW128" s="23"/>
      <c r="AX128" s="22">
        <f t="shared" si="208"/>
        <v>0</v>
      </c>
      <c r="AY128" s="23">
        <f t="shared" si="191"/>
        <v>0</v>
      </c>
      <c r="AZ128" s="23">
        <f t="shared" si="191"/>
        <v>0</v>
      </c>
      <c r="BA128" s="22">
        <f t="shared" si="209"/>
        <v>0</v>
      </c>
      <c r="BB128" s="24">
        <f t="shared" si="192"/>
        <v>0</v>
      </c>
      <c r="BC128" s="23">
        <f t="shared" si="192"/>
        <v>0</v>
      </c>
      <c r="BD128" s="22">
        <f t="shared" si="210"/>
        <v>0</v>
      </c>
      <c r="BE128" s="24"/>
      <c r="BF128" s="24"/>
      <c r="BG128" s="20">
        <f t="shared" si="193"/>
        <v>0</v>
      </c>
    </row>
    <row r="129" spans="1:59" ht="13.5" hidden="1" customHeight="1" outlineLevel="1" x14ac:dyDescent="0.25">
      <c r="A129" s="82"/>
      <c r="B129" s="99" t="s">
        <v>56</v>
      </c>
      <c r="C129" s="80" t="s">
        <v>68</v>
      </c>
      <c r="D129" s="20"/>
      <c r="E129" s="20"/>
      <c r="F129" s="24"/>
      <c r="G129" s="23"/>
      <c r="H129" s="22">
        <f t="shared" si="194"/>
        <v>0</v>
      </c>
      <c r="I129" s="24"/>
      <c r="J129" s="23"/>
      <c r="K129" s="22">
        <f t="shared" si="195"/>
        <v>0</v>
      </c>
      <c r="L129" s="24"/>
      <c r="M129" s="23"/>
      <c r="N129" s="22">
        <f t="shared" si="196"/>
        <v>0</v>
      </c>
      <c r="O129" s="24">
        <f t="shared" si="188"/>
        <v>0</v>
      </c>
      <c r="P129" s="23">
        <f t="shared" si="188"/>
        <v>0</v>
      </c>
      <c r="Q129" s="22">
        <f t="shared" si="197"/>
        <v>0</v>
      </c>
      <c r="R129" s="24"/>
      <c r="S129" s="23"/>
      <c r="T129" s="22">
        <f t="shared" si="198"/>
        <v>0</v>
      </c>
      <c r="U129" s="24"/>
      <c r="V129" s="23"/>
      <c r="W129" s="22">
        <f t="shared" si="199"/>
        <v>0</v>
      </c>
      <c r="X129" s="24"/>
      <c r="Y129" s="23"/>
      <c r="Z129" s="22">
        <f t="shared" si="200"/>
        <v>0</v>
      </c>
      <c r="AA129" s="24">
        <f t="shared" si="189"/>
        <v>0</v>
      </c>
      <c r="AB129" s="23">
        <f t="shared" si="189"/>
        <v>0</v>
      </c>
      <c r="AC129" s="22">
        <f t="shared" si="201"/>
        <v>0</v>
      </c>
      <c r="AD129" s="24"/>
      <c r="AE129" s="23"/>
      <c r="AF129" s="22">
        <f t="shared" si="202"/>
        <v>0</v>
      </c>
      <c r="AG129" s="24"/>
      <c r="AH129" s="23"/>
      <c r="AI129" s="22">
        <f t="shared" si="203"/>
        <v>0</v>
      </c>
      <c r="AJ129" s="24"/>
      <c r="AK129" s="23"/>
      <c r="AL129" s="22">
        <f t="shared" si="204"/>
        <v>0</v>
      </c>
      <c r="AM129" s="24">
        <f t="shared" si="190"/>
        <v>0</v>
      </c>
      <c r="AN129" s="23">
        <f t="shared" si="190"/>
        <v>0</v>
      </c>
      <c r="AO129" s="22">
        <f t="shared" si="205"/>
        <v>0</v>
      </c>
      <c r="AP129" s="24"/>
      <c r="AQ129" s="23"/>
      <c r="AR129" s="22">
        <f t="shared" si="206"/>
        <v>0</v>
      </c>
      <c r="AS129" s="24"/>
      <c r="AT129" s="23"/>
      <c r="AU129" s="22">
        <f t="shared" si="207"/>
        <v>0</v>
      </c>
      <c r="AV129" s="24"/>
      <c r="AW129" s="23"/>
      <c r="AX129" s="22">
        <f t="shared" si="208"/>
        <v>0</v>
      </c>
      <c r="AY129" s="23">
        <f t="shared" si="191"/>
        <v>0</v>
      </c>
      <c r="AZ129" s="23">
        <f t="shared" si="191"/>
        <v>0</v>
      </c>
      <c r="BA129" s="22">
        <f t="shared" si="209"/>
        <v>0</v>
      </c>
      <c r="BB129" s="24">
        <f t="shared" si="192"/>
        <v>0</v>
      </c>
      <c r="BC129" s="23">
        <f t="shared" si="192"/>
        <v>0</v>
      </c>
      <c r="BD129" s="22">
        <f t="shared" si="210"/>
        <v>0</v>
      </c>
      <c r="BE129" s="24"/>
      <c r="BF129" s="24"/>
      <c r="BG129" s="20">
        <f t="shared" si="193"/>
        <v>0</v>
      </c>
    </row>
    <row r="130" spans="1:59" ht="13.5" hidden="1" customHeight="1" outlineLevel="1" x14ac:dyDescent="0.25">
      <c r="A130" s="82"/>
      <c r="B130" s="84" t="s">
        <v>57</v>
      </c>
      <c r="C130" s="80" t="s">
        <v>68</v>
      </c>
      <c r="D130" s="20"/>
      <c r="E130" s="20"/>
      <c r="F130" s="24"/>
      <c r="G130" s="23"/>
      <c r="H130" s="22">
        <f t="shared" si="194"/>
        <v>0</v>
      </c>
      <c r="I130" s="24"/>
      <c r="J130" s="23"/>
      <c r="K130" s="22">
        <f t="shared" si="195"/>
        <v>0</v>
      </c>
      <c r="L130" s="24"/>
      <c r="M130" s="23"/>
      <c r="N130" s="22">
        <f t="shared" si="196"/>
        <v>0</v>
      </c>
      <c r="O130" s="24">
        <f t="shared" si="188"/>
        <v>0</v>
      </c>
      <c r="P130" s="23">
        <f t="shared" si="188"/>
        <v>0</v>
      </c>
      <c r="Q130" s="22">
        <f t="shared" si="197"/>
        <v>0</v>
      </c>
      <c r="R130" s="24"/>
      <c r="S130" s="23"/>
      <c r="T130" s="22">
        <f t="shared" si="198"/>
        <v>0</v>
      </c>
      <c r="U130" s="24"/>
      <c r="V130" s="23"/>
      <c r="W130" s="22">
        <f t="shared" si="199"/>
        <v>0</v>
      </c>
      <c r="X130" s="24"/>
      <c r="Y130" s="23"/>
      <c r="Z130" s="22">
        <f t="shared" si="200"/>
        <v>0</v>
      </c>
      <c r="AA130" s="24">
        <f t="shared" si="189"/>
        <v>0</v>
      </c>
      <c r="AB130" s="23">
        <f t="shared" si="189"/>
        <v>0</v>
      </c>
      <c r="AC130" s="22">
        <f t="shared" si="201"/>
        <v>0</v>
      </c>
      <c r="AD130" s="24"/>
      <c r="AE130" s="23"/>
      <c r="AF130" s="22">
        <f t="shared" si="202"/>
        <v>0</v>
      </c>
      <c r="AG130" s="24"/>
      <c r="AH130" s="23"/>
      <c r="AI130" s="22">
        <f t="shared" si="203"/>
        <v>0</v>
      </c>
      <c r="AJ130" s="24"/>
      <c r="AK130" s="23"/>
      <c r="AL130" s="22">
        <f t="shared" si="204"/>
        <v>0</v>
      </c>
      <c r="AM130" s="24">
        <f t="shared" si="190"/>
        <v>0</v>
      </c>
      <c r="AN130" s="23">
        <f t="shared" si="190"/>
        <v>0</v>
      </c>
      <c r="AO130" s="22">
        <f t="shared" si="205"/>
        <v>0</v>
      </c>
      <c r="AP130" s="24"/>
      <c r="AQ130" s="23"/>
      <c r="AR130" s="22">
        <f t="shared" si="206"/>
        <v>0</v>
      </c>
      <c r="AS130" s="24"/>
      <c r="AT130" s="23"/>
      <c r="AU130" s="22">
        <f t="shared" si="207"/>
        <v>0</v>
      </c>
      <c r="AV130" s="24"/>
      <c r="AW130" s="23"/>
      <c r="AX130" s="22">
        <f t="shared" si="208"/>
        <v>0</v>
      </c>
      <c r="AY130" s="23">
        <f t="shared" si="191"/>
        <v>0</v>
      </c>
      <c r="AZ130" s="23">
        <f t="shared" si="191"/>
        <v>0</v>
      </c>
      <c r="BA130" s="22">
        <f t="shared" si="209"/>
        <v>0</v>
      </c>
      <c r="BB130" s="24">
        <f t="shared" si="192"/>
        <v>0</v>
      </c>
      <c r="BC130" s="23">
        <f t="shared" si="192"/>
        <v>0</v>
      </c>
      <c r="BD130" s="22">
        <f t="shared" si="210"/>
        <v>0</v>
      </c>
      <c r="BE130" s="24"/>
      <c r="BF130" s="24"/>
      <c r="BG130" s="20">
        <f t="shared" si="193"/>
        <v>0</v>
      </c>
    </row>
    <row r="131" spans="1:59" ht="13.5" hidden="1" customHeight="1" outlineLevel="1" x14ac:dyDescent="0.25">
      <c r="A131" s="82"/>
      <c r="B131" s="99" t="s">
        <v>58</v>
      </c>
      <c r="C131" s="80" t="s">
        <v>68</v>
      </c>
      <c r="D131" s="157"/>
      <c r="E131" s="157"/>
      <c r="F131" s="115"/>
      <c r="G131" s="107"/>
      <c r="H131" s="108">
        <f t="shared" si="194"/>
        <v>0</v>
      </c>
      <c r="I131" s="115"/>
      <c r="J131" s="107"/>
      <c r="K131" s="108">
        <f t="shared" si="195"/>
        <v>0</v>
      </c>
      <c r="L131" s="115"/>
      <c r="M131" s="107"/>
      <c r="N131" s="108">
        <f t="shared" si="196"/>
        <v>0</v>
      </c>
      <c r="O131" s="115">
        <f t="shared" si="188"/>
        <v>0</v>
      </c>
      <c r="P131" s="107">
        <f t="shared" si="188"/>
        <v>0</v>
      </c>
      <c r="Q131" s="108">
        <f t="shared" si="197"/>
        <v>0</v>
      </c>
      <c r="R131" s="115"/>
      <c r="S131" s="107"/>
      <c r="T131" s="108">
        <f t="shared" si="198"/>
        <v>0</v>
      </c>
      <c r="U131" s="115"/>
      <c r="V131" s="107"/>
      <c r="W131" s="108">
        <f t="shared" si="199"/>
        <v>0</v>
      </c>
      <c r="X131" s="115"/>
      <c r="Y131" s="107"/>
      <c r="Z131" s="108">
        <f t="shared" si="200"/>
        <v>0</v>
      </c>
      <c r="AA131" s="115">
        <f t="shared" si="189"/>
        <v>0</v>
      </c>
      <c r="AB131" s="107">
        <f t="shared" si="189"/>
        <v>0</v>
      </c>
      <c r="AC131" s="108">
        <f t="shared" si="201"/>
        <v>0</v>
      </c>
      <c r="AD131" s="115"/>
      <c r="AE131" s="107"/>
      <c r="AF131" s="108">
        <f t="shared" si="202"/>
        <v>0</v>
      </c>
      <c r="AG131" s="115"/>
      <c r="AH131" s="107"/>
      <c r="AI131" s="108">
        <f t="shared" si="203"/>
        <v>0</v>
      </c>
      <c r="AJ131" s="115"/>
      <c r="AK131" s="107"/>
      <c r="AL131" s="108">
        <f t="shared" si="204"/>
        <v>0</v>
      </c>
      <c r="AM131" s="115">
        <f t="shared" si="190"/>
        <v>0</v>
      </c>
      <c r="AN131" s="107">
        <f t="shared" si="190"/>
        <v>0</v>
      </c>
      <c r="AO131" s="108">
        <f t="shared" si="205"/>
        <v>0</v>
      </c>
      <c r="AP131" s="115"/>
      <c r="AQ131" s="107"/>
      <c r="AR131" s="108">
        <f t="shared" si="206"/>
        <v>0</v>
      </c>
      <c r="AS131" s="115"/>
      <c r="AT131" s="107"/>
      <c r="AU131" s="108">
        <f t="shared" si="207"/>
        <v>0</v>
      </c>
      <c r="AV131" s="115"/>
      <c r="AW131" s="107"/>
      <c r="AX131" s="108">
        <f t="shared" si="208"/>
        <v>0</v>
      </c>
      <c r="AY131" s="107">
        <f t="shared" si="191"/>
        <v>0</v>
      </c>
      <c r="AZ131" s="107">
        <f t="shared" si="191"/>
        <v>0</v>
      </c>
      <c r="BA131" s="108">
        <f t="shared" si="209"/>
        <v>0</v>
      </c>
      <c r="BB131" s="115">
        <f t="shared" si="192"/>
        <v>0</v>
      </c>
      <c r="BC131" s="107">
        <f t="shared" si="192"/>
        <v>0</v>
      </c>
      <c r="BD131" s="108">
        <f t="shared" si="210"/>
        <v>0</v>
      </c>
      <c r="BE131" s="115"/>
      <c r="BF131" s="115"/>
      <c r="BG131" s="20">
        <f t="shared" si="193"/>
        <v>0</v>
      </c>
    </row>
    <row r="132" spans="1:59" ht="13.5" hidden="1" customHeight="1" outlineLevel="1" x14ac:dyDescent="0.25">
      <c r="A132" s="82"/>
      <c r="B132" s="84" t="s">
        <v>59</v>
      </c>
      <c r="C132" s="80" t="s">
        <v>68</v>
      </c>
      <c r="D132" s="157"/>
      <c r="E132" s="157"/>
      <c r="F132" s="115"/>
      <c r="G132" s="107"/>
      <c r="H132" s="108">
        <f t="shared" si="194"/>
        <v>0</v>
      </c>
      <c r="I132" s="115"/>
      <c r="J132" s="107"/>
      <c r="K132" s="108">
        <f t="shared" si="195"/>
        <v>0</v>
      </c>
      <c r="L132" s="115"/>
      <c r="M132" s="107"/>
      <c r="N132" s="108">
        <f t="shared" si="196"/>
        <v>0</v>
      </c>
      <c r="O132" s="115">
        <f t="shared" si="188"/>
        <v>0</v>
      </c>
      <c r="P132" s="107">
        <f t="shared" si="188"/>
        <v>0</v>
      </c>
      <c r="Q132" s="108">
        <f t="shared" si="197"/>
        <v>0</v>
      </c>
      <c r="R132" s="115"/>
      <c r="S132" s="107"/>
      <c r="T132" s="108">
        <f t="shared" si="198"/>
        <v>0</v>
      </c>
      <c r="U132" s="115"/>
      <c r="V132" s="107"/>
      <c r="W132" s="108">
        <f t="shared" si="199"/>
        <v>0</v>
      </c>
      <c r="X132" s="115"/>
      <c r="Y132" s="107"/>
      <c r="Z132" s="108">
        <f t="shared" si="200"/>
        <v>0</v>
      </c>
      <c r="AA132" s="115">
        <f t="shared" si="189"/>
        <v>0</v>
      </c>
      <c r="AB132" s="107">
        <f t="shared" si="189"/>
        <v>0</v>
      </c>
      <c r="AC132" s="108">
        <f t="shared" si="201"/>
        <v>0</v>
      </c>
      <c r="AD132" s="115"/>
      <c r="AE132" s="107"/>
      <c r="AF132" s="108">
        <f t="shared" si="202"/>
        <v>0</v>
      </c>
      <c r="AG132" s="115"/>
      <c r="AH132" s="107"/>
      <c r="AI132" s="108">
        <f t="shared" si="203"/>
        <v>0</v>
      </c>
      <c r="AJ132" s="115"/>
      <c r="AK132" s="107"/>
      <c r="AL132" s="108">
        <f t="shared" si="204"/>
        <v>0</v>
      </c>
      <c r="AM132" s="115">
        <f t="shared" si="190"/>
        <v>0</v>
      </c>
      <c r="AN132" s="107">
        <f t="shared" si="190"/>
        <v>0</v>
      </c>
      <c r="AO132" s="108">
        <f t="shared" si="205"/>
        <v>0</v>
      </c>
      <c r="AP132" s="115"/>
      <c r="AQ132" s="107"/>
      <c r="AR132" s="108">
        <f t="shared" si="206"/>
        <v>0</v>
      </c>
      <c r="AS132" s="115"/>
      <c r="AT132" s="107"/>
      <c r="AU132" s="108">
        <f t="shared" si="207"/>
        <v>0</v>
      </c>
      <c r="AV132" s="115"/>
      <c r="AW132" s="107"/>
      <c r="AX132" s="108">
        <f t="shared" si="208"/>
        <v>0</v>
      </c>
      <c r="AY132" s="107">
        <f t="shared" si="191"/>
        <v>0</v>
      </c>
      <c r="AZ132" s="107">
        <f t="shared" si="191"/>
        <v>0</v>
      </c>
      <c r="BA132" s="108">
        <f t="shared" si="209"/>
        <v>0</v>
      </c>
      <c r="BB132" s="115">
        <f t="shared" si="192"/>
        <v>0</v>
      </c>
      <c r="BC132" s="107">
        <f t="shared" si="192"/>
        <v>0</v>
      </c>
      <c r="BD132" s="108">
        <f t="shared" si="210"/>
        <v>0</v>
      </c>
      <c r="BE132" s="115"/>
      <c r="BF132" s="115"/>
      <c r="BG132" s="20">
        <f t="shared" si="193"/>
        <v>0</v>
      </c>
    </row>
    <row r="133" spans="1:59" ht="13.5" hidden="1" customHeight="1" outlineLevel="1" x14ac:dyDescent="0.25">
      <c r="A133" s="82"/>
      <c r="B133" s="99" t="s">
        <v>60</v>
      </c>
      <c r="C133" s="80" t="s">
        <v>68</v>
      </c>
      <c r="D133" s="157"/>
      <c r="E133" s="157"/>
      <c r="F133" s="115"/>
      <c r="G133" s="107"/>
      <c r="H133" s="108">
        <f t="shared" si="194"/>
        <v>0</v>
      </c>
      <c r="I133" s="115"/>
      <c r="J133" s="107"/>
      <c r="K133" s="108">
        <f t="shared" si="195"/>
        <v>0</v>
      </c>
      <c r="L133" s="115"/>
      <c r="M133" s="107"/>
      <c r="N133" s="108">
        <f t="shared" si="196"/>
        <v>0</v>
      </c>
      <c r="O133" s="115">
        <f>SUM(F133,I133,L133)</f>
        <v>0</v>
      </c>
      <c r="P133" s="107">
        <f>SUM(G133,J133,M133)</f>
        <v>0</v>
      </c>
      <c r="Q133" s="108">
        <f t="shared" si="197"/>
        <v>0</v>
      </c>
      <c r="R133" s="115"/>
      <c r="S133" s="107"/>
      <c r="T133" s="108">
        <f t="shared" si="198"/>
        <v>0</v>
      </c>
      <c r="U133" s="115"/>
      <c r="V133" s="107"/>
      <c r="W133" s="108">
        <f t="shared" si="199"/>
        <v>0</v>
      </c>
      <c r="X133" s="115"/>
      <c r="Y133" s="107"/>
      <c r="Z133" s="108">
        <f t="shared" si="200"/>
        <v>0</v>
      </c>
      <c r="AA133" s="115">
        <f>SUM(R133,U133,X133)</f>
        <v>0</v>
      </c>
      <c r="AB133" s="107">
        <f>SUM(S133,V133,Y133)</f>
        <v>0</v>
      </c>
      <c r="AC133" s="108">
        <f t="shared" si="201"/>
        <v>0</v>
      </c>
      <c r="AD133" s="115"/>
      <c r="AE133" s="107"/>
      <c r="AF133" s="108">
        <f t="shared" si="202"/>
        <v>0</v>
      </c>
      <c r="AG133" s="115"/>
      <c r="AH133" s="107"/>
      <c r="AI133" s="108">
        <f t="shared" si="203"/>
        <v>0</v>
      </c>
      <c r="AJ133" s="115"/>
      <c r="AK133" s="107"/>
      <c r="AL133" s="108">
        <f t="shared" si="204"/>
        <v>0</v>
      </c>
      <c r="AM133" s="115">
        <f>SUM(AD133,AG133,AJ133)</f>
        <v>0</v>
      </c>
      <c r="AN133" s="107">
        <f>SUM(AE133,AH133,AK133)</f>
        <v>0</v>
      </c>
      <c r="AO133" s="108">
        <f t="shared" si="205"/>
        <v>0</v>
      </c>
      <c r="AP133" s="115"/>
      <c r="AQ133" s="107"/>
      <c r="AR133" s="108">
        <f t="shared" si="206"/>
        <v>0</v>
      </c>
      <c r="AS133" s="115"/>
      <c r="AT133" s="107"/>
      <c r="AU133" s="108">
        <f t="shared" si="207"/>
        <v>0</v>
      </c>
      <c r="AV133" s="115"/>
      <c r="AW133" s="107"/>
      <c r="AX133" s="108">
        <f t="shared" si="208"/>
        <v>0</v>
      </c>
      <c r="AY133" s="107">
        <f>SUM(AP133,AS133,AV133)</f>
        <v>0</v>
      </c>
      <c r="AZ133" s="107">
        <f>SUM(AQ133,AT133,AW133)</f>
        <v>0</v>
      </c>
      <c r="BA133" s="108">
        <f t="shared" si="209"/>
        <v>0</v>
      </c>
      <c r="BB133" s="115">
        <f>SUM(F133,I133,L133,R133,U133,X133,AD133,AG133,AJ133,AP133,AS133,AV133)</f>
        <v>0</v>
      </c>
      <c r="BC133" s="107">
        <f>SUM(G133,J133,M133,S133,V133,Y133,AE133,AH133,AK133,AQ133,AT133,AW133)</f>
        <v>0</v>
      </c>
      <c r="BD133" s="108">
        <f t="shared" si="210"/>
        <v>0</v>
      </c>
      <c r="BE133" s="115"/>
      <c r="BF133" s="115"/>
      <c r="BG133" s="20">
        <f t="shared" si="193"/>
        <v>0</v>
      </c>
    </row>
    <row r="134" spans="1:59" ht="13.5" hidden="1" customHeight="1" outlineLevel="1" x14ac:dyDescent="0.25">
      <c r="A134" s="82"/>
      <c r="B134" s="84" t="s">
        <v>61</v>
      </c>
      <c r="C134" s="80" t="s">
        <v>68</v>
      </c>
      <c r="D134" s="157"/>
      <c r="E134" s="157"/>
      <c r="F134" s="115"/>
      <c r="G134" s="107"/>
      <c r="H134" s="108">
        <f t="shared" si="194"/>
        <v>0</v>
      </c>
      <c r="I134" s="115"/>
      <c r="J134" s="107"/>
      <c r="K134" s="108">
        <f t="shared" si="195"/>
        <v>0</v>
      </c>
      <c r="L134" s="115"/>
      <c r="M134" s="107"/>
      <c r="N134" s="108">
        <f t="shared" si="196"/>
        <v>0</v>
      </c>
      <c r="O134" s="115">
        <f>SUM(F134,I134,L134)</f>
        <v>0</v>
      </c>
      <c r="P134" s="107">
        <f>SUM(G134,J134,M134)</f>
        <v>0</v>
      </c>
      <c r="Q134" s="108">
        <f t="shared" si="197"/>
        <v>0</v>
      </c>
      <c r="R134" s="115"/>
      <c r="S134" s="107"/>
      <c r="T134" s="108">
        <f t="shared" si="198"/>
        <v>0</v>
      </c>
      <c r="U134" s="115"/>
      <c r="V134" s="107"/>
      <c r="W134" s="108">
        <f t="shared" si="199"/>
        <v>0</v>
      </c>
      <c r="X134" s="115"/>
      <c r="Y134" s="107"/>
      <c r="Z134" s="108">
        <f t="shared" si="200"/>
        <v>0</v>
      </c>
      <c r="AA134" s="115">
        <f>SUM(R134,U134,X134)</f>
        <v>0</v>
      </c>
      <c r="AB134" s="107">
        <f>SUM(S134,V134,Y134)</f>
        <v>0</v>
      </c>
      <c r="AC134" s="108">
        <f t="shared" si="201"/>
        <v>0</v>
      </c>
      <c r="AD134" s="115"/>
      <c r="AE134" s="107"/>
      <c r="AF134" s="108">
        <f t="shared" si="202"/>
        <v>0</v>
      </c>
      <c r="AG134" s="115"/>
      <c r="AH134" s="107"/>
      <c r="AI134" s="108">
        <f t="shared" si="203"/>
        <v>0</v>
      </c>
      <c r="AJ134" s="115"/>
      <c r="AK134" s="107"/>
      <c r="AL134" s="108">
        <f t="shared" si="204"/>
        <v>0</v>
      </c>
      <c r="AM134" s="115">
        <f>SUM(AD134,AG134,AJ134)</f>
        <v>0</v>
      </c>
      <c r="AN134" s="107">
        <f>SUM(AE134,AH134,AK134)</f>
        <v>0</v>
      </c>
      <c r="AO134" s="108">
        <f t="shared" si="205"/>
        <v>0</v>
      </c>
      <c r="AP134" s="115"/>
      <c r="AQ134" s="107"/>
      <c r="AR134" s="108">
        <f t="shared" si="206"/>
        <v>0</v>
      </c>
      <c r="AS134" s="115"/>
      <c r="AT134" s="107"/>
      <c r="AU134" s="108">
        <f t="shared" si="207"/>
        <v>0</v>
      </c>
      <c r="AV134" s="115"/>
      <c r="AW134" s="107"/>
      <c r="AX134" s="108">
        <f t="shared" si="208"/>
        <v>0</v>
      </c>
      <c r="AY134" s="107">
        <f>SUM(AP134,AS134,AV134)</f>
        <v>0</v>
      </c>
      <c r="AZ134" s="107">
        <f>SUM(AQ134,AT134,AW134)</f>
        <v>0</v>
      </c>
      <c r="BA134" s="108">
        <f t="shared" si="209"/>
        <v>0</v>
      </c>
      <c r="BB134" s="115">
        <f>SUM(F134,I134,L134,R134,U134,X134,AD134,AG134,AJ134,AP134,AS134,AV134)</f>
        <v>0</v>
      </c>
      <c r="BC134" s="107">
        <f>SUM(G134,J134,M134,S134,V134,Y134,AE134,AH134,AK134,AQ134,AT134,AW134)</f>
        <v>0</v>
      </c>
      <c r="BD134" s="108">
        <f t="shared" si="210"/>
        <v>0</v>
      </c>
      <c r="BE134" s="115"/>
      <c r="BF134" s="115"/>
      <c r="BG134" s="20">
        <f t="shared" si="193"/>
        <v>0</v>
      </c>
    </row>
    <row r="135" spans="1:59" s="210" customFormat="1" ht="13.5" customHeight="1" collapsed="1" thickBot="1" x14ac:dyDescent="0.3">
      <c r="A135" s="85"/>
      <c r="B135" s="95" t="s">
        <v>62</v>
      </c>
      <c r="C135" s="88" t="s">
        <v>68</v>
      </c>
      <c r="D135" s="93">
        <f>SUM(D136)</f>
        <v>0</v>
      </c>
      <c r="E135" s="93">
        <f>SUM(E136)</f>
        <v>0</v>
      </c>
      <c r="F135" s="187">
        <f>SUM(F136)</f>
        <v>0</v>
      </c>
      <c r="G135" s="92">
        <f>SUM(G136)</f>
        <v>0</v>
      </c>
      <c r="H135" s="91">
        <f t="shared" si="194"/>
        <v>0</v>
      </c>
      <c r="I135" s="187">
        <f>SUM(I136)</f>
        <v>0</v>
      </c>
      <c r="J135" s="92">
        <f>SUM(J136)</f>
        <v>0</v>
      </c>
      <c r="K135" s="91">
        <f t="shared" si="195"/>
        <v>0</v>
      </c>
      <c r="L135" s="187">
        <f>SUM(L136)</f>
        <v>0</v>
      </c>
      <c r="M135" s="92">
        <f>SUM(M136)</f>
        <v>0</v>
      </c>
      <c r="N135" s="91">
        <f t="shared" si="196"/>
        <v>0</v>
      </c>
      <c r="O135" s="187">
        <f>SUM(O136)</f>
        <v>0</v>
      </c>
      <c r="P135" s="92">
        <f>SUM(P136)</f>
        <v>0</v>
      </c>
      <c r="Q135" s="91">
        <f t="shared" si="197"/>
        <v>0</v>
      </c>
      <c r="R135" s="187">
        <f>SUM(R136)</f>
        <v>0</v>
      </c>
      <c r="S135" s="92">
        <f>SUM(S136)</f>
        <v>0</v>
      </c>
      <c r="T135" s="91">
        <f t="shared" si="198"/>
        <v>0</v>
      </c>
      <c r="U135" s="187">
        <f>SUM(U136)</f>
        <v>0</v>
      </c>
      <c r="V135" s="92">
        <f>SUM(V136)</f>
        <v>0</v>
      </c>
      <c r="W135" s="91">
        <f t="shared" si="199"/>
        <v>0</v>
      </c>
      <c r="X135" s="187">
        <f>SUM(X136)</f>
        <v>0</v>
      </c>
      <c r="Y135" s="92">
        <f>SUM(Y136)</f>
        <v>0</v>
      </c>
      <c r="Z135" s="91">
        <f t="shared" si="200"/>
        <v>0</v>
      </c>
      <c r="AA135" s="187">
        <f>SUM(AA136)</f>
        <v>0</v>
      </c>
      <c r="AB135" s="92">
        <f>SUM(AB136)</f>
        <v>0</v>
      </c>
      <c r="AC135" s="91">
        <f t="shared" si="201"/>
        <v>0</v>
      </c>
      <c r="AD135" s="187">
        <f>SUM(AD136)</f>
        <v>0</v>
      </c>
      <c r="AE135" s="92">
        <f>SUM(AE136)</f>
        <v>0</v>
      </c>
      <c r="AF135" s="91">
        <f t="shared" si="202"/>
        <v>0</v>
      </c>
      <c r="AG135" s="187">
        <f>SUM(AG136)</f>
        <v>0</v>
      </c>
      <c r="AH135" s="92">
        <f>SUM(AH136)</f>
        <v>0</v>
      </c>
      <c r="AI135" s="91">
        <f t="shared" si="203"/>
        <v>0</v>
      </c>
      <c r="AJ135" s="187">
        <f>SUM(AJ136)</f>
        <v>0</v>
      </c>
      <c r="AK135" s="92">
        <f>SUM(AK136)</f>
        <v>0</v>
      </c>
      <c r="AL135" s="91">
        <f t="shared" si="204"/>
        <v>0</v>
      </c>
      <c r="AM135" s="187">
        <f>SUM(AM136)</f>
        <v>0</v>
      </c>
      <c r="AN135" s="92">
        <f>SUM(AN136)</f>
        <v>0</v>
      </c>
      <c r="AO135" s="91">
        <f t="shared" si="205"/>
        <v>0</v>
      </c>
      <c r="AP135" s="187">
        <f>SUM(AP136)</f>
        <v>0</v>
      </c>
      <c r="AQ135" s="92">
        <f>SUM(AQ136)</f>
        <v>0</v>
      </c>
      <c r="AR135" s="91">
        <f t="shared" si="206"/>
        <v>0</v>
      </c>
      <c r="AS135" s="187">
        <f>SUM(AS136)</f>
        <v>0</v>
      </c>
      <c r="AT135" s="92">
        <f>SUM(AT136)</f>
        <v>0</v>
      </c>
      <c r="AU135" s="91">
        <f t="shared" si="207"/>
        <v>0</v>
      </c>
      <c r="AV135" s="187">
        <f>SUM(AV136)</f>
        <v>0</v>
      </c>
      <c r="AW135" s="92">
        <f>SUM(AW136)</f>
        <v>0</v>
      </c>
      <c r="AX135" s="91">
        <f t="shared" si="208"/>
        <v>0</v>
      </c>
      <c r="AY135" s="92">
        <f>SUM(AY136)</f>
        <v>0</v>
      </c>
      <c r="AZ135" s="92">
        <f>SUM(AZ136)</f>
        <v>0</v>
      </c>
      <c r="BA135" s="91">
        <f t="shared" si="209"/>
        <v>0</v>
      </c>
      <c r="BB135" s="187">
        <f>SUM(BB136)</f>
        <v>0</v>
      </c>
      <c r="BC135" s="92">
        <f>SUM(BC136)</f>
        <v>0</v>
      </c>
      <c r="BD135" s="91">
        <f t="shared" si="210"/>
        <v>0</v>
      </c>
      <c r="BE135" s="187">
        <f t="shared" ref="BE135:BG135" si="211">SUM(BE136)</f>
        <v>0</v>
      </c>
      <c r="BF135" s="187">
        <f t="shared" si="211"/>
        <v>0</v>
      </c>
      <c r="BG135" s="93">
        <f t="shared" si="211"/>
        <v>0</v>
      </c>
    </row>
    <row r="136" spans="1:59" ht="13.5" hidden="1" customHeight="1" outlineLevel="1" thickBot="1" x14ac:dyDescent="0.3">
      <c r="A136" s="11"/>
      <c r="B136" s="84" t="s">
        <v>63</v>
      </c>
      <c r="C136" s="86" t="s">
        <v>68</v>
      </c>
      <c r="D136" s="20"/>
      <c r="E136" s="20"/>
      <c r="F136" s="24"/>
      <c r="G136" s="23"/>
      <c r="H136" s="22">
        <f t="shared" si="194"/>
        <v>0</v>
      </c>
      <c r="I136" s="24"/>
      <c r="J136" s="23"/>
      <c r="K136" s="22">
        <f t="shared" si="195"/>
        <v>0</v>
      </c>
      <c r="L136" s="24"/>
      <c r="M136" s="23"/>
      <c r="N136" s="22">
        <f t="shared" si="196"/>
        <v>0</v>
      </c>
      <c r="O136" s="24">
        <f>SUM(F136,I136,L136)</f>
        <v>0</v>
      </c>
      <c r="P136" s="23">
        <f>SUM(G136,J136,M136)</f>
        <v>0</v>
      </c>
      <c r="Q136" s="22">
        <f t="shared" si="197"/>
        <v>0</v>
      </c>
      <c r="R136" s="24"/>
      <c r="S136" s="23"/>
      <c r="T136" s="22">
        <f t="shared" si="198"/>
        <v>0</v>
      </c>
      <c r="U136" s="24"/>
      <c r="V136" s="23"/>
      <c r="W136" s="22">
        <f t="shared" si="199"/>
        <v>0</v>
      </c>
      <c r="X136" s="24"/>
      <c r="Y136" s="23"/>
      <c r="Z136" s="22">
        <f t="shared" si="200"/>
        <v>0</v>
      </c>
      <c r="AA136" s="24">
        <f>SUM(R136,U136,X136)</f>
        <v>0</v>
      </c>
      <c r="AB136" s="23">
        <f>SUM(S136,V136,Y136)</f>
        <v>0</v>
      </c>
      <c r="AC136" s="22">
        <f t="shared" si="201"/>
        <v>0</v>
      </c>
      <c r="AD136" s="24"/>
      <c r="AE136" s="23"/>
      <c r="AF136" s="22">
        <f t="shared" si="202"/>
        <v>0</v>
      </c>
      <c r="AG136" s="24"/>
      <c r="AH136" s="23"/>
      <c r="AI136" s="22">
        <f t="shared" si="203"/>
        <v>0</v>
      </c>
      <c r="AJ136" s="24"/>
      <c r="AK136" s="23"/>
      <c r="AL136" s="22">
        <f t="shared" si="204"/>
        <v>0</v>
      </c>
      <c r="AM136" s="24">
        <f>SUM(AD136,AG136,AJ136)</f>
        <v>0</v>
      </c>
      <c r="AN136" s="23">
        <f>SUM(AE136,AH136,AK136)</f>
        <v>0</v>
      </c>
      <c r="AO136" s="22">
        <f t="shared" si="205"/>
        <v>0</v>
      </c>
      <c r="AP136" s="24"/>
      <c r="AQ136" s="23"/>
      <c r="AR136" s="22">
        <f t="shared" si="206"/>
        <v>0</v>
      </c>
      <c r="AS136" s="24"/>
      <c r="AT136" s="23"/>
      <c r="AU136" s="22">
        <f t="shared" si="207"/>
        <v>0</v>
      </c>
      <c r="AV136" s="24"/>
      <c r="AW136" s="23"/>
      <c r="AX136" s="22">
        <f t="shared" si="208"/>
        <v>0</v>
      </c>
      <c r="AY136" s="23">
        <f>SUM(AP136,AS136,AV136)</f>
        <v>0</v>
      </c>
      <c r="AZ136" s="23">
        <f>SUM(AQ136,AT136,AW136)</f>
        <v>0</v>
      </c>
      <c r="BA136" s="22">
        <f t="shared" si="209"/>
        <v>0</v>
      </c>
      <c r="BB136" s="24">
        <f>SUM(F136,I136,L136,R136,U136,X136,AD136,AG136,AJ136,AP136,AS136,AV136)</f>
        <v>0</v>
      </c>
      <c r="BC136" s="23">
        <f>SUM(G136,J136,M136,S136,V136,Y136,AE136,AH136,AK136,AQ136,AT136,AW136)</f>
        <v>0</v>
      </c>
      <c r="BD136" s="22">
        <f t="shared" si="210"/>
        <v>0</v>
      </c>
      <c r="BE136" s="24"/>
      <c r="BF136" s="24"/>
      <c r="BG136" s="20">
        <f>BB136+BE136+BF136</f>
        <v>0</v>
      </c>
    </row>
    <row r="137" spans="1:59" s="210" customFormat="1" ht="13.5" customHeight="1" collapsed="1" thickBot="1" x14ac:dyDescent="0.3">
      <c r="A137" s="106" t="s">
        <v>71</v>
      </c>
      <c r="B137" s="105" t="s">
        <v>72</v>
      </c>
      <c r="C137" s="104" t="s">
        <v>68</v>
      </c>
      <c r="D137" s="192">
        <f>D138+D141+D143+D144+D145</f>
        <v>0</v>
      </c>
      <c r="E137" s="192">
        <f>E138+E141+E143+E144+E145</f>
        <v>0</v>
      </c>
      <c r="F137" s="195">
        <f>F138+F141+F143+F144+F145</f>
        <v>0</v>
      </c>
      <c r="G137" s="193">
        <f>G138+G141+G143+G144+G145</f>
        <v>0</v>
      </c>
      <c r="H137" s="194">
        <f>G137-F137</f>
        <v>0</v>
      </c>
      <c r="I137" s="195">
        <f>I138+I141+I143+I144+I145</f>
        <v>0</v>
      </c>
      <c r="J137" s="193">
        <f>J138+J141+J143+J144+J145</f>
        <v>0</v>
      </c>
      <c r="K137" s="194">
        <f>J137-I137</f>
        <v>0</v>
      </c>
      <c r="L137" s="195">
        <f>L138+L141+L143+L144+L145</f>
        <v>0</v>
      </c>
      <c r="M137" s="193">
        <f>M138+M141+M143+M144+M145</f>
        <v>0</v>
      </c>
      <c r="N137" s="194">
        <f>M137-L137</f>
        <v>0</v>
      </c>
      <c r="O137" s="195">
        <f>O138+O141+O143+O144+O145</f>
        <v>0</v>
      </c>
      <c r="P137" s="193">
        <f>P138+P141+P143+P144+P145</f>
        <v>0</v>
      </c>
      <c r="Q137" s="194">
        <f>P137-O137</f>
        <v>0</v>
      </c>
      <c r="R137" s="195">
        <f>R138+R141+R143+R144+R145</f>
        <v>0</v>
      </c>
      <c r="S137" s="193">
        <f>S138+S141+S143+S144+S145</f>
        <v>0</v>
      </c>
      <c r="T137" s="194">
        <f>S137-R137</f>
        <v>0</v>
      </c>
      <c r="U137" s="195">
        <f>U138+U141+U143+U144+U145</f>
        <v>0</v>
      </c>
      <c r="V137" s="193">
        <f>V138+V141+V143+V144+V145</f>
        <v>0</v>
      </c>
      <c r="W137" s="194">
        <f>V137-U137</f>
        <v>0</v>
      </c>
      <c r="X137" s="195">
        <f>X138+X141+X143+X144+X145</f>
        <v>0</v>
      </c>
      <c r="Y137" s="193">
        <f>Y138+Y141+Y143+Y144+Y145</f>
        <v>0</v>
      </c>
      <c r="Z137" s="194">
        <f>Y137-X137</f>
        <v>0</v>
      </c>
      <c r="AA137" s="195">
        <f>AA138+AA141+AA143+AA144+AA145</f>
        <v>0</v>
      </c>
      <c r="AB137" s="193">
        <f>AB138+AB141+AB143+AB144+AB145</f>
        <v>0</v>
      </c>
      <c r="AC137" s="194">
        <f>AB137-AA137</f>
        <v>0</v>
      </c>
      <c r="AD137" s="195">
        <f>AD138+AD141+AD143+AD144+AD145</f>
        <v>0</v>
      </c>
      <c r="AE137" s="193">
        <f>AE138+AE141+AE143+AE144+AE145</f>
        <v>0</v>
      </c>
      <c r="AF137" s="194">
        <f>AE137-AD137</f>
        <v>0</v>
      </c>
      <c r="AG137" s="195">
        <f>AG138+AG141+AG143+AG144+AG145</f>
        <v>0</v>
      </c>
      <c r="AH137" s="193">
        <f>AH138+AH141+AH143+AH144+AH145</f>
        <v>0</v>
      </c>
      <c r="AI137" s="194">
        <f>AH137-AG137</f>
        <v>0</v>
      </c>
      <c r="AJ137" s="195">
        <f>AJ138+AJ141+AJ143+AJ144+AJ145</f>
        <v>0</v>
      </c>
      <c r="AK137" s="193">
        <f>AK138+AK141+AK143+AK144+AK145</f>
        <v>0</v>
      </c>
      <c r="AL137" s="194">
        <f>AK137-AJ137</f>
        <v>0</v>
      </c>
      <c r="AM137" s="195">
        <f>AM138+AM141+AM143+AM144+AM145</f>
        <v>0</v>
      </c>
      <c r="AN137" s="193">
        <f>AN138+AN141+AN143+AN144+AN145</f>
        <v>0</v>
      </c>
      <c r="AO137" s="194">
        <f>AN137-AM137</f>
        <v>0</v>
      </c>
      <c r="AP137" s="195">
        <f>AP138+AP141+AP143+AP144+AP145</f>
        <v>0</v>
      </c>
      <c r="AQ137" s="193">
        <f>AQ138+AQ141+AQ143+AQ144+AQ145</f>
        <v>0</v>
      </c>
      <c r="AR137" s="194">
        <f>AQ137-AP137</f>
        <v>0</v>
      </c>
      <c r="AS137" s="195">
        <f>AS138+AS141+AS143+AS144+AS145</f>
        <v>0</v>
      </c>
      <c r="AT137" s="193">
        <f>AT138+AT141+AT143+AT144+AT145</f>
        <v>0</v>
      </c>
      <c r="AU137" s="194">
        <f>AT137-AS137</f>
        <v>0</v>
      </c>
      <c r="AV137" s="195">
        <f>AV138+AV141+AV143+AV144+AV145</f>
        <v>0</v>
      </c>
      <c r="AW137" s="193">
        <f>AW138+AW141+AW143+AW144+AW145</f>
        <v>0</v>
      </c>
      <c r="AX137" s="194">
        <f>AW137-AV137</f>
        <v>0</v>
      </c>
      <c r="AY137" s="195">
        <f>AY138+AY141+AY143+AY144+AY145</f>
        <v>0</v>
      </c>
      <c r="AZ137" s="193">
        <f>AZ138+AZ141+AZ143+AZ144+AZ145</f>
        <v>0</v>
      </c>
      <c r="BA137" s="194">
        <f>AZ137-AY137</f>
        <v>0</v>
      </c>
      <c r="BB137" s="195">
        <f>BB138+BB141+BB143+BB144+BB145</f>
        <v>0</v>
      </c>
      <c r="BC137" s="193">
        <f>BC138+BC141+BC143+BC144+BC145</f>
        <v>0</v>
      </c>
      <c r="BD137" s="194">
        <f>BC137-BB137</f>
        <v>0</v>
      </c>
      <c r="BE137" s="195">
        <f>BE138+BE141+BE143+BE144+BE145</f>
        <v>0</v>
      </c>
      <c r="BF137" s="195">
        <f>BF138+BF141+BF143+BF144+BF145</f>
        <v>0</v>
      </c>
      <c r="BG137" s="192">
        <f>BG138+BG141+BG143+BG144+BG145</f>
        <v>0</v>
      </c>
    </row>
    <row r="138" spans="1:59" ht="13.5" hidden="1" customHeight="1" outlineLevel="1" x14ac:dyDescent="0.25">
      <c r="A138" s="28"/>
      <c r="B138" s="84" t="s">
        <v>73</v>
      </c>
      <c r="C138" s="83" t="s">
        <v>68</v>
      </c>
      <c r="D138" s="186"/>
      <c r="E138" s="186"/>
      <c r="F138" s="124"/>
      <c r="G138" s="122"/>
      <c r="H138" s="123">
        <f>G138-F138</f>
        <v>0</v>
      </c>
      <c r="I138" s="124"/>
      <c r="J138" s="122"/>
      <c r="K138" s="123">
        <f>J138-I138</f>
        <v>0</v>
      </c>
      <c r="L138" s="124"/>
      <c r="M138" s="122"/>
      <c r="N138" s="123">
        <f>M138-L138</f>
        <v>0</v>
      </c>
      <c r="O138" s="124">
        <f t="shared" ref="O138:P141" si="212">SUM(F138,I138,L138)</f>
        <v>0</v>
      </c>
      <c r="P138" s="122">
        <f t="shared" si="212"/>
        <v>0</v>
      </c>
      <c r="Q138" s="123">
        <f>P138-O138</f>
        <v>0</v>
      </c>
      <c r="R138" s="124"/>
      <c r="S138" s="122"/>
      <c r="T138" s="123">
        <f>S138-R138</f>
        <v>0</v>
      </c>
      <c r="U138" s="124"/>
      <c r="V138" s="122"/>
      <c r="W138" s="123">
        <f>V138-U138</f>
        <v>0</v>
      </c>
      <c r="X138" s="124"/>
      <c r="Y138" s="122"/>
      <c r="Z138" s="123">
        <f>Y138-X138</f>
        <v>0</v>
      </c>
      <c r="AA138" s="124">
        <f t="shared" ref="AA138:AB141" si="213">SUM(R138,U138,X138)</f>
        <v>0</v>
      </c>
      <c r="AB138" s="122">
        <f t="shared" si="213"/>
        <v>0</v>
      </c>
      <c r="AC138" s="123">
        <f>AB138-AA138</f>
        <v>0</v>
      </c>
      <c r="AD138" s="124"/>
      <c r="AE138" s="122"/>
      <c r="AF138" s="123">
        <f>AE138-AD138</f>
        <v>0</v>
      </c>
      <c r="AG138" s="124"/>
      <c r="AH138" s="122"/>
      <c r="AI138" s="123">
        <f>AH138-AG138</f>
        <v>0</v>
      </c>
      <c r="AJ138" s="124"/>
      <c r="AK138" s="122"/>
      <c r="AL138" s="123">
        <f>AK138-AJ138</f>
        <v>0</v>
      </c>
      <c r="AM138" s="124">
        <f t="shared" ref="AM138:AN141" si="214">SUM(AD138,AG138,AJ138)</f>
        <v>0</v>
      </c>
      <c r="AN138" s="122">
        <f t="shared" si="214"/>
        <v>0</v>
      </c>
      <c r="AO138" s="123">
        <f>AN138-AM138</f>
        <v>0</v>
      </c>
      <c r="AP138" s="124"/>
      <c r="AQ138" s="122"/>
      <c r="AR138" s="123">
        <f>AQ138-AP138</f>
        <v>0</v>
      </c>
      <c r="AS138" s="124"/>
      <c r="AT138" s="122"/>
      <c r="AU138" s="123">
        <f>AT138-AS138</f>
        <v>0</v>
      </c>
      <c r="AV138" s="124"/>
      <c r="AW138" s="122"/>
      <c r="AX138" s="123">
        <f>AW138-AV138</f>
        <v>0</v>
      </c>
      <c r="AY138" s="122">
        <f t="shared" ref="AY138:AZ141" si="215">SUM(AP138,AS138,AV138)</f>
        <v>0</v>
      </c>
      <c r="AZ138" s="122">
        <f t="shared" si="215"/>
        <v>0</v>
      </c>
      <c r="BA138" s="123">
        <f>AZ138-AY138</f>
        <v>0</v>
      </c>
      <c r="BB138" s="124">
        <f t="shared" ref="BB138:BC144" si="216">SUM(F138,I138,L138,R138,U138,X138,AD138,AG138,AJ138,AP138,AS138,AV138)</f>
        <v>0</v>
      </c>
      <c r="BC138" s="122">
        <f t="shared" si="216"/>
        <v>0</v>
      </c>
      <c r="BD138" s="123">
        <f>BC138-BB138</f>
        <v>0</v>
      </c>
      <c r="BE138" s="124"/>
      <c r="BF138" s="124"/>
      <c r="BG138" s="186">
        <f>BB138+BE138+BF138</f>
        <v>0</v>
      </c>
    </row>
    <row r="139" spans="1:59" ht="13.5" hidden="1" customHeight="1" outlineLevel="1" x14ac:dyDescent="0.25">
      <c r="A139" s="82"/>
      <c r="B139" s="81" t="s">
        <v>74</v>
      </c>
      <c r="C139" s="80" t="s">
        <v>68</v>
      </c>
      <c r="D139" s="185"/>
      <c r="E139" s="185"/>
      <c r="F139" s="114"/>
      <c r="G139" s="112"/>
      <c r="H139" s="123">
        <f>G139-F139</f>
        <v>0</v>
      </c>
      <c r="I139" s="114"/>
      <c r="J139" s="112"/>
      <c r="K139" s="123">
        <f>J139-I139</f>
        <v>0</v>
      </c>
      <c r="L139" s="114"/>
      <c r="M139" s="112"/>
      <c r="N139" s="123">
        <f>M139-L139</f>
        <v>0</v>
      </c>
      <c r="O139" s="114">
        <f t="shared" si="212"/>
        <v>0</v>
      </c>
      <c r="P139" s="112">
        <f t="shared" si="212"/>
        <v>0</v>
      </c>
      <c r="Q139" s="123">
        <f>P139-O139</f>
        <v>0</v>
      </c>
      <c r="R139" s="114"/>
      <c r="S139" s="112"/>
      <c r="T139" s="123">
        <f>S139-R139</f>
        <v>0</v>
      </c>
      <c r="U139" s="114"/>
      <c r="V139" s="112"/>
      <c r="W139" s="123">
        <f>V139-U139</f>
        <v>0</v>
      </c>
      <c r="X139" s="114"/>
      <c r="Y139" s="112"/>
      <c r="Z139" s="123">
        <f>Y139-X139</f>
        <v>0</v>
      </c>
      <c r="AA139" s="114">
        <f t="shared" si="213"/>
        <v>0</v>
      </c>
      <c r="AB139" s="112">
        <f t="shared" si="213"/>
        <v>0</v>
      </c>
      <c r="AC139" s="123">
        <f>AB139-AA139</f>
        <v>0</v>
      </c>
      <c r="AD139" s="114"/>
      <c r="AE139" s="112"/>
      <c r="AF139" s="123">
        <f>AE139-AD139</f>
        <v>0</v>
      </c>
      <c r="AG139" s="114"/>
      <c r="AH139" s="112"/>
      <c r="AI139" s="123">
        <f>AH139-AG139</f>
        <v>0</v>
      </c>
      <c r="AJ139" s="114"/>
      <c r="AK139" s="112"/>
      <c r="AL139" s="123">
        <f>AK139-AJ139</f>
        <v>0</v>
      </c>
      <c r="AM139" s="114">
        <f t="shared" si="214"/>
        <v>0</v>
      </c>
      <c r="AN139" s="112">
        <f t="shared" si="214"/>
        <v>0</v>
      </c>
      <c r="AO139" s="123">
        <f>AN139-AM139</f>
        <v>0</v>
      </c>
      <c r="AP139" s="114"/>
      <c r="AQ139" s="112"/>
      <c r="AR139" s="123">
        <f>AQ139-AP139</f>
        <v>0</v>
      </c>
      <c r="AS139" s="114"/>
      <c r="AT139" s="112"/>
      <c r="AU139" s="123">
        <f>AT139-AS139</f>
        <v>0</v>
      </c>
      <c r="AV139" s="114"/>
      <c r="AW139" s="112"/>
      <c r="AX139" s="123">
        <f>AW139-AV139</f>
        <v>0</v>
      </c>
      <c r="AY139" s="112">
        <f t="shared" si="215"/>
        <v>0</v>
      </c>
      <c r="AZ139" s="112">
        <f t="shared" si="215"/>
        <v>0</v>
      </c>
      <c r="BA139" s="113">
        <f>AZ139-AY139</f>
        <v>0</v>
      </c>
      <c r="BB139" s="114">
        <f t="shared" si="216"/>
        <v>0</v>
      </c>
      <c r="BC139" s="112">
        <f t="shared" si="216"/>
        <v>0</v>
      </c>
      <c r="BD139" s="113">
        <f>BC139-BB139</f>
        <v>0</v>
      </c>
      <c r="BE139" s="114"/>
      <c r="BF139" s="114"/>
      <c r="BG139" s="186">
        <f t="shared" ref="BG139:BG144" si="217">BB139+BE139+BF139</f>
        <v>0</v>
      </c>
    </row>
    <row r="140" spans="1:59" ht="13.5" hidden="1" customHeight="1" outlineLevel="1" x14ac:dyDescent="0.25">
      <c r="A140" s="82"/>
      <c r="B140" s="81" t="s">
        <v>75</v>
      </c>
      <c r="C140" s="80" t="s">
        <v>68</v>
      </c>
      <c r="D140" s="185"/>
      <c r="E140" s="185"/>
      <c r="F140" s="114"/>
      <c r="G140" s="112"/>
      <c r="H140" s="123">
        <f>G140-F140</f>
        <v>0</v>
      </c>
      <c r="I140" s="114"/>
      <c r="J140" s="112"/>
      <c r="K140" s="123">
        <f>J140-I140</f>
        <v>0</v>
      </c>
      <c r="L140" s="114"/>
      <c r="M140" s="112"/>
      <c r="N140" s="123">
        <f>M140-L140</f>
        <v>0</v>
      </c>
      <c r="O140" s="114">
        <f t="shared" si="212"/>
        <v>0</v>
      </c>
      <c r="P140" s="112">
        <f t="shared" si="212"/>
        <v>0</v>
      </c>
      <c r="Q140" s="123">
        <f>P140-O140</f>
        <v>0</v>
      </c>
      <c r="R140" s="114"/>
      <c r="S140" s="112"/>
      <c r="T140" s="123">
        <f>S140-R140</f>
        <v>0</v>
      </c>
      <c r="U140" s="114"/>
      <c r="V140" s="112"/>
      <c r="W140" s="123">
        <f>V140-U140</f>
        <v>0</v>
      </c>
      <c r="X140" s="114"/>
      <c r="Y140" s="112"/>
      <c r="Z140" s="123">
        <f>Y140-X140</f>
        <v>0</v>
      </c>
      <c r="AA140" s="114">
        <f t="shared" si="213"/>
        <v>0</v>
      </c>
      <c r="AB140" s="112">
        <f t="shared" si="213"/>
        <v>0</v>
      </c>
      <c r="AC140" s="123">
        <f>AB140-AA140</f>
        <v>0</v>
      </c>
      <c r="AD140" s="114"/>
      <c r="AE140" s="112"/>
      <c r="AF140" s="123">
        <f>AE140-AD140</f>
        <v>0</v>
      </c>
      <c r="AG140" s="114"/>
      <c r="AH140" s="112"/>
      <c r="AI140" s="123">
        <f>AH140-AG140</f>
        <v>0</v>
      </c>
      <c r="AJ140" s="114"/>
      <c r="AK140" s="112"/>
      <c r="AL140" s="123">
        <f>AK140-AJ140</f>
        <v>0</v>
      </c>
      <c r="AM140" s="114">
        <f t="shared" si="214"/>
        <v>0</v>
      </c>
      <c r="AN140" s="112">
        <f t="shared" si="214"/>
        <v>0</v>
      </c>
      <c r="AO140" s="123">
        <f>AN140-AM140</f>
        <v>0</v>
      </c>
      <c r="AP140" s="114"/>
      <c r="AQ140" s="112"/>
      <c r="AR140" s="123">
        <f>AQ140-AP140</f>
        <v>0</v>
      </c>
      <c r="AS140" s="114"/>
      <c r="AT140" s="112"/>
      <c r="AU140" s="123">
        <f>AT140-AS140</f>
        <v>0</v>
      </c>
      <c r="AV140" s="114"/>
      <c r="AW140" s="112"/>
      <c r="AX140" s="123">
        <f>AW140-AV140</f>
        <v>0</v>
      </c>
      <c r="AY140" s="112">
        <f t="shared" si="215"/>
        <v>0</v>
      </c>
      <c r="AZ140" s="112">
        <f t="shared" si="215"/>
        <v>0</v>
      </c>
      <c r="BA140" s="113">
        <f>AZ140-AY140</f>
        <v>0</v>
      </c>
      <c r="BB140" s="114">
        <f t="shared" si="216"/>
        <v>0</v>
      </c>
      <c r="BC140" s="112">
        <f t="shared" si="216"/>
        <v>0</v>
      </c>
      <c r="BD140" s="113">
        <f>BC140-BB140</f>
        <v>0</v>
      </c>
      <c r="BE140" s="114"/>
      <c r="BF140" s="114"/>
      <c r="BG140" s="186">
        <f t="shared" si="217"/>
        <v>0</v>
      </c>
    </row>
    <row r="141" spans="1:59" ht="13.5" hidden="1" customHeight="1" outlineLevel="1" x14ac:dyDescent="0.25">
      <c r="A141" s="82"/>
      <c r="B141" s="81" t="s">
        <v>76</v>
      </c>
      <c r="C141" s="80" t="s">
        <v>68</v>
      </c>
      <c r="D141" s="185"/>
      <c r="E141" s="185"/>
      <c r="F141" s="114"/>
      <c r="G141" s="112"/>
      <c r="H141" s="123">
        <f>G141-F141</f>
        <v>0</v>
      </c>
      <c r="I141" s="114"/>
      <c r="J141" s="112"/>
      <c r="K141" s="123">
        <f>J141-I141</f>
        <v>0</v>
      </c>
      <c r="L141" s="114"/>
      <c r="M141" s="112"/>
      <c r="N141" s="123">
        <f>M141-L141</f>
        <v>0</v>
      </c>
      <c r="O141" s="114">
        <f t="shared" si="212"/>
        <v>0</v>
      </c>
      <c r="P141" s="112">
        <f t="shared" si="212"/>
        <v>0</v>
      </c>
      <c r="Q141" s="123">
        <f>P141-O141</f>
        <v>0</v>
      </c>
      <c r="R141" s="114"/>
      <c r="S141" s="112"/>
      <c r="T141" s="123">
        <f>S141-R141</f>
        <v>0</v>
      </c>
      <c r="U141" s="114"/>
      <c r="V141" s="112"/>
      <c r="W141" s="123">
        <f>V141-U141</f>
        <v>0</v>
      </c>
      <c r="X141" s="114"/>
      <c r="Y141" s="112"/>
      <c r="Z141" s="123">
        <f>Y141-X141</f>
        <v>0</v>
      </c>
      <c r="AA141" s="114">
        <f t="shared" si="213"/>
        <v>0</v>
      </c>
      <c r="AB141" s="112">
        <f t="shared" si="213"/>
        <v>0</v>
      </c>
      <c r="AC141" s="123">
        <f>AB141-AA141</f>
        <v>0</v>
      </c>
      <c r="AD141" s="114"/>
      <c r="AE141" s="112"/>
      <c r="AF141" s="123">
        <f>AE141-AD141</f>
        <v>0</v>
      </c>
      <c r="AG141" s="114"/>
      <c r="AH141" s="112"/>
      <c r="AI141" s="123">
        <f>AH141-AG141</f>
        <v>0</v>
      </c>
      <c r="AJ141" s="114"/>
      <c r="AK141" s="112"/>
      <c r="AL141" s="123">
        <f>AK141-AJ141</f>
        <v>0</v>
      </c>
      <c r="AM141" s="114">
        <f t="shared" si="214"/>
        <v>0</v>
      </c>
      <c r="AN141" s="112">
        <f t="shared" si="214"/>
        <v>0</v>
      </c>
      <c r="AO141" s="123">
        <f>AN141-AM141</f>
        <v>0</v>
      </c>
      <c r="AP141" s="114"/>
      <c r="AQ141" s="112"/>
      <c r="AR141" s="123">
        <f>AQ141-AP141</f>
        <v>0</v>
      </c>
      <c r="AS141" s="114"/>
      <c r="AT141" s="112"/>
      <c r="AU141" s="123">
        <f>AT141-AS141</f>
        <v>0</v>
      </c>
      <c r="AV141" s="114"/>
      <c r="AW141" s="112"/>
      <c r="AX141" s="123">
        <f>AW141-AV141</f>
        <v>0</v>
      </c>
      <c r="AY141" s="112">
        <f t="shared" si="215"/>
        <v>0</v>
      </c>
      <c r="AZ141" s="112">
        <f t="shared" si="215"/>
        <v>0</v>
      </c>
      <c r="BA141" s="113">
        <f>AZ141-AY141</f>
        <v>0</v>
      </c>
      <c r="BB141" s="114">
        <f t="shared" si="216"/>
        <v>0</v>
      </c>
      <c r="BC141" s="112">
        <f t="shared" si="216"/>
        <v>0</v>
      </c>
      <c r="BD141" s="113">
        <f>BC141-BB141</f>
        <v>0</v>
      </c>
      <c r="BE141" s="114"/>
      <c r="BF141" s="114"/>
      <c r="BG141" s="186">
        <f t="shared" si="217"/>
        <v>0</v>
      </c>
    </row>
    <row r="142" spans="1:59" ht="13.5" hidden="1" customHeight="1" outlineLevel="1" x14ac:dyDescent="0.25">
      <c r="A142" s="82"/>
      <c r="B142" s="81"/>
      <c r="C142" s="80"/>
      <c r="D142" s="185"/>
      <c r="E142" s="185"/>
      <c r="F142" s="114"/>
      <c r="G142" s="112"/>
      <c r="H142" s="123"/>
      <c r="I142" s="114"/>
      <c r="J142" s="112"/>
      <c r="K142" s="123"/>
      <c r="L142" s="114"/>
      <c r="M142" s="112"/>
      <c r="N142" s="123"/>
      <c r="O142" s="114"/>
      <c r="P142" s="112"/>
      <c r="Q142" s="123"/>
      <c r="R142" s="114"/>
      <c r="S142" s="112"/>
      <c r="T142" s="123"/>
      <c r="U142" s="114"/>
      <c r="V142" s="112"/>
      <c r="W142" s="123"/>
      <c r="X142" s="114"/>
      <c r="Y142" s="112"/>
      <c r="Z142" s="123"/>
      <c r="AA142" s="114"/>
      <c r="AB142" s="112"/>
      <c r="AC142" s="123"/>
      <c r="AD142" s="114"/>
      <c r="AE142" s="112"/>
      <c r="AF142" s="123"/>
      <c r="AG142" s="114"/>
      <c r="AH142" s="112"/>
      <c r="AI142" s="123"/>
      <c r="AJ142" s="114"/>
      <c r="AK142" s="112"/>
      <c r="AL142" s="123"/>
      <c r="AM142" s="114"/>
      <c r="AN142" s="112"/>
      <c r="AO142" s="123"/>
      <c r="AP142" s="114"/>
      <c r="AQ142" s="112"/>
      <c r="AR142" s="123"/>
      <c r="AS142" s="114"/>
      <c r="AT142" s="112"/>
      <c r="AU142" s="123"/>
      <c r="AV142" s="114"/>
      <c r="AW142" s="112"/>
      <c r="AX142" s="123"/>
      <c r="AY142" s="112"/>
      <c r="AZ142" s="112"/>
      <c r="BA142" s="113"/>
      <c r="BB142" s="114"/>
      <c r="BC142" s="112"/>
      <c r="BD142" s="113"/>
      <c r="BE142" s="114"/>
      <c r="BF142" s="114"/>
      <c r="BG142" s="185"/>
    </row>
    <row r="143" spans="1:59" ht="13.5" hidden="1" customHeight="1" outlineLevel="1" x14ac:dyDescent="0.25">
      <c r="A143" s="82"/>
      <c r="B143" s="81" t="s">
        <v>77</v>
      </c>
      <c r="C143" s="80" t="s">
        <v>68</v>
      </c>
      <c r="D143" s="185"/>
      <c r="E143" s="185"/>
      <c r="F143" s="114"/>
      <c r="G143" s="112"/>
      <c r="H143" s="123">
        <f>G143-F143</f>
        <v>0</v>
      </c>
      <c r="I143" s="114"/>
      <c r="J143" s="112"/>
      <c r="K143" s="123">
        <f>J143-I143</f>
        <v>0</v>
      </c>
      <c r="L143" s="114"/>
      <c r="M143" s="112"/>
      <c r="N143" s="123">
        <f>M143-L143</f>
        <v>0</v>
      </c>
      <c r="O143" s="114">
        <f>SUM(F143,I143,L143)</f>
        <v>0</v>
      </c>
      <c r="P143" s="112">
        <f>SUM(G143,J143,M143)</f>
        <v>0</v>
      </c>
      <c r="Q143" s="123">
        <f>P143-O143</f>
        <v>0</v>
      </c>
      <c r="R143" s="114"/>
      <c r="S143" s="112"/>
      <c r="T143" s="123">
        <f>S143-R143</f>
        <v>0</v>
      </c>
      <c r="U143" s="114"/>
      <c r="V143" s="112"/>
      <c r="W143" s="123">
        <f>V143-U143</f>
        <v>0</v>
      </c>
      <c r="X143" s="114"/>
      <c r="Y143" s="112"/>
      <c r="Z143" s="123">
        <f>Y143-X143</f>
        <v>0</v>
      </c>
      <c r="AA143" s="114">
        <f>SUM(R143,U143,X143)</f>
        <v>0</v>
      </c>
      <c r="AB143" s="112">
        <f>SUM(S143,V143,Y143)</f>
        <v>0</v>
      </c>
      <c r="AC143" s="123">
        <f>AB143-AA143</f>
        <v>0</v>
      </c>
      <c r="AD143" s="114"/>
      <c r="AE143" s="112"/>
      <c r="AF143" s="123">
        <f>AE143-AD143</f>
        <v>0</v>
      </c>
      <c r="AG143" s="114"/>
      <c r="AH143" s="112"/>
      <c r="AI143" s="123">
        <f>AH143-AG143</f>
        <v>0</v>
      </c>
      <c r="AJ143" s="114"/>
      <c r="AK143" s="112"/>
      <c r="AL143" s="123">
        <f>AK143-AJ143</f>
        <v>0</v>
      </c>
      <c r="AM143" s="114">
        <f>SUM(AD143,AG143,AJ143)</f>
        <v>0</v>
      </c>
      <c r="AN143" s="112">
        <f>SUM(AE143,AH143,AK143)</f>
        <v>0</v>
      </c>
      <c r="AO143" s="123">
        <f>AN143-AM143</f>
        <v>0</v>
      </c>
      <c r="AP143" s="114"/>
      <c r="AQ143" s="112"/>
      <c r="AR143" s="123">
        <f>AQ143-AP143</f>
        <v>0</v>
      </c>
      <c r="AS143" s="114"/>
      <c r="AT143" s="112"/>
      <c r="AU143" s="123">
        <f>AT143-AS143</f>
        <v>0</v>
      </c>
      <c r="AV143" s="114"/>
      <c r="AW143" s="112"/>
      <c r="AX143" s="123">
        <f>AW143-AV143</f>
        <v>0</v>
      </c>
      <c r="AY143" s="112">
        <f>SUM(AP143,AS143,AV143)</f>
        <v>0</v>
      </c>
      <c r="AZ143" s="112">
        <f>SUM(AQ143,AT143,AW143)</f>
        <v>0</v>
      </c>
      <c r="BA143" s="113">
        <f>AZ143-AY143</f>
        <v>0</v>
      </c>
      <c r="BB143" s="114">
        <f t="shared" si="216"/>
        <v>0</v>
      </c>
      <c r="BC143" s="112">
        <f t="shared" si="216"/>
        <v>0</v>
      </c>
      <c r="BD143" s="113">
        <f>BC143-BB143</f>
        <v>0</v>
      </c>
      <c r="BE143" s="114"/>
      <c r="BF143" s="114"/>
      <c r="BG143" s="186">
        <f t="shared" si="217"/>
        <v>0</v>
      </c>
    </row>
    <row r="144" spans="1:59" ht="13.5" hidden="1" customHeight="1" outlineLevel="1" x14ac:dyDescent="0.25">
      <c r="A144" s="28"/>
      <c r="B144" s="84" t="s">
        <v>78</v>
      </c>
      <c r="C144" s="83" t="s">
        <v>68</v>
      </c>
      <c r="D144" s="186"/>
      <c r="E144" s="186"/>
      <c r="F144" s="124"/>
      <c r="G144" s="122"/>
      <c r="H144" s="123">
        <f>G144-F144</f>
        <v>0</v>
      </c>
      <c r="I144" s="124"/>
      <c r="J144" s="122"/>
      <c r="K144" s="123">
        <f>J144-I144</f>
        <v>0</v>
      </c>
      <c r="L144" s="124"/>
      <c r="M144" s="122"/>
      <c r="N144" s="123">
        <f>M144-L144</f>
        <v>0</v>
      </c>
      <c r="O144" s="124">
        <f>SUM(F144,I144,L144)</f>
        <v>0</v>
      </c>
      <c r="P144" s="122">
        <f>SUM(G144,J144,M144)</f>
        <v>0</v>
      </c>
      <c r="Q144" s="123">
        <f>P144-O144</f>
        <v>0</v>
      </c>
      <c r="R144" s="124"/>
      <c r="S144" s="122"/>
      <c r="T144" s="123">
        <f>S144-R144</f>
        <v>0</v>
      </c>
      <c r="U144" s="124"/>
      <c r="V144" s="122"/>
      <c r="W144" s="123">
        <f>V144-U144</f>
        <v>0</v>
      </c>
      <c r="X144" s="124"/>
      <c r="Y144" s="122"/>
      <c r="Z144" s="123">
        <f>Y144-X144</f>
        <v>0</v>
      </c>
      <c r="AA144" s="124">
        <f>SUM(R144,U144,X144)</f>
        <v>0</v>
      </c>
      <c r="AB144" s="122">
        <f>SUM(S144,V144,Y144)</f>
        <v>0</v>
      </c>
      <c r="AC144" s="123">
        <f>AB144-AA144</f>
        <v>0</v>
      </c>
      <c r="AD144" s="124"/>
      <c r="AE144" s="122"/>
      <c r="AF144" s="123">
        <f>AE144-AD144</f>
        <v>0</v>
      </c>
      <c r="AG144" s="124"/>
      <c r="AH144" s="122"/>
      <c r="AI144" s="123">
        <f>AH144-AG144</f>
        <v>0</v>
      </c>
      <c r="AJ144" s="124"/>
      <c r="AK144" s="122"/>
      <c r="AL144" s="123">
        <f>AK144-AJ144</f>
        <v>0</v>
      </c>
      <c r="AM144" s="124">
        <f>SUM(AD144,AG144,AJ144)</f>
        <v>0</v>
      </c>
      <c r="AN144" s="122">
        <f>SUM(AE144,AH144,AK144)</f>
        <v>0</v>
      </c>
      <c r="AO144" s="123">
        <f>AN144-AM144</f>
        <v>0</v>
      </c>
      <c r="AP144" s="124"/>
      <c r="AQ144" s="122"/>
      <c r="AR144" s="123">
        <f>AQ144-AP144</f>
        <v>0</v>
      </c>
      <c r="AS144" s="124"/>
      <c r="AT144" s="122"/>
      <c r="AU144" s="123">
        <f>AT144-AS144</f>
        <v>0</v>
      </c>
      <c r="AV144" s="124"/>
      <c r="AW144" s="122"/>
      <c r="AX144" s="123">
        <f>AW144-AV144</f>
        <v>0</v>
      </c>
      <c r="AY144" s="122">
        <f>SUM(AP144,AS144,AV144)</f>
        <v>0</v>
      </c>
      <c r="AZ144" s="122">
        <f>SUM(AQ144,AT144,AW144)</f>
        <v>0</v>
      </c>
      <c r="BA144" s="123">
        <f>AZ144-AY144</f>
        <v>0</v>
      </c>
      <c r="BB144" s="124">
        <f t="shared" si="216"/>
        <v>0</v>
      </c>
      <c r="BC144" s="122">
        <f t="shared" si="216"/>
        <v>0</v>
      </c>
      <c r="BD144" s="123">
        <f>BC144-BB144</f>
        <v>0</v>
      </c>
      <c r="BE144" s="124"/>
      <c r="BF144" s="124"/>
      <c r="BG144" s="186">
        <f t="shared" si="217"/>
        <v>0</v>
      </c>
    </row>
    <row r="145" spans="1:59" ht="13.5" hidden="1" customHeight="1" outlineLevel="1" thickBot="1" x14ac:dyDescent="0.3">
      <c r="A145" s="1"/>
      <c r="B145" s="79" t="s">
        <v>79</v>
      </c>
      <c r="C145" s="78" t="s">
        <v>68</v>
      </c>
      <c r="D145" s="184"/>
      <c r="E145" s="184"/>
      <c r="F145" s="111"/>
      <c r="G145" s="109"/>
      <c r="H145" s="42"/>
      <c r="I145" s="111"/>
      <c r="J145" s="109"/>
      <c r="K145" s="42"/>
      <c r="L145" s="111"/>
      <c r="M145" s="109"/>
      <c r="N145" s="42"/>
      <c r="O145" s="111"/>
      <c r="P145" s="109"/>
      <c r="Q145" s="42"/>
      <c r="R145" s="111"/>
      <c r="S145" s="109"/>
      <c r="T145" s="42"/>
      <c r="U145" s="111"/>
      <c r="V145" s="109"/>
      <c r="W145" s="42"/>
      <c r="X145" s="111"/>
      <c r="Y145" s="109"/>
      <c r="Z145" s="42"/>
      <c r="AA145" s="111"/>
      <c r="AB145" s="109"/>
      <c r="AC145" s="42"/>
      <c r="AD145" s="111"/>
      <c r="AE145" s="109"/>
      <c r="AF145" s="42"/>
      <c r="AG145" s="111"/>
      <c r="AH145" s="109"/>
      <c r="AI145" s="42"/>
      <c r="AJ145" s="111"/>
      <c r="AK145" s="109"/>
      <c r="AL145" s="42"/>
      <c r="AM145" s="111"/>
      <c r="AN145" s="109"/>
      <c r="AO145" s="42"/>
      <c r="AP145" s="111"/>
      <c r="AQ145" s="109"/>
      <c r="AR145" s="42"/>
      <c r="AS145" s="111"/>
      <c r="AT145" s="109"/>
      <c r="AU145" s="42"/>
      <c r="AV145" s="111"/>
      <c r="AW145" s="109"/>
      <c r="AX145" s="42"/>
      <c r="AY145" s="109"/>
      <c r="AZ145" s="109"/>
      <c r="BA145" s="110"/>
      <c r="BB145" s="111"/>
      <c r="BC145" s="109"/>
      <c r="BD145" s="110"/>
      <c r="BE145" s="111"/>
      <c r="BF145" s="111"/>
      <c r="BG145" s="186">
        <f>BB145+BE145+BF145</f>
        <v>0</v>
      </c>
    </row>
    <row r="146" spans="1:59" s="210" customFormat="1" ht="13.5" customHeight="1" collapsed="1" x14ac:dyDescent="0.25">
      <c r="A146" s="106" t="s">
        <v>80</v>
      </c>
      <c r="B146" s="105" t="s">
        <v>81</v>
      </c>
      <c r="C146" s="104" t="s">
        <v>32</v>
      </c>
      <c r="D146" s="192">
        <f t="shared" ref="D146:G161" si="218">IF(D73=0,0,D41/D73)</f>
        <v>0</v>
      </c>
      <c r="E146" s="192">
        <f t="shared" si="218"/>
        <v>0</v>
      </c>
      <c r="F146" s="195">
        <f t="shared" si="218"/>
        <v>0</v>
      </c>
      <c r="G146" s="193">
        <f t="shared" si="218"/>
        <v>0</v>
      </c>
      <c r="H146" s="194">
        <f t="shared" ref="H146:H161" si="219">G146-F146</f>
        <v>0</v>
      </c>
      <c r="I146" s="195">
        <f t="shared" ref="I146:J161" si="220">IF(I73=0,0,I41/I73)</f>
        <v>0</v>
      </c>
      <c r="J146" s="193">
        <f t="shared" si="220"/>
        <v>0</v>
      </c>
      <c r="K146" s="194">
        <f t="shared" ref="K146:K161" si="221">J146-I146</f>
        <v>0</v>
      </c>
      <c r="L146" s="195">
        <f t="shared" ref="L146:M161" si="222">IF(L73=0,0,L41/L73)</f>
        <v>0</v>
      </c>
      <c r="M146" s="193">
        <f t="shared" si="222"/>
        <v>0</v>
      </c>
      <c r="N146" s="194">
        <f t="shared" ref="N146:N161" si="223">M146-L146</f>
        <v>0</v>
      </c>
      <c r="O146" s="195">
        <f t="shared" ref="O146:P161" si="224">IF(O73=0,0,O41/O73)</f>
        <v>0</v>
      </c>
      <c r="P146" s="193">
        <f t="shared" si="224"/>
        <v>0</v>
      </c>
      <c r="Q146" s="194">
        <f t="shared" ref="Q146:Q161" si="225">P146-O146</f>
        <v>0</v>
      </c>
      <c r="R146" s="195">
        <f t="shared" ref="R146:S161" si="226">IF(R73=0,0,R41/R73)</f>
        <v>0</v>
      </c>
      <c r="S146" s="193">
        <f t="shared" si="226"/>
        <v>0</v>
      </c>
      <c r="T146" s="194">
        <f t="shared" ref="T146:T161" si="227">S146-R146</f>
        <v>0</v>
      </c>
      <c r="U146" s="195">
        <f t="shared" ref="U146:V161" si="228">IF(U73=0,0,U41/U73)</f>
        <v>0</v>
      </c>
      <c r="V146" s="193">
        <f t="shared" si="228"/>
        <v>0</v>
      </c>
      <c r="W146" s="194">
        <f t="shared" ref="W146:W161" si="229">V146-U146</f>
        <v>0</v>
      </c>
      <c r="X146" s="195">
        <f t="shared" ref="X146:Y161" si="230">IF(X73=0,0,X41/X73)</f>
        <v>0</v>
      </c>
      <c r="Y146" s="193">
        <f t="shared" si="230"/>
        <v>0</v>
      </c>
      <c r="Z146" s="194">
        <f t="shared" ref="Z146:Z161" si="231">Y146-X146</f>
        <v>0</v>
      </c>
      <c r="AA146" s="195">
        <f t="shared" ref="AA146:AB161" si="232">IF(AA73=0,0,AA41/AA73)</f>
        <v>0</v>
      </c>
      <c r="AB146" s="193">
        <f t="shared" si="232"/>
        <v>0</v>
      </c>
      <c r="AC146" s="194">
        <f t="shared" ref="AC146:AC161" si="233">AB146-AA146</f>
        <v>0</v>
      </c>
      <c r="AD146" s="195">
        <f t="shared" ref="AD146:AE161" si="234">IF(AD73=0,0,AD41/AD73)</f>
        <v>0</v>
      </c>
      <c r="AE146" s="193">
        <f t="shared" si="234"/>
        <v>0</v>
      </c>
      <c r="AF146" s="194">
        <f t="shared" ref="AF146:AF161" si="235">AE146-AD146</f>
        <v>0</v>
      </c>
      <c r="AG146" s="195">
        <f t="shared" ref="AG146:AH161" si="236">IF(AG73=0,0,AG41/AG73)</f>
        <v>0</v>
      </c>
      <c r="AH146" s="193">
        <f t="shared" si="236"/>
        <v>0</v>
      </c>
      <c r="AI146" s="194">
        <f t="shared" ref="AI146:AI161" si="237">AH146-AG146</f>
        <v>0</v>
      </c>
      <c r="AJ146" s="195">
        <f t="shared" ref="AJ146:AK161" si="238">IF(AJ73=0,0,AJ41/AJ73)</f>
        <v>0</v>
      </c>
      <c r="AK146" s="193">
        <f t="shared" si="238"/>
        <v>0</v>
      </c>
      <c r="AL146" s="194">
        <f t="shared" ref="AL146:AL161" si="239">AK146-AJ146</f>
        <v>0</v>
      </c>
      <c r="AM146" s="195">
        <f t="shared" ref="AM146:AN161" si="240">IF(AM73=0,0,AM41/AM73)</f>
        <v>0</v>
      </c>
      <c r="AN146" s="193">
        <f t="shared" si="240"/>
        <v>0</v>
      </c>
      <c r="AO146" s="194">
        <f t="shared" ref="AO146:AO161" si="241">AN146-AM146</f>
        <v>0</v>
      </c>
      <c r="AP146" s="195">
        <f t="shared" ref="AP146:AQ161" si="242">IF(AP73=0,0,AP41/AP73)</f>
        <v>0</v>
      </c>
      <c r="AQ146" s="193">
        <f t="shared" si="242"/>
        <v>0</v>
      </c>
      <c r="AR146" s="194">
        <f t="shared" ref="AR146:AR161" si="243">AQ146-AP146</f>
        <v>0</v>
      </c>
      <c r="AS146" s="195">
        <f t="shared" ref="AS146:AT161" si="244">IF(AS73=0,0,AS41/AS73)</f>
        <v>0</v>
      </c>
      <c r="AT146" s="193">
        <f t="shared" si="244"/>
        <v>0</v>
      </c>
      <c r="AU146" s="194">
        <f t="shared" ref="AU146:AU161" si="245">AT146-AS146</f>
        <v>0</v>
      </c>
      <c r="AV146" s="195">
        <f t="shared" ref="AV146:AW161" si="246">IF(AV73=0,0,AV41/AV73)</f>
        <v>0</v>
      </c>
      <c r="AW146" s="193">
        <f t="shared" si="246"/>
        <v>0</v>
      </c>
      <c r="AX146" s="194">
        <f t="shared" ref="AX146:AX161" si="247">AW146-AV146</f>
        <v>0</v>
      </c>
      <c r="AY146" s="193">
        <f t="shared" ref="AY146:AZ161" si="248">IF(AY73=0,0,AY41/AY73)</f>
        <v>0</v>
      </c>
      <c r="AZ146" s="193">
        <f t="shared" si="248"/>
        <v>0</v>
      </c>
      <c r="BA146" s="194">
        <f t="shared" ref="BA146:BA161" si="249">AZ146-AY146</f>
        <v>0</v>
      </c>
      <c r="BB146" s="195">
        <f t="shared" ref="BB146:BC161" si="250">IF(BB73=0,0,BB41/BB73)</f>
        <v>0</v>
      </c>
      <c r="BC146" s="193">
        <f t="shared" si="250"/>
        <v>0</v>
      </c>
      <c r="BD146" s="194">
        <f t="shared" ref="BD146:BD161" si="251">BC146-BB146</f>
        <v>0</v>
      </c>
      <c r="BE146" s="195">
        <f t="shared" ref="BE146:BF160" si="252">IF(BE73=0,0,BE41/BE73)</f>
        <v>0</v>
      </c>
      <c r="BF146" s="195">
        <f t="shared" si="252"/>
        <v>0</v>
      </c>
      <c r="BG146" s="192">
        <f t="shared" ref="BG146" si="253">IF(BG73=0,0,BG41/BG73)</f>
        <v>0</v>
      </c>
    </row>
    <row r="147" spans="1:59" s="210" customFormat="1" ht="13.5" customHeight="1" x14ac:dyDescent="0.25">
      <c r="A147" s="103"/>
      <c r="B147" s="102" t="s">
        <v>33</v>
      </c>
      <c r="C147" s="77" t="s">
        <v>32</v>
      </c>
      <c r="D147" s="188">
        <f t="shared" si="218"/>
        <v>0</v>
      </c>
      <c r="E147" s="188">
        <f t="shared" si="218"/>
        <v>0</v>
      </c>
      <c r="F147" s="191">
        <f t="shared" si="218"/>
        <v>0</v>
      </c>
      <c r="G147" s="189">
        <f t="shared" si="218"/>
        <v>0</v>
      </c>
      <c r="H147" s="190">
        <f t="shared" si="219"/>
        <v>0</v>
      </c>
      <c r="I147" s="191">
        <f t="shared" si="220"/>
        <v>0</v>
      </c>
      <c r="J147" s="189">
        <f t="shared" si="220"/>
        <v>0</v>
      </c>
      <c r="K147" s="190">
        <f t="shared" si="221"/>
        <v>0</v>
      </c>
      <c r="L147" s="191">
        <f t="shared" si="222"/>
        <v>0</v>
      </c>
      <c r="M147" s="189">
        <f t="shared" si="222"/>
        <v>0</v>
      </c>
      <c r="N147" s="190">
        <f t="shared" si="223"/>
        <v>0</v>
      </c>
      <c r="O147" s="191">
        <f t="shared" si="224"/>
        <v>0</v>
      </c>
      <c r="P147" s="189">
        <f t="shared" si="224"/>
        <v>0</v>
      </c>
      <c r="Q147" s="190">
        <f t="shared" si="225"/>
        <v>0</v>
      </c>
      <c r="R147" s="191">
        <f t="shared" si="226"/>
        <v>0</v>
      </c>
      <c r="S147" s="189">
        <f t="shared" si="226"/>
        <v>0</v>
      </c>
      <c r="T147" s="190">
        <f t="shared" si="227"/>
        <v>0</v>
      </c>
      <c r="U147" s="191">
        <f t="shared" si="228"/>
        <v>0</v>
      </c>
      <c r="V147" s="189">
        <f t="shared" si="228"/>
        <v>0</v>
      </c>
      <c r="W147" s="190">
        <f t="shared" si="229"/>
        <v>0</v>
      </c>
      <c r="X147" s="191">
        <f t="shared" si="230"/>
        <v>0</v>
      </c>
      <c r="Y147" s="189">
        <f t="shared" si="230"/>
        <v>0</v>
      </c>
      <c r="Z147" s="190">
        <f t="shared" si="231"/>
        <v>0</v>
      </c>
      <c r="AA147" s="191">
        <f t="shared" si="232"/>
        <v>0</v>
      </c>
      <c r="AB147" s="189">
        <f t="shared" si="232"/>
        <v>0</v>
      </c>
      <c r="AC147" s="190">
        <f t="shared" si="233"/>
        <v>0</v>
      </c>
      <c r="AD147" s="191">
        <f t="shared" si="234"/>
        <v>0</v>
      </c>
      <c r="AE147" s="189">
        <f t="shared" si="234"/>
        <v>0</v>
      </c>
      <c r="AF147" s="190">
        <f t="shared" si="235"/>
        <v>0</v>
      </c>
      <c r="AG147" s="191">
        <f t="shared" si="236"/>
        <v>0</v>
      </c>
      <c r="AH147" s="189">
        <f t="shared" si="236"/>
        <v>0</v>
      </c>
      <c r="AI147" s="190">
        <f t="shared" si="237"/>
        <v>0</v>
      </c>
      <c r="AJ147" s="191">
        <f t="shared" si="238"/>
        <v>0</v>
      </c>
      <c r="AK147" s="189">
        <f t="shared" si="238"/>
        <v>0</v>
      </c>
      <c r="AL147" s="190">
        <f t="shared" si="239"/>
        <v>0</v>
      </c>
      <c r="AM147" s="191">
        <f t="shared" si="240"/>
        <v>0</v>
      </c>
      <c r="AN147" s="189">
        <f t="shared" si="240"/>
        <v>0</v>
      </c>
      <c r="AO147" s="190">
        <f t="shared" si="241"/>
        <v>0</v>
      </c>
      <c r="AP147" s="191">
        <f t="shared" si="242"/>
        <v>0</v>
      </c>
      <c r="AQ147" s="189">
        <f t="shared" si="242"/>
        <v>0</v>
      </c>
      <c r="AR147" s="190">
        <f t="shared" si="243"/>
        <v>0</v>
      </c>
      <c r="AS147" s="191">
        <f t="shared" si="244"/>
        <v>0</v>
      </c>
      <c r="AT147" s="189">
        <f t="shared" si="244"/>
        <v>0</v>
      </c>
      <c r="AU147" s="190">
        <f t="shared" si="245"/>
        <v>0</v>
      </c>
      <c r="AV147" s="191">
        <f t="shared" si="246"/>
        <v>0</v>
      </c>
      <c r="AW147" s="189">
        <f t="shared" si="246"/>
        <v>0</v>
      </c>
      <c r="AX147" s="190">
        <f t="shared" si="247"/>
        <v>0</v>
      </c>
      <c r="AY147" s="189">
        <f t="shared" si="248"/>
        <v>0</v>
      </c>
      <c r="AZ147" s="189">
        <f t="shared" si="248"/>
        <v>0</v>
      </c>
      <c r="BA147" s="190">
        <f t="shared" si="249"/>
        <v>0</v>
      </c>
      <c r="BB147" s="191">
        <f t="shared" si="250"/>
        <v>0</v>
      </c>
      <c r="BC147" s="189">
        <f t="shared" si="250"/>
        <v>0</v>
      </c>
      <c r="BD147" s="190">
        <f t="shared" si="251"/>
        <v>0</v>
      </c>
      <c r="BE147" s="191">
        <f t="shared" si="252"/>
        <v>0</v>
      </c>
      <c r="BF147" s="191">
        <f t="shared" si="252"/>
        <v>0</v>
      </c>
      <c r="BG147" s="188">
        <f t="shared" ref="BG147" si="254">IF(BG74=0,0,BG42/BG74)</f>
        <v>0</v>
      </c>
    </row>
    <row r="148" spans="1:59" ht="13.5" hidden="1" customHeight="1" outlineLevel="1" x14ac:dyDescent="0.25">
      <c r="A148" s="100"/>
      <c r="B148" s="84" t="s">
        <v>34</v>
      </c>
      <c r="C148" s="26" t="s">
        <v>32</v>
      </c>
      <c r="D148" s="20">
        <f t="shared" si="218"/>
        <v>0</v>
      </c>
      <c r="E148" s="20">
        <f t="shared" si="218"/>
        <v>0</v>
      </c>
      <c r="F148" s="24">
        <f t="shared" si="218"/>
        <v>0</v>
      </c>
      <c r="G148" s="23">
        <f t="shared" si="218"/>
        <v>0</v>
      </c>
      <c r="H148" s="22">
        <f t="shared" si="219"/>
        <v>0</v>
      </c>
      <c r="I148" s="24">
        <f t="shared" si="220"/>
        <v>0</v>
      </c>
      <c r="J148" s="23">
        <f t="shared" si="220"/>
        <v>0</v>
      </c>
      <c r="K148" s="22">
        <f t="shared" si="221"/>
        <v>0</v>
      </c>
      <c r="L148" s="24">
        <f t="shared" si="222"/>
        <v>0</v>
      </c>
      <c r="M148" s="23">
        <f t="shared" si="222"/>
        <v>0</v>
      </c>
      <c r="N148" s="22">
        <f t="shared" si="223"/>
        <v>0</v>
      </c>
      <c r="O148" s="24">
        <f t="shared" si="224"/>
        <v>0</v>
      </c>
      <c r="P148" s="23">
        <f t="shared" si="224"/>
        <v>0</v>
      </c>
      <c r="Q148" s="22">
        <f t="shared" si="225"/>
        <v>0</v>
      </c>
      <c r="R148" s="24">
        <f t="shared" si="226"/>
        <v>0</v>
      </c>
      <c r="S148" s="23">
        <f t="shared" si="226"/>
        <v>0</v>
      </c>
      <c r="T148" s="22">
        <f t="shared" si="227"/>
        <v>0</v>
      </c>
      <c r="U148" s="24">
        <f t="shared" si="228"/>
        <v>0</v>
      </c>
      <c r="V148" s="23">
        <f t="shared" si="228"/>
        <v>0</v>
      </c>
      <c r="W148" s="22">
        <f t="shared" si="229"/>
        <v>0</v>
      </c>
      <c r="X148" s="24">
        <f t="shared" si="230"/>
        <v>0</v>
      </c>
      <c r="Y148" s="23">
        <f t="shared" si="230"/>
        <v>0</v>
      </c>
      <c r="Z148" s="22">
        <f t="shared" si="231"/>
        <v>0</v>
      </c>
      <c r="AA148" s="24">
        <f t="shared" si="232"/>
        <v>0</v>
      </c>
      <c r="AB148" s="23">
        <f t="shared" si="232"/>
        <v>0</v>
      </c>
      <c r="AC148" s="22">
        <f t="shared" si="233"/>
        <v>0</v>
      </c>
      <c r="AD148" s="24">
        <f t="shared" si="234"/>
        <v>0</v>
      </c>
      <c r="AE148" s="23">
        <f t="shared" si="234"/>
        <v>0</v>
      </c>
      <c r="AF148" s="22">
        <f t="shared" si="235"/>
        <v>0</v>
      </c>
      <c r="AG148" s="24">
        <f t="shared" si="236"/>
        <v>0</v>
      </c>
      <c r="AH148" s="23">
        <f t="shared" si="236"/>
        <v>0</v>
      </c>
      <c r="AI148" s="22">
        <f t="shared" si="237"/>
        <v>0</v>
      </c>
      <c r="AJ148" s="24">
        <f t="shared" si="238"/>
        <v>0</v>
      </c>
      <c r="AK148" s="23">
        <f t="shared" si="238"/>
        <v>0</v>
      </c>
      <c r="AL148" s="22">
        <f t="shared" si="239"/>
        <v>0</v>
      </c>
      <c r="AM148" s="24">
        <f t="shared" si="240"/>
        <v>0</v>
      </c>
      <c r="AN148" s="23">
        <f t="shared" si="240"/>
        <v>0</v>
      </c>
      <c r="AO148" s="22">
        <f t="shared" si="241"/>
        <v>0</v>
      </c>
      <c r="AP148" s="24">
        <f t="shared" si="242"/>
        <v>0</v>
      </c>
      <c r="AQ148" s="23">
        <f t="shared" si="242"/>
        <v>0</v>
      </c>
      <c r="AR148" s="22">
        <f t="shared" si="243"/>
        <v>0</v>
      </c>
      <c r="AS148" s="24">
        <f t="shared" si="244"/>
        <v>0</v>
      </c>
      <c r="AT148" s="23">
        <f t="shared" si="244"/>
        <v>0</v>
      </c>
      <c r="AU148" s="22">
        <f t="shared" si="245"/>
        <v>0</v>
      </c>
      <c r="AV148" s="24">
        <f t="shared" si="246"/>
        <v>0</v>
      </c>
      <c r="AW148" s="23">
        <f t="shared" si="246"/>
        <v>0</v>
      </c>
      <c r="AX148" s="22">
        <f t="shared" si="247"/>
        <v>0</v>
      </c>
      <c r="AY148" s="23">
        <f t="shared" si="248"/>
        <v>0</v>
      </c>
      <c r="AZ148" s="23">
        <f t="shared" si="248"/>
        <v>0</v>
      </c>
      <c r="BA148" s="22">
        <f t="shared" si="249"/>
        <v>0</v>
      </c>
      <c r="BB148" s="24">
        <f t="shared" si="250"/>
        <v>0</v>
      </c>
      <c r="BC148" s="23">
        <f t="shared" si="250"/>
        <v>0</v>
      </c>
      <c r="BD148" s="22">
        <f t="shared" si="251"/>
        <v>0</v>
      </c>
      <c r="BE148" s="24">
        <f t="shared" si="252"/>
        <v>0</v>
      </c>
      <c r="BF148" s="24">
        <f t="shared" si="252"/>
        <v>0</v>
      </c>
      <c r="BG148" s="20">
        <f t="shared" ref="BG148" si="255">IF(BG75=0,0,BG43/BG75)</f>
        <v>0</v>
      </c>
    </row>
    <row r="149" spans="1:59" ht="13.5" hidden="1" customHeight="1" outlineLevel="1" x14ac:dyDescent="0.25">
      <c r="A149" s="100"/>
      <c r="B149" s="84" t="s">
        <v>35</v>
      </c>
      <c r="C149" s="26" t="s">
        <v>32</v>
      </c>
      <c r="D149" s="20">
        <f t="shared" si="218"/>
        <v>0</v>
      </c>
      <c r="E149" s="20">
        <f t="shared" si="218"/>
        <v>0</v>
      </c>
      <c r="F149" s="24">
        <f t="shared" si="218"/>
        <v>0</v>
      </c>
      <c r="G149" s="23">
        <f t="shared" si="218"/>
        <v>0</v>
      </c>
      <c r="H149" s="22">
        <f t="shared" si="219"/>
        <v>0</v>
      </c>
      <c r="I149" s="24">
        <f t="shared" si="220"/>
        <v>0</v>
      </c>
      <c r="J149" s="23">
        <f t="shared" si="220"/>
        <v>0</v>
      </c>
      <c r="K149" s="22">
        <f t="shared" si="221"/>
        <v>0</v>
      </c>
      <c r="L149" s="24">
        <f t="shared" si="222"/>
        <v>0</v>
      </c>
      <c r="M149" s="23">
        <f t="shared" si="222"/>
        <v>0</v>
      </c>
      <c r="N149" s="22">
        <f t="shared" si="223"/>
        <v>0</v>
      </c>
      <c r="O149" s="24">
        <f t="shared" si="224"/>
        <v>0</v>
      </c>
      <c r="P149" s="23">
        <f t="shared" si="224"/>
        <v>0</v>
      </c>
      <c r="Q149" s="22">
        <f t="shared" si="225"/>
        <v>0</v>
      </c>
      <c r="R149" s="24">
        <f t="shared" si="226"/>
        <v>0</v>
      </c>
      <c r="S149" s="23">
        <f t="shared" si="226"/>
        <v>0</v>
      </c>
      <c r="T149" s="22">
        <f t="shared" si="227"/>
        <v>0</v>
      </c>
      <c r="U149" s="24">
        <f t="shared" si="228"/>
        <v>0</v>
      </c>
      <c r="V149" s="23">
        <f t="shared" si="228"/>
        <v>0</v>
      </c>
      <c r="W149" s="22">
        <f t="shared" si="229"/>
        <v>0</v>
      </c>
      <c r="X149" s="24">
        <f t="shared" si="230"/>
        <v>0</v>
      </c>
      <c r="Y149" s="23">
        <f t="shared" si="230"/>
        <v>0</v>
      </c>
      <c r="Z149" s="22">
        <f t="shared" si="231"/>
        <v>0</v>
      </c>
      <c r="AA149" s="24">
        <f t="shared" si="232"/>
        <v>0</v>
      </c>
      <c r="AB149" s="23">
        <f t="shared" si="232"/>
        <v>0</v>
      </c>
      <c r="AC149" s="22">
        <f t="shared" si="233"/>
        <v>0</v>
      </c>
      <c r="AD149" s="24">
        <f t="shared" si="234"/>
        <v>0</v>
      </c>
      <c r="AE149" s="23">
        <f t="shared" si="234"/>
        <v>0</v>
      </c>
      <c r="AF149" s="22">
        <f t="shared" si="235"/>
        <v>0</v>
      </c>
      <c r="AG149" s="24">
        <f t="shared" si="236"/>
        <v>0</v>
      </c>
      <c r="AH149" s="23">
        <f t="shared" si="236"/>
        <v>0</v>
      </c>
      <c r="AI149" s="22">
        <f t="shared" si="237"/>
        <v>0</v>
      </c>
      <c r="AJ149" s="24">
        <f t="shared" si="238"/>
        <v>0</v>
      </c>
      <c r="AK149" s="23">
        <f t="shared" si="238"/>
        <v>0</v>
      </c>
      <c r="AL149" s="22">
        <f t="shared" si="239"/>
        <v>0</v>
      </c>
      <c r="AM149" s="24">
        <f t="shared" si="240"/>
        <v>0</v>
      </c>
      <c r="AN149" s="23">
        <f t="shared" si="240"/>
        <v>0</v>
      </c>
      <c r="AO149" s="22">
        <f t="shared" si="241"/>
        <v>0</v>
      </c>
      <c r="AP149" s="24">
        <f t="shared" si="242"/>
        <v>0</v>
      </c>
      <c r="AQ149" s="23">
        <f t="shared" si="242"/>
        <v>0</v>
      </c>
      <c r="AR149" s="22">
        <f t="shared" si="243"/>
        <v>0</v>
      </c>
      <c r="AS149" s="24">
        <f t="shared" si="244"/>
        <v>0</v>
      </c>
      <c r="AT149" s="23">
        <f t="shared" si="244"/>
        <v>0</v>
      </c>
      <c r="AU149" s="22">
        <f t="shared" si="245"/>
        <v>0</v>
      </c>
      <c r="AV149" s="24">
        <f t="shared" si="246"/>
        <v>0</v>
      </c>
      <c r="AW149" s="23">
        <f t="shared" si="246"/>
        <v>0</v>
      </c>
      <c r="AX149" s="22">
        <f t="shared" si="247"/>
        <v>0</v>
      </c>
      <c r="AY149" s="23">
        <f t="shared" si="248"/>
        <v>0</v>
      </c>
      <c r="AZ149" s="23">
        <f t="shared" si="248"/>
        <v>0</v>
      </c>
      <c r="BA149" s="22">
        <f t="shared" si="249"/>
        <v>0</v>
      </c>
      <c r="BB149" s="24">
        <f t="shared" si="250"/>
        <v>0</v>
      </c>
      <c r="BC149" s="23">
        <f t="shared" si="250"/>
        <v>0</v>
      </c>
      <c r="BD149" s="22">
        <f t="shared" si="251"/>
        <v>0</v>
      </c>
      <c r="BE149" s="24">
        <f t="shared" si="252"/>
        <v>0</v>
      </c>
      <c r="BF149" s="24">
        <f t="shared" si="252"/>
        <v>0</v>
      </c>
      <c r="BG149" s="20">
        <f t="shared" ref="BG149" si="256">IF(BG76=0,0,BG44/BG76)</f>
        <v>0</v>
      </c>
    </row>
    <row r="150" spans="1:59" ht="13.5" hidden="1" customHeight="1" outlineLevel="1" x14ac:dyDescent="0.25">
      <c r="A150" s="100"/>
      <c r="B150" s="84" t="s">
        <v>36</v>
      </c>
      <c r="C150" s="26" t="s">
        <v>32</v>
      </c>
      <c r="D150" s="20">
        <f t="shared" si="218"/>
        <v>0</v>
      </c>
      <c r="E150" s="20">
        <f t="shared" si="218"/>
        <v>0</v>
      </c>
      <c r="F150" s="24">
        <f t="shared" si="218"/>
        <v>0</v>
      </c>
      <c r="G150" s="23">
        <f t="shared" si="218"/>
        <v>0</v>
      </c>
      <c r="H150" s="22">
        <f t="shared" si="219"/>
        <v>0</v>
      </c>
      <c r="I150" s="24">
        <f t="shared" si="220"/>
        <v>0</v>
      </c>
      <c r="J150" s="23">
        <f t="shared" si="220"/>
        <v>0</v>
      </c>
      <c r="K150" s="22">
        <f t="shared" si="221"/>
        <v>0</v>
      </c>
      <c r="L150" s="24">
        <f t="shared" si="222"/>
        <v>0</v>
      </c>
      <c r="M150" s="23">
        <f t="shared" si="222"/>
        <v>0</v>
      </c>
      <c r="N150" s="22">
        <f t="shared" si="223"/>
        <v>0</v>
      </c>
      <c r="O150" s="24">
        <f t="shared" si="224"/>
        <v>0</v>
      </c>
      <c r="P150" s="23">
        <f t="shared" si="224"/>
        <v>0</v>
      </c>
      <c r="Q150" s="22">
        <f t="shared" si="225"/>
        <v>0</v>
      </c>
      <c r="R150" s="24">
        <f t="shared" si="226"/>
        <v>0</v>
      </c>
      <c r="S150" s="23">
        <f t="shared" si="226"/>
        <v>0</v>
      </c>
      <c r="T150" s="22">
        <f t="shared" si="227"/>
        <v>0</v>
      </c>
      <c r="U150" s="24">
        <f t="shared" si="228"/>
        <v>0</v>
      </c>
      <c r="V150" s="23">
        <f t="shared" si="228"/>
        <v>0</v>
      </c>
      <c r="W150" s="22">
        <f t="shared" si="229"/>
        <v>0</v>
      </c>
      <c r="X150" s="24">
        <f t="shared" si="230"/>
        <v>0</v>
      </c>
      <c r="Y150" s="23">
        <f t="shared" si="230"/>
        <v>0</v>
      </c>
      <c r="Z150" s="22">
        <f t="shared" si="231"/>
        <v>0</v>
      </c>
      <c r="AA150" s="24">
        <f t="shared" si="232"/>
        <v>0</v>
      </c>
      <c r="AB150" s="23">
        <f t="shared" si="232"/>
        <v>0</v>
      </c>
      <c r="AC150" s="22">
        <f t="shared" si="233"/>
        <v>0</v>
      </c>
      <c r="AD150" s="24">
        <f t="shared" si="234"/>
        <v>0</v>
      </c>
      <c r="AE150" s="23">
        <f t="shared" si="234"/>
        <v>0</v>
      </c>
      <c r="AF150" s="22">
        <f t="shared" si="235"/>
        <v>0</v>
      </c>
      <c r="AG150" s="24">
        <f t="shared" si="236"/>
        <v>0</v>
      </c>
      <c r="AH150" s="23">
        <f t="shared" si="236"/>
        <v>0</v>
      </c>
      <c r="AI150" s="22">
        <f t="shared" si="237"/>
        <v>0</v>
      </c>
      <c r="AJ150" s="24">
        <f t="shared" si="238"/>
        <v>0</v>
      </c>
      <c r="AK150" s="23">
        <f t="shared" si="238"/>
        <v>0</v>
      </c>
      <c r="AL150" s="22">
        <f t="shared" si="239"/>
        <v>0</v>
      </c>
      <c r="AM150" s="24">
        <f t="shared" si="240"/>
        <v>0</v>
      </c>
      <c r="AN150" s="23">
        <f t="shared" si="240"/>
        <v>0</v>
      </c>
      <c r="AO150" s="22">
        <f t="shared" si="241"/>
        <v>0</v>
      </c>
      <c r="AP150" s="24">
        <f t="shared" si="242"/>
        <v>0</v>
      </c>
      <c r="AQ150" s="23">
        <f t="shared" si="242"/>
        <v>0</v>
      </c>
      <c r="AR150" s="22">
        <f t="shared" si="243"/>
        <v>0</v>
      </c>
      <c r="AS150" s="24">
        <f t="shared" si="244"/>
        <v>0</v>
      </c>
      <c r="AT150" s="23">
        <f t="shared" si="244"/>
        <v>0</v>
      </c>
      <c r="AU150" s="22">
        <f t="shared" si="245"/>
        <v>0</v>
      </c>
      <c r="AV150" s="24">
        <f t="shared" si="246"/>
        <v>0</v>
      </c>
      <c r="AW150" s="23">
        <f t="shared" si="246"/>
        <v>0</v>
      </c>
      <c r="AX150" s="22">
        <f t="shared" si="247"/>
        <v>0</v>
      </c>
      <c r="AY150" s="23">
        <f t="shared" si="248"/>
        <v>0</v>
      </c>
      <c r="AZ150" s="23">
        <f t="shared" si="248"/>
        <v>0</v>
      </c>
      <c r="BA150" s="22">
        <f t="shared" si="249"/>
        <v>0</v>
      </c>
      <c r="BB150" s="24">
        <f t="shared" si="250"/>
        <v>0</v>
      </c>
      <c r="BC150" s="23">
        <f t="shared" si="250"/>
        <v>0</v>
      </c>
      <c r="BD150" s="22">
        <f t="shared" si="251"/>
        <v>0</v>
      </c>
      <c r="BE150" s="24">
        <f t="shared" si="252"/>
        <v>0</v>
      </c>
      <c r="BF150" s="24">
        <f t="shared" si="252"/>
        <v>0</v>
      </c>
      <c r="BG150" s="20">
        <f t="shared" ref="BG150" si="257">IF(BG77=0,0,BG45/BG77)</f>
        <v>0</v>
      </c>
    </row>
    <row r="151" spans="1:59" ht="13.5" hidden="1" customHeight="1" outlineLevel="1" x14ac:dyDescent="0.25">
      <c r="A151" s="100"/>
      <c r="B151" s="84" t="s">
        <v>37</v>
      </c>
      <c r="C151" s="26" t="s">
        <v>32</v>
      </c>
      <c r="D151" s="20">
        <f t="shared" si="218"/>
        <v>0</v>
      </c>
      <c r="E151" s="20">
        <f t="shared" si="218"/>
        <v>0</v>
      </c>
      <c r="F151" s="24">
        <f t="shared" si="218"/>
        <v>0</v>
      </c>
      <c r="G151" s="23">
        <f t="shared" si="218"/>
        <v>0</v>
      </c>
      <c r="H151" s="22">
        <f t="shared" si="219"/>
        <v>0</v>
      </c>
      <c r="I151" s="24">
        <f t="shared" si="220"/>
        <v>0</v>
      </c>
      <c r="J151" s="23">
        <f t="shared" si="220"/>
        <v>0</v>
      </c>
      <c r="K151" s="22">
        <f t="shared" si="221"/>
        <v>0</v>
      </c>
      <c r="L151" s="24">
        <f t="shared" si="222"/>
        <v>0</v>
      </c>
      <c r="M151" s="23">
        <f t="shared" si="222"/>
        <v>0</v>
      </c>
      <c r="N151" s="22">
        <f t="shared" si="223"/>
        <v>0</v>
      </c>
      <c r="O151" s="24">
        <f t="shared" si="224"/>
        <v>0</v>
      </c>
      <c r="P151" s="23">
        <f t="shared" si="224"/>
        <v>0</v>
      </c>
      <c r="Q151" s="22">
        <f t="shared" si="225"/>
        <v>0</v>
      </c>
      <c r="R151" s="24">
        <f t="shared" si="226"/>
        <v>0</v>
      </c>
      <c r="S151" s="23">
        <f t="shared" si="226"/>
        <v>0</v>
      </c>
      <c r="T151" s="22">
        <f t="shared" si="227"/>
        <v>0</v>
      </c>
      <c r="U151" s="24">
        <f t="shared" si="228"/>
        <v>0</v>
      </c>
      <c r="V151" s="23">
        <f t="shared" si="228"/>
        <v>0</v>
      </c>
      <c r="W151" s="22">
        <f t="shared" si="229"/>
        <v>0</v>
      </c>
      <c r="X151" s="24">
        <f t="shared" si="230"/>
        <v>0</v>
      </c>
      <c r="Y151" s="23">
        <f t="shared" si="230"/>
        <v>0</v>
      </c>
      <c r="Z151" s="22">
        <f t="shared" si="231"/>
        <v>0</v>
      </c>
      <c r="AA151" s="24">
        <f t="shared" si="232"/>
        <v>0</v>
      </c>
      <c r="AB151" s="23">
        <f t="shared" si="232"/>
        <v>0</v>
      </c>
      <c r="AC151" s="22">
        <f t="shared" si="233"/>
        <v>0</v>
      </c>
      <c r="AD151" s="24">
        <f t="shared" si="234"/>
        <v>0</v>
      </c>
      <c r="AE151" s="23">
        <f t="shared" si="234"/>
        <v>0</v>
      </c>
      <c r="AF151" s="22">
        <f t="shared" si="235"/>
        <v>0</v>
      </c>
      <c r="AG151" s="24">
        <f t="shared" si="236"/>
        <v>0</v>
      </c>
      <c r="AH151" s="23">
        <f t="shared" si="236"/>
        <v>0</v>
      </c>
      <c r="AI151" s="22">
        <f t="shared" si="237"/>
        <v>0</v>
      </c>
      <c r="AJ151" s="24">
        <f t="shared" si="238"/>
        <v>0</v>
      </c>
      <c r="AK151" s="23">
        <f t="shared" si="238"/>
        <v>0</v>
      </c>
      <c r="AL151" s="22">
        <f t="shared" si="239"/>
        <v>0</v>
      </c>
      <c r="AM151" s="24">
        <f t="shared" si="240"/>
        <v>0</v>
      </c>
      <c r="AN151" s="23">
        <f t="shared" si="240"/>
        <v>0</v>
      </c>
      <c r="AO151" s="22">
        <f t="shared" si="241"/>
        <v>0</v>
      </c>
      <c r="AP151" s="24">
        <f t="shared" si="242"/>
        <v>0</v>
      </c>
      <c r="AQ151" s="23">
        <f t="shared" si="242"/>
        <v>0</v>
      </c>
      <c r="AR151" s="22">
        <f t="shared" si="243"/>
        <v>0</v>
      </c>
      <c r="AS151" s="24">
        <f t="shared" si="244"/>
        <v>0</v>
      </c>
      <c r="AT151" s="23">
        <f t="shared" si="244"/>
        <v>0</v>
      </c>
      <c r="AU151" s="22">
        <f t="shared" si="245"/>
        <v>0</v>
      </c>
      <c r="AV151" s="24">
        <f t="shared" si="246"/>
        <v>0</v>
      </c>
      <c r="AW151" s="23">
        <f t="shared" si="246"/>
        <v>0</v>
      </c>
      <c r="AX151" s="22">
        <f t="shared" si="247"/>
        <v>0</v>
      </c>
      <c r="AY151" s="23">
        <f t="shared" si="248"/>
        <v>0</v>
      </c>
      <c r="AZ151" s="23">
        <f t="shared" si="248"/>
        <v>0</v>
      </c>
      <c r="BA151" s="22">
        <f t="shared" si="249"/>
        <v>0</v>
      </c>
      <c r="BB151" s="24">
        <f t="shared" si="250"/>
        <v>0</v>
      </c>
      <c r="BC151" s="23">
        <f t="shared" si="250"/>
        <v>0</v>
      </c>
      <c r="BD151" s="22">
        <f t="shared" si="251"/>
        <v>0</v>
      </c>
      <c r="BE151" s="24">
        <f t="shared" si="252"/>
        <v>0</v>
      </c>
      <c r="BF151" s="24">
        <f t="shared" si="252"/>
        <v>0</v>
      </c>
      <c r="BG151" s="20">
        <f t="shared" ref="BG151" si="258">IF(BG78=0,0,BG46/BG78)</f>
        <v>0</v>
      </c>
    </row>
    <row r="152" spans="1:59" ht="13.5" hidden="1" customHeight="1" outlineLevel="1" x14ac:dyDescent="0.25">
      <c r="A152" s="100"/>
      <c r="B152" s="84" t="s">
        <v>38</v>
      </c>
      <c r="C152" s="26" t="s">
        <v>32</v>
      </c>
      <c r="D152" s="20">
        <f t="shared" si="218"/>
        <v>0</v>
      </c>
      <c r="E152" s="20">
        <f t="shared" si="218"/>
        <v>0</v>
      </c>
      <c r="F152" s="24">
        <f t="shared" si="218"/>
        <v>0</v>
      </c>
      <c r="G152" s="23">
        <f t="shared" si="218"/>
        <v>0</v>
      </c>
      <c r="H152" s="22">
        <f t="shared" si="219"/>
        <v>0</v>
      </c>
      <c r="I152" s="24">
        <f t="shared" si="220"/>
        <v>0</v>
      </c>
      <c r="J152" s="23">
        <f t="shared" si="220"/>
        <v>0</v>
      </c>
      <c r="K152" s="22">
        <f t="shared" si="221"/>
        <v>0</v>
      </c>
      <c r="L152" s="24">
        <f t="shared" si="222"/>
        <v>0</v>
      </c>
      <c r="M152" s="23">
        <f t="shared" si="222"/>
        <v>0</v>
      </c>
      <c r="N152" s="22">
        <f t="shared" si="223"/>
        <v>0</v>
      </c>
      <c r="O152" s="24">
        <f t="shared" si="224"/>
        <v>0</v>
      </c>
      <c r="P152" s="23">
        <f t="shared" si="224"/>
        <v>0</v>
      </c>
      <c r="Q152" s="22">
        <f t="shared" si="225"/>
        <v>0</v>
      </c>
      <c r="R152" s="24">
        <f t="shared" si="226"/>
        <v>0</v>
      </c>
      <c r="S152" s="23">
        <f t="shared" si="226"/>
        <v>0</v>
      </c>
      <c r="T152" s="22">
        <f t="shared" si="227"/>
        <v>0</v>
      </c>
      <c r="U152" s="24">
        <f t="shared" si="228"/>
        <v>0</v>
      </c>
      <c r="V152" s="23">
        <f t="shared" si="228"/>
        <v>0</v>
      </c>
      <c r="W152" s="22">
        <f t="shared" si="229"/>
        <v>0</v>
      </c>
      <c r="X152" s="24">
        <f t="shared" si="230"/>
        <v>0</v>
      </c>
      <c r="Y152" s="23">
        <f t="shared" si="230"/>
        <v>0</v>
      </c>
      <c r="Z152" s="22">
        <f t="shared" si="231"/>
        <v>0</v>
      </c>
      <c r="AA152" s="24">
        <f t="shared" si="232"/>
        <v>0</v>
      </c>
      <c r="AB152" s="23">
        <f t="shared" si="232"/>
        <v>0</v>
      </c>
      <c r="AC152" s="22">
        <f t="shared" si="233"/>
        <v>0</v>
      </c>
      <c r="AD152" s="24">
        <f t="shared" si="234"/>
        <v>0</v>
      </c>
      <c r="AE152" s="23">
        <f t="shared" si="234"/>
        <v>0</v>
      </c>
      <c r="AF152" s="22">
        <f t="shared" si="235"/>
        <v>0</v>
      </c>
      <c r="AG152" s="24">
        <f t="shared" si="236"/>
        <v>0</v>
      </c>
      <c r="AH152" s="23">
        <f t="shared" si="236"/>
        <v>0</v>
      </c>
      <c r="AI152" s="22">
        <f t="shared" si="237"/>
        <v>0</v>
      </c>
      <c r="AJ152" s="24">
        <f t="shared" si="238"/>
        <v>0</v>
      </c>
      <c r="AK152" s="23">
        <f t="shared" si="238"/>
        <v>0</v>
      </c>
      <c r="AL152" s="22">
        <f t="shared" si="239"/>
        <v>0</v>
      </c>
      <c r="AM152" s="24">
        <f t="shared" si="240"/>
        <v>0</v>
      </c>
      <c r="AN152" s="23">
        <f t="shared" si="240"/>
        <v>0</v>
      </c>
      <c r="AO152" s="22">
        <f t="shared" si="241"/>
        <v>0</v>
      </c>
      <c r="AP152" s="24">
        <f t="shared" si="242"/>
        <v>0</v>
      </c>
      <c r="AQ152" s="23">
        <f t="shared" si="242"/>
        <v>0</v>
      </c>
      <c r="AR152" s="22">
        <f t="shared" si="243"/>
        <v>0</v>
      </c>
      <c r="AS152" s="24">
        <f t="shared" si="244"/>
        <v>0</v>
      </c>
      <c r="AT152" s="23">
        <f t="shared" si="244"/>
        <v>0</v>
      </c>
      <c r="AU152" s="22">
        <f t="shared" si="245"/>
        <v>0</v>
      </c>
      <c r="AV152" s="24">
        <f t="shared" si="246"/>
        <v>0</v>
      </c>
      <c r="AW152" s="23">
        <f t="shared" si="246"/>
        <v>0</v>
      </c>
      <c r="AX152" s="22">
        <f t="shared" si="247"/>
        <v>0</v>
      </c>
      <c r="AY152" s="23">
        <f t="shared" si="248"/>
        <v>0</v>
      </c>
      <c r="AZ152" s="23">
        <f t="shared" si="248"/>
        <v>0</v>
      </c>
      <c r="BA152" s="22">
        <f t="shared" si="249"/>
        <v>0</v>
      </c>
      <c r="BB152" s="24">
        <f t="shared" si="250"/>
        <v>0</v>
      </c>
      <c r="BC152" s="23">
        <f t="shared" si="250"/>
        <v>0</v>
      </c>
      <c r="BD152" s="22">
        <f t="shared" si="251"/>
        <v>0</v>
      </c>
      <c r="BE152" s="24">
        <f t="shared" si="252"/>
        <v>0</v>
      </c>
      <c r="BF152" s="24">
        <f t="shared" si="252"/>
        <v>0</v>
      </c>
      <c r="BG152" s="20">
        <f t="shared" ref="BG152" si="259">IF(BG79=0,0,BG47/BG79)</f>
        <v>0</v>
      </c>
    </row>
    <row r="153" spans="1:59" ht="13.5" hidden="1" customHeight="1" outlineLevel="1" x14ac:dyDescent="0.25">
      <c r="A153" s="100"/>
      <c r="B153" s="84" t="s">
        <v>39</v>
      </c>
      <c r="C153" s="26" t="s">
        <v>32</v>
      </c>
      <c r="D153" s="20">
        <f t="shared" si="218"/>
        <v>0</v>
      </c>
      <c r="E153" s="20">
        <f t="shared" si="218"/>
        <v>0</v>
      </c>
      <c r="F153" s="24">
        <f t="shared" si="218"/>
        <v>0</v>
      </c>
      <c r="G153" s="23">
        <f t="shared" si="218"/>
        <v>0</v>
      </c>
      <c r="H153" s="22">
        <f t="shared" si="219"/>
        <v>0</v>
      </c>
      <c r="I153" s="24">
        <f t="shared" si="220"/>
        <v>0</v>
      </c>
      <c r="J153" s="23">
        <f t="shared" si="220"/>
        <v>0</v>
      </c>
      <c r="K153" s="22">
        <f t="shared" si="221"/>
        <v>0</v>
      </c>
      <c r="L153" s="24">
        <f t="shared" si="222"/>
        <v>0</v>
      </c>
      <c r="M153" s="23">
        <f t="shared" si="222"/>
        <v>0</v>
      </c>
      <c r="N153" s="22">
        <f t="shared" si="223"/>
        <v>0</v>
      </c>
      <c r="O153" s="24">
        <f t="shared" si="224"/>
        <v>0</v>
      </c>
      <c r="P153" s="23">
        <f t="shared" si="224"/>
        <v>0</v>
      </c>
      <c r="Q153" s="22">
        <f t="shared" si="225"/>
        <v>0</v>
      </c>
      <c r="R153" s="24">
        <f t="shared" si="226"/>
        <v>0</v>
      </c>
      <c r="S153" s="23">
        <f t="shared" si="226"/>
        <v>0</v>
      </c>
      <c r="T153" s="22">
        <f t="shared" si="227"/>
        <v>0</v>
      </c>
      <c r="U153" s="24">
        <f t="shared" si="228"/>
        <v>0</v>
      </c>
      <c r="V153" s="23">
        <f t="shared" si="228"/>
        <v>0</v>
      </c>
      <c r="W153" s="22">
        <f t="shared" si="229"/>
        <v>0</v>
      </c>
      <c r="X153" s="24">
        <f t="shared" si="230"/>
        <v>0</v>
      </c>
      <c r="Y153" s="23">
        <f t="shared" si="230"/>
        <v>0</v>
      </c>
      <c r="Z153" s="22">
        <f t="shared" si="231"/>
        <v>0</v>
      </c>
      <c r="AA153" s="24">
        <f t="shared" si="232"/>
        <v>0</v>
      </c>
      <c r="AB153" s="23">
        <f t="shared" si="232"/>
        <v>0</v>
      </c>
      <c r="AC153" s="22">
        <f t="shared" si="233"/>
        <v>0</v>
      </c>
      <c r="AD153" s="24">
        <f t="shared" si="234"/>
        <v>0</v>
      </c>
      <c r="AE153" s="23">
        <f t="shared" si="234"/>
        <v>0</v>
      </c>
      <c r="AF153" s="22">
        <f t="shared" si="235"/>
        <v>0</v>
      </c>
      <c r="AG153" s="24">
        <f t="shared" si="236"/>
        <v>0</v>
      </c>
      <c r="AH153" s="23">
        <f t="shared" si="236"/>
        <v>0</v>
      </c>
      <c r="AI153" s="22">
        <f t="shared" si="237"/>
        <v>0</v>
      </c>
      <c r="AJ153" s="24">
        <f t="shared" si="238"/>
        <v>0</v>
      </c>
      <c r="AK153" s="23">
        <f t="shared" si="238"/>
        <v>0</v>
      </c>
      <c r="AL153" s="22">
        <f t="shared" si="239"/>
        <v>0</v>
      </c>
      <c r="AM153" s="24">
        <f t="shared" si="240"/>
        <v>0</v>
      </c>
      <c r="AN153" s="23">
        <f t="shared" si="240"/>
        <v>0</v>
      </c>
      <c r="AO153" s="22">
        <f t="shared" si="241"/>
        <v>0</v>
      </c>
      <c r="AP153" s="24">
        <f t="shared" si="242"/>
        <v>0</v>
      </c>
      <c r="AQ153" s="23">
        <f t="shared" si="242"/>
        <v>0</v>
      </c>
      <c r="AR153" s="22">
        <f t="shared" si="243"/>
        <v>0</v>
      </c>
      <c r="AS153" s="24">
        <f t="shared" si="244"/>
        <v>0</v>
      </c>
      <c r="AT153" s="23">
        <f t="shared" si="244"/>
        <v>0</v>
      </c>
      <c r="AU153" s="22">
        <f t="shared" si="245"/>
        <v>0</v>
      </c>
      <c r="AV153" s="24">
        <f t="shared" si="246"/>
        <v>0</v>
      </c>
      <c r="AW153" s="23">
        <f t="shared" si="246"/>
        <v>0</v>
      </c>
      <c r="AX153" s="22">
        <f t="shared" si="247"/>
        <v>0</v>
      </c>
      <c r="AY153" s="23">
        <f t="shared" si="248"/>
        <v>0</v>
      </c>
      <c r="AZ153" s="23">
        <f t="shared" si="248"/>
        <v>0</v>
      </c>
      <c r="BA153" s="22">
        <f t="shared" si="249"/>
        <v>0</v>
      </c>
      <c r="BB153" s="24">
        <f t="shared" si="250"/>
        <v>0</v>
      </c>
      <c r="BC153" s="23">
        <f t="shared" si="250"/>
        <v>0</v>
      </c>
      <c r="BD153" s="22">
        <f t="shared" si="251"/>
        <v>0</v>
      </c>
      <c r="BE153" s="24">
        <f t="shared" si="252"/>
        <v>0</v>
      </c>
      <c r="BF153" s="24">
        <f t="shared" si="252"/>
        <v>0</v>
      </c>
      <c r="BG153" s="20">
        <f t="shared" ref="BG153" si="260">IF(BG80=0,0,BG48/BG80)</f>
        <v>0</v>
      </c>
    </row>
    <row r="154" spans="1:59" ht="13.5" hidden="1" customHeight="1" outlineLevel="1" x14ac:dyDescent="0.25">
      <c r="A154" s="100"/>
      <c r="B154" s="84" t="s">
        <v>40</v>
      </c>
      <c r="C154" s="26" t="s">
        <v>32</v>
      </c>
      <c r="D154" s="20">
        <f t="shared" si="218"/>
        <v>0</v>
      </c>
      <c r="E154" s="20">
        <f t="shared" si="218"/>
        <v>0</v>
      </c>
      <c r="F154" s="24">
        <f t="shared" si="218"/>
        <v>0</v>
      </c>
      <c r="G154" s="23">
        <f t="shared" si="218"/>
        <v>0</v>
      </c>
      <c r="H154" s="22">
        <f t="shared" si="219"/>
        <v>0</v>
      </c>
      <c r="I154" s="24">
        <f t="shared" si="220"/>
        <v>0</v>
      </c>
      <c r="J154" s="23">
        <f t="shared" si="220"/>
        <v>0</v>
      </c>
      <c r="K154" s="22">
        <f t="shared" si="221"/>
        <v>0</v>
      </c>
      <c r="L154" s="24">
        <f t="shared" si="222"/>
        <v>0</v>
      </c>
      <c r="M154" s="23">
        <f t="shared" si="222"/>
        <v>0</v>
      </c>
      <c r="N154" s="22">
        <f t="shared" si="223"/>
        <v>0</v>
      </c>
      <c r="O154" s="24">
        <f t="shared" si="224"/>
        <v>0</v>
      </c>
      <c r="P154" s="23">
        <f t="shared" si="224"/>
        <v>0</v>
      </c>
      <c r="Q154" s="22">
        <f t="shared" si="225"/>
        <v>0</v>
      </c>
      <c r="R154" s="24">
        <f t="shared" si="226"/>
        <v>0</v>
      </c>
      <c r="S154" s="23">
        <f t="shared" si="226"/>
        <v>0</v>
      </c>
      <c r="T154" s="22">
        <f t="shared" si="227"/>
        <v>0</v>
      </c>
      <c r="U154" s="24">
        <f t="shared" si="228"/>
        <v>0</v>
      </c>
      <c r="V154" s="23">
        <f t="shared" si="228"/>
        <v>0</v>
      </c>
      <c r="W154" s="22">
        <f t="shared" si="229"/>
        <v>0</v>
      </c>
      <c r="X154" s="24">
        <f t="shared" si="230"/>
        <v>0</v>
      </c>
      <c r="Y154" s="23">
        <f t="shared" si="230"/>
        <v>0</v>
      </c>
      <c r="Z154" s="22">
        <f t="shared" si="231"/>
        <v>0</v>
      </c>
      <c r="AA154" s="24">
        <f t="shared" si="232"/>
        <v>0</v>
      </c>
      <c r="AB154" s="23">
        <f t="shared" si="232"/>
        <v>0</v>
      </c>
      <c r="AC154" s="22">
        <f t="shared" si="233"/>
        <v>0</v>
      </c>
      <c r="AD154" s="24">
        <f t="shared" si="234"/>
        <v>0</v>
      </c>
      <c r="AE154" s="23">
        <f t="shared" si="234"/>
        <v>0</v>
      </c>
      <c r="AF154" s="22">
        <f t="shared" si="235"/>
        <v>0</v>
      </c>
      <c r="AG154" s="24">
        <f t="shared" si="236"/>
        <v>0</v>
      </c>
      <c r="AH154" s="23">
        <f t="shared" si="236"/>
        <v>0</v>
      </c>
      <c r="AI154" s="22">
        <f t="shared" si="237"/>
        <v>0</v>
      </c>
      <c r="AJ154" s="24">
        <f t="shared" si="238"/>
        <v>0</v>
      </c>
      <c r="AK154" s="23">
        <f t="shared" si="238"/>
        <v>0</v>
      </c>
      <c r="AL154" s="22">
        <f t="shared" si="239"/>
        <v>0</v>
      </c>
      <c r="AM154" s="24">
        <f t="shared" si="240"/>
        <v>0</v>
      </c>
      <c r="AN154" s="23">
        <f t="shared" si="240"/>
        <v>0</v>
      </c>
      <c r="AO154" s="22">
        <f t="shared" si="241"/>
        <v>0</v>
      </c>
      <c r="AP154" s="24">
        <f t="shared" si="242"/>
        <v>0</v>
      </c>
      <c r="AQ154" s="23">
        <f t="shared" si="242"/>
        <v>0</v>
      </c>
      <c r="AR154" s="22">
        <f t="shared" si="243"/>
        <v>0</v>
      </c>
      <c r="AS154" s="24">
        <f t="shared" si="244"/>
        <v>0</v>
      </c>
      <c r="AT154" s="23">
        <f t="shared" si="244"/>
        <v>0</v>
      </c>
      <c r="AU154" s="22">
        <f t="shared" si="245"/>
        <v>0</v>
      </c>
      <c r="AV154" s="24">
        <f t="shared" si="246"/>
        <v>0</v>
      </c>
      <c r="AW154" s="23">
        <f t="shared" si="246"/>
        <v>0</v>
      </c>
      <c r="AX154" s="22">
        <f t="shared" si="247"/>
        <v>0</v>
      </c>
      <c r="AY154" s="23">
        <f t="shared" si="248"/>
        <v>0</v>
      </c>
      <c r="AZ154" s="23">
        <f t="shared" si="248"/>
        <v>0</v>
      </c>
      <c r="BA154" s="22">
        <f t="shared" si="249"/>
        <v>0</v>
      </c>
      <c r="BB154" s="24">
        <f t="shared" si="250"/>
        <v>0</v>
      </c>
      <c r="BC154" s="23">
        <f t="shared" si="250"/>
        <v>0</v>
      </c>
      <c r="BD154" s="22">
        <f t="shared" si="251"/>
        <v>0</v>
      </c>
      <c r="BE154" s="24">
        <f t="shared" si="252"/>
        <v>0</v>
      </c>
      <c r="BF154" s="24">
        <f t="shared" si="252"/>
        <v>0</v>
      </c>
      <c r="BG154" s="20">
        <f t="shared" ref="BG154" si="261">IF(BG81=0,0,BG49/BG81)</f>
        <v>0</v>
      </c>
    </row>
    <row r="155" spans="1:59" ht="13.5" hidden="1" customHeight="1" outlineLevel="1" x14ac:dyDescent="0.25">
      <c r="A155" s="100"/>
      <c r="B155" s="84" t="s">
        <v>41</v>
      </c>
      <c r="C155" s="26" t="s">
        <v>32</v>
      </c>
      <c r="D155" s="20">
        <f t="shared" si="218"/>
        <v>0</v>
      </c>
      <c r="E155" s="20">
        <f t="shared" si="218"/>
        <v>0</v>
      </c>
      <c r="F155" s="24">
        <f t="shared" si="218"/>
        <v>0</v>
      </c>
      <c r="G155" s="23">
        <f t="shared" si="218"/>
        <v>0</v>
      </c>
      <c r="H155" s="22">
        <f t="shared" si="219"/>
        <v>0</v>
      </c>
      <c r="I155" s="24">
        <f t="shared" si="220"/>
        <v>0</v>
      </c>
      <c r="J155" s="23">
        <f t="shared" si="220"/>
        <v>0</v>
      </c>
      <c r="K155" s="22">
        <f t="shared" si="221"/>
        <v>0</v>
      </c>
      <c r="L155" s="24">
        <f t="shared" si="222"/>
        <v>0</v>
      </c>
      <c r="M155" s="23">
        <f t="shared" si="222"/>
        <v>0</v>
      </c>
      <c r="N155" s="22">
        <f t="shared" si="223"/>
        <v>0</v>
      </c>
      <c r="O155" s="24">
        <f t="shared" si="224"/>
        <v>0</v>
      </c>
      <c r="P155" s="23">
        <f t="shared" si="224"/>
        <v>0</v>
      </c>
      <c r="Q155" s="22">
        <f t="shared" si="225"/>
        <v>0</v>
      </c>
      <c r="R155" s="24">
        <f t="shared" si="226"/>
        <v>0</v>
      </c>
      <c r="S155" s="23">
        <f t="shared" si="226"/>
        <v>0</v>
      </c>
      <c r="T155" s="22">
        <f t="shared" si="227"/>
        <v>0</v>
      </c>
      <c r="U155" s="24">
        <f t="shared" si="228"/>
        <v>0</v>
      </c>
      <c r="V155" s="23">
        <f t="shared" si="228"/>
        <v>0</v>
      </c>
      <c r="W155" s="22">
        <f t="shared" si="229"/>
        <v>0</v>
      </c>
      <c r="X155" s="24">
        <f t="shared" si="230"/>
        <v>0</v>
      </c>
      <c r="Y155" s="23">
        <f t="shared" si="230"/>
        <v>0</v>
      </c>
      <c r="Z155" s="22">
        <f t="shared" si="231"/>
        <v>0</v>
      </c>
      <c r="AA155" s="24">
        <f t="shared" si="232"/>
        <v>0</v>
      </c>
      <c r="AB155" s="23">
        <f t="shared" si="232"/>
        <v>0</v>
      </c>
      <c r="AC155" s="22">
        <f t="shared" si="233"/>
        <v>0</v>
      </c>
      <c r="AD155" s="24">
        <f t="shared" si="234"/>
        <v>0</v>
      </c>
      <c r="AE155" s="23">
        <f t="shared" si="234"/>
        <v>0</v>
      </c>
      <c r="AF155" s="22">
        <f t="shared" si="235"/>
        <v>0</v>
      </c>
      <c r="AG155" s="24">
        <f t="shared" si="236"/>
        <v>0</v>
      </c>
      <c r="AH155" s="23">
        <f t="shared" si="236"/>
        <v>0</v>
      </c>
      <c r="AI155" s="22">
        <f t="shared" si="237"/>
        <v>0</v>
      </c>
      <c r="AJ155" s="24">
        <f t="shared" si="238"/>
        <v>0</v>
      </c>
      <c r="AK155" s="23">
        <f t="shared" si="238"/>
        <v>0</v>
      </c>
      <c r="AL155" s="22">
        <f t="shared" si="239"/>
        <v>0</v>
      </c>
      <c r="AM155" s="24">
        <f t="shared" si="240"/>
        <v>0</v>
      </c>
      <c r="AN155" s="23">
        <f t="shared" si="240"/>
        <v>0</v>
      </c>
      <c r="AO155" s="22">
        <f t="shared" si="241"/>
        <v>0</v>
      </c>
      <c r="AP155" s="24">
        <f t="shared" si="242"/>
        <v>0</v>
      </c>
      <c r="AQ155" s="23">
        <f t="shared" si="242"/>
        <v>0</v>
      </c>
      <c r="AR155" s="22">
        <f t="shared" si="243"/>
        <v>0</v>
      </c>
      <c r="AS155" s="24">
        <f t="shared" si="244"/>
        <v>0</v>
      </c>
      <c r="AT155" s="23">
        <f t="shared" si="244"/>
        <v>0</v>
      </c>
      <c r="AU155" s="22">
        <f t="shared" si="245"/>
        <v>0</v>
      </c>
      <c r="AV155" s="24">
        <f t="shared" si="246"/>
        <v>0</v>
      </c>
      <c r="AW155" s="23">
        <f t="shared" si="246"/>
        <v>0</v>
      </c>
      <c r="AX155" s="22">
        <f t="shared" si="247"/>
        <v>0</v>
      </c>
      <c r="AY155" s="23">
        <f t="shared" si="248"/>
        <v>0</v>
      </c>
      <c r="AZ155" s="23">
        <f t="shared" si="248"/>
        <v>0</v>
      </c>
      <c r="BA155" s="22">
        <f t="shared" si="249"/>
        <v>0</v>
      </c>
      <c r="BB155" s="24">
        <f t="shared" si="250"/>
        <v>0</v>
      </c>
      <c r="BC155" s="23">
        <f t="shared" si="250"/>
        <v>0</v>
      </c>
      <c r="BD155" s="22">
        <f t="shared" si="251"/>
        <v>0</v>
      </c>
      <c r="BE155" s="24">
        <f t="shared" si="252"/>
        <v>0</v>
      </c>
      <c r="BF155" s="24">
        <f t="shared" si="252"/>
        <v>0</v>
      </c>
      <c r="BG155" s="20">
        <f t="shared" ref="BG155" si="262">IF(BG82=0,0,BG50/BG82)</f>
        <v>0</v>
      </c>
    </row>
    <row r="156" spans="1:59" ht="13.5" hidden="1" customHeight="1" outlineLevel="1" x14ac:dyDescent="0.25">
      <c r="A156" s="28"/>
      <c r="B156" s="84" t="s">
        <v>42</v>
      </c>
      <c r="C156" s="26" t="s">
        <v>32</v>
      </c>
      <c r="D156" s="20">
        <f t="shared" si="218"/>
        <v>0</v>
      </c>
      <c r="E156" s="20">
        <f t="shared" si="218"/>
        <v>0</v>
      </c>
      <c r="F156" s="24">
        <f t="shared" si="218"/>
        <v>0</v>
      </c>
      <c r="G156" s="23">
        <f t="shared" si="218"/>
        <v>0</v>
      </c>
      <c r="H156" s="22">
        <f t="shared" si="219"/>
        <v>0</v>
      </c>
      <c r="I156" s="24">
        <f t="shared" si="220"/>
        <v>0</v>
      </c>
      <c r="J156" s="23">
        <f t="shared" si="220"/>
        <v>0</v>
      </c>
      <c r="K156" s="22">
        <f t="shared" si="221"/>
        <v>0</v>
      </c>
      <c r="L156" s="24">
        <f t="shared" si="222"/>
        <v>0</v>
      </c>
      <c r="M156" s="23">
        <f t="shared" si="222"/>
        <v>0</v>
      </c>
      <c r="N156" s="22">
        <f t="shared" si="223"/>
        <v>0</v>
      </c>
      <c r="O156" s="24">
        <f t="shared" si="224"/>
        <v>0</v>
      </c>
      <c r="P156" s="23">
        <f t="shared" si="224"/>
        <v>0</v>
      </c>
      <c r="Q156" s="22">
        <f t="shared" si="225"/>
        <v>0</v>
      </c>
      <c r="R156" s="24">
        <f t="shared" si="226"/>
        <v>0</v>
      </c>
      <c r="S156" s="23">
        <f t="shared" si="226"/>
        <v>0</v>
      </c>
      <c r="T156" s="22">
        <f t="shared" si="227"/>
        <v>0</v>
      </c>
      <c r="U156" s="24">
        <f t="shared" si="228"/>
        <v>0</v>
      </c>
      <c r="V156" s="23">
        <f t="shared" si="228"/>
        <v>0</v>
      </c>
      <c r="W156" s="22">
        <f t="shared" si="229"/>
        <v>0</v>
      </c>
      <c r="X156" s="24">
        <f t="shared" si="230"/>
        <v>0</v>
      </c>
      <c r="Y156" s="23">
        <f t="shared" si="230"/>
        <v>0</v>
      </c>
      <c r="Z156" s="22">
        <f t="shared" si="231"/>
        <v>0</v>
      </c>
      <c r="AA156" s="24">
        <f t="shared" si="232"/>
        <v>0</v>
      </c>
      <c r="AB156" s="23">
        <f t="shared" si="232"/>
        <v>0</v>
      </c>
      <c r="AC156" s="22">
        <f t="shared" si="233"/>
        <v>0</v>
      </c>
      <c r="AD156" s="24">
        <f t="shared" si="234"/>
        <v>0</v>
      </c>
      <c r="AE156" s="23">
        <f t="shared" si="234"/>
        <v>0</v>
      </c>
      <c r="AF156" s="22">
        <f t="shared" si="235"/>
        <v>0</v>
      </c>
      <c r="AG156" s="24">
        <f t="shared" si="236"/>
        <v>0</v>
      </c>
      <c r="AH156" s="23">
        <f t="shared" si="236"/>
        <v>0</v>
      </c>
      <c r="AI156" s="22">
        <f t="shared" si="237"/>
        <v>0</v>
      </c>
      <c r="AJ156" s="24">
        <f t="shared" si="238"/>
        <v>0</v>
      </c>
      <c r="AK156" s="23">
        <f t="shared" si="238"/>
        <v>0</v>
      </c>
      <c r="AL156" s="22">
        <f t="shared" si="239"/>
        <v>0</v>
      </c>
      <c r="AM156" s="24">
        <f t="shared" si="240"/>
        <v>0</v>
      </c>
      <c r="AN156" s="23">
        <f t="shared" si="240"/>
        <v>0</v>
      </c>
      <c r="AO156" s="22">
        <f t="shared" si="241"/>
        <v>0</v>
      </c>
      <c r="AP156" s="24">
        <f t="shared" si="242"/>
        <v>0</v>
      </c>
      <c r="AQ156" s="23">
        <f t="shared" si="242"/>
        <v>0</v>
      </c>
      <c r="AR156" s="22">
        <f t="shared" si="243"/>
        <v>0</v>
      </c>
      <c r="AS156" s="24">
        <f t="shared" si="244"/>
        <v>0</v>
      </c>
      <c r="AT156" s="23">
        <f t="shared" si="244"/>
        <v>0</v>
      </c>
      <c r="AU156" s="22">
        <f t="shared" si="245"/>
        <v>0</v>
      </c>
      <c r="AV156" s="24">
        <f t="shared" si="246"/>
        <v>0</v>
      </c>
      <c r="AW156" s="23">
        <f t="shared" si="246"/>
        <v>0</v>
      </c>
      <c r="AX156" s="22">
        <f t="shared" si="247"/>
        <v>0</v>
      </c>
      <c r="AY156" s="23">
        <f t="shared" si="248"/>
        <v>0</v>
      </c>
      <c r="AZ156" s="23">
        <f t="shared" si="248"/>
        <v>0</v>
      </c>
      <c r="BA156" s="22">
        <f t="shared" si="249"/>
        <v>0</v>
      </c>
      <c r="BB156" s="24">
        <f t="shared" si="250"/>
        <v>0</v>
      </c>
      <c r="BC156" s="23">
        <f t="shared" si="250"/>
        <v>0</v>
      </c>
      <c r="BD156" s="22">
        <f t="shared" si="251"/>
        <v>0</v>
      </c>
      <c r="BE156" s="24">
        <f t="shared" si="252"/>
        <v>0</v>
      </c>
      <c r="BF156" s="24">
        <f t="shared" si="252"/>
        <v>0</v>
      </c>
      <c r="BG156" s="20">
        <f t="shared" ref="BG156" si="263">IF(BG83=0,0,BG51/BG83)</f>
        <v>0</v>
      </c>
    </row>
    <row r="157" spans="1:59" s="210" customFormat="1" ht="13.5" customHeight="1" collapsed="1" x14ac:dyDescent="0.25">
      <c r="A157" s="103"/>
      <c r="B157" s="102" t="s">
        <v>43</v>
      </c>
      <c r="C157" s="77" t="s">
        <v>32</v>
      </c>
      <c r="D157" s="188">
        <f t="shared" si="218"/>
        <v>0</v>
      </c>
      <c r="E157" s="188">
        <f t="shared" si="218"/>
        <v>0</v>
      </c>
      <c r="F157" s="191">
        <f t="shared" si="218"/>
        <v>0</v>
      </c>
      <c r="G157" s="189">
        <f t="shared" si="218"/>
        <v>0</v>
      </c>
      <c r="H157" s="190">
        <f t="shared" si="219"/>
        <v>0</v>
      </c>
      <c r="I157" s="191">
        <f t="shared" si="220"/>
        <v>0</v>
      </c>
      <c r="J157" s="189">
        <f t="shared" si="220"/>
        <v>0</v>
      </c>
      <c r="K157" s="190">
        <f t="shared" si="221"/>
        <v>0</v>
      </c>
      <c r="L157" s="191">
        <f t="shared" si="222"/>
        <v>0</v>
      </c>
      <c r="M157" s="189">
        <f t="shared" si="222"/>
        <v>0</v>
      </c>
      <c r="N157" s="190">
        <f t="shared" si="223"/>
        <v>0</v>
      </c>
      <c r="O157" s="191">
        <f t="shared" si="224"/>
        <v>0</v>
      </c>
      <c r="P157" s="189">
        <f t="shared" si="224"/>
        <v>0</v>
      </c>
      <c r="Q157" s="190">
        <f t="shared" si="225"/>
        <v>0</v>
      </c>
      <c r="R157" s="191">
        <f t="shared" si="226"/>
        <v>0</v>
      </c>
      <c r="S157" s="189">
        <f t="shared" si="226"/>
        <v>0</v>
      </c>
      <c r="T157" s="190">
        <f t="shared" si="227"/>
        <v>0</v>
      </c>
      <c r="U157" s="191">
        <f t="shared" si="228"/>
        <v>0</v>
      </c>
      <c r="V157" s="189">
        <f t="shared" si="228"/>
        <v>0</v>
      </c>
      <c r="W157" s="190">
        <f t="shared" si="229"/>
        <v>0</v>
      </c>
      <c r="X157" s="191">
        <f t="shared" si="230"/>
        <v>0</v>
      </c>
      <c r="Y157" s="189">
        <f t="shared" si="230"/>
        <v>0</v>
      </c>
      <c r="Z157" s="190">
        <f t="shared" si="231"/>
        <v>0</v>
      </c>
      <c r="AA157" s="191">
        <f t="shared" si="232"/>
        <v>0</v>
      </c>
      <c r="AB157" s="189">
        <f t="shared" si="232"/>
        <v>0</v>
      </c>
      <c r="AC157" s="190">
        <f t="shared" si="233"/>
        <v>0</v>
      </c>
      <c r="AD157" s="191">
        <f t="shared" si="234"/>
        <v>0</v>
      </c>
      <c r="AE157" s="189">
        <f t="shared" si="234"/>
        <v>0</v>
      </c>
      <c r="AF157" s="190">
        <f t="shared" si="235"/>
        <v>0</v>
      </c>
      <c r="AG157" s="191">
        <f t="shared" si="236"/>
        <v>0</v>
      </c>
      <c r="AH157" s="189">
        <f t="shared" si="236"/>
        <v>0</v>
      </c>
      <c r="AI157" s="190">
        <f t="shared" si="237"/>
        <v>0</v>
      </c>
      <c r="AJ157" s="191">
        <f t="shared" si="238"/>
        <v>0</v>
      </c>
      <c r="AK157" s="189">
        <f t="shared" si="238"/>
        <v>0</v>
      </c>
      <c r="AL157" s="190">
        <f t="shared" si="239"/>
        <v>0</v>
      </c>
      <c r="AM157" s="191">
        <f t="shared" si="240"/>
        <v>0</v>
      </c>
      <c r="AN157" s="189">
        <f t="shared" si="240"/>
        <v>0</v>
      </c>
      <c r="AO157" s="190">
        <f t="shared" si="241"/>
        <v>0</v>
      </c>
      <c r="AP157" s="191">
        <f t="shared" si="242"/>
        <v>0</v>
      </c>
      <c r="AQ157" s="189">
        <f t="shared" si="242"/>
        <v>0</v>
      </c>
      <c r="AR157" s="190">
        <f t="shared" si="243"/>
        <v>0</v>
      </c>
      <c r="AS157" s="191">
        <f t="shared" si="244"/>
        <v>0</v>
      </c>
      <c r="AT157" s="189">
        <f t="shared" si="244"/>
        <v>0</v>
      </c>
      <c r="AU157" s="190">
        <f t="shared" si="245"/>
        <v>0</v>
      </c>
      <c r="AV157" s="191">
        <f t="shared" si="246"/>
        <v>0</v>
      </c>
      <c r="AW157" s="189">
        <f t="shared" si="246"/>
        <v>0</v>
      </c>
      <c r="AX157" s="190">
        <f t="shared" si="247"/>
        <v>0</v>
      </c>
      <c r="AY157" s="189">
        <f t="shared" si="248"/>
        <v>0</v>
      </c>
      <c r="AZ157" s="189">
        <f t="shared" si="248"/>
        <v>0</v>
      </c>
      <c r="BA157" s="190">
        <f t="shared" si="249"/>
        <v>0</v>
      </c>
      <c r="BB157" s="191">
        <f t="shared" si="250"/>
        <v>0</v>
      </c>
      <c r="BC157" s="189">
        <f t="shared" si="250"/>
        <v>0</v>
      </c>
      <c r="BD157" s="190">
        <f t="shared" si="251"/>
        <v>0</v>
      </c>
      <c r="BE157" s="191">
        <f t="shared" si="252"/>
        <v>0</v>
      </c>
      <c r="BF157" s="191">
        <f t="shared" si="252"/>
        <v>0</v>
      </c>
      <c r="BG157" s="188">
        <f t="shared" ref="BG157" si="264">IF(BG84=0,0,BG52/BG84)</f>
        <v>0</v>
      </c>
    </row>
    <row r="158" spans="1:59" ht="13.5" hidden="1" customHeight="1" outlineLevel="1" x14ac:dyDescent="0.25">
      <c r="A158" s="28"/>
      <c r="B158" s="84" t="s">
        <v>44</v>
      </c>
      <c r="C158" s="59" t="s">
        <v>32</v>
      </c>
      <c r="D158" s="20">
        <f t="shared" si="218"/>
        <v>0</v>
      </c>
      <c r="E158" s="20">
        <f t="shared" si="218"/>
        <v>0</v>
      </c>
      <c r="F158" s="24">
        <f t="shared" si="218"/>
        <v>0</v>
      </c>
      <c r="G158" s="23">
        <f t="shared" si="218"/>
        <v>0</v>
      </c>
      <c r="H158" s="22">
        <f t="shared" si="219"/>
        <v>0</v>
      </c>
      <c r="I158" s="24">
        <f t="shared" si="220"/>
        <v>0</v>
      </c>
      <c r="J158" s="23">
        <f t="shared" si="220"/>
        <v>0</v>
      </c>
      <c r="K158" s="22">
        <f t="shared" si="221"/>
        <v>0</v>
      </c>
      <c r="L158" s="24">
        <f t="shared" si="222"/>
        <v>0</v>
      </c>
      <c r="M158" s="23">
        <f t="shared" si="222"/>
        <v>0</v>
      </c>
      <c r="N158" s="22">
        <f t="shared" si="223"/>
        <v>0</v>
      </c>
      <c r="O158" s="24">
        <f t="shared" si="224"/>
        <v>0</v>
      </c>
      <c r="P158" s="23">
        <f t="shared" si="224"/>
        <v>0</v>
      </c>
      <c r="Q158" s="22">
        <f t="shared" si="225"/>
        <v>0</v>
      </c>
      <c r="R158" s="24">
        <f t="shared" si="226"/>
        <v>0</v>
      </c>
      <c r="S158" s="23">
        <f t="shared" si="226"/>
        <v>0</v>
      </c>
      <c r="T158" s="22">
        <f t="shared" si="227"/>
        <v>0</v>
      </c>
      <c r="U158" s="24">
        <f t="shared" si="228"/>
        <v>0</v>
      </c>
      <c r="V158" s="23">
        <f t="shared" si="228"/>
        <v>0</v>
      </c>
      <c r="W158" s="22">
        <f t="shared" si="229"/>
        <v>0</v>
      </c>
      <c r="X158" s="24">
        <f t="shared" si="230"/>
        <v>0</v>
      </c>
      <c r="Y158" s="23">
        <f t="shared" si="230"/>
        <v>0</v>
      </c>
      <c r="Z158" s="22">
        <f t="shared" si="231"/>
        <v>0</v>
      </c>
      <c r="AA158" s="24">
        <f t="shared" si="232"/>
        <v>0</v>
      </c>
      <c r="AB158" s="23">
        <f t="shared" si="232"/>
        <v>0</v>
      </c>
      <c r="AC158" s="22">
        <f t="shared" si="233"/>
        <v>0</v>
      </c>
      <c r="AD158" s="24">
        <f t="shared" si="234"/>
        <v>0</v>
      </c>
      <c r="AE158" s="23">
        <f t="shared" si="234"/>
        <v>0</v>
      </c>
      <c r="AF158" s="22">
        <f t="shared" si="235"/>
        <v>0</v>
      </c>
      <c r="AG158" s="24">
        <f t="shared" si="236"/>
        <v>0</v>
      </c>
      <c r="AH158" s="23">
        <f t="shared" si="236"/>
        <v>0</v>
      </c>
      <c r="AI158" s="22">
        <f t="shared" si="237"/>
        <v>0</v>
      </c>
      <c r="AJ158" s="24">
        <f t="shared" si="238"/>
        <v>0</v>
      </c>
      <c r="AK158" s="23">
        <f t="shared" si="238"/>
        <v>0</v>
      </c>
      <c r="AL158" s="22">
        <f t="shared" si="239"/>
        <v>0</v>
      </c>
      <c r="AM158" s="24">
        <f t="shared" si="240"/>
        <v>0</v>
      </c>
      <c r="AN158" s="23">
        <f t="shared" si="240"/>
        <v>0</v>
      </c>
      <c r="AO158" s="22">
        <f t="shared" si="241"/>
        <v>0</v>
      </c>
      <c r="AP158" s="24">
        <f t="shared" si="242"/>
        <v>0</v>
      </c>
      <c r="AQ158" s="23">
        <f t="shared" si="242"/>
        <v>0</v>
      </c>
      <c r="AR158" s="22">
        <f t="shared" si="243"/>
        <v>0</v>
      </c>
      <c r="AS158" s="24">
        <f t="shared" si="244"/>
        <v>0</v>
      </c>
      <c r="AT158" s="23">
        <f t="shared" si="244"/>
        <v>0</v>
      </c>
      <c r="AU158" s="22">
        <f t="shared" si="245"/>
        <v>0</v>
      </c>
      <c r="AV158" s="24">
        <f t="shared" si="246"/>
        <v>0</v>
      </c>
      <c r="AW158" s="23">
        <f t="shared" si="246"/>
        <v>0</v>
      </c>
      <c r="AX158" s="22">
        <f t="shared" si="247"/>
        <v>0</v>
      </c>
      <c r="AY158" s="23">
        <f t="shared" si="248"/>
        <v>0</v>
      </c>
      <c r="AZ158" s="23">
        <f t="shared" si="248"/>
        <v>0</v>
      </c>
      <c r="BA158" s="22">
        <f t="shared" si="249"/>
        <v>0</v>
      </c>
      <c r="BB158" s="24">
        <f t="shared" si="250"/>
        <v>0</v>
      </c>
      <c r="BC158" s="23">
        <f t="shared" si="250"/>
        <v>0</v>
      </c>
      <c r="BD158" s="22">
        <f t="shared" si="251"/>
        <v>0</v>
      </c>
      <c r="BE158" s="24">
        <f t="shared" si="252"/>
        <v>0</v>
      </c>
      <c r="BF158" s="24">
        <f t="shared" si="252"/>
        <v>0</v>
      </c>
      <c r="BG158" s="20">
        <f t="shared" ref="BG158" si="265">IF(BG85=0,0,BG53/BG85)</f>
        <v>0</v>
      </c>
    </row>
    <row r="159" spans="1:59" ht="13.5" hidden="1" customHeight="1" outlineLevel="1" x14ac:dyDescent="0.25">
      <c r="A159" s="28"/>
      <c r="B159" s="84" t="s">
        <v>45</v>
      </c>
      <c r="C159" s="59" t="s">
        <v>32</v>
      </c>
      <c r="D159" s="20">
        <f t="shared" si="218"/>
        <v>0</v>
      </c>
      <c r="E159" s="20">
        <f t="shared" si="218"/>
        <v>0</v>
      </c>
      <c r="F159" s="24">
        <f t="shared" si="218"/>
        <v>0</v>
      </c>
      <c r="G159" s="23">
        <f t="shared" si="218"/>
        <v>0</v>
      </c>
      <c r="H159" s="22">
        <f t="shared" si="219"/>
        <v>0</v>
      </c>
      <c r="I159" s="24">
        <f t="shared" si="220"/>
        <v>0</v>
      </c>
      <c r="J159" s="23">
        <f t="shared" si="220"/>
        <v>0</v>
      </c>
      <c r="K159" s="22">
        <f t="shared" si="221"/>
        <v>0</v>
      </c>
      <c r="L159" s="24">
        <f t="shared" si="222"/>
        <v>0</v>
      </c>
      <c r="M159" s="23">
        <f t="shared" si="222"/>
        <v>0</v>
      </c>
      <c r="N159" s="22">
        <f t="shared" si="223"/>
        <v>0</v>
      </c>
      <c r="O159" s="24">
        <f t="shared" si="224"/>
        <v>0</v>
      </c>
      <c r="P159" s="23">
        <f t="shared" si="224"/>
        <v>0</v>
      </c>
      <c r="Q159" s="22">
        <f t="shared" si="225"/>
        <v>0</v>
      </c>
      <c r="R159" s="24">
        <f t="shared" si="226"/>
        <v>0</v>
      </c>
      <c r="S159" s="23">
        <f t="shared" si="226"/>
        <v>0</v>
      </c>
      <c r="T159" s="22">
        <f t="shared" si="227"/>
        <v>0</v>
      </c>
      <c r="U159" s="24">
        <f t="shared" si="228"/>
        <v>0</v>
      </c>
      <c r="V159" s="23">
        <f t="shared" si="228"/>
        <v>0</v>
      </c>
      <c r="W159" s="22">
        <f t="shared" si="229"/>
        <v>0</v>
      </c>
      <c r="X159" s="24">
        <f t="shared" si="230"/>
        <v>0</v>
      </c>
      <c r="Y159" s="23">
        <f t="shared" si="230"/>
        <v>0</v>
      </c>
      <c r="Z159" s="22">
        <f t="shared" si="231"/>
        <v>0</v>
      </c>
      <c r="AA159" s="24">
        <f t="shared" si="232"/>
        <v>0</v>
      </c>
      <c r="AB159" s="23">
        <f t="shared" si="232"/>
        <v>0</v>
      </c>
      <c r="AC159" s="22">
        <f t="shared" si="233"/>
        <v>0</v>
      </c>
      <c r="AD159" s="24">
        <f t="shared" si="234"/>
        <v>0</v>
      </c>
      <c r="AE159" s="23">
        <f t="shared" si="234"/>
        <v>0</v>
      </c>
      <c r="AF159" s="22">
        <f t="shared" si="235"/>
        <v>0</v>
      </c>
      <c r="AG159" s="24">
        <f t="shared" si="236"/>
        <v>0</v>
      </c>
      <c r="AH159" s="23">
        <f t="shared" si="236"/>
        <v>0</v>
      </c>
      <c r="AI159" s="22">
        <f t="shared" si="237"/>
        <v>0</v>
      </c>
      <c r="AJ159" s="24">
        <f t="shared" si="238"/>
        <v>0</v>
      </c>
      <c r="AK159" s="23">
        <f t="shared" si="238"/>
        <v>0</v>
      </c>
      <c r="AL159" s="22">
        <f t="shared" si="239"/>
        <v>0</v>
      </c>
      <c r="AM159" s="24">
        <f t="shared" si="240"/>
        <v>0</v>
      </c>
      <c r="AN159" s="23">
        <f t="shared" si="240"/>
        <v>0</v>
      </c>
      <c r="AO159" s="22">
        <f t="shared" si="241"/>
        <v>0</v>
      </c>
      <c r="AP159" s="24">
        <f t="shared" si="242"/>
        <v>0</v>
      </c>
      <c r="AQ159" s="23">
        <f t="shared" si="242"/>
        <v>0</v>
      </c>
      <c r="AR159" s="22">
        <f t="shared" si="243"/>
        <v>0</v>
      </c>
      <c r="AS159" s="24">
        <f t="shared" si="244"/>
        <v>0</v>
      </c>
      <c r="AT159" s="23">
        <f t="shared" si="244"/>
        <v>0</v>
      </c>
      <c r="AU159" s="22">
        <f t="shared" si="245"/>
        <v>0</v>
      </c>
      <c r="AV159" s="24">
        <f t="shared" si="246"/>
        <v>0</v>
      </c>
      <c r="AW159" s="23">
        <f t="shared" si="246"/>
        <v>0</v>
      </c>
      <c r="AX159" s="22">
        <f t="shared" si="247"/>
        <v>0</v>
      </c>
      <c r="AY159" s="23">
        <f t="shared" si="248"/>
        <v>0</v>
      </c>
      <c r="AZ159" s="23">
        <f t="shared" si="248"/>
        <v>0</v>
      </c>
      <c r="BA159" s="22">
        <f t="shared" si="249"/>
        <v>0</v>
      </c>
      <c r="BB159" s="24">
        <f t="shared" si="250"/>
        <v>0</v>
      </c>
      <c r="BC159" s="23">
        <f t="shared" si="250"/>
        <v>0</v>
      </c>
      <c r="BD159" s="22">
        <f t="shared" si="251"/>
        <v>0</v>
      </c>
      <c r="BE159" s="24">
        <f t="shared" si="252"/>
        <v>0</v>
      </c>
      <c r="BF159" s="24">
        <f t="shared" si="252"/>
        <v>0</v>
      </c>
      <c r="BG159" s="20">
        <f t="shared" ref="BG159" si="266">IF(BG86=0,0,BG54/BG86)</f>
        <v>0</v>
      </c>
    </row>
    <row r="160" spans="1:59" ht="13.5" hidden="1" customHeight="1" outlineLevel="1" x14ac:dyDescent="0.25">
      <c r="A160" s="28"/>
      <c r="B160" s="84" t="s">
        <v>46</v>
      </c>
      <c r="C160" s="59" t="s">
        <v>32</v>
      </c>
      <c r="D160" s="20">
        <f t="shared" si="218"/>
        <v>0</v>
      </c>
      <c r="E160" s="20">
        <f t="shared" si="218"/>
        <v>0</v>
      </c>
      <c r="F160" s="24">
        <f t="shared" si="218"/>
        <v>0</v>
      </c>
      <c r="G160" s="23">
        <f t="shared" si="218"/>
        <v>0</v>
      </c>
      <c r="H160" s="22">
        <f t="shared" si="219"/>
        <v>0</v>
      </c>
      <c r="I160" s="24">
        <f t="shared" si="220"/>
        <v>0</v>
      </c>
      <c r="J160" s="23">
        <f t="shared" si="220"/>
        <v>0</v>
      </c>
      <c r="K160" s="22">
        <f t="shared" si="221"/>
        <v>0</v>
      </c>
      <c r="L160" s="24">
        <f t="shared" si="222"/>
        <v>0</v>
      </c>
      <c r="M160" s="23">
        <f t="shared" si="222"/>
        <v>0</v>
      </c>
      <c r="N160" s="22">
        <f t="shared" si="223"/>
        <v>0</v>
      </c>
      <c r="O160" s="24">
        <f t="shared" si="224"/>
        <v>0</v>
      </c>
      <c r="P160" s="23">
        <f t="shared" si="224"/>
        <v>0</v>
      </c>
      <c r="Q160" s="22">
        <f t="shared" si="225"/>
        <v>0</v>
      </c>
      <c r="R160" s="24">
        <f t="shared" si="226"/>
        <v>0</v>
      </c>
      <c r="S160" s="23">
        <f t="shared" si="226"/>
        <v>0</v>
      </c>
      <c r="T160" s="22">
        <f t="shared" si="227"/>
        <v>0</v>
      </c>
      <c r="U160" s="24">
        <f t="shared" si="228"/>
        <v>0</v>
      </c>
      <c r="V160" s="23">
        <f t="shared" si="228"/>
        <v>0</v>
      </c>
      <c r="W160" s="22">
        <f t="shared" si="229"/>
        <v>0</v>
      </c>
      <c r="X160" s="24">
        <f t="shared" si="230"/>
        <v>0</v>
      </c>
      <c r="Y160" s="23">
        <f t="shared" si="230"/>
        <v>0</v>
      </c>
      <c r="Z160" s="22">
        <f t="shared" si="231"/>
        <v>0</v>
      </c>
      <c r="AA160" s="24">
        <f t="shared" si="232"/>
        <v>0</v>
      </c>
      <c r="AB160" s="23">
        <f t="shared" si="232"/>
        <v>0</v>
      </c>
      <c r="AC160" s="22">
        <f t="shared" si="233"/>
        <v>0</v>
      </c>
      <c r="AD160" s="24">
        <f t="shared" si="234"/>
        <v>0</v>
      </c>
      <c r="AE160" s="23">
        <f t="shared" si="234"/>
        <v>0</v>
      </c>
      <c r="AF160" s="22">
        <f t="shared" si="235"/>
        <v>0</v>
      </c>
      <c r="AG160" s="24">
        <f t="shared" si="236"/>
        <v>0</v>
      </c>
      <c r="AH160" s="23">
        <f t="shared" si="236"/>
        <v>0</v>
      </c>
      <c r="AI160" s="22">
        <f t="shared" si="237"/>
        <v>0</v>
      </c>
      <c r="AJ160" s="24">
        <f t="shared" si="238"/>
        <v>0</v>
      </c>
      <c r="AK160" s="23">
        <f t="shared" si="238"/>
        <v>0</v>
      </c>
      <c r="AL160" s="22">
        <f t="shared" si="239"/>
        <v>0</v>
      </c>
      <c r="AM160" s="24">
        <f t="shared" si="240"/>
        <v>0</v>
      </c>
      <c r="AN160" s="23">
        <f t="shared" si="240"/>
        <v>0</v>
      </c>
      <c r="AO160" s="22">
        <f t="shared" si="241"/>
        <v>0</v>
      </c>
      <c r="AP160" s="24">
        <f t="shared" si="242"/>
        <v>0</v>
      </c>
      <c r="AQ160" s="23">
        <f t="shared" si="242"/>
        <v>0</v>
      </c>
      <c r="AR160" s="22">
        <f t="shared" si="243"/>
        <v>0</v>
      </c>
      <c r="AS160" s="24">
        <f t="shared" si="244"/>
        <v>0</v>
      </c>
      <c r="AT160" s="23">
        <f t="shared" si="244"/>
        <v>0</v>
      </c>
      <c r="AU160" s="22">
        <f t="shared" si="245"/>
        <v>0</v>
      </c>
      <c r="AV160" s="24">
        <f t="shared" si="246"/>
        <v>0</v>
      </c>
      <c r="AW160" s="23">
        <f t="shared" si="246"/>
        <v>0</v>
      </c>
      <c r="AX160" s="22">
        <f t="shared" si="247"/>
        <v>0</v>
      </c>
      <c r="AY160" s="23">
        <f t="shared" si="248"/>
        <v>0</v>
      </c>
      <c r="AZ160" s="23">
        <f t="shared" si="248"/>
        <v>0</v>
      </c>
      <c r="BA160" s="22">
        <f t="shared" si="249"/>
        <v>0</v>
      </c>
      <c r="BB160" s="24">
        <f t="shared" si="250"/>
        <v>0</v>
      </c>
      <c r="BC160" s="23">
        <f t="shared" si="250"/>
        <v>0</v>
      </c>
      <c r="BD160" s="22">
        <f t="shared" si="251"/>
        <v>0</v>
      </c>
      <c r="BE160" s="24">
        <f t="shared" si="252"/>
        <v>0</v>
      </c>
      <c r="BF160" s="24">
        <f t="shared" si="252"/>
        <v>0</v>
      </c>
      <c r="BG160" s="20">
        <f t="shared" ref="BG160" si="267">IF(BG87=0,0,BG55/BG87)</f>
        <v>0</v>
      </c>
    </row>
    <row r="161" spans="1:59" ht="13.5" hidden="1" customHeight="1" outlineLevel="1" x14ac:dyDescent="0.25">
      <c r="A161" s="28"/>
      <c r="B161" s="84" t="s">
        <v>47</v>
      </c>
      <c r="C161" s="59" t="s">
        <v>32</v>
      </c>
      <c r="D161" s="20">
        <f t="shared" si="218"/>
        <v>0</v>
      </c>
      <c r="E161" s="20">
        <f t="shared" si="218"/>
        <v>0</v>
      </c>
      <c r="F161" s="24">
        <f t="shared" si="218"/>
        <v>0</v>
      </c>
      <c r="G161" s="23">
        <f t="shared" si="218"/>
        <v>0</v>
      </c>
      <c r="H161" s="22">
        <f t="shared" si="219"/>
        <v>0</v>
      </c>
      <c r="I161" s="24">
        <f t="shared" si="220"/>
        <v>0</v>
      </c>
      <c r="J161" s="23">
        <f t="shared" si="220"/>
        <v>0</v>
      </c>
      <c r="K161" s="22">
        <f t="shared" si="221"/>
        <v>0</v>
      </c>
      <c r="L161" s="24">
        <f t="shared" si="222"/>
        <v>0</v>
      </c>
      <c r="M161" s="23">
        <f t="shared" si="222"/>
        <v>0</v>
      </c>
      <c r="N161" s="22">
        <f t="shared" si="223"/>
        <v>0</v>
      </c>
      <c r="O161" s="24">
        <f t="shared" si="224"/>
        <v>0</v>
      </c>
      <c r="P161" s="23">
        <f t="shared" si="224"/>
        <v>0</v>
      </c>
      <c r="Q161" s="22">
        <f t="shared" si="225"/>
        <v>0</v>
      </c>
      <c r="R161" s="24">
        <f t="shared" si="226"/>
        <v>0</v>
      </c>
      <c r="S161" s="23">
        <f t="shared" si="226"/>
        <v>0</v>
      </c>
      <c r="T161" s="22">
        <f t="shared" si="227"/>
        <v>0</v>
      </c>
      <c r="U161" s="24">
        <f t="shared" si="228"/>
        <v>0</v>
      </c>
      <c r="V161" s="23">
        <f t="shared" si="228"/>
        <v>0</v>
      </c>
      <c r="W161" s="22">
        <f t="shared" si="229"/>
        <v>0</v>
      </c>
      <c r="X161" s="24">
        <f t="shared" si="230"/>
        <v>0</v>
      </c>
      <c r="Y161" s="23">
        <f t="shared" si="230"/>
        <v>0</v>
      </c>
      <c r="Z161" s="22">
        <f t="shared" si="231"/>
        <v>0</v>
      </c>
      <c r="AA161" s="24">
        <f t="shared" si="232"/>
        <v>0</v>
      </c>
      <c r="AB161" s="23">
        <f t="shared" si="232"/>
        <v>0</v>
      </c>
      <c r="AC161" s="22">
        <f t="shared" si="233"/>
        <v>0</v>
      </c>
      <c r="AD161" s="24">
        <f t="shared" si="234"/>
        <v>0</v>
      </c>
      <c r="AE161" s="23">
        <f t="shared" si="234"/>
        <v>0</v>
      </c>
      <c r="AF161" s="22">
        <f t="shared" si="235"/>
        <v>0</v>
      </c>
      <c r="AG161" s="24">
        <f t="shared" si="236"/>
        <v>0</v>
      </c>
      <c r="AH161" s="23">
        <f t="shared" si="236"/>
        <v>0</v>
      </c>
      <c r="AI161" s="22">
        <f t="shared" si="237"/>
        <v>0</v>
      </c>
      <c r="AJ161" s="24">
        <f t="shared" si="238"/>
        <v>0</v>
      </c>
      <c r="AK161" s="23">
        <f t="shared" si="238"/>
        <v>0</v>
      </c>
      <c r="AL161" s="22">
        <f t="shared" si="239"/>
        <v>0</v>
      </c>
      <c r="AM161" s="24">
        <f t="shared" si="240"/>
        <v>0</v>
      </c>
      <c r="AN161" s="23">
        <f t="shared" si="240"/>
        <v>0</v>
      </c>
      <c r="AO161" s="22">
        <f t="shared" si="241"/>
        <v>0</v>
      </c>
      <c r="AP161" s="24">
        <f t="shared" si="242"/>
        <v>0</v>
      </c>
      <c r="AQ161" s="23">
        <f t="shared" si="242"/>
        <v>0</v>
      </c>
      <c r="AR161" s="22">
        <f t="shared" si="243"/>
        <v>0</v>
      </c>
      <c r="AS161" s="24">
        <f t="shared" si="244"/>
        <v>0</v>
      </c>
      <c r="AT161" s="23">
        <f t="shared" si="244"/>
        <v>0</v>
      </c>
      <c r="AU161" s="22">
        <f t="shared" si="245"/>
        <v>0</v>
      </c>
      <c r="AV161" s="24">
        <f t="shared" si="246"/>
        <v>0</v>
      </c>
      <c r="AW161" s="23">
        <f t="shared" si="246"/>
        <v>0</v>
      </c>
      <c r="AX161" s="22">
        <f t="shared" si="247"/>
        <v>0</v>
      </c>
      <c r="AY161" s="23">
        <f t="shared" si="248"/>
        <v>0</v>
      </c>
      <c r="AZ161" s="23">
        <f t="shared" si="248"/>
        <v>0</v>
      </c>
      <c r="BA161" s="22">
        <f t="shared" si="249"/>
        <v>0</v>
      </c>
      <c r="BB161" s="24">
        <f t="shared" si="250"/>
        <v>0</v>
      </c>
      <c r="BC161" s="23">
        <f t="shared" si="250"/>
        <v>0</v>
      </c>
      <c r="BD161" s="22">
        <f t="shared" si="251"/>
        <v>0</v>
      </c>
      <c r="BE161" s="24">
        <f t="shared" ref="BE161:BF175" si="268">IF(BE88=0,0,BE56/BE88)</f>
        <v>0</v>
      </c>
      <c r="BF161" s="24">
        <f t="shared" si="268"/>
        <v>0</v>
      </c>
      <c r="BG161" s="20">
        <f t="shared" ref="BG161" si="269">IF(BG88=0,0,BG56/BG88)</f>
        <v>0</v>
      </c>
    </row>
    <row r="162" spans="1:59" ht="13.5" hidden="1" customHeight="1" outlineLevel="1" x14ac:dyDescent="0.25">
      <c r="A162" s="28"/>
      <c r="B162" s="84" t="s">
        <v>48</v>
      </c>
      <c r="C162" s="59" t="s">
        <v>32</v>
      </c>
      <c r="D162" s="20">
        <f t="shared" ref="D162:G177" si="270">IF(D89=0,0,D57/D89)</f>
        <v>0</v>
      </c>
      <c r="E162" s="20">
        <f t="shared" si="270"/>
        <v>0</v>
      </c>
      <c r="F162" s="24">
        <f t="shared" si="270"/>
        <v>0</v>
      </c>
      <c r="G162" s="23">
        <f t="shared" si="270"/>
        <v>0</v>
      </c>
      <c r="H162" s="22">
        <f t="shared" ref="H162:H177" si="271">G162-F162</f>
        <v>0</v>
      </c>
      <c r="I162" s="24">
        <f t="shared" ref="I162:J177" si="272">IF(I89=0,0,I57/I89)</f>
        <v>0</v>
      </c>
      <c r="J162" s="23">
        <f t="shared" si="272"/>
        <v>0</v>
      </c>
      <c r="K162" s="22">
        <f t="shared" ref="K162:K177" si="273">J162-I162</f>
        <v>0</v>
      </c>
      <c r="L162" s="24">
        <f t="shared" ref="L162:M177" si="274">IF(L89=0,0,L57/L89)</f>
        <v>0</v>
      </c>
      <c r="M162" s="23">
        <f t="shared" si="274"/>
        <v>0</v>
      </c>
      <c r="N162" s="22">
        <f t="shared" ref="N162:N177" si="275">M162-L162</f>
        <v>0</v>
      </c>
      <c r="O162" s="24">
        <f t="shared" ref="O162:P177" si="276">IF(O89=0,0,O57/O89)</f>
        <v>0</v>
      </c>
      <c r="P162" s="23">
        <f t="shared" si="276"/>
        <v>0</v>
      </c>
      <c r="Q162" s="22">
        <f t="shared" ref="Q162:Q177" si="277">P162-O162</f>
        <v>0</v>
      </c>
      <c r="R162" s="24">
        <f t="shared" ref="R162:S177" si="278">IF(R89=0,0,R57/R89)</f>
        <v>0</v>
      </c>
      <c r="S162" s="23">
        <f t="shared" si="278"/>
        <v>0</v>
      </c>
      <c r="T162" s="22">
        <f t="shared" ref="T162:T177" si="279">S162-R162</f>
        <v>0</v>
      </c>
      <c r="U162" s="24">
        <f t="shared" ref="U162:V177" si="280">IF(U89=0,0,U57/U89)</f>
        <v>0</v>
      </c>
      <c r="V162" s="23">
        <f t="shared" si="280"/>
        <v>0</v>
      </c>
      <c r="W162" s="22">
        <f t="shared" ref="W162:W177" si="281">V162-U162</f>
        <v>0</v>
      </c>
      <c r="X162" s="24">
        <f t="shared" ref="X162:Y177" si="282">IF(X89=0,0,X57/X89)</f>
        <v>0</v>
      </c>
      <c r="Y162" s="23">
        <f t="shared" si="282"/>
        <v>0</v>
      </c>
      <c r="Z162" s="22">
        <f t="shared" ref="Z162:Z177" si="283">Y162-X162</f>
        <v>0</v>
      </c>
      <c r="AA162" s="24">
        <f t="shared" ref="AA162:AB177" si="284">IF(AA89=0,0,AA57/AA89)</f>
        <v>0</v>
      </c>
      <c r="AB162" s="23">
        <f t="shared" si="284"/>
        <v>0</v>
      </c>
      <c r="AC162" s="22">
        <f t="shared" ref="AC162:AC177" si="285">AB162-AA162</f>
        <v>0</v>
      </c>
      <c r="AD162" s="24">
        <f t="shared" ref="AD162:AE177" si="286">IF(AD89=0,0,AD57/AD89)</f>
        <v>0</v>
      </c>
      <c r="AE162" s="23">
        <f t="shared" si="286"/>
        <v>0</v>
      </c>
      <c r="AF162" s="22">
        <f t="shared" ref="AF162:AF177" si="287">AE162-AD162</f>
        <v>0</v>
      </c>
      <c r="AG162" s="24">
        <f t="shared" ref="AG162:AH177" si="288">IF(AG89=0,0,AG57/AG89)</f>
        <v>0</v>
      </c>
      <c r="AH162" s="23">
        <f t="shared" si="288"/>
        <v>0</v>
      </c>
      <c r="AI162" s="22">
        <f t="shared" ref="AI162:AI177" si="289">AH162-AG162</f>
        <v>0</v>
      </c>
      <c r="AJ162" s="24">
        <f t="shared" ref="AJ162:AK177" si="290">IF(AJ89=0,0,AJ57/AJ89)</f>
        <v>0</v>
      </c>
      <c r="AK162" s="23">
        <f t="shared" si="290"/>
        <v>0</v>
      </c>
      <c r="AL162" s="22">
        <f t="shared" ref="AL162:AL177" si="291">AK162-AJ162</f>
        <v>0</v>
      </c>
      <c r="AM162" s="24">
        <f t="shared" ref="AM162:AN177" si="292">IF(AM89=0,0,AM57/AM89)</f>
        <v>0</v>
      </c>
      <c r="AN162" s="23">
        <f t="shared" si="292"/>
        <v>0</v>
      </c>
      <c r="AO162" s="22">
        <f t="shared" ref="AO162:AO177" si="293">AN162-AM162</f>
        <v>0</v>
      </c>
      <c r="AP162" s="24">
        <f t="shared" ref="AP162:AQ177" si="294">IF(AP89=0,0,AP57/AP89)</f>
        <v>0</v>
      </c>
      <c r="AQ162" s="23">
        <f t="shared" si="294"/>
        <v>0</v>
      </c>
      <c r="AR162" s="22">
        <f t="shared" ref="AR162:AR177" si="295">AQ162-AP162</f>
        <v>0</v>
      </c>
      <c r="AS162" s="24">
        <f t="shared" ref="AS162:AT177" si="296">IF(AS89=0,0,AS57/AS89)</f>
        <v>0</v>
      </c>
      <c r="AT162" s="23">
        <f t="shared" si="296"/>
        <v>0</v>
      </c>
      <c r="AU162" s="22">
        <f t="shared" ref="AU162:AU177" si="297">AT162-AS162</f>
        <v>0</v>
      </c>
      <c r="AV162" s="24">
        <f t="shared" ref="AV162:AW177" si="298">IF(AV89=0,0,AV57/AV89)</f>
        <v>0</v>
      </c>
      <c r="AW162" s="23">
        <f t="shared" si="298"/>
        <v>0</v>
      </c>
      <c r="AX162" s="22">
        <f t="shared" ref="AX162:AX177" si="299">AW162-AV162</f>
        <v>0</v>
      </c>
      <c r="AY162" s="23">
        <f t="shared" ref="AY162:AZ177" si="300">IF(AY89=0,0,AY57/AY89)</f>
        <v>0</v>
      </c>
      <c r="AZ162" s="23">
        <f t="shared" si="300"/>
        <v>0</v>
      </c>
      <c r="BA162" s="22">
        <f t="shared" ref="BA162:BA177" si="301">AZ162-AY162</f>
        <v>0</v>
      </c>
      <c r="BB162" s="24">
        <f t="shared" ref="BB162:BC177" si="302">IF(BB89=0,0,BB57/BB89)</f>
        <v>0</v>
      </c>
      <c r="BC162" s="23">
        <f t="shared" si="302"/>
        <v>0</v>
      </c>
      <c r="BD162" s="22">
        <f t="shared" ref="BD162:BD177" si="303">BC162-BB162</f>
        <v>0</v>
      </c>
      <c r="BE162" s="24">
        <f t="shared" si="268"/>
        <v>0</v>
      </c>
      <c r="BF162" s="24">
        <f t="shared" si="268"/>
        <v>0</v>
      </c>
      <c r="BG162" s="20">
        <f t="shared" ref="BG162" si="304">IF(BG89=0,0,BG57/BG89)</f>
        <v>0</v>
      </c>
    </row>
    <row r="163" spans="1:59" ht="13.5" hidden="1" customHeight="1" outlineLevel="1" x14ac:dyDescent="0.25">
      <c r="A163" s="28"/>
      <c r="B163" s="84" t="s">
        <v>49</v>
      </c>
      <c r="C163" s="59" t="s">
        <v>32</v>
      </c>
      <c r="D163" s="20">
        <f t="shared" si="270"/>
        <v>0</v>
      </c>
      <c r="E163" s="20">
        <f t="shared" si="270"/>
        <v>0</v>
      </c>
      <c r="F163" s="24">
        <f t="shared" si="270"/>
        <v>0</v>
      </c>
      <c r="G163" s="23">
        <f t="shared" si="270"/>
        <v>0</v>
      </c>
      <c r="H163" s="22">
        <f t="shared" si="271"/>
        <v>0</v>
      </c>
      <c r="I163" s="24">
        <f t="shared" si="272"/>
        <v>0</v>
      </c>
      <c r="J163" s="23">
        <f t="shared" si="272"/>
        <v>0</v>
      </c>
      <c r="K163" s="22">
        <f t="shared" si="273"/>
        <v>0</v>
      </c>
      <c r="L163" s="24">
        <f t="shared" si="274"/>
        <v>0</v>
      </c>
      <c r="M163" s="23">
        <f t="shared" si="274"/>
        <v>0</v>
      </c>
      <c r="N163" s="22">
        <f t="shared" si="275"/>
        <v>0</v>
      </c>
      <c r="O163" s="24">
        <f t="shared" si="276"/>
        <v>0</v>
      </c>
      <c r="P163" s="23">
        <f t="shared" si="276"/>
        <v>0</v>
      </c>
      <c r="Q163" s="22">
        <f t="shared" si="277"/>
        <v>0</v>
      </c>
      <c r="R163" s="24">
        <f t="shared" si="278"/>
        <v>0</v>
      </c>
      <c r="S163" s="23">
        <f t="shared" si="278"/>
        <v>0</v>
      </c>
      <c r="T163" s="22">
        <f t="shared" si="279"/>
        <v>0</v>
      </c>
      <c r="U163" s="24">
        <f t="shared" si="280"/>
        <v>0</v>
      </c>
      <c r="V163" s="23">
        <f t="shared" si="280"/>
        <v>0</v>
      </c>
      <c r="W163" s="22">
        <f t="shared" si="281"/>
        <v>0</v>
      </c>
      <c r="X163" s="24">
        <f t="shared" si="282"/>
        <v>0</v>
      </c>
      <c r="Y163" s="23">
        <f t="shared" si="282"/>
        <v>0</v>
      </c>
      <c r="Z163" s="22">
        <f t="shared" si="283"/>
        <v>0</v>
      </c>
      <c r="AA163" s="24">
        <f t="shared" si="284"/>
        <v>0</v>
      </c>
      <c r="AB163" s="23">
        <f t="shared" si="284"/>
        <v>0</v>
      </c>
      <c r="AC163" s="22">
        <f t="shared" si="285"/>
        <v>0</v>
      </c>
      <c r="AD163" s="24">
        <f t="shared" si="286"/>
        <v>0</v>
      </c>
      <c r="AE163" s="23">
        <f t="shared" si="286"/>
        <v>0</v>
      </c>
      <c r="AF163" s="22">
        <f t="shared" si="287"/>
        <v>0</v>
      </c>
      <c r="AG163" s="24">
        <f t="shared" si="288"/>
        <v>0</v>
      </c>
      <c r="AH163" s="23">
        <f t="shared" si="288"/>
        <v>0</v>
      </c>
      <c r="AI163" s="22">
        <f t="shared" si="289"/>
        <v>0</v>
      </c>
      <c r="AJ163" s="24">
        <f t="shared" si="290"/>
        <v>0</v>
      </c>
      <c r="AK163" s="23">
        <f t="shared" si="290"/>
        <v>0</v>
      </c>
      <c r="AL163" s="22">
        <f t="shared" si="291"/>
        <v>0</v>
      </c>
      <c r="AM163" s="24">
        <f t="shared" si="292"/>
        <v>0</v>
      </c>
      <c r="AN163" s="23">
        <f t="shared" si="292"/>
        <v>0</v>
      </c>
      <c r="AO163" s="22">
        <f t="shared" si="293"/>
        <v>0</v>
      </c>
      <c r="AP163" s="24">
        <f t="shared" si="294"/>
        <v>0</v>
      </c>
      <c r="AQ163" s="23">
        <f t="shared" si="294"/>
        <v>0</v>
      </c>
      <c r="AR163" s="22">
        <f t="shared" si="295"/>
        <v>0</v>
      </c>
      <c r="AS163" s="24">
        <f t="shared" si="296"/>
        <v>0</v>
      </c>
      <c r="AT163" s="23">
        <f t="shared" si="296"/>
        <v>0</v>
      </c>
      <c r="AU163" s="22">
        <f t="shared" si="297"/>
        <v>0</v>
      </c>
      <c r="AV163" s="24">
        <f t="shared" si="298"/>
        <v>0</v>
      </c>
      <c r="AW163" s="23">
        <f t="shared" si="298"/>
        <v>0</v>
      </c>
      <c r="AX163" s="22">
        <f t="shared" si="299"/>
        <v>0</v>
      </c>
      <c r="AY163" s="23">
        <f t="shared" si="300"/>
        <v>0</v>
      </c>
      <c r="AZ163" s="23">
        <f t="shared" si="300"/>
        <v>0</v>
      </c>
      <c r="BA163" s="22">
        <f t="shared" si="301"/>
        <v>0</v>
      </c>
      <c r="BB163" s="24">
        <f t="shared" si="302"/>
        <v>0</v>
      </c>
      <c r="BC163" s="23">
        <f t="shared" si="302"/>
        <v>0</v>
      </c>
      <c r="BD163" s="22">
        <f t="shared" si="303"/>
        <v>0</v>
      </c>
      <c r="BE163" s="24">
        <f t="shared" si="268"/>
        <v>0</v>
      </c>
      <c r="BF163" s="24">
        <f t="shared" si="268"/>
        <v>0</v>
      </c>
      <c r="BG163" s="20">
        <f t="shared" ref="BG163" si="305">IF(BG90=0,0,BG58/BG90)</f>
        <v>0</v>
      </c>
    </row>
    <row r="164" spans="1:59" ht="13.5" hidden="1" customHeight="1" outlineLevel="1" x14ac:dyDescent="0.25">
      <c r="A164" s="28"/>
      <c r="B164" s="84" t="s">
        <v>50</v>
      </c>
      <c r="C164" s="59" t="s">
        <v>32</v>
      </c>
      <c r="D164" s="20">
        <f t="shared" si="270"/>
        <v>0</v>
      </c>
      <c r="E164" s="20">
        <f t="shared" si="270"/>
        <v>0</v>
      </c>
      <c r="F164" s="24">
        <f t="shared" si="270"/>
        <v>0</v>
      </c>
      <c r="G164" s="23">
        <f t="shared" si="270"/>
        <v>0</v>
      </c>
      <c r="H164" s="22">
        <f t="shared" si="271"/>
        <v>0</v>
      </c>
      <c r="I164" s="24">
        <f t="shared" si="272"/>
        <v>0</v>
      </c>
      <c r="J164" s="23">
        <f t="shared" si="272"/>
        <v>0</v>
      </c>
      <c r="K164" s="22">
        <f t="shared" si="273"/>
        <v>0</v>
      </c>
      <c r="L164" s="24">
        <f t="shared" si="274"/>
        <v>0</v>
      </c>
      <c r="M164" s="23">
        <f t="shared" si="274"/>
        <v>0</v>
      </c>
      <c r="N164" s="22">
        <f t="shared" si="275"/>
        <v>0</v>
      </c>
      <c r="O164" s="24">
        <f t="shared" si="276"/>
        <v>0</v>
      </c>
      <c r="P164" s="23">
        <f t="shared" si="276"/>
        <v>0</v>
      </c>
      <c r="Q164" s="22">
        <f t="shared" si="277"/>
        <v>0</v>
      </c>
      <c r="R164" s="24">
        <f t="shared" si="278"/>
        <v>0</v>
      </c>
      <c r="S164" s="23">
        <f t="shared" si="278"/>
        <v>0</v>
      </c>
      <c r="T164" s="22">
        <f t="shared" si="279"/>
        <v>0</v>
      </c>
      <c r="U164" s="24">
        <f t="shared" si="280"/>
        <v>0</v>
      </c>
      <c r="V164" s="23">
        <f t="shared" si="280"/>
        <v>0</v>
      </c>
      <c r="W164" s="22">
        <f t="shared" si="281"/>
        <v>0</v>
      </c>
      <c r="X164" s="24">
        <f t="shared" si="282"/>
        <v>0</v>
      </c>
      <c r="Y164" s="23">
        <f t="shared" si="282"/>
        <v>0</v>
      </c>
      <c r="Z164" s="22">
        <f t="shared" si="283"/>
        <v>0</v>
      </c>
      <c r="AA164" s="24">
        <f t="shared" si="284"/>
        <v>0</v>
      </c>
      <c r="AB164" s="23">
        <f t="shared" si="284"/>
        <v>0</v>
      </c>
      <c r="AC164" s="22">
        <f t="shared" si="285"/>
        <v>0</v>
      </c>
      <c r="AD164" s="24">
        <f t="shared" si="286"/>
        <v>0</v>
      </c>
      <c r="AE164" s="23">
        <f t="shared" si="286"/>
        <v>0</v>
      </c>
      <c r="AF164" s="22">
        <f t="shared" si="287"/>
        <v>0</v>
      </c>
      <c r="AG164" s="24">
        <f t="shared" si="288"/>
        <v>0</v>
      </c>
      <c r="AH164" s="23">
        <f t="shared" si="288"/>
        <v>0</v>
      </c>
      <c r="AI164" s="22">
        <f t="shared" si="289"/>
        <v>0</v>
      </c>
      <c r="AJ164" s="24">
        <f t="shared" si="290"/>
        <v>0</v>
      </c>
      <c r="AK164" s="23">
        <f t="shared" si="290"/>
        <v>0</v>
      </c>
      <c r="AL164" s="22">
        <f t="shared" si="291"/>
        <v>0</v>
      </c>
      <c r="AM164" s="24">
        <f t="shared" si="292"/>
        <v>0</v>
      </c>
      <c r="AN164" s="23">
        <f t="shared" si="292"/>
        <v>0</v>
      </c>
      <c r="AO164" s="22">
        <f t="shared" si="293"/>
        <v>0</v>
      </c>
      <c r="AP164" s="24">
        <f t="shared" si="294"/>
        <v>0</v>
      </c>
      <c r="AQ164" s="23">
        <f t="shared" si="294"/>
        <v>0</v>
      </c>
      <c r="AR164" s="22">
        <f t="shared" si="295"/>
        <v>0</v>
      </c>
      <c r="AS164" s="24">
        <f t="shared" si="296"/>
        <v>0</v>
      </c>
      <c r="AT164" s="23">
        <f t="shared" si="296"/>
        <v>0</v>
      </c>
      <c r="AU164" s="22">
        <f t="shared" si="297"/>
        <v>0</v>
      </c>
      <c r="AV164" s="24">
        <f t="shared" si="298"/>
        <v>0</v>
      </c>
      <c r="AW164" s="23">
        <f t="shared" si="298"/>
        <v>0</v>
      </c>
      <c r="AX164" s="22">
        <f t="shared" si="299"/>
        <v>0</v>
      </c>
      <c r="AY164" s="23">
        <f t="shared" si="300"/>
        <v>0</v>
      </c>
      <c r="AZ164" s="23">
        <f t="shared" si="300"/>
        <v>0</v>
      </c>
      <c r="BA164" s="22">
        <f t="shared" si="301"/>
        <v>0</v>
      </c>
      <c r="BB164" s="24">
        <f t="shared" si="302"/>
        <v>0</v>
      </c>
      <c r="BC164" s="23">
        <f t="shared" si="302"/>
        <v>0</v>
      </c>
      <c r="BD164" s="22">
        <f t="shared" si="303"/>
        <v>0</v>
      </c>
      <c r="BE164" s="24">
        <f t="shared" si="268"/>
        <v>0</v>
      </c>
      <c r="BF164" s="24">
        <f t="shared" si="268"/>
        <v>0</v>
      </c>
      <c r="BG164" s="20">
        <f t="shared" ref="BG164" si="306">IF(BG91=0,0,BG59/BG91)</f>
        <v>0</v>
      </c>
    </row>
    <row r="165" spans="1:59" ht="13.5" hidden="1" customHeight="1" outlineLevel="1" x14ac:dyDescent="0.25">
      <c r="A165" s="28"/>
      <c r="B165" s="84" t="s">
        <v>51</v>
      </c>
      <c r="C165" s="59" t="s">
        <v>32</v>
      </c>
      <c r="D165" s="20">
        <f t="shared" si="270"/>
        <v>0</v>
      </c>
      <c r="E165" s="20">
        <f t="shared" si="270"/>
        <v>0</v>
      </c>
      <c r="F165" s="24">
        <f t="shared" si="270"/>
        <v>0</v>
      </c>
      <c r="G165" s="23">
        <f t="shared" si="270"/>
        <v>0</v>
      </c>
      <c r="H165" s="22">
        <f t="shared" si="271"/>
        <v>0</v>
      </c>
      <c r="I165" s="24">
        <f t="shared" si="272"/>
        <v>0</v>
      </c>
      <c r="J165" s="23">
        <f t="shared" si="272"/>
        <v>0</v>
      </c>
      <c r="K165" s="22">
        <f t="shared" si="273"/>
        <v>0</v>
      </c>
      <c r="L165" s="24">
        <f t="shared" si="274"/>
        <v>0</v>
      </c>
      <c r="M165" s="23">
        <f t="shared" si="274"/>
        <v>0</v>
      </c>
      <c r="N165" s="22">
        <f t="shared" si="275"/>
        <v>0</v>
      </c>
      <c r="O165" s="24">
        <f t="shared" si="276"/>
        <v>0</v>
      </c>
      <c r="P165" s="23">
        <f t="shared" si="276"/>
        <v>0</v>
      </c>
      <c r="Q165" s="22">
        <f t="shared" si="277"/>
        <v>0</v>
      </c>
      <c r="R165" s="24">
        <f t="shared" si="278"/>
        <v>0</v>
      </c>
      <c r="S165" s="23">
        <f t="shared" si="278"/>
        <v>0</v>
      </c>
      <c r="T165" s="22">
        <f t="shared" si="279"/>
        <v>0</v>
      </c>
      <c r="U165" s="24">
        <f t="shared" si="280"/>
        <v>0</v>
      </c>
      <c r="V165" s="23">
        <f t="shared" si="280"/>
        <v>0</v>
      </c>
      <c r="W165" s="22">
        <f t="shared" si="281"/>
        <v>0</v>
      </c>
      <c r="X165" s="24">
        <f t="shared" si="282"/>
        <v>0</v>
      </c>
      <c r="Y165" s="23">
        <f t="shared" si="282"/>
        <v>0</v>
      </c>
      <c r="Z165" s="22">
        <f t="shared" si="283"/>
        <v>0</v>
      </c>
      <c r="AA165" s="24">
        <f t="shared" si="284"/>
        <v>0</v>
      </c>
      <c r="AB165" s="23">
        <f t="shared" si="284"/>
        <v>0</v>
      </c>
      <c r="AC165" s="22">
        <f t="shared" si="285"/>
        <v>0</v>
      </c>
      <c r="AD165" s="24">
        <f t="shared" si="286"/>
        <v>0</v>
      </c>
      <c r="AE165" s="23">
        <f t="shared" si="286"/>
        <v>0</v>
      </c>
      <c r="AF165" s="22">
        <f t="shared" si="287"/>
        <v>0</v>
      </c>
      <c r="AG165" s="24">
        <f t="shared" si="288"/>
        <v>0</v>
      </c>
      <c r="AH165" s="23">
        <f t="shared" si="288"/>
        <v>0</v>
      </c>
      <c r="AI165" s="22">
        <f t="shared" si="289"/>
        <v>0</v>
      </c>
      <c r="AJ165" s="24">
        <f t="shared" si="290"/>
        <v>0</v>
      </c>
      <c r="AK165" s="23">
        <f t="shared" si="290"/>
        <v>0</v>
      </c>
      <c r="AL165" s="22">
        <f t="shared" si="291"/>
        <v>0</v>
      </c>
      <c r="AM165" s="24">
        <f t="shared" si="292"/>
        <v>0</v>
      </c>
      <c r="AN165" s="23">
        <f t="shared" si="292"/>
        <v>0</v>
      </c>
      <c r="AO165" s="22">
        <f t="shared" si="293"/>
        <v>0</v>
      </c>
      <c r="AP165" s="24">
        <f t="shared" si="294"/>
        <v>0</v>
      </c>
      <c r="AQ165" s="23">
        <f t="shared" si="294"/>
        <v>0</v>
      </c>
      <c r="AR165" s="22">
        <f t="shared" si="295"/>
        <v>0</v>
      </c>
      <c r="AS165" s="24">
        <f t="shared" si="296"/>
        <v>0</v>
      </c>
      <c r="AT165" s="23">
        <f t="shared" si="296"/>
        <v>0</v>
      </c>
      <c r="AU165" s="22">
        <f t="shared" si="297"/>
        <v>0</v>
      </c>
      <c r="AV165" s="24">
        <f t="shared" si="298"/>
        <v>0</v>
      </c>
      <c r="AW165" s="23">
        <f t="shared" si="298"/>
        <v>0</v>
      </c>
      <c r="AX165" s="22">
        <f t="shared" si="299"/>
        <v>0</v>
      </c>
      <c r="AY165" s="23">
        <f t="shared" si="300"/>
        <v>0</v>
      </c>
      <c r="AZ165" s="23">
        <f t="shared" si="300"/>
        <v>0</v>
      </c>
      <c r="BA165" s="22">
        <f t="shared" si="301"/>
        <v>0</v>
      </c>
      <c r="BB165" s="24">
        <f t="shared" si="302"/>
        <v>0</v>
      </c>
      <c r="BC165" s="23">
        <f t="shared" si="302"/>
        <v>0</v>
      </c>
      <c r="BD165" s="22">
        <f t="shared" si="303"/>
        <v>0</v>
      </c>
      <c r="BE165" s="24">
        <f t="shared" si="268"/>
        <v>0</v>
      </c>
      <c r="BF165" s="24">
        <f t="shared" si="268"/>
        <v>0</v>
      </c>
      <c r="BG165" s="20">
        <f t="shared" ref="BG165" si="307">IF(BG92=0,0,BG60/BG92)</f>
        <v>0</v>
      </c>
    </row>
    <row r="166" spans="1:59" ht="13.5" hidden="1" customHeight="1" outlineLevel="1" x14ac:dyDescent="0.25">
      <c r="A166" s="28"/>
      <c r="B166" s="84" t="s">
        <v>52</v>
      </c>
      <c r="C166" s="59" t="s">
        <v>32</v>
      </c>
      <c r="D166" s="20">
        <f t="shared" si="270"/>
        <v>0</v>
      </c>
      <c r="E166" s="20">
        <f t="shared" si="270"/>
        <v>0</v>
      </c>
      <c r="F166" s="24">
        <f t="shared" si="270"/>
        <v>0</v>
      </c>
      <c r="G166" s="23">
        <f t="shared" si="270"/>
        <v>0</v>
      </c>
      <c r="H166" s="22">
        <f t="shared" si="271"/>
        <v>0</v>
      </c>
      <c r="I166" s="24">
        <f t="shared" si="272"/>
        <v>0</v>
      </c>
      <c r="J166" s="23">
        <f t="shared" si="272"/>
        <v>0</v>
      </c>
      <c r="K166" s="22">
        <f t="shared" si="273"/>
        <v>0</v>
      </c>
      <c r="L166" s="24">
        <f t="shared" si="274"/>
        <v>0</v>
      </c>
      <c r="M166" s="23">
        <f t="shared" si="274"/>
        <v>0</v>
      </c>
      <c r="N166" s="22">
        <f t="shared" si="275"/>
        <v>0</v>
      </c>
      <c r="O166" s="24">
        <f t="shared" si="276"/>
        <v>0</v>
      </c>
      <c r="P166" s="23">
        <f t="shared" si="276"/>
        <v>0</v>
      </c>
      <c r="Q166" s="22">
        <f t="shared" si="277"/>
        <v>0</v>
      </c>
      <c r="R166" s="24">
        <f t="shared" si="278"/>
        <v>0</v>
      </c>
      <c r="S166" s="23">
        <f t="shared" si="278"/>
        <v>0</v>
      </c>
      <c r="T166" s="22">
        <f t="shared" si="279"/>
        <v>0</v>
      </c>
      <c r="U166" s="24">
        <f t="shared" si="280"/>
        <v>0</v>
      </c>
      <c r="V166" s="23">
        <f t="shared" si="280"/>
        <v>0</v>
      </c>
      <c r="W166" s="22">
        <f t="shared" si="281"/>
        <v>0</v>
      </c>
      <c r="X166" s="24">
        <f t="shared" si="282"/>
        <v>0</v>
      </c>
      <c r="Y166" s="23">
        <f t="shared" si="282"/>
        <v>0</v>
      </c>
      <c r="Z166" s="22">
        <f t="shared" si="283"/>
        <v>0</v>
      </c>
      <c r="AA166" s="24">
        <f t="shared" si="284"/>
        <v>0</v>
      </c>
      <c r="AB166" s="23">
        <f t="shared" si="284"/>
        <v>0</v>
      </c>
      <c r="AC166" s="22">
        <f t="shared" si="285"/>
        <v>0</v>
      </c>
      <c r="AD166" s="24">
        <f t="shared" si="286"/>
        <v>0</v>
      </c>
      <c r="AE166" s="23">
        <f t="shared" si="286"/>
        <v>0</v>
      </c>
      <c r="AF166" s="22">
        <f t="shared" si="287"/>
        <v>0</v>
      </c>
      <c r="AG166" s="24">
        <f t="shared" si="288"/>
        <v>0</v>
      </c>
      <c r="AH166" s="23">
        <f t="shared" si="288"/>
        <v>0</v>
      </c>
      <c r="AI166" s="22">
        <f t="shared" si="289"/>
        <v>0</v>
      </c>
      <c r="AJ166" s="24">
        <f t="shared" si="290"/>
        <v>0</v>
      </c>
      <c r="AK166" s="23">
        <f t="shared" si="290"/>
        <v>0</v>
      </c>
      <c r="AL166" s="22">
        <f t="shared" si="291"/>
        <v>0</v>
      </c>
      <c r="AM166" s="24">
        <f t="shared" si="292"/>
        <v>0</v>
      </c>
      <c r="AN166" s="23">
        <f t="shared" si="292"/>
        <v>0</v>
      </c>
      <c r="AO166" s="22">
        <f t="shared" si="293"/>
        <v>0</v>
      </c>
      <c r="AP166" s="24">
        <f t="shared" si="294"/>
        <v>0</v>
      </c>
      <c r="AQ166" s="23">
        <f t="shared" si="294"/>
        <v>0</v>
      </c>
      <c r="AR166" s="22">
        <f t="shared" si="295"/>
        <v>0</v>
      </c>
      <c r="AS166" s="24">
        <f t="shared" si="296"/>
        <v>0</v>
      </c>
      <c r="AT166" s="23">
        <f t="shared" si="296"/>
        <v>0</v>
      </c>
      <c r="AU166" s="22">
        <f t="shared" si="297"/>
        <v>0</v>
      </c>
      <c r="AV166" s="24">
        <f t="shared" si="298"/>
        <v>0</v>
      </c>
      <c r="AW166" s="23">
        <f t="shared" si="298"/>
        <v>0</v>
      </c>
      <c r="AX166" s="22">
        <f t="shared" si="299"/>
        <v>0</v>
      </c>
      <c r="AY166" s="23">
        <f t="shared" si="300"/>
        <v>0</v>
      </c>
      <c r="AZ166" s="23">
        <f t="shared" si="300"/>
        <v>0</v>
      </c>
      <c r="BA166" s="22">
        <f t="shared" si="301"/>
        <v>0</v>
      </c>
      <c r="BB166" s="24">
        <f t="shared" si="302"/>
        <v>0</v>
      </c>
      <c r="BC166" s="23">
        <f t="shared" si="302"/>
        <v>0</v>
      </c>
      <c r="BD166" s="22">
        <f t="shared" si="303"/>
        <v>0</v>
      </c>
      <c r="BE166" s="24">
        <f t="shared" si="268"/>
        <v>0</v>
      </c>
      <c r="BF166" s="24">
        <f t="shared" si="268"/>
        <v>0</v>
      </c>
      <c r="BG166" s="20">
        <f t="shared" ref="BG166" si="308">IF(BG93=0,0,BG61/BG93)</f>
        <v>0</v>
      </c>
    </row>
    <row r="167" spans="1:59" ht="13.5" hidden="1" customHeight="1" outlineLevel="1" x14ac:dyDescent="0.25">
      <c r="A167" s="28"/>
      <c r="B167" s="84" t="s">
        <v>53</v>
      </c>
      <c r="C167" s="59" t="s">
        <v>32</v>
      </c>
      <c r="D167" s="20">
        <f t="shared" si="270"/>
        <v>0</v>
      </c>
      <c r="E167" s="20">
        <f t="shared" si="270"/>
        <v>0</v>
      </c>
      <c r="F167" s="24">
        <f t="shared" si="270"/>
        <v>0</v>
      </c>
      <c r="G167" s="23">
        <f t="shared" si="270"/>
        <v>0</v>
      </c>
      <c r="H167" s="22">
        <f t="shared" si="271"/>
        <v>0</v>
      </c>
      <c r="I167" s="24">
        <f t="shared" si="272"/>
        <v>0</v>
      </c>
      <c r="J167" s="23">
        <f t="shared" si="272"/>
        <v>0</v>
      </c>
      <c r="K167" s="22">
        <f t="shared" si="273"/>
        <v>0</v>
      </c>
      <c r="L167" s="24">
        <f t="shared" si="274"/>
        <v>0</v>
      </c>
      <c r="M167" s="23">
        <f t="shared" si="274"/>
        <v>0</v>
      </c>
      <c r="N167" s="22">
        <f t="shared" si="275"/>
        <v>0</v>
      </c>
      <c r="O167" s="24">
        <f t="shared" si="276"/>
        <v>0</v>
      </c>
      <c r="P167" s="23">
        <f t="shared" si="276"/>
        <v>0</v>
      </c>
      <c r="Q167" s="22">
        <f t="shared" si="277"/>
        <v>0</v>
      </c>
      <c r="R167" s="24">
        <f t="shared" si="278"/>
        <v>0</v>
      </c>
      <c r="S167" s="23">
        <f t="shared" si="278"/>
        <v>0</v>
      </c>
      <c r="T167" s="22">
        <f t="shared" si="279"/>
        <v>0</v>
      </c>
      <c r="U167" s="24">
        <f t="shared" si="280"/>
        <v>0</v>
      </c>
      <c r="V167" s="23">
        <f t="shared" si="280"/>
        <v>0</v>
      </c>
      <c r="W167" s="22">
        <f t="shared" si="281"/>
        <v>0</v>
      </c>
      <c r="X167" s="24">
        <f t="shared" si="282"/>
        <v>0</v>
      </c>
      <c r="Y167" s="23">
        <f t="shared" si="282"/>
        <v>0</v>
      </c>
      <c r="Z167" s="22">
        <f t="shared" si="283"/>
        <v>0</v>
      </c>
      <c r="AA167" s="24">
        <f t="shared" si="284"/>
        <v>0</v>
      </c>
      <c r="AB167" s="23">
        <f t="shared" si="284"/>
        <v>0</v>
      </c>
      <c r="AC167" s="22">
        <f t="shared" si="285"/>
        <v>0</v>
      </c>
      <c r="AD167" s="24">
        <f t="shared" si="286"/>
        <v>0</v>
      </c>
      <c r="AE167" s="23">
        <f t="shared" si="286"/>
        <v>0</v>
      </c>
      <c r="AF167" s="22">
        <f t="shared" si="287"/>
        <v>0</v>
      </c>
      <c r="AG167" s="24">
        <f t="shared" si="288"/>
        <v>0</v>
      </c>
      <c r="AH167" s="23">
        <f t="shared" si="288"/>
        <v>0</v>
      </c>
      <c r="AI167" s="22">
        <f t="shared" si="289"/>
        <v>0</v>
      </c>
      <c r="AJ167" s="24">
        <f t="shared" si="290"/>
        <v>0</v>
      </c>
      <c r="AK167" s="23">
        <f t="shared" si="290"/>
        <v>0</v>
      </c>
      <c r="AL167" s="22">
        <f t="shared" si="291"/>
        <v>0</v>
      </c>
      <c r="AM167" s="24">
        <f t="shared" si="292"/>
        <v>0</v>
      </c>
      <c r="AN167" s="23">
        <f t="shared" si="292"/>
        <v>0</v>
      </c>
      <c r="AO167" s="22">
        <f t="shared" si="293"/>
        <v>0</v>
      </c>
      <c r="AP167" s="24">
        <f t="shared" si="294"/>
        <v>0</v>
      </c>
      <c r="AQ167" s="23">
        <f t="shared" si="294"/>
        <v>0</v>
      </c>
      <c r="AR167" s="22">
        <f t="shared" si="295"/>
        <v>0</v>
      </c>
      <c r="AS167" s="24">
        <f t="shared" si="296"/>
        <v>0</v>
      </c>
      <c r="AT167" s="23">
        <f t="shared" si="296"/>
        <v>0</v>
      </c>
      <c r="AU167" s="22">
        <f t="shared" si="297"/>
        <v>0</v>
      </c>
      <c r="AV167" s="24">
        <f t="shared" si="298"/>
        <v>0</v>
      </c>
      <c r="AW167" s="23">
        <f t="shared" si="298"/>
        <v>0</v>
      </c>
      <c r="AX167" s="22">
        <f t="shared" si="299"/>
        <v>0</v>
      </c>
      <c r="AY167" s="23">
        <f t="shared" si="300"/>
        <v>0</v>
      </c>
      <c r="AZ167" s="23">
        <f t="shared" si="300"/>
        <v>0</v>
      </c>
      <c r="BA167" s="22">
        <f t="shared" si="301"/>
        <v>0</v>
      </c>
      <c r="BB167" s="24">
        <f t="shared" si="302"/>
        <v>0</v>
      </c>
      <c r="BC167" s="23">
        <f t="shared" si="302"/>
        <v>0</v>
      </c>
      <c r="BD167" s="22">
        <f t="shared" si="303"/>
        <v>0</v>
      </c>
      <c r="BE167" s="24">
        <f t="shared" si="268"/>
        <v>0</v>
      </c>
      <c r="BF167" s="24">
        <f t="shared" si="268"/>
        <v>0</v>
      </c>
      <c r="BG167" s="20">
        <f t="shared" ref="BG167" si="309">IF(BG94=0,0,BG62/BG94)</f>
        <v>0</v>
      </c>
    </row>
    <row r="168" spans="1:59" ht="13.5" hidden="1" customHeight="1" outlineLevel="1" x14ac:dyDescent="0.25">
      <c r="A168" s="28"/>
      <c r="B168" s="84" t="s">
        <v>54</v>
      </c>
      <c r="C168" s="59" t="s">
        <v>32</v>
      </c>
      <c r="D168" s="20">
        <f t="shared" si="270"/>
        <v>0</v>
      </c>
      <c r="E168" s="20">
        <f t="shared" si="270"/>
        <v>0</v>
      </c>
      <c r="F168" s="24">
        <f t="shared" si="270"/>
        <v>0</v>
      </c>
      <c r="G168" s="23">
        <f t="shared" si="270"/>
        <v>0</v>
      </c>
      <c r="H168" s="22">
        <f t="shared" si="271"/>
        <v>0</v>
      </c>
      <c r="I168" s="24">
        <f t="shared" si="272"/>
        <v>0</v>
      </c>
      <c r="J168" s="23">
        <f t="shared" si="272"/>
        <v>0</v>
      </c>
      <c r="K168" s="22">
        <f t="shared" si="273"/>
        <v>0</v>
      </c>
      <c r="L168" s="24">
        <f t="shared" si="274"/>
        <v>0</v>
      </c>
      <c r="M168" s="23">
        <f t="shared" si="274"/>
        <v>0</v>
      </c>
      <c r="N168" s="22">
        <f t="shared" si="275"/>
        <v>0</v>
      </c>
      <c r="O168" s="24">
        <f t="shared" si="276"/>
        <v>0</v>
      </c>
      <c r="P168" s="23">
        <f t="shared" si="276"/>
        <v>0</v>
      </c>
      <c r="Q168" s="22">
        <f t="shared" si="277"/>
        <v>0</v>
      </c>
      <c r="R168" s="24">
        <f t="shared" si="278"/>
        <v>0</v>
      </c>
      <c r="S168" s="23">
        <f t="shared" si="278"/>
        <v>0</v>
      </c>
      <c r="T168" s="22">
        <f t="shared" si="279"/>
        <v>0</v>
      </c>
      <c r="U168" s="24">
        <f t="shared" si="280"/>
        <v>0</v>
      </c>
      <c r="V168" s="23">
        <f t="shared" si="280"/>
        <v>0</v>
      </c>
      <c r="W168" s="22">
        <f t="shared" si="281"/>
        <v>0</v>
      </c>
      <c r="X168" s="24">
        <f t="shared" si="282"/>
        <v>0</v>
      </c>
      <c r="Y168" s="23">
        <f t="shared" si="282"/>
        <v>0</v>
      </c>
      <c r="Z168" s="22">
        <f t="shared" si="283"/>
        <v>0</v>
      </c>
      <c r="AA168" s="24">
        <f t="shared" si="284"/>
        <v>0</v>
      </c>
      <c r="AB168" s="23">
        <f t="shared" si="284"/>
        <v>0</v>
      </c>
      <c r="AC168" s="22">
        <f t="shared" si="285"/>
        <v>0</v>
      </c>
      <c r="AD168" s="24">
        <f t="shared" si="286"/>
        <v>0</v>
      </c>
      <c r="AE168" s="23">
        <f t="shared" si="286"/>
        <v>0</v>
      </c>
      <c r="AF168" s="22">
        <f t="shared" si="287"/>
        <v>0</v>
      </c>
      <c r="AG168" s="24">
        <f t="shared" si="288"/>
        <v>0</v>
      </c>
      <c r="AH168" s="23">
        <f t="shared" si="288"/>
        <v>0</v>
      </c>
      <c r="AI168" s="22">
        <f t="shared" si="289"/>
        <v>0</v>
      </c>
      <c r="AJ168" s="24">
        <f t="shared" si="290"/>
        <v>0</v>
      </c>
      <c r="AK168" s="23">
        <f t="shared" si="290"/>
        <v>0</v>
      </c>
      <c r="AL168" s="22">
        <f t="shared" si="291"/>
        <v>0</v>
      </c>
      <c r="AM168" s="24">
        <f t="shared" si="292"/>
        <v>0</v>
      </c>
      <c r="AN168" s="23">
        <f t="shared" si="292"/>
        <v>0</v>
      </c>
      <c r="AO168" s="22">
        <f t="shared" si="293"/>
        <v>0</v>
      </c>
      <c r="AP168" s="24">
        <f t="shared" si="294"/>
        <v>0</v>
      </c>
      <c r="AQ168" s="23">
        <f t="shared" si="294"/>
        <v>0</v>
      </c>
      <c r="AR168" s="22">
        <f t="shared" si="295"/>
        <v>0</v>
      </c>
      <c r="AS168" s="24">
        <f t="shared" si="296"/>
        <v>0</v>
      </c>
      <c r="AT168" s="23">
        <f t="shared" si="296"/>
        <v>0</v>
      </c>
      <c r="AU168" s="22">
        <f t="shared" si="297"/>
        <v>0</v>
      </c>
      <c r="AV168" s="24">
        <f t="shared" si="298"/>
        <v>0</v>
      </c>
      <c r="AW168" s="23">
        <f t="shared" si="298"/>
        <v>0</v>
      </c>
      <c r="AX168" s="22">
        <f t="shared" si="299"/>
        <v>0</v>
      </c>
      <c r="AY168" s="23">
        <f t="shared" si="300"/>
        <v>0</v>
      </c>
      <c r="AZ168" s="23">
        <f t="shared" si="300"/>
        <v>0</v>
      </c>
      <c r="BA168" s="22">
        <f t="shared" si="301"/>
        <v>0</v>
      </c>
      <c r="BB168" s="24">
        <f t="shared" si="302"/>
        <v>0</v>
      </c>
      <c r="BC168" s="23">
        <f t="shared" si="302"/>
        <v>0</v>
      </c>
      <c r="BD168" s="22">
        <f t="shared" si="303"/>
        <v>0</v>
      </c>
      <c r="BE168" s="24">
        <f t="shared" si="268"/>
        <v>0</v>
      </c>
      <c r="BF168" s="24">
        <f t="shared" si="268"/>
        <v>0</v>
      </c>
      <c r="BG168" s="20">
        <f t="shared" ref="BG168" si="310">IF(BG95=0,0,BG63/BG95)</f>
        <v>0</v>
      </c>
    </row>
    <row r="169" spans="1:59" ht="13.5" hidden="1" customHeight="1" outlineLevel="1" x14ac:dyDescent="0.25">
      <c r="A169" s="82"/>
      <c r="B169" s="84" t="s">
        <v>55</v>
      </c>
      <c r="C169" s="59" t="s">
        <v>32</v>
      </c>
      <c r="D169" s="20">
        <f t="shared" si="270"/>
        <v>0</v>
      </c>
      <c r="E169" s="20">
        <f t="shared" si="270"/>
        <v>0</v>
      </c>
      <c r="F169" s="24">
        <f t="shared" si="270"/>
        <v>0</v>
      </c>
      <c r="G169" s="23">
        <f t="shared" si="270"/>
        <v>0</v>
      </c>
      <c r="H169" s="22">
        <f t="shared" si="271"/>
        <v>0</v>
      </c>
      <c r="I169" s="24">
        <f t="shared" si="272"/>
        <v>0</v>
      </c>
      <c r="J169" s="23">
        <f t="shared" si="272"/>
        <v>0</v>
      </c>
      <c r="K169" s="22">
        <f t="shared" si="273"/>
        <v>0</v>
      </c>
      <c r="L169" s="24">
        <f t="shared" si="274"/>
        <v>0</v>
      </c>
      <c r="M169" s="23">
        <f t="shared" si="274"/>
        <v>0</v>
      </c>
      <c r="N169" s="22">
        <f t="shared" si="275"/>
        <v>0</v>
      </c>
      <c r="O169" s="24">
        <f t="shared" si="276"/>
        <v>0</v>
      </c>
      <c r="P169" s="23">
        <f t="shared" si="276"/>
        <v>0</v>
      </c>
      <c r="Q169" s="22">
        <f t="shared" si="277"/>
        <v>0</v>
      </c>
      <c r="R169" s="24">
        <f t="shared" si="278"/>
        <v>0</v>
      </c>
      <c r="S169" s="23">
        <f t="shared" si="278"/>
        <v>0</v>
      </c>
      <c r="T169" s="22">
        <f t="shared" si="279"/>
        <v>0</v>
      </c>
      <c r="U169" s="24">
        <f t="shared" si="280"/>
        <v>0</v>
      </c>
      <c r="V169" s="23">
        <f t="shared" si="280"/>
        <v>0</v>
      </c>
      <c r="W169" s="22">
        <f t="shared" si="281"/>
        <v>0</v>
      </c>
      <c r="X169" s="24">
        <f t="shared" si="282"/>
        <v>0</v>
      </c>
      <c r="Y169" s="23">
        <f t="shared" si="282"/>
        <v>0</v>
      </c>
      <c r="Z169" s="22">
        <f t="shared" si="283"/>
        <v>0</v>
      </c>
      <c r="AA169" s="24">
        <f t="shared" si="284"/>
        <v>0</v>
      </c>
      <c r="AB169" s="23">
        <f t="shared" si="284"/>
        <v>0</v>
      </c>
      <c r="AC169" s="22">
        <f t="shared" si="285"/>
        <v>0</v>
      </c>
      <c r="AD169" s="24">
        <f t="shared" si="286"/>
        <v>0</v>
      </c>
      <c r="AE169" s="23">
        <f t="shared" si="286"/>
        <v>0</v>
      </c>
      <c r="AF169" s="22">
        <f t="shared" si="287"/>
        <v>0</v>
      </c>
      <c r="AG169" s="24">
        <f t="shared" si="288"/>
        <v>0</v>
      </c>
      <c r="AH169" s="23">
        <f t="shared" si="288"/>
        <v>0</v>
      </c>
      <c r="AI169" s="22">
        <f t="shared" si="289"/>
        <v>0</v>
      </c>
      <c r="AJ169" s="24">
        <f t="shared" si="290"/>
        <v>0</v>
      </c>
      <c r="AK169" s="23">
        <f t="shared" si="290"/>
        <v>0</v>
      </c>
      <c r="AL169" s="22">
        <f t="shared" si="291"/>
        <v>0</v>
      </c>
      <c r="AM169" s="24">
        <f t="shared" si="292"/>
        <v>0</v>
      </c>
      <c r="AN169" s="23">
        <f t="shared" si="292"/>
        <v>0</v>
      </c>
      <c r="AO169" s="22">
        <f t="shared" si="293"/>
        <v>0</v>
      </c>
      <c r="AP169" s="24">
        <f t="shared" si="294"/>
        <v>0</v>
      </c>
      <c r="AQ169" s="23">
        <f t="shared" si="294"/>
        <v>0</v>
      </c>
      <c r="AR169" s="22">
        <f t="shared" si="295"/>
        <v>0</v>
      </c>
      <c r="AS169" s="24">
        <f t="shared" si="296"/>
        <v>0</v>
      </c>
      <c r="AT169" s="23">
        <f t="shared" si="296"/>
        <v>0</v>
      </c>
      <c r="AU169" s="22">
        <f t="shared" si="297"/>
        <v>0</v>
      </c>
      <c r="AV169" s="24">
        <f t="shared" si="298"/>
        <v>0</v>
      </c>
      <c r="AW169" s="23">
        <f t="shared" si="298"/>
        <v>0</v>
      </c>
      <c r="AX169" s="22">
        <f t="shared" si="299"/>
        <v>0</v>
      </c>
      <c r="AY169" s="169">
        <f t="shared" si="300"/>
        <v>0</v>
      </c>
      <c r="AZ169" s="169">
        <f t="shared" si="300"/>
        <v>0</v>
      </c>
      <c r="BA169" s="170">
        <f t="shared" si="301"/>
        <v>0</v>
      </c>
      <c r="BB169" s="171">
        <f t="shared" si="302"/>
        <v>0</v>
      </c>
      <c r="BC169" s="169">
        <f t="shared" si="302"/>
        <v>0</v>
      </c>
      <c r="BD169" s="170">
        <f t="shared" si="303"/>
        <v>0</v>
      </c>
      <c r="BE169" s="24">
        <f t="shared" si="268"/>
        <v>0</v>
      </c>
      <c r="BF169" s="24">
        <f t="shared" si="268"/>
        <v>0</v>
      </c>
      <c r="BG169" s="20">
        <f t="shared" ref="BG169" si="311">IF(BG96=0,0,BG64/BG96)</f>
        <v>0</v>
      </c>
    </row>
    <row r="170" spans="1:59" ht="13.5" hidden="1" customHeight="1" outlineLevel="1" x14ac:dyDescent="0.25">
      <c r="A170" s="82"/>
      <c r="B170" s="99" t="s">
        <v>56</v>
      </c>
      <c r="C170" s="59" t="s">
        <v>32</v>
      </c>
      <c r="D170" s="20">
        <f t="shared" si="270"/>
        <v>0</v>
      </c>
      <c r="E170" s="20">
        <f t="shared" si="270"/>
        <v>0</v>
      </c>
      <c r="F170" s="24">
        <f t="shared" si="270"/>
        <v>0</v>
      </c>
      <c r="G170" s="23">
        <f t="shared" si="270"/>
        <v>0</v>
      </c>
      <c r="H170" s="22">
        <f t="shared" si="271"/>
        <v>0</v>
      </c>
      <c r="I170" s="24">
        <f t="shared" si="272"/>
        <v>0</v>
      </c>
      <c r="J170" s="23">
        <f t="shared" si="272"/>
        <v>0</v>
      </c>
      <c r="K170" s="22">
        <f t="shared" si="273"/>
        <v>0</v>
      </c>
      <c r="L170" s="24">
        <f t="shared" si="274"/>
        <v>0</v>
      </c>
      <c r="M170" s="23">
        <f t="shared" si="274"/>
        <v>0</v>
      </c>
      <c r="N170" s="22">
        <f t="shared" si="275"/>
        <v>0</v>
      </c>
      <c r="O170" s="24">
        <f t="shared" si="276"/>
        <v>0</v>
      </c>
      <c r="P170" s="23">
        <f t="shared" si="276"/>
        <v>0</v>
      </c>
      <c r="Q170" s="22">
        <f t="shared" si="277"/>
        <v>0</v>
      </c>
      <c r="R170" s="24">
        <f t="shared" si="278"/>
        <v>0</v>
      </c>
      <c r="S170" s="23">
        <f t="shared" si="278"/>
        <v>0</v>
      </c>
      <c r="T170" s="22">
        <f t="shared" si="279"/>
        <v>0</v>
      </c>
      <c r="U170" s="24">
        <f t="shared" si="280"/>
        <v>0</v>
      </c>
      <c r="V170" s="23">
        <f t="shared" si="280"/>
        <v>0</v>
      </c>
      <c r="W170" s="22">
        <f t="shared" si="281"/>
        <v>0</v>
      </c>
      <c r="X170" s="24">
        <f t="shared" si="282"/>
        <v>0</v>
      </c>
      <c r="Y170" s="23">
        <f t="shared" si="282"/>
        <v>0</v>
      </c>
      <c r="Z170" s="22">
        <f t="shared" si="283"/>
        <v>0</v>
      </c>
      <c r="AA170" s="24">
        <f t="shared" si="284"/>
        <v>0</v>
      </c>
      <c r="AB170" s="23">
        <f t="shared" si="284"/>
        <v>0</v>
      </c>
      <c r="AC170" s="22">
        <f t="shared" si="285"/>
        <v>0</v>
      </c>
      <c r="AD170" s="24">
        <f t="shared" si="286"/>
        <v>0</v>
      </c>
      <c r="AE170" s="23">
        <f t="shared" si="286"/>
        <v>0</v>
      </c>
      <c r="AF170" s="22">
        <f t="shared" si="287"/>
        <v>0</v>
      </c>
      <c r="AG170" s="24">
        <f t="shared" si="288"/>
        <v>0</v>
      </c>
      <c r="AH170" s="23">
        <f t="shared" si="288"/>
        <v>0</v>
      </c>
      <c r="AI170" s="22">
        <f t="shared" si="289"/>
        <v>0</v>
      </c>
      <c r="AJ170" s="24">
        <f t="shared" si="290"/>
        <v>0</v>
      </c>
      <c r="AK170" s="23">
        <f t="shared" si="290"/>
        <v>0</v>
      </c>
      <c r="AL170" s="22">
        <f t="shared" si="291"/>
        <v>0</v>
      </c>
      <c r="AM170" s="24">
        <f t="shared" si="292"/>
        <v>0</v>
      </c>
      <c r="AN170" s="23">
        <f t="shared" si="292"/>
        <v>0</v>
      </c>
      <c r="AO170" s="22">
        <f t="shared" si="293"/>
        <v>0</v>
      </c>
      <c r="AP170" s="24">
        <f t="shared" si="294"/>
        <v>0</v>
      </c>
      <c r="AQ170" s="23">
        <f t="shared" si="294"/>
        <v>0</v>
      </c>
      <c r="AR170" s="22">
        <f t="shared" si="295"/>
        <v>0</v>
      </c>
      <c r="AS170" s="24">
        <f t="shared" si="296"/>
        <v>0</v>
      </c>
      <c r="AT170" s="23">
        <f t="shared" si="296"/>
        <v>0</v>
      </c>
      <c r="AU170" s="22">
        <f t="shared" si="297"/>
        <v>0</v>
      </c>
      <c r="AV170" s="24">
        <f t="shared" si="298"/>
        <v>0</v>
      </c>
      <c r="AW170" s="23">
        <f t="shared" si="298"/>
        <v>0</v>
      </c>
      <c r="AX170" s="22">
        <f t="shared" si="299"/>
        <v>0</v>
      </c>
      <c r="AY170" s="169">
        <f t="shared" si="300"/>
        <v>0</v>
      </c>
      <c r="AZ170" s="169">
        <f t="shared" si="300"/>
        <v>0</v>
      </c>
      <c r="BA170" s="170">
        <f t="shared" si="301"/>
        <v>0</v>
      </c>
      <c r="BB170" s="171">
        <f t="shared" si="302"/>
        <v>0</v>
      </c>
      <c r="BC170" s="169">
        <f t="shared" si="302"/>
        <v>0</v>
      </c>
      <c r="BD170" s="170">
        <f t="shared" si="303"/>
        <v>0</v>
      </c>
      <c r="BE170" s="24">
        <f t="shared" si="268"/>
        <v>0</v>
      </c>
      <c r="BF170" s="24">
        <f t="shared" si="268"/>
        <v>0</v>
      </c>
      <c r="BG170" s="20">
        <f t="shared" ref="BG170" si="312">IF(BG97=0,0,BG65/BG97)</f>
        <v>0</v>
      </c>
    </row>
    <row r="171" spans="1:59" ht="13.5" hidden="1" customHeight="1" outlineLevel="1" x14ac:dyDescent="0.25">
      <c r="A171" s="82"/>
      <c r="B171" s="84" t="s">
        <v>57</v>
      </c>
      <c r="C171" s="59" t="s">
        <v>32</v>
      </c>
      <c r="D171" s="20">
        <f t="shared" si="270"/>
        <v>0</v>
      </c>
      <c r="E171" s="20">
        <f t="shared" si="270"/>
        <v>0</v>
      </c>
      <c r="F171" s="24">
        <f t="shared" si="270"/>
        <v>0</v>
      </c>
      <c r="G171" s="23">
        <f t="shared" si="270"/>
        <v>0</v>
      </c>
      <c r="H171" s="22">
        <f t="shared" si="271"/>
        <v>0</v>
      </c>
      <c r="I171" s="24">
        <f t="shared" si="272"/>
        <v>0</v>
      </c>
      <c r="J171" s="23">
        <f t="shared" si="272"/>
        <v>0</v>
      </c>
      <c r="K171" s="22">
        <f t="shared" si="273"/>
        <v>0</v>
      </c>
      <c r="L171" s="24">
        <f t="shared" si="274"/>
        <v>0</v>
      </c>
      <c r="M171" s="23">
        <f t="shared" si="274"/>
        <v>0</v>
      </c>
      <c r="N171" s="22">
        <f t="shared" si="275"/>
        <v>0</v>
      </c>
      <c r="O171" s="24">
        <f t="shared" si="276"/>
        <v>0</v>
      </c>
      <c r="P171" s="23">
        <f t="shared" si="276"/>
        <v>0</v>
      </c>
      <c r="Q171" s="22">
        <f t="shared" si="277"/>
        <v>0</v>
      </c>
      <c r="R171" s="24">
        <f t="shared" si="278"/>
        <v>0</v>
      </c>
      <c r="S171" s="23">
        <f t="shared" si="278"/>
        <v>0</v>
      </c>
      <c r="T171" s="22">
        <f t="shared" si="279"/>
        <v>0</v>
      </c>
      <c r="U171" s="24">
        <f t="shared" si="280"/>
        <v>0</v>
      </c>
      <c r="V171" s="23">
        <f t="shared" si="280"/>
        <v>0</v>
      </c>
      <c r="W171" s="22">
        <f t="shared" si="281"/>
        <v>0</v>
      </c>
      <c r="X171" s="24">
        <f t="shared" si="282"/>
        <v>0</v>
      </c>
      <c r="Y171" s="23">
        <f t="shared" si="282"/>
        <v>0</v>
      </c>
      <c r="Z171" s="22">
        <f t="shared" si="283"/>
        <v>0</v>
      </c>
      <c r="AA171" s="24">
        <f t="shared" si="284"/>
        <v>0</v>
      </c>
      <c r="AB171" s="23">
        <f t="shared" si="284"/>
        <v>0</v>
      </c>
      <c r="AC171" s="22">
        <f t="shared" si="285"/>
        <v>0</v>
      </c>
      <c r="AD171" s="24">
        <f t="shared" si="286"/>
        <v>0</v>
      </c>
      <c r="AE171" s="23">
        <f t="shared" si="286"/>
        <v>0</v>
      </c>
      <c r="AF171" s="22">
        <f t="shared" si="287"/>
        <v>0</v>
      </c>
      <c r="AG171" s="24">
        <f t="shared" si="288"/>
        <v>0</v>
      </c>
      <c r="AH171" s="23">
        <f t="shared" si="288"/>
        <v>0</v>
      </c>
      <c r="AI171" s="22">
        <f t="shared" si="289"/>
        <v>0</v>
      </c>
      <c r="AJ171" s="24">
        <f t="shared" si="290"/>
        <v>0</v>
      </c>
      <c r="AK171" s="23">
        <f t="shared" si="290"/>
        <v>0</v>
      </c>
      <c r="AL171" s="22">
        <f t="shared" si="291"/>
        <v>0</v>
      </c>
      <c r="AM171" s="24">
        <f t="shared" si="292"/>
        <v>0</v>
      </c>
      <c r="AN171" s="23">
        <f t="shared" si="292"/>
        <v>0</v>
      </c>
      <c r="AO171" s="22">
        <f t="shared" si="293"/>
        <v>0</v>
      </c>
      <c r="AP171" s="24">
        <f t="shared" si="294"/>
        <v>0</v>
      </c>
      <c r="AQ171" s="23">
        <f t="shared" si="294"/>
        <v>0</v>
      </c>
      <c r="AR171" s="22">
        <f t="shared" si="295"/>
        <v>0</v>
      </c>
      <c r="AS171" s="24">
        <f t="shared" si="296"/>
        <v>0</v>
      </c>
      <c r="AT171" s="23">
        <f t="shared" si="296"/>
        <v>0</v>
      </c>
      <c r="AU171" s="22">
        <f t="shared" si="297"/>
        <v>0</v>
      </c>
      <c r="AV171" s="24">
        <f t="shared" si="298"/>
        <v>0</v>
      </c>
      <c r="AW171" s="23">
        <f t="shared" si="298"/>
        <v>0</v>
      </c>
      <c r="AX171" s="22">
        <f t="shared" si="299"/>
        <v>0</v>
      </c>
      <c r="AY171" s="169">
        <f t="shared" si="300"/>
        <v>0</v>
      </c>
      <c r="AZ171" s="169">
        <f t="shared" si="300"/>
        <v>0</v>
      </c>
      <c r="BA171" s="170">
        <f t="shared" si="301"/>
        <v>0</v>
      </c>
      <c r="BB171" s="171">
        <f t="shared" si="302"/>
        <v>0</v>
      </c>
      <c r="BC171" s="169">
        <f t="shared" si="302"/>
        <v>0</v>
      </c>
      <c r="BD171" s="170">
        <f t="shared" si="303"/>
        <v>0</v>
      </c>
      <c r="BE171" s="24">
        <f t="shared" si="268"/>
        <v>0</v>
      </c>
      <c r="BF171" s="24">
        <f t="shared" si="268"/>
        <v>0</v>
      </c>
      <c r="BG171" s="20">
        <f t="shared" ref="BG171" si="313">IF(BG98=0,0,BG66/BG98)</f>
        <v>0</v>
      </c>
    </row>
    <row r="172" spans="1:59" ht="13.5" hidden="1" customHeight="1" outlineLevel="1" x14ac:dyDescent="0.25">
      <c r="A172" s="82"/>
      <c r="B172" s="99" t="s">
        <v>58</v>
      </c>
      <c r="C172" s="59" t="s">
        <v>32</v>
      </c>
      <c r="D172" s="20">
        <f t="shared" si="270"/>
        <v>0</v>
      </c>
      <c r="E172" s="20">
        <f t="shared" si="270"/>
        <v>0</v>
      </c>
      <c r="F172" s="24">
        <f t="shared" si="270"/>
        <v>0</v>
      </c>
      <c r="G172" s="23">
        <f t="shared" si="270"/>
        <v>0</v>
      </c>
      <c r="H172" s="22">
        <f t="shared" si="271"/>
        <v>0</v>
      </c>
      <c r="I172" s="24">
        <f t="shared" si="272"/>
        <v>0</v>
      </c>
      <c r="J172" s="23">
        <f t="shared" si="272"/>
        <v>0</v>
      </c>
      <c r="K172" s="22">
        <f t="shared" si="273"/>
        <v>0</v>
      </c>
      <c r="L172" s="24">
        <f t="shared" si="274"/>
        <v>0</v>
      </c>
      <c r="M172" s="23">
        <f t="shared" si="274"/>
        <v>0</v>
      </c>
      <c r="N172" s="22">
        <f t="shared" si="275"/>
        <v>0</v>
      </c>
      <c r="O172" s="24">
        <f t="shared" si="276"/>
        <v>0</v>
      </c>
      <c r="P172" s="23">
        <f t="shared" si="276"/>
        <v>0</v>
      </c>
      <c r="Q172" s="22">
        <f t="shared" si="277"/>
        <v>0</v>
      </c>
      <c r="R172" s="24">
        <f t="shared" si="278"/>
        <v>0</v>
      </c>
      <c r="S172" s="23">
        <f t="shared" si="278"/>
        <v>0</v>
      </c>
      <c r="T172" s="22">
        <f t="shared" si="279"/>
        <v>0</v>
      </c>
      <c r="U172" s="24">
        <f t="shared" si="280"/>
        <v>0</v>
      </c>
      <c r="V172" s="23">
        <f t="shared" si="280"/>
        <v>0</v>
      </c>
      <c r="W172" s="22">
        <f t="shared" si="281"/>
        <v>0</v>
      </c>
      <c r="X172" s="24">
        <f t="shared" si="282"/>
        <v>0</v>
      </c>
      <c r="Y172" s="23">
        <f t="shared" si="282"/>
        <v>0</v>
      </c>
      <c r="Z172" s="22">
        <f t="shared" si="283"/>
        <v>0</v>
      </c>
      <c r="AA172" s="24">
        <f t="shared" si="284"/>
        <v>0</v>
      </c>
      <c r="AB172" s="23">
        <f t="shared" si="284"/>
        <v>0</v>
      </c>
      <c r="AC172" s="22">
        <f t="shared" si="285"/>
        <v>0</v>
      </c>
      <c r="AD172" s="24">
        <f t="shared" si="286"/>
        <v>0</v>
      </c>
      <c r="AE172" s="23">
        <f t="shared" si="286"/>
        <v>0</v>
      </c>
      <c r="AF172" s="22">
        <f t="shared" si="287"/>
        <v>0</v>
      </c>
      <c r="AG172" s="24">
        <f t="shared" si="288"/>
        <v>0</v>
      </c>
      <c r="AH172" s="23">
        <f t="shared" si="288"/>
        <v>0</v>
      </c>
      <c r="AI172" s="22">
        <f t="shared" si="289"/>
        <v>0</v>
      </c>
      <c r="AJ172" s="24">
        <f t="shared" si="290"/>
        <v>0</v>
      </c>
      <c r="AK172" s="23">
        <f t="shared" si="290"/>
        <v>0</v>
      </c>
      <c r="AL172" s="22">
        <f t="shared" si="291"/>
        <v>0</v>
      </c>
      <c r="AM172" s="24">
        <f t="shared" si="292"/>
        <v>0</v>
      </c>
      <c r="AN172" s="23">
        <f t="shared" si="292"/>
        <v>0</v>
      </c>
      <c r="AO172" s="22">
        <f t="shared" si="293"/>
        <v>0</v>
      </c>
      <c r="AP172" s="24">
        <f t="shared" si="294"/>
        <v>0</v>
      </c>
      <c r="AQ172" s="23">
        <f t="shared" si="294"/>
        <v>0</v>
      </c>
      <c r="AR172" s="22">
        <f t="shared" si="295"/>
        <v>0</v>
      </c>
      <c r="AS172" s="24">
        <f t="shared" si="296"/>
        <v>0</v>
      </c>
      <c r="AT172" s="23">
        <f t="shared" si="296"/>
        <v>0</v>
      </c>
      <c r="AU172" s="22">
        <f t="shared" si="297"/>
        <v>0</v>
      </c>
      <c r="AV172" s="24">
        <f t="shared" si="298"/>
        <v>0</v>
      </c>
      <c r="AW172" s="23">
        <f t="shared" si="298"/>
        <v>0</v>
      </c>
      <c r="AX172" s="22">
        <f t="shared" si="299"/>
        <v>0</v>
      </c>
      <c r="AY172" s="169">
        <f t="shared" si="300"/>
        <v>0</v>
      </c>
      <c r="AZ172" s="169">
        <f t="shared" si="300"/>
        <v>0</v>
      </c>
      <c r="BA172" s="170">
        <f t="shared" si="301"/>
        <v>0</v>
      </c>
      <c r="BB172" s="171">
        <f t="shared" si="302"/>
        <v>0</v>
      </c>
      <c r="BC172" s="169">
        <f t="shared" si="302"/>
        <v>0</v>
      </c>
      <c r="BD172" s="170">
        <f t="shared" si="303"/>
        <v>0</v>
      </c>
      <c r="BE172" s="24">
        <f t="shared" si="268"/>
        <v>0</v>
      </c>
      <c r="BF172" s="24">
        <f t="shared" si="268"/>
        <v>0</v>
      </c>
      <c r="BG172" s="20">
        <f t="shared" ref="BG172" si="314">IF(BG99=0,0,BG67/BG99)</f>
        <v>0</v>
      </c>
    </row>
    <row r="173" spans="1:59" ht="13.5" hidden="1" customHeight="1" outlineLevel="1" x14ac:dyDescent="0.25">
      <c r="A173" s="82"/>
      <c r="B173" s="84" t="s">
        <v>59</v>
      </c>
      <c r="C173" s="59" t="s">
        <v>32</v>
      </c>
      <c r="D173" s="20">
        <f t="shared" si="270"/>
        <v>0</v>
      </c>
      <c r="E173" s="20">
        <f t="shared" si="270"/>
        <v>0</v>
      </c>
      <c r="F173" s="24">
        <f t="shared" si="270"/>
        <v>0</v>
      </c>
      <c r="G173" s="23">
        <f t="shared" si="270"/>
        <v>0</v>
      </c>
      <c r="H173" s="22">
        <f t="shared" si="271"/>
        <v>0</v>
      </c>
      <c r="I173" s="24">
        <f t="shared" si="272"/>
        <v>0</v>
      </c>
      <c r="J173" s="23">
        <f t="shared" si="272"/>
        <v>0</v>
      </c>
      <c r="K173" s="22">
        <f t="shared" si="273"/>
        <v>0</v>
      </c>
      <c r="L173" s="24">
        <f t="shared" si="274"/>
        <v>0</v>
      </c>
      <c r="M173" s="23">
        <f t="shared" si="274"/>
        <v>0</v>
      </c>
      <c r="N173" s="22">
        <f t="shared" si="275"/>
        <v>0</v>
      </c>
      <c r="O173" s="24">
        <f t="shared" si="276"/>
        <v>0</v>
      </c>
      <c r="P173" s="23">
        <f t="shared" si="276"/>
        <v>0</v>
      </c>
      <c r="Q173" s="22">
        <f t="shared" si="277"/>
        <v>0</v>
      </c>
      <c r="R173" s="24">
        <f t="shared" si="278"/>
        <v>0</v>
      </c>
      <c r="S173" s="23">
        <f t="shared" si="278"/>
        <v>0</v>
      </c>
      <c r="T173" s="22">
        <f t="shared" si="279"/>
        <v>0</v>
      </c>
      <c r="U173" s="24">
        <f t="shared" si="280"/>
        <v>0</v>
      </c>
      <c r="V173" s="23">
        <f t="shared" si="280"/>
        <v>0</v>
      </c>
      <c r="W173" s="22">
        <f t="shared" si="281"/>
        <v>0</v>
      </c>
      <c r="X173" s="24">
        <f t="shared" si="282"/>
        <v>0</v>
      </c>
      <c r="Y173" s="23">
        <f t="shared" si="282"/>
        <v>0</v>
      </c>
      <c r="Z173" s="22">
        <f t="shared" si="283"/>
        <v>0</v>
      </c>
      <c r="AA173" s="24">
        <f t="shared" si="284"/>
        <v>0</v>
      </c>
      <c r="AB173" s="23">
        <f t="shared" si="284"/>
        <v>0</v>
      </c>
      <c r="AC173" s="22">
        <f t="shared" si="285"/>
        <v>0</v>
      </c>
      <c r="AD173" s="24">
        <f t="shared" si="286"/>
        <v>0</v>
      </c>
      <c r="AE173" s="23">
        <f t="shared" si="286"/>
        <v>0</v>
      </c>
      <c r="AF173" s="22">
        <f t="shared" si="287"/>
        <v>0</v>
      </c>
      <c r="AG173" s="24">
        <f t="shared" si="288"/>
        <v>0</v>
      </c>
      <c r="AH173" s="23">
        <f t="shared" si="288"/>
        <v>0</v>
      </c>
      <c r="AI173" s="22">
        <f t="shared" si="289"/>
        <v>0</v>
      </c>
      <c r="AJ173" s="24">
        <f t="shared" si="290"/>
        <v>0</v>
      </c>
      <c r="AK173" s="23">
        <f t="shared" si="290"/>
        <v>0</v>
      </c>
      <c r="AL173" s="22">
        <f t="shared" si="291"/>
        <v>0</v>
      </c>
      <c r="AM173" s="24">
        <f t="shared" si="292"/>
        <v>0</v>
      </c>
      <c r="AN173" s="23">
        <f t="shared" si="292"/>
        <v>0</v>
      </c>
      <c r="AO173" s="22">
        <f t="shared" si="293"/>
        <v>0</v>
      </c>
      <c r="AP173" s="24">
        <f t="shared" si="294"/>
        <v>0</v>
      </c>
      <c r="AQ173" s="23">
        <f t="shared" si="294"/>
        <v>0</v>
      </c>
      <c r="AR173" s="22">
        <f t="shared" si="295"/>
        <v>0</v>
      </c>
      <c r="AS173" s="24">
        <f t="shared" si="296"/>
        <v>0</v>
      </c>
      <c r="AT173" s="23">
        <f t="shared" si="296"/>
        <v>0</v>
      </c>
      <c r="AU173" s="22">
        <f t="shared" si="297"/>
        <v>0</v>
      </c>
      <c r="AV173" s="24">
        <f t="shared" si="298"/>
        <v>0</v>
      </c>
      <c r="AW173" s="23">
        <f t="shared" si="298"/>
        <v>0</v>
      </c>
      <c r="AX173" s="22">
        <f t="shared" si="299"/>
        <v>0</v>
      </c>
      <c r="AY173" s="169">
        <f t="shared" si="300"/>
        <v>0</v>
      </c>
      <c r="AZ173" s="169">
        <f t="shared" si="300"/>
        <v>0</v>
      </c>
      <c r="BA173" s="170">
        <f t="shared" si="301"/>
        <v>0</v>
      </c>
      <c r="BB173" s="171">
        <f t="shared" si="302"/>
        <v>0</v>
      </c>
      <c r="BC173" s="169">
        <f t="shared" si="302"/>
        <v>0</v>
      </c>
      <c r="BD173" s="170">
        <f t="shared" si="303"/>
        <v>0</v>
      </c>
      <c r="BE173" s="24">
        <f t="shared" si="268"/>
        <v>0</v>
      </c>
      <c r="BF173" s="24">
        <f t="shared" si="268"/>
        <v>0</v>
      </c>
      <c r="BG173" s="20">
        <f t="shared" ref="BG173" si="315">IF(BG100=0,0,BG68/BG100)</f>
        <v>0</v>
      </c>
    </row>
    <row r="174" spans="1:59" ht="13.5" hidden="1" customHeight="1" outlineLevel="1" x14ac:dyDescent="0.25">
      <c r="A174" s="82"/>
      <c r="B174" s="99" t="s">
        <v>60</v>
      </c>
      <c r="C174" s="59" t="s">
        <v>32</v>
      </c>
      <c r="D174" s="20">
        <f t="shared" si="270"/>
        <v>0</v>
      </c>
      <c r="E174" s="20">
        <f t="shared" si="270"/>
        <v>0</v>
      </c>
      <c r="F174" s="24">
        <f t="shared" si="270"/>
        <v>0</v>
      </c>
      <c r="G174" s="23">
        <f t="shared" si="270"/>
        <v>0</v>
      </c>
      <c r="H174" s="22">
        <f t="shared" si="271"/>
        <v>0</v>
      </c>
      <c r="I174" s="24">
        <f t="shared" si="272"/>
        <v>0</v>
      </c>
      <c r="J174" s="23">
        <f t="shared" si="272"/>
        <v>0</v>
      </c>
      <c r="K174" s="22">
        <f t="shared" si="273"/>
        <v>0</v>
      </c>
      <c r="L174" s="24">
        <f t="shared" si="274"/>
        <v>0</v>
      </c>
      <c r="M174" s="23">
        <f t="shared" si="274"/>
        <v>0</v>
      </c>
      <c r="N174" s="22">
        <f t="shared" si="275"/>
        <v>0</v>
      </c>
      <c r="O174" s="24">
        <f t="shared" si="276"/>
        <v>0</v>
      </c>
      <c r="P174" s="23">
        <f t="shared" si="276"/>
        <v>0</v>
      </c>
      <c r="Q174" s="22">
        <f t="shared" si="277"/>
        <v>0</v>
      </c>
      <c r="R174" s="24">
        <f t="shared" si="278"/>
        <v>0</v>
      </c>
      <c r="S174" s="23">
        <f t="shared" si="278"/>
        <v>0</v>
      </c>
      <c r="T174" s="22">
        <f t="shared" si="279"/>
        <v>0</v>
      </c>
      <c r="U174" s="24">
        <f t="shared" si="280"/>
        <v>0</v>
      </c>
      <c r="V174" s="23">
        <f t="shared" si="280"/>
        <v>0</v>
      </c>
      <c r="W174" s="22">
        <f t="shared" si="281"/>
        <v>0</v>
      </c>
      <c r="X174" s="24">
        <f t="shared" si="282"/>
        <v>0</v>
      </c>
      <c r="Y174" s="23">
        <f t="shared" si="282"/>
        <v>0</v>
      </c>
      <c r="Z174" s="22">
        <f t="shared" si="283"/>
        <v>0</v>
      </c>
      <c r="AA174" s="24">
        <f t="shared" si="284"/>
        <v>0</v>
      </c>
      <c r="AB174" s="23">
        <f t="shared" si="284"/>
        <v>0</v>
      </c>
      <c r="AC174" s="22">
        <f t="shared" si="285"/>
        <v>0</v>
      </c>
      <c r="AD174" s="24">
        <f t="shared" si="286"/>
        <v>0</v>
      </c>
      <c r="AE174" s="23">
        <f t="shared" si="286"/>
        <v>0</v>
      </c>
      <c r="AF174" s="22">
        <f t="shared" si="287"/>
        <v>0</v>
      </c>
      <c r="AG174" s="24">
        <f t="shared" si="288"/>
        <v>0</v>
      </c>
      <c r="AH174" s="23">
        <f t="shared" si="288"/>
        <v>0</v>
      </c>
      <c r="AI174" s="22">
        <f t="shared" si="289"/>
        <v>0</v>
      </c>
      <c r="AJ174" s="24">
        <f t="shared" si="290"/>
        <v>0</v>
      </c>
      <c r="AK174" s="23">
        <f t="shared" si="290"/>
        <v>0</v>
      </c>
      <c r="AL174" s="22">
        <f t="shared" si="291"/>
        <v>0</v>
      </c>
      <c r="AM174" s="24">
        <f t="shared" si="292"/>
        <v>0</v>
      </c>
      <c r="AN174" s="23">
        <f t="shared" si="292"/>
        <v>0</v>
      </c>
      <c r="AO174" s="22">
        <f t="shared" si="293"/>
        <v>0</v>
      </c>
      <c r="AP174" s="24">
        <f t="shared" si="294"/>
        <v>0</v>
      </c>
      <c r="AQ174" s="23">
        <f t="shared" si="294"/>
        <v>0</v>
      </c>
      <c r="AR174" s="22">
        <f t="shared" si="295"/>
        <v>0</v>
      </c>
      <c r="AS174" s="24">
        <f t="shared" si="296"/>
        <v>0</v>
      </c>
      <c r="AT174" s="23">
        <f t="shared" si="296"/>
        <v>0</v>
      </c>
      <c r="AU174" s="22">
        <f t="shared" si="297"/>
        <v>0</v>
      </c>
      <c r="AV174" s="24">
        <f t="shared" si="298"/>
        <v>0</v>
      </c>
      <c r="AW174" s="23">
        <f t="shared" si="298"/>
        <v>0</v>
      </c>
      <c r="AX174" s="22">
        <f t="shared" si="299"/>
        <v>0</v>
      </c>
      <c r="AY174" s="169">
        <f t="shared" si="300"/>
        <v>0</v>
      </c>
      <c r="AZ174" s="169">
        <f t="shared" si="300"/>
        <v>0</v>
      </c>
      <c r="BA174" s="170">
        <f t="shared" si="301"/>
        <v>0</v>
      </c>
      <c r="BB174" s="171">
        <f t="shared" si="302"/>
        <v>0</v>
      </c>
      <c r="BC174" s="169">
        <f t="shared" si="302"/>
        <v>0</v>
      </c>
      <c r="BD174" s="170">
        <f t="shared" si="303"/>
        <v>0</v>
      </c>
      <c r="BE174" s="24">
        <f t="shared" si="268"/>
        <v>0</v>
      </c>
      <c r="BF174" s="24">
        <f t="shared" si="268"/>
        <v>0</v>
      </c>
      <c r="BG174" s="20">
        <f t="shared" ref="BG174" si="316">IF(BG101=0,0,BG69/BG101)</f>
        <v>0</v>
      </c>
    </row>
    <row r="175" spans="1:59" ht="13.5" hidden="1" customHeight="1" outlineLevel="1" x14ac:dyDescent="0.25">
      <c r="A175" s="82"/>
      <c r="B175" s="84" t="s">
        <v>61</v>
      </c>
      <c r="C175" s="59" t="s">
        <v>32</v>
      </c>
      <c r="D175" s="20">
        <f t="shared" si="270"/>
        <v>0</v>
      </c>
      <c r="E175" s="20">
        <f t="shared" si="270"/>
        <v>0</v>
      </c>
      <c r="F175" s="24">
        <f t="shared" si="270"/>
        <v>0</v>
      </c>
      <c r="G175" s="23">
        <f t="shared" si="270"/>
        <v>0</v>
      </c>
      <c r="H175" s="22">
        <f t="shared" si="271"/>
        <v>0</v>
      </c>
      <c r="I175" s="24">
        <f t="shared" si="272"/>
        <v>0</v>
      </c>
      <c r="J175" s="23">
        <f t="shared" si="272"/>
        <v>0</v>
      </c>
      <c r="K175" s="22">
        <f t="shared" si="273"/>
        <v>0</v>
      </c>
      <c r="L175" s="24">
        <f t="shared" si="274"/>
        <v>0</v>
      </c>
      <c r="M175" s="23">
        <f t="shared" si="274"/>
        <v>0</v>
      </c>
      <c r="N175" s="22">
        <f t="shared" si="275"/>
        <v>0</v>
      </c>
      <c r="O175" s="24">
        <f t="shared" si="276"/>
        <v>0</v>
      </c>
      <c r="P175" s="23">
        <f t="shared" si="276"/>
        <v>0</v>
      </c>
      <c r="Q175" s="22">
        <f t="shared" si="277"/>
        <v>0</v>
      </c>
      <c r="R175" s="24">
        <f t="shared" si="278"/>
        <v>0</v>
      </c>
      <c r="S175" s="23">
        <f t="shared" si="278"/>
        <v>0</v>
      </c>
      <c r="T175" s="22">
        <f t="shared" si="279"/>
        <v>0</v>
      </c>
      <c r="U175" s="24">
        <f t="shared" si="280"/>
        <v>0</v>
      </c>
      <c r="V175" s="23">
        <f t="shared" si="280"/>
        <v>0</v>
      </c>
      <c r="W175" s="22">
        <f t="shared" si="281"/>
        <v>0</v>
      </c>
      <c r="X175" s="24">
        <f t="shared" si="282"/>
        <v>0</v>
      </c>
      <c r="Y175" s="23">
        <f t="shared" si="282"/>
        <v>0</v>
      </c>
      <c r="Z175" s="22">
        <f t="shared" si="283"/>
        <v>0</v>
      </c>
      <c r="AA175" s="24">
        <f t="shared" si="284"/>
        <v>0</v>
      </c>
      <c r="AB175" s="23">
        <f t="shared" si="284"/>
        <v>0</v>
      </c>
      <c r="AC175" s="22">
        <f t="shared" si="285"/>
        <v>0</v>
      </c>
      <c r="AD175" s="24">
        <f t="shared" si="286"/>
        <v>0</v>
      </c>
      <c r="AE175" s="23">
        <f t="shared" si="286"/>
        <v>0</v>
      </c>
      <c r="AF175" s="22">
        <f t="shared" si="287"/>
        <v>0</v>
      </c>
      <c r="AG175" s="24">
        <f t="shared" si="288"/>
        <v>0</v>
      </c>
      <c r="AH175" s="23">
        <f t="shared" si="288"/>
        <v>0</v>
      </c>
      <c r="AI175" s="22">
        <f t="shared" si="289"/>
        <v>0</v>
      </c>
      <c r="AJ175" s="24">
        <f t="shared" si="290"/>
        <v>0</v>
      </c>
      <c r="AK175" s="23">
        <f t="shared" si="290"/>
        <v>0</v>
      </c>
      <c r="AL175" s="22">
        <f t="shared" si="291"/>
        <v>0</v>
      </c>
      <c r="AM175" s="24">
        <f t="shared" si="292"/>
        <v>0</v>
      </c>
      <c r="AN175" s="23">
        <f t="shared" si="292"/>
        <v>0</v>
      </c>
      <c r="AO175" s="22">
        <f t="shared" si="293"/>
        <v>0</v>
      </c>
      <c r="AP175" s="24">
        <f t="shared" si="294"/>
        <v>0</v>
      </c>
      <c r="AQ175" s="23">
        <f t="shared" si="294"/>
        <v>0</v>
      </c>
      <c r="AR175" s="22">
        <f t="shared" si="295"/>
        <v>0</v>
      </c>
      <c r="AS175" s="24">
        <f t="shared" si="296"/>
        <v>0</v>
      </c>
      <c r="AT175" s="23">
        <f t="shared" si="296"/>
        <v>0</v>
      </c>
      <c r="AU175" s="22">
        <f t="shared" si="297"/>
        <v>0</v>
      </c>
      <c r="AV175" s="24">
        <f t="shared" si="298"/>
        <v>0</v>
      </c>
      <c r="AW175" s="23">
        <f t="shared" si="298"/>
        <v>0</v>
      </c>
      <c r="AX175" s="22">
        <f t="shared" si="299"/>
        <v>0</v>
      </c>
      <c r="AY175" s="169">
        <f t="shared" si="300"/>
        <v>0</v>
      </c>
      <c r="AZ175" s="169">
        <f t="shared" si="300"/>
        <v>0</v>
      </c>
      <c r="BA175" s="170">
        <f t="shared" si="301"/>
        <v>0</v>
      </c>
      <c r="BB175" s="171">
        <f t="shared" si="302"/>
        <v>0</v>
      </c>
      <c r="BC175" s="169">
        <f t="shared" si="302"/>
        <v>0</v>
      </c>
      <c r="BD175" s="170">
        <f t="shared" si="303"/>
        <v>0</v>
      </c>
      <c r="BE175" s="24">
        <f t="shared" si="268"/>
        <v>0</v>
      </c>
      <c r="BF175" s="24">
        <f t="shared" si="268"/>
        <v>0</v>
      </c>
      <c r="BG175" s="20">
        <f t="shared" ref="BG175" si="317">IF(BG102=0,0,BG70/BG102)</f>
        <v>0</v>
      </c>
    </row>
    <row r="176" spans="1:59" s="210" customFormat="1" ht="13.5" customHeight="1" collapsed="1" thickBot="1" x14ac:dyDescent="0.3">
      <c r="A176" s="85"/>
      <c r="B176" s="95" t="s">
        <v>62</v>
      </c>
      <c r="C176" s="77" t="s">
        <v>32</v>
      </c>
      <c r="D176" s="188">
        <f t="shared" si="270"/>
        <v>0</v>
      </c>
      <c r="E176" s="188">
        <f t="shared" si="270"/>
        <v>0</v>
      </c>
      <c r="F176" s="191">
        <f t="shared" si="270"/>
        <v>0</v>
      </c>
      <c r="G176" s="189">
        <f t="shared" si="270"/>
        <v>0</v>
      </c>
      <c r="H176" s="190">
        <f t="shared" si="271"/>
        <v>0</v>
      </c>
      <c r="I176" s="191">
        <f t="shared" si="272"/>
        <v>0</v>
      </c>
      <c r="J176" s="189">
        <f t="shared" si="272"/>
        <v>0</v>
      </c>
      <c r="K176" s="190">
        <f t="shared" si="273"/>
        <v>0</v>
      </c>
      <c r="L176" s="191">
        <f t="shared" si="274"/>
        <v>0</v>
      </c>
      <c r="M176" s="189">
        <f t="shared" si="274"/>
        <v>0</v>
      </c>
      <c r="N176" s="190">
        <f t="shared" si="275"/>
        <v>0</v>
      </c>
      <c r="O176" s="191">
        <f t="shared" si="276"/>
        <v>0</v>
      </c>
      <c r="P176" s="189">
        <f t="shared" si="276"/>
        <v>0</v>
      </c>
      <c r="Q176" s="190">
        <f t="shared" si="277"/>
        <v>0</v>
      </c>
      <c r="R176" s="191">
        <f t="shared" si="278"/>
        <v>0</v>
      </c>
      <c r="S176" s="189">
        <f t="shared" si="278"/>
        <v>0</v>
      </c>
      <c r="T176" s="190">
        <f t="shared" si="279"/>
        <v>0</v>
      </c>
      <c r="U176" s="191">
        <f t="shared" si="280"/>
        <v>0</v>
      </c>
      <c r="V176" s="189">
        <f t="shared" si="280"/>
        <v>0</v>
      </c>
      <c r="W176" s="190">
        <f t="shared" si="281"/>
        <v>0</v>
      </c>
      <c r="X176" s="191">
        <f t="shared" si="282"/>
        <v>0</v>
      </c>
      <c r="Y176" s="189">
        <f t="shared" si="282"/>
        <v>0</v>
      </c>
      <c r="Z176" s="190">
        <f t="shared" si="283"/>
        <v>0</v>
      </c>
      <c r="AA176" s="191">
        <f t="shared" si="284"/>
        <v>0</v>
      </c>
      <c r="AB176" s="189">
        <f t="shared" si="284"/>
        <v>0</v>
      </c>
      <c r="AC176" s="190">
        <f t="shared" si="285"/>
        <v>0</v>
      </c>
      <c r="AD176" s="191">
        <f t="shared" si="286"/>
        <v>0</v>
      </c>
      <c r="AE176" s="189">
        <f t="shared" si="286"/>
        <v>0</v>
      </c>
      <c r="AF176" s="190">
        <f t="shared" si="287"/>
        <v>0</v>
      </c>
      <c r="AG176" s="191">
        <f t="shared" si="288"/>
        <v>0</v>
      </c>
      <c r="AH176" s="189">
        <f t="shared" si="288"/>
        <v>0</v>
      </c>
      <c r="AI176" s="190">
        <f t="shared" si="289"/>
        <v>0</v>
      </c>
      <c r="AJ176" s="191">
        <f t="shared" si="290"/>
        <v>0</v>
      </c>
      <c r="AK176" s="189">
        <f t="shared" si="290"/>
        <v>0</v>
      </c>
      <c r="AL176" s="190">
        <f t="shared" si="291"/>
        <v>0</v>
      </c>
      <c r="AM176" s="191">
        <f t="shared" si="292"/>
        <v>0</v>
      </c>
      <c r="AN176" s="189">
        <f t="shared" si="292"/>
        <v>0</v>
      </c>
      <c r="AO176" s="190">
        <f t="shared" si="293"/>
        <v>0</v>
      </c>
      <c r="AP176" s="191">
        <f t="shared" si="294"/>
        <v>0</v>
      </c>
      <c r="AQ176" s="189">
        <f t="shared" si="294"/>
        <v>0</v>
      </c>
      <c r="AR176" s="190">
        <f t="shared" si="295"/>
        <v>0</v>
      </c>
      <c r="AS176" s="191">
        <f t="shared" si="296"/>
        <v>0</v>
      </c>
      <c r="AT176" s="189">
        <f t="shared" si="296"/>
        <v>0</v>
      </c>
      <c r="AU176" s="190">
        <f t="shared" si="297"/>
        <v>0</v>
      </c>
      <c r="AV176" s="191">
        <f t="shared" si="298"/>
        <v>0</v>
      </c>
      <c r="AW176" s="189">
        <f t="shared" si="298"/>
        <v>0</v>
      </c>
      <c r="AX176" s="190">
        <f t="shared" si="299"/>
        <v>0</v>
      </c>
      <c r="AY176" s="165">
        <f t="shared" si="300"/>
        <v>0</v>
      </c>
      <c r="AZ176" s="165">
        <f t="shared" si="300"/>
        <v>0</v>
      </c>
      <c r="BA176" s="166">
        <f t="shared" si="301"/>
        <v>0</v>
      </c>
      <c r="BB176" s="167">
        <f t="shared" si="302"/>
        <v>0</v>
      </c>
      <c r="BC176" s="165">
        <f t="shared" si="302"/>
        <v>0</v>
      </c>
      <c r="BD176" s="166">
        <f t="shared" si="303"/>
        <v>0</v>
      </c>
      <c r="BE176" s="191">
        <f t="shared" ref="BE176:BF177" si="318">IF(BE103=0,0,BE71/BE103)</f>
        <v>0</v>
      </c>
      <c r="BF176" s="191">
        <f t="shared" si="318"/>
        <v>0</v>
      </c>
      <c r="BG176" s="188">
        <f t="shared" ref="BG176" si="319">IF(BG103=0,0,BG71/BG103)</f>
        <v>0</v>
      </c>
    </row>
    <row r="177" spans="1:59" ht="13.5" hidden="1" customHeight="1" outlineLevel="1" thickBot="1" x14ac:dyDescent="0.3">
      <c r="A177" s="11"/>
      <c r="B177" s="84" t="s">
        <v>63</v>
      </c>
      <c r="C177" s="76" t="s">
        <v>32</v>
      </c>
      <c r="D177" s="4">
        <f t="shared" si="270"/>
        <v>0</v>
      </c>
      <c r="E177" s="4">
        <f t="shared" si="270"/>
        <v>0</v>
      </c>
      <c r="F177" s="7">
        <f t="shared" si="270"/>
        <v>0</v>
      </c>
      <c r="G177" s="6">
        <f t="shared" si="270"/>
        <v>0</v>
      </c>
      <c r="H177" s="5">
        <f t="shared" si="271"/>
        <v>0</v>
      </c>
      <c r="I177" s="7">
        <f t="shared" si="272"/>
        <v>0</v>
      </c>
      <c r="J177" s="6">
        <f t="shared" si="272"/>
        <v>0</v>
      </c>
      <c r="K177" s="5">
        <f t="shared" si="273"/>
        <v>0</v>
      </c>
      <c r="L177" s="7">
        <f t="shared" si="274"/>
        <v>0</v>
      </c>
      <c r="M177" s="6">
        <f t="shared" si="274"/>
        <v>0</v>
      </c>
      <c r="N177" s="5">
        <f t="shared" si="275"/>
        <v>0</v>
      </c>
      <c r="O177" s="7">
        <f t="shared" si="276"/>
        <v>0</v>
      </c>
      <c r="P177" s="6">
        <f t="shared" si="276"/>
        <v>0</v>
      </c>
      <c r="Q177" s="5">
        <f t="shared" si="277"/>
        <v>0</v>
      </c>
      <c r="R177" s="7">
        <f t="shared" si="278"/>
        <v>0</v>
      </c>
      <c r="S177" s="6">
        <f t="shared" si="278"/>
        <v>0</v>
      </c>
      <c r="T177" s="5">
        <f t="shared" si="279"/>
        <v>0</v>
      </c>
      <c r="U177" s="7">
        <f t="shared" si="280"/>
        <v>0</v>
      </c>
      <c r="V177" s="6">
        <f t="shared" si="280"/>
        <v>0</v>
      </c>
      <c r="W177" s="5">
        <f t="shared" si="281"/>
        <v>0</v>
      </c>
      <c r="X177" s="7">
        <f t="shared" si="282"/>
        <v>0</v>
      </c>
      <c r="Y177" s="6">
        <f t="shared" si="282"/>
        <v>0</v>
      </c>
      <c r="Z177" s="5">
        <f t="shared" si="283"/>
        <v>0</v>
      </c>
      <c r="AA177" s="7">
        <f t="shared" si="284"/>
        <v>0</v>
      </c>
      <c r="AB177" s="6">
        <f t="shared" si="284"/>
        <v>0</v>
      </c>
      <c r="AC177" s="5">
        <f t="shared" si="285"/>
        <v>0</v>
      </c>
      <c r="AD177" s="7">
        <f t="shared" si="286"/>
        <v>0</v>
      </c>
      <c r="AE177" s="6">
        <f t="shared" si="286"/>
        <v>0</v>
      </c>
      <c r="AF177" s="5">
        <f t="shared" si="287"/>
        <v>0</v>
      </c>
      <c r="AG177" s="7">
        <f t="shared" si="288"/>
        <v>0</v>
      </c>
      <c r="AH177" s="6">
        <f t="shared" si="288"/>
        <v>0</v>
      </c>
      <c r="AI177" s="5">
        <f t="shared" si="289"/>
        <v>0</v>
      </c>
      <c r="AJ177" s="7">
        <f t="shared" si="290"/>
        <v>0</v>
      </c>
      <c r="AK177" s="6">
        <f t="shared" si="290"/>
        <v>0</v>
      </c>
      <c r="AL177" s="5">
        <f t="shared" si="291"/>
        <v>0</v>
      </c>
      <c r="AM177" s="7">
        <f t="shared" si="292"/>
        <v>0</v>
      </c>
      <c r="AN177" s="6">
        <f t="shared" si="292"/>
        <v>0</v>
      </c>
      <c r="AO177" s="5">
        <f t="shared" si="293"/>
        <v>0</v>
      </c>
      <c r="AP177" s="7">
        <f t="shared" si="294"/>
        <v>0</v>
      </c>
      <c r="AQ177" s="6">
        <f t="shared" si="294"/>
        <v>0</v>
      </c>
      <c r="AR177" s="5">
        <f t="shared" si="295"/>
        <v>0</v>
      </c>
      <c r="AS177" s="7">
        <f t="shared" si="296"/>
        <v>0</v>
      </c>
      <c r="AT177" s="6">
        <f t="shared" si="296"/>
        <v>0</v>
      </c>
      <c r="AU177" s="5">
        <f t="shared" si="297"/>
        <v>0</v>
      </c>
      <c r="AV177" s="7">
        <f t="shared" si="298"/>
        <v>0</v>
      </c>
      <c r="AW177" s="6">
        <f t="shared" si="298"/>
        <v>0</v>
      </c>
      <c r="AX177" s="5">
        <f t="shared" si="299"/>
        <v>0</v>
      </c>
      <c r="AY177" s="6">
        <f t="shared" si="300"/>
        <v>0</v>
      </c>
      <c r="AZ177" s="6">
        <f t="shared" si="300"/>
        <v>0</v>
      </c>
      <c r="BA177" s="5">
        <f t="shared" si="301"/>
        <v>0</v>
      </c>
      <c r="BB177" s="7">
        <f t="shared" si="302"/>
        <v>0</v>
      </c>
      <c r="BC177" s="6">
        <f t="shared" si="302"/>
        <v>0</v>
      </c>
      <c r="BD177" s="5">
        <f t="shared" si="303"/>
        <v>0</v>
      </c>
      <c r="BE177" s="7">
        <f t="shared" si="318"/>
        <v>0</v>
      </c>
      <c r="BF177" s="7">
        <f t="shared" si="318"/>
        <v>0</v>
      </c>
      <c r="BG177" s="4">
        <f t="shared" ref="BG177" si="320">IF(BG104=0,0,BG72/BG104)</f>
        <v>0</v>
      </c>
    </row>
    <row r="178" spans="1:59" s="210" customFormat="1" ht="13.5" customHeight="1" collapsed="1" x14ac:dyDescent="0.25">
      <c r="A178" s="106" t="s">
        <v>82</v>
      </c>
      <c r="B178" s="105" t="s">
        <v>83</v>
      </c>
      <c r="C178" s="104" t="s">
        <v>84</v>
      </c>
      <c r="D178" s="192">
        <f>D179+D189+D208</f>
        <v>0</v>
      </c>
      <c r="E178" s="192">
        <f>E179+E189+E208</f>
        <v>0</v>
      </c>
      <c r="F178" s="195">
        <f>F179+F189+F208</f>
        <v>0</v>
      </c>
      <c r="G178" s="193">
        <f>G179+G189+G208</f>
        <v>0</v>
      </c>
      <c r="H178" s="194">
        <f t="shared" ref="H178:H193" si="321">G178-F178</f>
        <v>0</v>
      </c>
      <c r="I178" s="195">
        <f>I179+I189+I208</f>
        <v>0</v>
      </c>
      <c r="J178" s="193">
        <f>J179+J189+J208</f>
        <v>0</v>
      </c>
      <c r="K178" s="194">
        <f t="shared" ref="K178:K193" si="322">J178-I178</f>
        <v>0</v>
      </c>
      <c r="L178" s="195">
        <f>L179+L189+L208</f>
        <v>0</v>
      </c>
      <c r="M178" s="193">
        <f>M179+M189+M208</f>
        <v>0</v>
      </c>
      <c r="N178" s="194">
        <f t="shared" ref="N178:N193" si="323">M178-L178</f>
        <v>0</v>
      </c>
      <c r="O178" s="195">
        <f>O179+O189+O208</f>
        <v>0</v>
      </c>
      <c r="P178" s="193">
        <f>P179+P189+P208</f>
        <v>0</v>
      </c>
      <c r="Q178" s="194">
        <f t="shared" ref="Q178:Q193" si="324">P178-O178</f>
        <v>0</v>
      </c>
      <c r="R178" s="195">
        <f>R179+R189+R208</f>
        <v>0</v>
      </c>
      <c r="S178" s="193">
        <f>S179+S189+S208</f>
        <v>0</v>
      </c>
      <c r="T178" s="194">
        <f t="shared" ref="T178:T193" si="325">S178-R178</f>
        <v>0</v>
      </c>
      <c r="U178" s="195">
        <f>U179+U189+U208</f>
        <v>0</v>
      </c>
      <c r="V178" s="193">
        <f>V179+V189+V208</f>
        <v>0</v>
      </c>
      <c r="W178" s="194">
        <f t="shared" ref="W178:W193" si="326">V178-U178</f>
        <v>0</v>
      </c>
      <c r="X178" s="195">
        <f>X179+X189+X208</f>
        <v>0</v>
      </c>
      <c r="Y178" s="193">
        <f>Y179+Y189+Y208</f>
        <v>0</v>
      </c>
      <c r="Z178" s="194">
        <f t="shared" ref="Z178:Z193" si="327">Y178-X178</f>
        <v>0</v>
      </c>
      <c r="AA178" s="195">
        <f>AA179+AA189+AA208</f>
        <v>0</v>
      </c>
      <c r="AB178" s="193">
        <f>AB179+AB189+AB208</f>
        <v>0</v>
      </c>
      <c r="AC178" s="194">
        <f t="shared" ref="AC178:AC193" si="328">AB178-AA178</f>
        <v>0</v>
      </c>
      <c r="AD178" s="195">
        <f>AD179+AD189+AD208</f>
        <v>0</v>
      </c>
      <c r="AE178" s="193">
        <f>AE179+AE189+AE208</f>
        <v>0</v>
      </c>
      <c r="AF178" s="194">
        <f t="shared" ref="AF178:AF193" si="329">AE178-AD178</f>
        <v>0</v>
      </c>
      <c r="AG178" s="195">
        <f>AG179+AG189+AG208</f>
        <v>0</v>
      </c>
      <c r="AH178" s="193">
        <f>AH179+AH189+AH208</f>
        <v>0</v>
      </c>
      <c r="AI178" s="194">
        <f t="shared" ref="AI178:AI193" si="330">AH178-AG178</f>
        <v>0</v>
      </c>
      <c r="AJ178" s="195">
        <f>AJ179+AJ189+AJ208</f>
        <v>0</v>
      </c>
      <c r="AK178" s="193">
        <f>AK179+AK189+AK208</f>
        <v>0</v>
      </c>
      <c r="AL178" s="194">
        <f t="shared" ref="AL178:AL193" si="331">AK178-AJ178</f>
        <v>0</v>
      </c>
      <c r="AM178" s="195">
        <f>AM179+AM189+AM208</f>
        <v>0</v>
      </c>
      <c r="AN178" s="193">
        <f>AN179+AN189+AN208</f>
        <v>0</v>
      </c>
      <c r="AO178" s="194">
        <f t="shared" ref="AO178:AO193" si="332">AN178-AM178</f>
        <v>0</v>
      </c>
      <c r="AP178" s="195">
        <f>AP179+AP189+AP208</f>
        <v>0</v>
      </c>
      <c r="AQ178" s="193">
        <f>AQ179+AQ189+AQ208</f>
        <v>0</v>
      </c>
      <c r="AR178" s="194">
        <f t="shared" ref="AR178:AR193" si="333">AQ178-AP178</f>
        <v>0</v>
      </c>
      <c r="AS178" s="195">
        <f>AS179+AS189+AS208</f>
        <v>0</v>
      </c>
      <c r="AT178" s="193">
        <f>AT179+AT189+AT208</f>
        <v>0</v>
      </c>
      <c r="AU178" s="194">
        <f t="shared" ref="AU178:AU193" si="334">AT178-AS178</f>
        <v>0</v>
      </c>
      <c r="AV178" s="195">
        <f>AV179+AV189+AV208</f>
        <v>0</v>
      </c>
      <c r="AW178" s="193">
        <f>AW179+AW189+AW208</f>
        <v>0</v>
      </c>
      <c r="AX178" s="194">
        <f t="shared" ref="AX178:AX193" si="335">AW178-AV178</f>
        <v>0</v>
      </c>
      <c r="AY178" s="193">
        <f>AY179+AY189+AY208</f>
        <v>0</v>
      </c>
      <c r="AZ178" s="193">
        <f>AZ179+AZ189+AZ208</f>
        <v>0</v>
      </c>
      <c r="BA178" s="194">
        <f t="shared" ref="BA178:BA193" si="336">AZ178-AY178</f>
        <v>0</v>
      </c>
      <c r="BB178" s="195">
        <f>BB179+BB189+BB208</f>
        <v>0</v>
      </c>
      <c r="BC178" s="193">
        <f>BC179+BC189+BC208</f>
        <v>0</v>
      </c>
      <c r="BD178" s="194">
        <f t="shared" ref="BD178:BD193" si="337">BC178-BB178</f>
        <v>0</v>
      </c>
      <c r="BE178" s="195">
        <f t="shared" ref="BE178:BF178" si="338">BE179+BE189+BE208</f>
        <v>0</v>
      </c>
      <c r="BF178" s="195">
        <f t="shared" si="338"/>
        <v>0</v>
      </c>
      <c r="BG178" s="192">
        <f t="shared" ref="BG178" si="339">BG179+BG189+BG208</f>
        <v>0</v>
      </c>
    </row>
    <row r="179" spans="1:59" s="210" customFormat="1" ht="13.5" customHeight="1" x14ac:dyDescent="0.25">
      <c r="A179" s="103"/>
      <c r="B179" s="102" t="s">
        <v>33</v>
      </c>
      <c r="C179" s="101" t="s">
        <v>84</v>
      </c>
      <c r="D179" s="188">
        <f>SUM(D180:D188)</f>
        <v>0</v>
      </c>
      <c r="E179" s="188">
        <f>SUM(E180:E188)</f>
        <v>0</v>
      </c>
      <c r="F179" s="191">
        <f>SUM(F180:F188)</f>
        <v>0</v>
      </c>
      <c r="G179" s="189">
        <f>SUM(G180:G188)</f>
        <v>0</v>
      </c>
      <c r="H179" s="190">
        <f t="shared" si="321"/>
        <v>0</v>
      </c>
      <c r="I179" s="191">
        <f>SUM(I180:I188)</f>
        <v>0</v>
      </c>
      <c r="J179" s="189">
        <f>SUM(J180:J188)</f>
        <v>0</v>
      </c>
      <c r="K179" s="190">
        <f t="shared" si="322"/>
        <v>0</v>
      </c>
      <c r="L179" s="191">
        <f>SUM(L180:L188)</f>
        <v>0</v>
      </c>
      <c r="M179" s="189">
        <f>SUM(M180:M188)</f>
        <v>0</v>
      </c>
      <c r="N179" s="190">
        <f t="shared" si="323"/>
        <v>0</v>
      </c>
      <c r="O179" s="191">
        <f>SUM(O180:O188)</f>
        <v>0</v>
      </c>
      <c r="P179" s="189">
        <f>SUM(P180:P188)</f>
        <v>0</v>
      </c>
      <c r="Q179" s="190">
        <f t="shared" si="324"/>
        <v>0</v>
      </c>
      <c r="R179" s="191">
        <f>SUM(R180:R188)</f>
        <v>0</v>
      </c>
      <c r="S179" s="189">
        <f>SUM(S180:S188)</f>
        <v>0</v>
      </c>
      <c r="T179" s="190">
        <f t="shared" si="325"/>
        <v>0</v>
      </c>
      <c r="U179" s="191">
        <f>SUM(U180:U188)</f>
        <v>0</v>
      </c>
      <c r="V179" s="189">
        <f>SUM(V180:V188)</f>
        <v>0</v>
      </c>
      <c r="W179" s="190">
        <f t="shared" si="326"/>
        <v>0</v>
      </c>
      <c r="X179" s="191">
        <f>SUM(X180:X188)</f>
        <v>0</v>
      </c>
      <c r="Y179" s="189">
        <f>SUM(Y180:Y188)</f>
        <v>0</v>
      </c>
      <c r="Z179" s="190">
        <f t="shared" si="327"/>
        <v>0</v>
      </c>
      <c r="AA179" s="191">
        <f>SUM(AA180:AA188)</f>
        <v>0</v>
      </c>
      <c r="AB179" s="189">
        <f>SUM(AB180:AB188)</f>
        <v>0</v>
      </c>
      <c r="AC179" s="190">
        <f t="shared" si="328"/>
        <v>0</v>
      </c>
      <c r="AD179" s="191">
        <f>SUM(AD180:AD188)</f>
        <v>0</v>
      </c>
      <c r="AE179" s="189">
        <f>SUM(AE180:AE188)</f>
        <v>0</v>
      </c>
      <c r="AF179" s="190">
        <f t="shared" si="329"/>
        <v>0</v>
      </c>
      <c r="AG179" s="191">
        <f>SUM(AG180:AG188)</f>
        <v>0</v>
      </c>
      <c r="AH179" s="189">
        <f>SUM(AH180:AH188)</f>
        <v>0</v>
      </c>
      <c r="AI179" s="190">
        <f t="shared" si="330"/>
        <v>0</v>
      </c>
      <c r="AJ179" s="191">
        <f>SUM(AJ180:AJ188)</f>
        <v>0</v>
      </c>
      <c r="AK179" s="189">
        <f>SUM(AK180:AK188)</f>
        <v>0</v>
      </c>
      <c r="AL179" s="190">
        <f t="shared" si="331"/>
        <v>0</v>
      </c>
      <c r="AM179" s="191">
        <f>SUM(AM180:AM188)</f>
        <v>0</v>
      </c>
      <c r="AN179" s="189">
        <f>SUM(AN180:AN188)</f>
        <v>0</v>
      </c>
      <c r="AO179" s="190">
        <f t="shared" si="332"/>
        <v>0</v>
      </c>
      <c r="AP179" s="191">
        <f>SUM(AP180:AP188)</f>
        <v>0</v>
      </c>
      <c r="AQ179" s="189">
        <f>SUM(AQ180:AQ188)</f>
        <v>0</v>
      </c>
      <c r="AR179" s="190">
        <f t="shared" si="333"/>
        <v>0</v>
      </c>
      <c r="AS179" s="191">
        <f>SUM(AS180:AS188)</f>
        <v>0</v>
      </c>
      <c r="AT179" s="189">
        <f>SUM(AT180:AT188)</f>
        <v>0</v>
      </c>
      <c r="AU179" s="190">
        <f t="shared" si="334"/>
        <v>0</v>
      </c>
      <c r="AV179" s="191">
        <f>SUM(AV180:AV188)</f>
        <v>0</v>
      </c>
      <c r="AW179" s="189">
        <f>SUM(AW180:AW188)</f>
        <v>0</v>
      </c>
      <c r="AX179" s="190">
        <f t="shared" si="335"/>
        <v>0</v>
      </c>
      <c r="AY179" s="189">
        <f>SUM(AY180:AY188)</f>
        <v>0</v>
      </c>
      <c r="AZ179" s="189">
        <f>SUM(AZ180:AZ188)</f>
        <v>0</v>
      </c>
      <c r="BA179" s="190">
        <f t="shared" si="336"/>
        <v>0</v>
      </c>
      <c r="BB179" s="191">
        <f>SUM(BB180:BB188)</f>
        <v>0</v>
      </c>
      <c r="BC179" s="189">
        <f>SUM(BC180:BC188)</f>
        <v>0</v>
      </c>
      <c r="BD179" s="190">
        <f t="shared" si="337"/>
        <v>0</v>
      </c>
      <c r="BE179" s="191">
        <f t="shared" ref="BE179:BF179" si="340">SUM(BE180:BE188)</f>
        <v>0</v>
      </c>
      <c r="BF179" s="191">
        <f t="shared" si="340"/>
        <v>0</v>
      </c>
      <c r="BG179" s="188">
        <f t="shared" ref="BG179" si="341">SUM(BG180:BG188)</f>
        <v>0</v>
      </c>
    </row>
    <row r="180" spans="1:59" ht="13.5" hidden="1" customHeight="1" outlineLevel="1" x14ac:dyDescent="0.25">
      <c r="A180" s="100"/>
      <c r="B180" s="84" t="s">
        <v>34</v>
      </c>
      <c r="C180" s="83" t="s">
        <v>84</v>
      </c>
      <c r="D180" s="20"/>
      <c r="E180" s="20"/>
      <c r="F180" s="24"/>
      <c r="G180" s="23"/>
      <c r="H180" s="22">
        <f t="shared" si="321"/>
        <v>0</v>
      </c>
      <c r="I180" s="24"/>
      <c r="J180" s="23"/>
      <c r="K180" s="22">
        <f t="shared" si="322"/>
        <v>0</v>
      </c>
      <c r="L180" s="24"/>
      <c r="M180" s="23"/>
      <c r="N180" s="22">
        <f t="shared" si="323"/>
        <v>0</v>
      </c>
      <c r="O180" s="24">
        <f t="shared" ref="O180:P188" si="342">SUM(F180,I180,L180)</f>
        <v>0</v>
      </c>
      <c r="P180" s="23">
        <f t="shared" si="342"/>
        <v>0</v>
      </c>
      <c r="Q180" s="22">
        <f t="shared" si="324"/>
        <v>0</v>
      </c>
      <c r="R180" s="24"/>
      <c r="S180" s="23"/>
      <c r="T180" s="22">
        <f t="shared" si="325"/>
        <v>0</v>
      </c>
      <c r="U180" s="24"/>
      <c r="V180" s="23"/>
      <c r="W180" s="22">
        <f t="shared" si="326"/>
        <v>0</v>
      </c>
      <c r="X180" s="24"/>
      <c r="Y180" s="23"/>
      <c r="Z180" s="22">
        <f t="shared" si="327"/>
        <v>0</v>
      </c>
      <c r="AA180" s="24">
        <f t="shared" ref="AA180:AB188" si="343">SUM(R180,U180,X180)</f>
        <v>0</v>
      </c>
      <c r="AB180" s="23">
        <f t="shared" si="343"/>
        <v>0</v>
      </c>
      <c r="AC180" s="22">
        <f t="shared" si="328"/>
        <v>0</v>
      </c>
      <c r="AD180" s="24"/>
      <c r="AE180" s="23"/>
      <c r="AF180" s="22">
        <f t="shared" si="329"/>
        <v>0</v>
      </c>
      <c r="AG180" s="24"/>
      <c r="AH180" s="23"/>
      <c r="AI180" s="22">
        <f t="shared" si="330"/>
        <v>0</v>
      </c>
      <c r="AJ180" s="24"/>
      <c r="AK180" s="23"/>
      <c r="AL180" s="22">
        <f t="shared" si="331"/>
        <v>0</v>
      </c>
      <c r="AM180" s="24">
        <f t="shared" ref="AM180:AN188" si="344">SUM(AD180,AG180,AJ180)</f>
        <v>0</v>
      </c>
      <c r="AN180" s="23">
        <f t="shared" si="344"/>
        <v>0</v>
      </c>
      <c r="AO180" s="22">
        <f t="shared" si="332"/>
        <v>0</v>
      </c>
      <c r="AP180" s="24"/>
      <c r="AQ180" s="23"/>
      <c r="AR180" s="22">
        <f t="shared" si="333"/>
        <v>0</v>
      </c>
      <c r="AS180" s="24"/>
      <c r="AT180" s="23"/>
      <c r="AU180" s="22">
        <f t="shared" si="334"/>
        <v>0</v>
      </c>
      <c r="AV180" s="24"/>
      <c r="AW180" s="23"/>
      <c r="AX180" s="22">
        <f t="shared" si="335"/>
        <v>0</v>
      </c>
      <c r="AY180" s="23">
        <f t="shared" ref="AY180:AZ188" si="345">SUM(AP180,AS180,AV180)</f>
        <v>0</v>
      </c>
      <c r="AZ180" s="23">
        <f t="shared" si="345"/>
        <v>0</v>
      </c>
      <c r="BA180" s="22">
        <f t="shared" si="336"/>
        <v>0</v>
      </c>
      <c r="BB180" s="24">
        <f t="shared" ref="BB180:BC188" si="346">SUM(F180,I180,L180,R180,U180,X180,AD180,AG180,AJ180,AP180,AS180,AV180)</f>
        <v>0</v>
      </c>
      <c r="BC180" s="23">
        <f t="shared" si="346"/>
        <v>0</v>
      </c>
      <c r="BD180" s="22">
        <f t="shared" si="337"/>
        <v>0</v>
      </c>
      <c r="BE180" s="24"/>
      <c r="BF180" s="24"/>
      <c r="BG180" s="20">
        <f>BB180+BE180+BF180</f>
        <v>0</v>
      </c>
    </row>
    <row r="181" spans="1:59" ht="13.5" hidden="1" customHeight="1" outlineLevel="1" x14ac:dyDescent="0.25">
      <c r="A181" s="100"/>
      <c r="B181" s="84" t="s">
        <v>35</v>
      </c>
      <c r="C181" s="83" t="s">
        <v>84</v>
      </c>
      <c r="D181" s="20"/>
      <c r="E181" s="20"/>
      <c r="F181" s="24"/>
      <c r="G181" s="23"/>
      <c r="H181" s="22">
        <f t="shared" si="321"/>
        <v>0</v>
      </c>
      <c r="I181" s="24"/>
      <c r="J181" s="23"/>
      <c r="K181" s="22">
        <f t="shared" si="322"/>
        <v>0</v>
      </c>
      <c r="L181" s="24"/>
      <c r="M181" s="23"/>
      <c r="N181" s="22">
        <f t="shared" si="323"/>
        <v>0</v>
      </c>
      <c r="O181" s="24">
        <f t="shared" si="342"/>
        <v>0</v>
      </c>
      <c r="P181" s="23">
        <f t="shared" si="342"/>
        <v>0</v>
      </c>
      <c r="Q181" s="22">
        <f t="shared" si="324"/>
        <v>0</v>
      </c>
      <c r="R181" s="24"/>
      <c r="S181" s="23"/>
      <c r="T181" s="22">
        <f t="shared" si="325"/>
        <v>0</v>
      </c>
      <c r="U181" s="24"/>
      <c r="V181" s="23"/>
      <c r="W181" s="22">
        <f t="shared" si="326"/>
        <v>0</v>
      </c>
      <c r="X181" s="24"/>
      <c r="Y181" s="23"/>
      <c r="Z181" s="22">
        <f t="shared" si="327"/>
        <v>0</v>
      </c>
      <c r="AA181" s="24">
        <f t="shared" si="343"/>
        <v>0</v>
      </c>
      <c r="AB181" s="23">
        <f t="shared" si="343"/>
        <v>0</v>
      </c>
      <c r="AC181" s="22">
        <f t="shared" si="328"/>
        <v>0</v>
      </c>
      <c r="AD181" s="24"/>
      <c r="AE181" s="23"/>
      <c r="AF181" s="22">
        <f t="shared" si="329"/>
        <v>0</v>
      </c>
      <c r="AG181" s="24"/>
      <c r="AH181" s="23"/>
      <c r="AI181" s="22">
        <f t="shared" si="330"/>
        <v>0</v>
      </c>
      <c r="AJ181" s="24"/>
      <c r="AK181" s="23"/>
      <c r="AL181" s="22">
        <f t="shared" si="331"/>
        <v>0</v>
      </c>
      <c r="AM181" s="24">
        <f t="shared" si="344"/>
        <v>0</v>
      </c>
      <c r="AN181" s="23">
        <f t="shared" si="344"/>
        <v>0</v>
      </c>
      <c r="AO181" s="22">
        <f t="shared" si="332"/>
        <v>0</v>
      </c>
      <c r="AP181" s="24"/>
      <c r="AQ181" s="23"/>
      <c r="AR181" s="22">
        <f t="shared" si="333"/>
        <v>0</v>
      </c>
      <c r="AS181" s="24"/>
      <c r="AT181" s="23"/>
      <c r="AU181" s="22">
        <f t="shared" si="334"/>
        <v>0</v>
      </c>
      <c r="AV181" s="24"/>
      <c r="AW181" s="23"/>
      <c r="AX181" s="22">
        <f t="shared" si="335"/>
        <v>0</v>
      </c>
      <c r="AY181" s="23">
        <f t="shared" si="345"/>
        <v>0</v>
      </c>
      <c r="AZ181" s="23">
        <f t="shared" si="345"/>
        <v>0</v>
      </c>
      <c r="BA181" s="22">
        <f t="shared" si="336"/>
        <v>0</v>
      </c>
      <c r="BB181" s="24">
        <f t="shared" si="346"/>
        <v>0</v>
      </c>
      <c r="BC181" s="23">
        <f t="shared" si="346"/>
        <v>0</v>
      </c>
      <c r="BD181" s="22">
        <f t="shared" si="337"/>
        <v>0</v>
      </c>
      <c r="BE181" s="24"/>
      <c r="BF181" s="24"/>
      <c r="BG181" s="20">
        <f t="shared" ref="BG181:BG188" si="347">BB181+BE181+BF181</f>
        <v>0</v>
      </c>
    </row>
    <row r="182" spans="1:59" ht="13.5" hidden="1" customHeight="1" outlineLevel="1" x14ac:dyDescent="0.25">
      <c r="A182" s="100"/>
      <c r="B182" s="84" t="s">
        <v>36</v>
      </c>
      <c r="C182" s="83" t="s">
        <v>84</v>
      </c>
      <c r="D182" s="20"/>
      <c r="E182" s="20"/>
      <c r="F182" s="24"/>
      <c r="G182" s="23"/>
      <c r="H182" s="22">
        <f t="shared" si="321"/>
        <v>0</v>
      </c>
      <c r="I182" s="24"/>
      <c r="J182" s="23"/>
      <c r="K182" s="22">
        <f t="shared" si="322"/>
        <v>0</v>
      </c>
      <c r="L182" s="24"/>
      <c r="M182" s="23"/>
      <c r="N182" s="22">
        <f t="shared" si="323"/>
        <v>0</v>
      </c>
      <c r="O182" s="24">
        <f t="shared" si="342"/>
        <v>0</v>
      </c>
      <c r="P182" s="23">
        <f t="shared" si="342"/>
        <v>0</v>
      </c>
      <c r="Q182" s="22">
        <f t="shared" si="324"/>
        <v>0</v>
      </c>
      <c r="R182" s="24"/>
      <c r="S182" s="23"/>
      <c r="T182" s="22">
        <f t="shared" si="325"/>
        <v>0</v>
      </c>
      <c r="U182" s="24"/>
      <c r="V182" s="23"/>
      <c r="W182" s="22">
        <f t="shared" si="326"/>
        <v>0</v>
      </c>
      <c r="X182" s="24"/>
      <c r="Y182" s="23"/>
      <c r="Z182" s="22">
        <f t="shared" si="327"/>
        <v>0</v>
      </c>
      <c r="AA182" s="24">
        <f t="shared" si="343"/>
        <v>0</v>
      </c>
      <c r="AB182" s="23">
        <f t="shared" si="343"/>
        <v>0</v>
      </c>
      <c r="AC182" s="22">
        <f t="shared" si="328"/>
        <v>0</v>
      </c>
      <c r="AD182" s="24"/>
      <c r="AE182" s="23"/>
      <c r="AF182" s="22">
        <f t="shared" si="329"/>
        <v>0</v>
      </c>
      <c r="AG182" s="24"/>
      <c r="AH182" s="23"/>
      <c r="AI182" s="22">
        <f t="shared" si="330"/>
        <v>0</v>
      </c>
      <c r="AJ182" s="24"/>
      <c r="AK182" s="23"/>
      <c r="AL182" s="22">
        <f t="shared" si="331"/>
        <v>0</v>
      </c>
      <c r="AM182" s="24">
        <f t="shared" si="344"/>
        <v>0</v>
      </c>
      <c r="AN182" s="23">
        <f t="shared" si="344"/>
        <v>0</v>
      </c>
      <c r="AO182" s="22">
        <f t="shared" si="332"/>
        <v>0</v>
      </c>
      <c r="AP182" s="24"/>
      <c r="AQ182" s="23"/>
      <c r="AR182" s="22">
        <f t="shared" si="333"/>
        <v>0</v>
      </c>
      <c r="AS182" s="24"/>
      <c r="AT182" s="23"/>
      <c r="AU182" s="22">
        <f t="shared" si="334"/>
        <v>0</v>
      </c>
      <c r="AV182" s="24"/>
      <c r="AW182" s="23"/>
      <c r="AX182" s="22">
        <f t="shared" si="335"/>
        <v>0</v>
      </c>
      <c r="AY182" s="23">
        <f t="shared" si="345"/>
        <v>0</v>
      </c>
      <c r="AZ182" s="23">
        <f t="shared" si="345"/>
        <v>0</v>
      </c>
      <c r="BA182" s="22">
        <f t="shared" si="336"/>
        <v>0</v>
      </c>
      <c r="BB182" s="24">
        <f t="shared" si="346"/>
        <v>0</v>
      </c>
      <c r="BC182" s="23">
        <f t="shared" si="346"/>
        <v>0</v>
      </c>
      <c r="BD182" s="22">
        <f t="shared" si="337"/>
        <v>0</v>
      </c>
      <c r="BE182" s="24"/>
      <c r="BF182" s="24"/>
      <c r="BG182" s="20">
        <f t="shared" si="347"/>
        <v>0</v>
      </c>
    </row>
    <row r="183" spans="1:59" ht="13.5" hidden="1" customHeight="1" outlineLevel="1" x14ac:dyDescent="0.25">
      <c r="A183" s="100"/>
      <c r="B183" s="84" t="s">
        <v>37</v>
      </c>
      <c r="C183" s="83" t="s">
        <v>84</v>
      </c>
      <c r="D183" s="20"/>
      <c r="E183" s="20"/>
      <c r="F183" s="24"/>
      <c r="G183" s="23"/>
      <c r="H183" s="22">
        <f t="shared" si="321"/>
        <v>0</v>
      </c>
      <c r="I183" s="24"/>
      <c r="J183" s="23"/>
      <c r="K183" s="22">
        <f t="shared" si="322"/>
        <v>0</v>
      </c>
      <c r="L183" s="24"/>
      <c r="M183" s="23"/>
      <c r="N183" s="22">
        <f t="shared" si="323"/>
        <v>0</v>
      </c>
      <c r="O183" s="24">
        <f t="shared" si="342"/>
        <v>0</v>
      </c>
      <c r="P183" s="23">
        <f t="shared" si="342"/>
        <v>0</v>
      </c>
      <c r="Q183" s="22">
        <f t="shared" si="324"/>
        <v>0</v>
      </c>
      <c r="R183" s="24"/>
      <c r="S183" s="23"/>
      <c r="T183" s="22">
        <f t="shared" si="325"/>
        <v>0</v>
      </c>
      <c r="U183" s="24"/>
      <c r="V183" s="23"/>
      <c r="W183" s="22">
        <f t="shared" si="326"/>
        <v>0</v>
      </c>
      <c r="X183" s="24"/>
      <c r="Y183" s="23"/>
      <c r="Z183" s="22">
        <f t="shared" si="327"/>
        <v>0</v>
      </c>
      <c r="AA183" s="24">
        <f t="shared" si="343"/>
        <v>0</v>
      </c>
      <c r="AB183" s="23">
        <f t="shared" si="343"/>
        <v>0</v>
      </c>
      <c r="AC183" s="22">
        <f t="shared" si="328"/>
        <v>0</v>
      </c>
      <c r="AD183" s="24"/>
      <c r="AE183" s="23"/>
      <c r="AF183" s="22">
        <f t="shared" si="329"/>
        <v>0</v>
      </c>
      <c r="AG183" s="24"/>
      <c r="AH183" s="23"/>
      <c r="AI183" s="22">
        <f t="shared" si="330"/>
        <v>0</v>
      </c>
      <c r="AJ183" s="24"/>
      <c r="AK183" s="23"/>
      <c r="AL183" s="22">
        <f t="shared" si="331"/>
        <v>0</v>
      </c>
      <c r="AM183" s="24">
        <f t="shared" si="344"/>
        <v>0</v>
      </c>
      <c r="AN183" s="23">
        <f t="shared" si="344"/>
        <v>0</v>
      </c>
      <c r="AO183" s="22">
        <f t="shared" si="332"/>
        <v>0</v>
      </c>
      <c r="AP183" s="24"/>
      <c r="AQ183" s="23"/>
      <c r="AR183" s="22">
        <f t="shared" si="333"/>
        <v>0</v>
      </c>
      <c r="AS183" s="24"/>
      <c r="AT183" s="23"/>
      <c r="AU183" s="22">
        <f t="shared" si="334"/>
        <v>0</v>
      </c>
      <c r="AV183" s="24"/>
      <c r="AW183" s="23"/>
      <c r="AX183" s="22">
        <f t="shared" si="335"/>
        <v>0</v>
      </c>
      <c r="AY183" s="23">
        <f t="shared" si="345"/>
        <v>0</v>
      </c>
      <c r="AZ183" s="23">
        <f t="shared" si="345"/>
        <v>0</v>
      </c>
      <c r="BA183" s="22">
        <f t="shared" si="336"/>
        <v>0</v>
      </c>
      <c r="BB183" s="24">
        <f t="shared" si="346"/>
        <v>0</v>
      </c>
      <c r="BC183" s="23">
        <f t="shared" si="346"/>
        <v>0</v>
      </c>
      <c r="BD183" s="22">
        <f t="shared" si="337"/>
        <v>0</v>
      </c>
      <c r="BE183" s="24"/>
      <c r="BF183" s="24"/>
      <c r="BG183" s="20">
        <f t="shared" si="347"/>
        <v>0</v>
      </c>
    </row>
    <row r="184" spans="1:59" ht="13.5" hidden="1" customHeight="1" outlineLevel="1" x14ac:dyDescent="0.25">
      <c r="A184" s="100"/>
      <c r="B184" s="84" t="s">
        <v>38</v>
      </c>
      <c r="C184" s="83" t="s">
        <v>84</v>
      </c>
      <c r="D184" s="20"/>
      <c r="E184" s="20"/>
      <c r="F184" s="24"/>
      <c r="G184" s="23"/>
      <c r="H184" s="22">
        <f t="shared" si="321"/>
        <v>0</v>
      </c>
      <c r="I184" s="24"/>
      <c r="J184" s="23"/>
      <c r="K184" s="22">
        <f t="shared" si="322"/>
        <v>0</v>
      </c>
      <c r="L184" s="24"/>
      <c r="M184" s="23"/>
      <c r="N184" s="22">
        <f t="shared" si="323"/>
        <v>0</v>
      </c>
      <c r="O184" s="24">
        <f t="shared" si="342"/>
        <v>0</v>
      </c>
      <c r="P184" s="23">
        <f t="shared" si="342"/>
        <v>0</v>
      </c>
      <c r="Q184" s="22">
        <f t="shared" si="324"/>
        <v>0</v>
      </c>
      <c r="R184" s="24"/>
      <c r="S184" s="23"/>
      <c r="T184" s="22">
        <f t="shared" si="325"/>
        <v>0</v>
      </c>
      <c r="U184" s="24"/>
      <c r="V184" s="23"/>
      <c r="W184" s="22">
        <f t="shared" si="326"/>
        <v>0</v>
      </c>
      <c r="X184" s="24"/>
      <c r="Y184" s="23"/>
      <c r="Z184" s="22">
        <f t="shared" si="327"/>
        <v>0</v>
      </c>
      <c r="AA184" s="24">
        <f t="shared" si="343"/>
        <v>0</v>
      </c>
      <c r="AB184" s="23">
        <f t="shared" si="343"/>
        <v>0</v>
      </c>
      <c r="AC184" s="22">
        <f t="shared" si="328"/>
        <v>0</v>
      </c>
      <c r="AD184" s="24"/>
      <c r="AE184" s="23"/>
      <c r="AF184" s="22">
        <f t="shared" si="329"/>
        <v>0</v>
      </c>
      <c r="AG184" s="24"/>
      <c r="AH184" s="23"/>
      <c r="AI184" s="22">
        <f t="shared" si="330"/>
        <v>0</v>
      </c>
      <c r="AJ184" s="24"/>
      <c r="AK184" s="23"/>
      <c r="AL184" s="22">
        <f t="shared" si="331"/>
        <v>0</v>
      </c>
      <c r="AM184" s="24">
        <f t="shared" si="344"/>
        <v>0</v>
      </c>
      <c r="AN184" s="23">
        <f t="shared" si="344"/>
        <v>0</v>
      </c>
      <c r="AO184" s="22">
        <f t="shared" si="332"/>
        <v>0</v>
      </c>
      <c r="AP184" s="24"/>
      <c r="AQ184" s="23"/>
      <c r="AR184" s="22">
        <f t="shared" si="333"/>
        <v>0</v>
      </c>
      <c r="AS184" s="24"/>
      <c r="AT184" s="23"/>
      <c r="AU184" s="22">
        <f t="shared" si="334"/>
        <v>0</v>
      </c>
      <c r="AV184" s="24"/>
      <c r="AW184" s="23"/>
      <c r="AX184" s="22">
        <f t="shared" si="335"/>
        <v>0</v>
      </c>
      <c r="AY184" s="23">
        <f t="shared" si="345"/>
        <v>0</v>
      </c>
      <c r="AZ184" s="23">
        <f t="shared" si="345"/>
        <v>0</v>
      </c>
      <c r="BA184" s="22">
        <f t="shared" si="336"/>
        <v>0</v>
      </c>
      <c r="BB184" s="24">
        <f t="shared" si="346"/>
        <v>0</v>
      </c>
      <c r="BC184" s="23">
        <f t="shared" si="346"/>
        <v>0</v>
      </c>
      <c r="BD184" s="22">
        <f t="shared" si="337"/>
        <v>0</v>
      </c>
      <c r="BE184" s="24"/>
      <c r="BF184" s="24"/>
      <c r="BG184" s="20">
        <f t="shared" si="347"/>
        <v>0</v>
      </c>
    </row>
    <row r="185" spans="1:59" ht="13.5" hidden="1" customHeight="1" outlineLevel="1" x14ac:dyDescent="0.25">
      <c r="A185" s="100"/>
      <c r="B185" s="84" t="s">
        <v>39</v>
      </c>
      <c r="C185" s="83" t="s">
        <v>84</v>
      </c>
      <c r="D185" s="20"/>
      <c r="E185" s="20"/>
      <c r="F185" s="24"/>
      <c r="G185" s="23"/>
      <c r="H185" s="22">
        <f t="shared" si="321"/>
        <v>0</v>
      </c>
      <c r="I185" s="24"/>
      <c r="J185" s="23"/>
      <c r="K185" s="22">
        <f t="shared" si="322"/>
        <v>0</v>
      </c>
      <c r="L185" s="24"/>
      <c r="M185" s="23"/>
      <c r="N185" s="22">
        <f t="shared" si="323"/>
        <v>0</v>
      </c>
      <c r="O185" s="24">
        <f t="shared" si="342"/>
        <v>0</v>
      </c>
      <c r="P185" s="23">
        <f t="shared" si="342"/>
        <v>0</v>
      </c>
      <c r="Q185" s="22">
        <f t="shared" si="324"/>
        <v>0</v>
      </c>
      <c r="R185" s="24"/>
      <c r="S185" s="23"/>
      <c r="T185" s="22">
        <f t="shared" si="325"/>
        <v>0</v>
      </c>
      <c r="U185" s="24"/>
      <c r="V185" s="23"/>
      <c r="W185" s="22">
        <f t="shared" si="326"/>
        <v>0</v>
      </c>
      <c r="X185" s="24"/>
      <c r="Y185" s="23"/>
      <c r="Z185" s="22">
        <f t="shared" si="327"/>
        <v>0</v>
      </c>
      <c r="AA185" s="24">
        <f t="shared" si="343"/>
        <v>0</v>
      </c>
      <c r="AB185" s="23">
        <f t="shared" si="343"/>
        <v>0</v>
      </c>
      <c r="AC185" s="22">
        <f t="shared" si="328"/>
        <v>0</v>
      </c>
      <c r="AD185" s="24"/>
      <c r="AE185" s="23"/>
      <c r="AF185" s="22">
        <f t="shared" si="329"/>
        <v>0</v>
      </c>
      <c r="AG185" s="24"/>
      <c r="AH185" s="23"/>
      <c r="AI185" s="22">
        <f t="shared" si="330"/>
        <v>0</v>
      </c>
      <c r="AJ185" s="24"/>
      <c r="AK185" s="23"/>
      <c r="AL185" s="22">
        <f t="shared" si="331"/>
        <v>0</v>
      </c>
      <c r="AM185" s="24">
        <f t="shared" si="344"/>
        <v>0</v>
      </c>
      <c r="AN185" s="23">
        <f t="shared" si="344"/>
        <v>0</v>
      </c>
      <c r="AO185" s="22">
        <f t="shared" si="332"/>
        <v>0</v>
      </c>
      <c r="AP185" s="24"/>
      <c r="AQ185" s="23"/>
      <c r="AR185" s="22">
        <f t="shared" si="333"/>
        <v>0</v>
      </c>
      <c r="AS185" s="24"/>
      <c r="AT185" s="23"/>
      <c r="AU185" s="22">
        <f t="shared" si="334"/>
        <v>0</v>
      </c>
      <c r="AV185" s="24"/>
      <c r="AW185" s="23"/>
      <c r="AX185" s="22">
        <f t="shared" si="335"/>
        <v>0</v>
      </c>
      <c r="AY185" s="23">
        <f t="shared" si="345"/>
        <v>0</v>
      </c>
      <c r="AZ185" s="23">
        <f t="shared" si="345"/>
        <v>0</v>
      </c>
      <c r="BA185" s="22">
        <f t="shared" si="336"/>
        <v>0</v>
      </c>
      <c r="BB185" s="24">
        <f t="shared" si="346"/>
        <v>0</v>
      </c>
      <c r="BC185" s="23">
        <f t="shared" si="346"/>
        <v>0</v>
      </c>
      <c r="BD185" s="22">
        <f t="shared" si="337"/>
        <v>0</v>
      </c>
      <c r="BE185" s="24"/>
      <c r="BF185" s="24"/>
      <c r="BG185" s="20">
        <f t="shared" si="347"/>
        <v>0</v>
      </c>
    </row>
    <row r="186" spans="1:59" ht="13.5" hidden="1" customHeight="1" outlineLevel="1" x14ac:dyDescent="0.25">
      <c r="A186" s="100"/>
      <c r="B186" s="84" t="s">
        <v>40</v>
      </c>
      <c r="C186" s="83" t="s">
        <v>84</v>
      </c>
      <c r="D186" s="20"/>
      <c r="E186" s="20"/>
      <c r="F186" s="24"/>
      <c r="G186" s="23"/>
      <c r="H186" s="22">
        <f t="shared" si="321"/>
        <v>0</v>
      </c>
      <c r="I186" s="24"/>
      <c r="J186" s="23"/>
      <c r="K186" s="22">
        <f t="shared" si="322"/>
        <v>0</v>
      </c>
      <c r="L186" s="24"/>
      <c r="M186" s="23"/>
      <c r="N186" s="22">
        <f t="shared" si="323"/>
        <v>0</v>
      </c>
      <c r="O186" s="24">
        <f t="shared" si="342"/>
        <v>0</v>
      </c>
      <c r="P186" s="23">
        <f t="shared" si="342"/>
        <v>0</v>
      </c>
      <c r="Q186" s="22">
        <f t="shared" si="324"/>
        <v>0</v>
      </c>
      <c r="R186" s="24"/>
      <c r="S186" s="23"/>
      <c r="T186" s="22">
        <f t="shared" si="325"/>
        <v>0</v>
      </c>
      <c r="U186" s="24"/>
      <c r="V186" s="23"/>
      <c r="W186" s="22">
        <f t="shared" si="326"/>
        <v>0</v>
      </c>
      <c r="X186" s="24"/>
      <c r="Y186" s="23"/>
      <c r="Z186" s="22">
        <f t="shared" si="327"/>
        <v>0</v>
      </c>
      <c r="AA186" s="24">
        <f t="shared" si="343"/>
        <v>0</v>
      </c>
      <c r="AB186" s="23">
        <f t="shared" si="343"/>
        <v>0</v>
      </c>
      <c r="AC186" s="22">
        <f t="shared" si="328"/>
        <v>0</v>
      </c>
      <c r="AD186" s="24"/>
      <c r="AE186" s="23"/>
      <c r="AF186" s="22">
        <f t="shared" si="329"/>
        <v>0</v>
      </c>
      <c r="AG186" s="24"/>
      <c r="AH186" s="23"/>
      <c r="AI186" s="22">
        <f t="shared" si="330"/>
        <v>0</v>
      </c>
      <c r="AJ186" s="24"/>
      <c r="AK186" s="23"/>
      <c r="AL186" s="22">
        <f t="shared" si="331"/>
        <v>0</v>
      </c>
      <c r="AM186" s="24">
        <f t="shared" si="344"/>
        <v>0</v>
      </c>
      <c r="AN186" s="23">
        <f t="shared" si="344"/>
        <v>0</v>
      </c>
      <c r="AO186" s="22">
        <f t="shared" si="332"/>
        <v>0</v>
      </c>
      <c r="AP186" s="24"/>
      <c r="AQ186" s="23"/>
      <c r="AR186" s="22">
        <f t="shared" si="333"/>
        <v>0</v>
      </c>
      <c r="AS186" s="24"/>
      <c r="AT186" s="23"/>
      <c r="AU186" s="22">
        <f t="shared" si="334"/>
        <v>0</v>
      </c>
      <c r="AV186" s="24"/>
      <c r="AW186" s="23"/>
      <c r="AX186" s="22">
        <f t="shared" si="335"/>
        <v>0</v>
      </c>
      <c r="AY186" s="23">
        <f t="shared" si="345"/>
        <v>0</v>
      </c>
      <c r="AZ186" s="23">
        <f t="shared" si="345"/>
        <v>0</v>
      </c>
      <c r="BA186" s="22">
        <f t="shared" si="336"/>
        <v>0</v>
      </c>
      <c r="BB186" s="24">
        <f t="shared" si="346"/>
        <v>0</v>
      </c>
      <c r="BC186" s="23">
        <f t="shared" si="346"/>
        <v>0</v>
      </c>
      <c r="BD186" s="22">
        <f t="shared" si="337"/>
        <v>0</v>
      </c>
      <c r="BE186" s="24"/>
      <c r="BF186" s="24"/>
      <c r="BG186" s="20">
        <f t="shared" si="347"/>
        <v>0</v>
      </c>
    </row>
    <row r="187" spans="1:59" ht="13.5" hidden="1" customHeight="1" outlineLevel="1" x14ac:dyDescent="0.25">
      <c r="A187" s="100"/>
      <c r="B187" s="84" t="s">
        <v>41</v>
      </c>
      <c r="C187" s="83" t="s">
        <v>84</v>
      </c>
      <c r="D187" s="20"/>
      <c r="E187" s="20"/>
      <c r="F187" s="24"/>
      <c r="G187" s="23"/>
      <c r="H187" s="22">
        <f t="shared" si="321"/>
        <v>0</v>
      </c>
      <c r="I187" s="24"/>
      <c r="J187" s="23"/>
      <c r="K187" s="22">
        <f t="shared" si="322"/>
        <v>0</v>
      </c>
      <c r="L187" s="24"/>
      <c r="M187" s="23"/>
      <c r="N187" s="22">
        <f t="shared" si="323"/>
        <v>0</v>
      </c>
      <c r="O187" s="24">
        <f t="shared" si="342"/>
        <v>0</v>
      </c>
      <c r="P187" s="23">
        <f t="shared" si="342"/>
        <v>0</v>
      </c>
      <c r="Q187" s="22">
        <f t="shared" si="324"/>
        <v>0</v>
      </c>
      <c r="R187" s="24"/>
      <c r="S187" s="23"/>
      <c r="T187" s="22">
        <f t="shared" si="325"/>
        <v>0</v>
      </c>
      <c r="U187" s="24"/>
      <c r="V187" s="23"/>
      <c r="W187" s="22">
        <f t="shared" si="326"/>
        <v>0</v>
      </c>
      <c r="X187" s="24"/>
      <c r="Y187" s="23"/>
      <c r="Z187" s="22">
        <f t="shared" si="327"/>
        <v>0</v>
      </c>
      <c r="AA187" s="24">
        <f t="shared" si="343"/>
        <v>0</v>
      </c>
      <c r="AB187" s="23">
        <f t="shared" si="343"/>
        <v>0</v>
      </c>
      <c r="AC187" s="22">
        <f t="shared" si="328"/>
        <v>0</v>
      </c>
      <c r="AD187" s="24"/>
      <c r="AE187" s="23"/>
      <c r="AF187" s="22">
        <f t="shared" si="329"/>
        <v>0</v>
      </c>
      <c r="AG187" s="24"/>
      <c r="AH187" s="23"/>
      <c r="AI187" s="22">
        <f t="shared" si="330"/>
        <v>0</v>
      </c>
      <c r="AJ187" s="24"/>
      <c r="AK187" s="23"/>
      <c r="AL187" s="22">
        <f t="shared" si="331"/>
        <v>0</v>
      </c>
      <c r="AM187" s="24">
        <f t="shared" si="344"/>
        <v>0</v>
      </c>
      <c r="AN187" s="23">
        <f t="shared" si="344"/>
        <v>0</v>
      </c>
      <c r="AO187" s="22">
        <f t="shared" si="332"/>
        <v>0</v>
      </c>
      <c r="AP187" s="24"/>
      <c r="AQ187" s="23"/>
      <c r="AR187" s="22">
        <f t="shared" si="333"/>
        <v>0</v>
      </c>
      <c r="AS187" s="24"/>
      <c r="AT187" s="23"/>
      <c r="AU187" s="22">
        <f t="shared" si="334"/>
        <v>0</v>
      </c>
      <c r="AV187" s="24"/>
      <c r="AW187" s="23"/>
      <c r="AX187" s="22">
        <f t="shared" si="335"/>
        <v>0</v>
      </c>
      <c r="AY187" s="23">
        <f t="shared" si="345"/>
        <v>0</v>
      </c>
      <c r="AZ187" s="23">
        <f t="shared" si="345"/>
        <v>0</v>
      </c>
      <c r="BA187" s="22">
        <f t="shared" si="336"/>
        <v>0</v>
      </c>
      <c r="BB187" s="24">
        <f t="shared" si="346"/>
        <v>0</v>
      </c>
      <c r="BC187" s="23">
        <f t="shared" si="346"/>
        <v>0</v>
      </c>
      <c r="BD187" s="22">
        <f t="shared" si="337"/>
        <v>0</v>
      </c>
      <c r="BE187" s="24"/>
      <c r="BF187" s="24"/>
      <c r="BG187" s="20">
        <f t="shared" si="347"/>
        <v>0</v>
      </c>
    </row>
    <row r="188" spans="1:59" ht="13.5" hidden="1" customHeight="1" outlineLevel="1" x14ac:dyDescent="0.25">
      <c r="A188" s="28"/>
      <c r="B188" s="84" t="s">
        <v>42</v>
      </c>
      <c r="C188" s="83" t="s">
        <v>84</v>
      </c>
      <c r="D188" s="20"/>
      <c r="E188" s="20"/>
      <c r="F188" s="24"/>
      <c r="G188" s="23"/>
      <c r="H188" s="22">
        <f t="shared" si="321"/>
        <v>0</v>
      </c>
      <c r="I188" s="24"/>
      <c r="J188" s="23"/>
      <c r="K188" s="22">
        <f t="shared" si="322"/>
        <v>0</v>
      </c>
      <c r="L188" s="24"/>
      <c r="M188" s="23"/>
      <c r="N188" s="22">
        <f t="shared" si="323"/>
        <v>0</v>
      </c>
      <c r="O188" s="24">
        <f t="shared" si="342"/>
        <v>0</v>
      </c>
      <c r="P188" s="23">
        <f t="shared" si="342"/>
        <v>0</v>
      </c>
      <c r="Q188" s="22">
        <f t="shared" si="324"/>
        <v>0</v>
      </c>
      <c r="R188" s="24"/>
      <c r="S188" s="23"/>
      <c r="T188" s="22">
        <f t="shared" si="325"/>
        <v>0</v>
      </c>
      <c r="U188" s="24"/>
      <c r="V188" s="23"/>
      <c r="W188" s="22">
        <f t="shared" si="326"/>
        <v>0</v>
      </c>
      <c r="X188" s="24"/>
      <c r="Y188" s="23"/>
      <c r="Z188" s="22">
        <f t="shared" si="327"/>
        <v>0</v>
      </c>
      <c r="AA188" s="24">
        <f t="shared" si="343"/>
        <v>0</v>
      </c>
      <c r="AB188" s="23">
        <f t="shared" si="343"/>
        <v>0</v>
      </c>
      <c r="AC188" s="22">
        <f t="shared" si="328"/>
        <v>0</v>
      </c>
      <c r="AD188" s="24"/>
      <c r="AE188" s="23"/>
      <c r="AF188" s="22">
        <f t="shared" si="329"/>
        <v>0</v>
      </c>
      <c r="AG188" s="24"/>
      <c r="AH188" s="23"/>
      <c r="AI188" s="22">
        <f t="shared" si="330"/>
        <v>0</v>
      </c>
      <c r="AJ188" s="24"/>
      <c r="AK188" s="23"/>
      <c r="AL188" s="22">
        <f t="shared" si="331"/>
        <v>0</v>
      </c>
      <c r="AM188" s="24">
        <f t="shared" si="344"/>
        <v>0</v>
      </c>
      <c r="AN188" s="23">
        <f t="shared" si="344"/>
        <v>0</v>
      </c>
      <c r="AO188" s="22">
        <f t="shared" si="332"/>
        <v>0</v>
      </c>
      <c r="AP188" s="24"/>
      <c r="AQ188" s="23"/>
      <c r="AR188" s="22">
        <f t="shared" si="333"/>
        <v>0</v>
      </c>
      <c r="AS188" s="24"/>
      <c r="AT188" s="23"/>
      <c r="AU188" s="22">
        <f t="shared" si="334"/>
        <v>0</v>
      </c>
      <c r="AV188" s="24"/>
      <c r="AW188" s="23"/>
      <c r="AX188" s="22">
        <f t="shared" si="335"/>
        <v>0</v>
      </c>
      <c r="AY188" s="23">
        <f t="shared" si="345"/>
        <v>0</v>
      </c>
      <c r="AZ188" s="23">
        <f t="shared" si="345"/>
        <v>0</v>
      </c>
      <c r="BA188" s="22">
        <f t="shared" si="336"/>
        <v>0</v>
      </c>
      <c r="BB188" s="24">
        <f t="shared" si="346"/>
        <v>0</v>
      </c>
      <c r="BC188" s="23">
        <f t="shared" si="346"/>
        <v>0</v>
      </c>
      <c r="BD188" s="22">
        <f t="shared" si="337"/>
        <v>0</v>
      </c>
      <c r="BE188" s="24"/>
      <c r="BF188" s="24"/>
      <c r="BG188" s="20">
        <f t="shared" si="347"/>
        <v>0</v>
      </c>
    </row>
    <row r="189" spans="1:59" s="210" customFormat="1" ht="13.5" customHeight="1" collapsed="1" x14ac:dyDescent="0.25">
      <c r="A189" s="103"/>
      <c r="B189" s="102" t="s">
        <v>43</v>
      </c>
      <c r="C189" s="101" t="s">
        <v>84</v>
      </c>
      <c r="D189" s="188">
        <f>SUM(D190:D207)</f>
        <v>0</v>
      </c>
      <c r="E189" s="188">
        <f>SUM(E190:E207)</f>
        <v>0</v>
      </c>
      <c r="F189" s="191">
        <f>SUM(F190:F207)</f>
        <v>0</v>
      </c>
      <c r="G189" s="189">
        <f>SUM(G190:G207)</f>
        <v>0</v>
      </c>
      <c r="H189" s="190">
        <f t="shared" si="321"/>
        <v>0</v>
      </c>
      <c r="I189" s="191">
        <f>SUM(I190:I207)</f>
        <v>0</v>
      </c>
      <c r="J189" s="189">
        <f>SUM(J190:J207)</f>
        <v>0</v>
      </c>
      <c r="K189" s="190">
        <f t="shared" si="322"/>
        <v>0</v>
      </c>
      <c r="L189" s="191">
        <f>SUM(L190:L207)</f>
        <v>0</v>
      </c>
      <c r="M189" s="189">
        <f>SUM(M190:M207)</f>
        <v>0</v>
      </c>
      <c r="N189" s="190">
        <f t="shared" si="323"/>
        <v>0</v>
      </c>
      <c r="O189" s="191">
        <f>SUM(O190:O207)</f>
        <v>0</v>
      </c>
      <c r="P189" s="189">
        <f>SUM(P190:P207)</f>
        <v>0</v>
      </c>
      <c r="Q189" s="190">
        <f t="shared" si="324"/>
        <v>0</v>
      </c>
      <c r="R189" s="191">
        <f>SUM(R190:R207)</f>
        <v>0</v>
      </c>
      <c r="S189" s="189">
        <f>SUM(S190:S207)</f>
        <v>0</v>
      </c>
      <c r="T189" s="190">
        <f t="shared" si="325"/>
        <v>0</v>
      </c>
      <c r="U189" s="191">
        <f>SUM(U190:U207)</f>
        <v>0</v>
      </c>
      <c r="V189" s="189">
        <f>SUM(V190:V207)</f>
        <v>0</v>
      </c>
      <c r="W189" s="190">
        <f t="shared" si="326"/>
        <v>0</v>
      </c>
      <c r="X189" s="191">
        <f>SUM(X190:X207)</f>
        <v>0</v>
      </c>
      <c r="Y189" s="189">
        <f>SUM(Y190:Y207)</f>
        <v>0</v>
      </c>
      <c r="Z189" s="190">
        <f t="shared" si="327"/>
        <v>0</v>
      </c>
      <c r="AA189" s="191">
        <f>SUM(AA190:AA207)</f>
        <v>0</v>
      </c>
      <c r="AB189" s="189">
        <f>SUM(AB190:AB207)</f>
        <v>0</v>
      </c>
      <c r="AC189" s="190">
        <f t="shared" si="328"/>
        <v>0</v>
      </c>
      <c r="AD189" s="191">
        <f>SUM(AD190:AD207)</f>
        <v>0</v>
      </c>
      <c r="AE189" s="189">
        <f>SUM(AE190:AE207)</f>
        <v>0</v>
      </c>
      <c r="AF189" s="190">
        <f t="shared" si="329"/>
        <v>0</v>
      </c>
      <c r="AG189" s="191">
        <f>SUM(AG190:AG207)</f>
        <v>0</v>
      </c>
      <c r="AH189" s="189">
        <f>SUM(AH190:AH207)</f>
        <v>0</v>
      </c>
      <c r="AI189" s="190">
        <f t="shared" si="330"/>
        <v>0</v>
      </c>
      <c r="AJ189" s="191">
        <f>SUM(AJ190:AJ207)</f>
        <v>0</v>
      </c>
      <c r="AK189" s="189">
        <f>SUM(AK190:AK207)</f>
        <v>0</v>
      </c>
      <c r="AL189" s="190">
        <f t="shared" si="331"/>
        <v>0</v>
      </c>
      <c r="AM189" s="191">
        <f>SUM(AM190:AM207)</f>
        <v>0</v>
      </c>
      <c r="AN189" s="189">
        <f>SUM(AN190:AN207)</f>
        <v>0</v>
      </c>
      <c r="AO189" s="190">
        <f t="shared" si="332"/>
        <v>0</v>
      </c>
      <c r="AP189" s="191">
        <f>SUM(AP190:AP207)</f>
        <v>0</v>
      </c>
      <c r="AQ189" s="189">
        <f>SUM(AQ190:AQ207)</f>
        <v>0</v>
      </c>
      <c r="AR189" s="190">
        <f t="shared" si="333"/>
        <v>0</v>
      </c>
      <c r="AS189" s="191">
        <f>SUM(AS190:AS207)</f>
        <v>0</v>
      </c>
      <c r="AT189" s="189">
        <f>SUM(AT190:AT207)</f>
        <v>0</v>
      </c>
      <c r="AU189" s="190">
        <f t="shared" si="334"/>
        <v>0</v>
      </c>
      <c r="AV189" s="191">
        <f>SUM(AV190:AV207)</f>
        <v>0</v>
      </c>
      <c r="AW189" s="189">
        <f>SUM(AW190:AW207)</f>
        <v>0</v>
      </c>
      <c r="AX189" s="190">
        <f t="shared" si="335"/>
        <v>0</v>
      </c>
      <c r="AY189" s="189">
        <f>SUM(AY190:AY207)</f>
        <v>0</v>
      </c>
      <c r="AZ189" s="189">
        <f>SUM(AZ190:AZ207)</f>
        <v>0</v>
      </c>
      <c r="BA189" s="190">
        <f t="shared" si="336"/>
        <v>0</v>
      </c>
      <c r="BB189" s="191">
        <f>SUM(BB190:BB207)</f>
        <v>0</v>
      </c>
      <c r="BC189" s="189">
        <f>SUM(BC190:BC207)</f>
        <v>0</v>
      </c>
      <c r="BD189" s="190">
        <f t="shared" si="337"/>
        <v>0</v>
      </c>
      <c r="BE189" s="191">
        <f t="shared" ref="BE189:BF189" si="348">SUM(BE190:BE207)</f>
        <v>0</v>
      </c>
      <c r="BF189" s="191">
        <f t="shared" si="348"/>
        <v>0</v>
      </c>
      <c r="BG189" s="188">
        <f t="shared" ref="BG189" si="349">SUM(BG190:BG207)</f>
        <v>0</v>
      </c>
    </row>
    <row r="190" spans="1:59" ht="13.5" hidden="1" customHeight="1" outlineLevel="1" x14ac:dyDescent="0.25">
      <c r="A190" s="28"/>
      <c r="B190" s="84" t="s">
        <v>44</v>
      </c>
      <c r="C190" s="75" t="s">
        <v>84</v>
      </c>
      <c r="D190" s="20"/>
      <c r="E190" s="20"/>
      <c r="F190" s="24"/>
      <c r="G190" s="23"/>
      <c r="H190" s="22">
        <f t="shared" si="321"/>
        <v>0</v>
      </c>
      <c r="I190" s="24"/>
      <c r="J190" s="23"/>
      <c r="K190" s="22">
        <f t="shared" si="322"/>
        <v>0</v>
      </c>
      <c r="L190" s="24"/>
      <c r="M190" s="23"/>
      <c r="N190" s="22">
        <f t="shared" si="323"/>
        <v>0</v>
      </c>
      <c r="O190" s="24">
        <f t="shared" ref="O190:P205" si="350">SUM(F190,I190,L190)</f>
        <v>0</v>
      </c>
      <c r="P190" s="23">
        <f t="shared" si="350"/>
        <v>0</v>
      </c>
      <c r="Q190" s="22">
        <f t="shared" si="324"/>
        <v>0</v>
      </c>
      <c r="R190" s="24"/>
      <c r="S190" s="23"/>
      <c r="T190" s="22">
        <f t="shared" si="325"/>
        <v>0</v>
      </c>
      <c r="U190" s="24"/>
      <c r="V190" s="23"/>
      <c r="W190" s="22">
        <f t="shared" si="326"/>
        <v>0</v>
      </c>
      <c r="X190" s="24"/>
      <c r="Y190" s="23"/>
      <c r="Z190" s="22">
        <f t="shared" si="327"/>
        <v>0</v>
      </c>
      <c r="AA190" s="24">
        <f t="shared" ref="AA190:AB205" si="351">SUM(R190,U190,X190)</f>
        <v>0</v>
      </c>
      <c r="AB190" s="23">
        <f t="shared" si="351"/>
        <v>0</v>
      </c>
      <c r="AC190" s="22">
        <f t="shared" si="328"/>
        <v>0</v>
      </c>
      <c r="AD190" s="24"/>
      <c r="AE190" s="23"/>
      <c r="AF190" s="22">
        <f t="shared" si="329"/>
        <v>0</v>
      </c>
      <c r="AG190" s="24"/>
      <c r="AH190" s="23"/>
      <c r="AI190" s="22">
        <f t="shared" si="330"/>
        <v>0</v>
      </c>
      <c r="AJ190" s="24"/>
      <c r="AK190" s="23"/>
      <c r="AL190" s="22">
        <f t="shared" si="331"/>
        <v>0</v>
      </c>
      <c r="AM190" s="24">
        <f t="shared" ref="AM190:AN205" si="352">SUM(AD190,AG190,AJ190)</f>
        <v>0</v>
      </c>
      <c r="AN190" s="23">
        <f t="shared" si="352"/>
        <v>0</v>
      </c>
      <c r="AO190" s="22">
        <f t="shared" si="332"/>
        <v>0</v>
      </c>
      <c r="AP190" s="24"/>
      <c r="AQ190" s="23"/>
      <c r="AR190" s="22">
        <f t="shared" si="333"/>
        <v>0</v>
      </c>
      <c r="AS190" s="24"/>
      <c r="AT190" s="23"/>
      <c r="AU190" s="22">
        <f t="shared" si="334"/>
        <v>0</v>
      </c>
      <c r="AV190" s="24"/>
      <c r="AW190" s="23"/>
      <c r="AX190" s="22">
        <f t="shared" si="335"/>
        <v>0</v>
      </c>
      <c r="AY190" s="23">
        <f t="shared" ref="AY190:AZ205" si="353">SUM(AP190,AS190,AV190)</f>
        <v>0</v>
      </c>
      <c r="AZ190" s="23">
        <f t="shared" si="353"/>
        <v>0</v>
      </c>
      <c r="BA190" s="22">
        <f t="shared" si="336"/>
        <v>0</v>
      </c>
      <c r="BB190" s="24">
        <f t="shared" ref="BB190:BC205" si="354">SUM(F190,I190,L190,R190,U190,X190,AD190,AG190,AJ190,AP190,AS190,AV190)</f>
        <v>0</v>
      </c>
      <c r="BC190" s="23">
        <f t="shared" si="354"/>
        <v>0</v>
      </c>
      <c r="BD190" s="22">
        <f t="shared" si="337"/>
        <v>0</v>
      </c>
      <c r="BE190" s="24"/>
      <c r="BF190" s="24"/>
      <c r="BG190" s="20">
        <f>BB190+BE190+BF190</f>
        <v>0</v>
      </c>
    </row>
    <row r="191" spans="1:59" ht="13.5" hidden="1" customHeight="1" outlineLevel="1" x14ac:dyDescent="0.25">
      <c r="A191" s="28"/>
      <c r="B191" s="84" t="s">
        <v>45</v>
      </c>
      <c r="C191" s="75" t="s">
        <v>84</v>
      </c>
      <c r="D191" s="20"/>
      <c r="E191" s="20"/>
      <c r="F191" s="24"/>
      <c r="G191" s="23"/>
      <c r="H191" s="22">
        <f t="shared" si="321"/>
        <v>0</v>
      </c>
      <c r="I191" s="24"/>
      <c r="J191" s="23"/>
      <c r="K191" s="22">
        <f t="shared" si="322"/>
        <v>0</v>
      </c>
      <c r="L191" s="24"/>
      <c r="M191" s="23"/>
      <c r="N191" s="22">
        <f t="shared" si="323"/>
        <v>0</v>
      </c>
      <c r="O191" s="24">
        <f t="shared" si="350"/>
        <v>0</v>
      </c>
      <c r="P191" s="23">
        <f t="shared" si="350"/>
        <v>0</v>
      </c>
      <c r="Q191" s="22">
        <f t="shared" si="324"/>
        <v>0</v>
      </c>
      <c r="R191" s="24"/>
      <c r="S191" s="23"/>
      <c r="T191" s="22">
        <f t="shared" si="325"/>
        <v>0</v>
      </c>
      <c r="U191" s="24"/>
      <c r="V191" s="23"/>
      <c r="W191" s="22">
        <f t="shared" si="326"/>
        <v>0</v>
      </c>
      <c r="X191" s="24"/>
      <c r="Y191" s="23"/>
      <c r="Z191" s="22">
        <f t="shared" si="327"/>
        <v>0</v>
      </c>
      <c r="AA191" s="24">
        <f t="shared" si="351"/>
        <v>0</v>
      </c>
      <c r="AB191" s="23">
        <f t="shared" si="351"/>
        <v>0</v>
      </c>
      <c r="AC191" s="22">
        <f t="shared" si="328"/>
        <v>0</v>
      </c>
      <c r="AD191" s="24"/>
      <c r="AE191" s="23"/>
      <c r="AF191" s="22">
        <f t="shared" si="329"/>
        <v>0</v>
      </c>
      <c r="AG191" s="24"/>
      <c r="AH191" s="23"/>
      <c r="AI191" s="22">
        <f t="shared" si="330"/>
        <v>0</v>
      </c>
      <c r="AJ191" s="24"/>
      <c r="AK191" s="23"/>
      <c r="AL191" s="22">
        <f t="shared" si="331"/>
        <v>0</v>
      </c>
      <c r="AM191" s="24">
        <f t="shared" si="352"/>
        <v>0</v>
      </c>
      <c r="AN191" s="23">
        <f t="shared" si="352"/>
        <v>0</v>
      </c>
      <c r="AO191" s="22">
        <f t="shared" si="332"/>
        <v>0</v>
      </c>
      <c r="AP191" s="24"/>
      <c r="AQ191" s="23"/>
      <c r="AR191" s="22">
        <f t="shared" si="333"/>
        <v>0</v>
      </c>
      <c r="AS191" s="24"/>
      <c r="AT191" s="23"/>
      <c r="AU191" s="22">
        <f t="shared" si="334"/>
        <v>0</v>
      </c>
      <c r="AV191" s="24"/>
      <c r="AW191" s="23"/>
      <c r="AX191" s="22">
        <f t="shared" si="335"/>
        <v>0</v>
      </c>
      <c r="AY191" s="23">
        <f t="shared" si="353"/>
        <v>0</v>
      </c>
      <c r="AZ191" s="23">
        <f t="shared" si="353"/>
        <v>0</v>
      </c>
      <c r="BA191" s="22">
        <f t="shared" si="336"/>
        <v>0</v>
      </c>
      <c r="BB191" s="24">
        <f t="shared" si="354"/>
        <v>0</v>
      </c>
      <c r="BC191" s="23">
        <f t="shared" si="354"/>
        <v>0</v>
      </c>
      <c r="BD191" s="22">
        <f t="shared" si="337"/>
        <v>0</v>
      </c>
      <c r="BE191" s="24"/>
      <c r="BF191" s="24"/>
      <c r="BG191" s="20">
        <f t="shared" ref="BG191:BG207" si="355">BB191+BE191+BF191</f>
        <v>0</v>
      </c>
    </row>
    <row r="192" spans="1:59" ht="13.5" hidden="1" customHeight="1" outlineLevel="1" x14ac:dyDescent="0.25">
      <c r="A192" s="28"/>
      <c r="B192" s="84" t="s">
        <v>46</v>
      </c>
      <c r="C192" s="75" t="s">
        <v>84</v>
      </c>
      <c r="D192" s="20"/>
      <c r="E192" s="20"/>
      <c r="F192" s="24"/>
      <c r="G192" s="23"/>
      <c r="H192" s="22">
        <f t="shared" si="321"/>
        <v>0</v>
      </c>
      <c r="I192" s="24"/>
      <c r="J192" s="23"/>
      <c r="K192" s="22">
        <f t="shared" si="322"/>
        <v>0</v>
      </c>
      <c r="L192" s="24"/>
      <c r="M192" s="23"/>
      <c r="N192" s="22">
        <f t="shared" si="323"/>
        <v>0</v>
      </c>
      <c r="O192" s="24">
        <f t="shared" si="350"/>
        <v>0</v>
      </c>
      <c r="P192" s="23">
        <f t="shared" si="350"/>
        <v>0</v>
      </c>
      <c r="Q192" s="22">
        <f t="shared" si="324"/>
        <v>0</v>
      </c>
      <c r="R192" s="24"/>
      <c r="S192" s="23"/>
      <c r="T192" s="22">
        <f t="shared" si="325"/>
        <v>0</v>
      </c>
      <c r="U192" s="24"/>
      <c r="V192" s="23"/>
      <c r="W192" s="22">
        <f t="shared" si="326"/>
        <v>0</v>
      </c>
      <c r="X192" s="24"/>
      <c r="Y192" s="23"/>
      <c r="Z192" s="22">
        <f t="shared" si="327"/>
        <v>0</v>
      </c>
      <c r="AA192" s="24">
        <f t="shared" si="351"/>
        <v>0</v>
      </c>
      <c r="AB192" s="23">
        <f t="shared" si="351"/>
        <v>0</v>
      </c>
      <c r="AC192" s="22">
        <f t="shared" si="328"/>
        <v>0</v>
      </c>
      <c r="AD192" s="24"/>
      <c r="AE192" s="23"/>
      <c r="AF192" s="22">
        <f t="shared" si="329"/>
        <v>0</v>
      </c>
      <c r="AG192" s="24"/>
      <c r="AH192" s="23"/>
      <c r="AI192" s="22">
        <f t="shared" si="330"/>
        <v>0</v>
      </c>
      <c r="AJ192" s="24"/>
      <c r="AK192" s="23"/>
      <c r="AL192" s="22">
        <f t="shared" si="331"/>
        <v>0</v>
      </c>
      <c r="AM192" s="24">
        <f t="shared" si="352"/>
        <v>0</v>
      </c>
      <c r="AN192" s="23">
        <f t="shared" si="352"/>
        <v>0</v>
      </c>
      <c r="AO192" s="22">
        <f t="shared" si="332"/>
        <v>0</v>
      </c>
      <c r="AP192" s="24"/>
      <c r="AQ192" s="23"/>
      <c r="AR192" s="22">
        <f t="shared" si="333"/>
        <v>0</v>
      </c>
      <c r="AS192" s="24"/>
      <c r="AT192" s="23"/>
      <c r="AU192" s="22">
        <f t="shared" si="334"/>
        <v>0</v>
      </c>
      <c r="AV192" s="24"/>
      <c r="AW192" s="23"/>
      <c r="AX192" s="22">
        <f t="shared" si="335"/>
        <v>0</v>
      </c>
      <c r="AY192" s="23">
        <f t="shared" si="353"/>
        <v>0</v>
      </c>
      <c r="AZ192" s="23">
        <f t="shared" si="353"/>
        <v>0</v>
      </c>
      <c r="BA192" s="22">
        <f t="shared" si="336"/>
        <v>0</v>
      </c>
      <c r="BB192" s="24">
        <f t="shared" si="354"/>
        <v>0</v>
      </c>
      <c r="BC192" s="23">
        <f t="shared" si="354"/>
        <v>0</v>
      </c>
      <c r="BD192" s="22">
        <f t="shared" si="337"/>
        <v>0</v>
      </c>
      <c r="BE192" s="24"/>
      <c r="BF192" s="24"/>
      <c r="BG192" s="20">
        <f t="shared" si="355"/>
        <v>0</v>
      </c>
    </row>
    <row r="193" spans="1:59" ht="13.5" hidden="1" customHeight="1" outlineLevel="1" x14ac:dyDescent="0.25">
      <c r="A193" s="28"/>
      <c r="B193" s="84" t="s">
        <v>47</v>
      </c>
      <c r="C193" s="75" t="s">
        <v>84</v>
      </c>
      <c r="D193" s="20"/>
      <c r="E193" s="20"/>
      <c r="F193" s="24"/>
      <c r="G193" s="23"/>
      <c r="H193" s="22">
        <f t="shared" si="321"/>
        <v>0</v>
      </c>
      <c r="I193" s="24"/>
      <c r="J193" s="23"/>
      <c r="K193" s="22">
        <f t="shared" si="322"/>
        <v>0</v>
      </c>
      <c r="L193" s="24"/>
      <c r="M193" s="23"/>
      <c r="N193" s="22">
        <f t="shared" si="323"/>
        <v>0</v>
      </c>
      <c r="O193" s="24">
        <f t="shared" si="350"/>
        <v>0</v>
      </c>
      <c r="P193" s="23">
        <f t="shared" si="350"/>
        <v>0</v>
      </c>
      <c r="Q193" s="22">
        <f t="shared" si="324"/>
        <v>0</v>
      </c>
      <c r="R193" s="24"/>
      <c r="S193" s="23"/>
      <c r="T193" s="22">
        <f t="shared" si="325"/>
        <v>0</v>
      </c>
      <c r="U193" s="24"/>
      <c r="V193" s="23"/>
      <c r="W193" s="22">
        <f t="shared" si="326"/>
        <v>0</v>
      </c>
      <c r="X193" s="24"/>
      <c r="Y193" s="23"/>
      <c r="Z193" s="22">
        <f t="shared" si="327"/>
        <v>0</v>
      </c>
      <c r="AA193" s="24">
        <f t="shared" si="351"/>
        <v>0</v>
      </c>
      <c r="AB193" s="23">
        <f t="shared" si="351"/>
        <v>0</v>
      </c>
      <c r="AC193" s="22">
        <f t="shared" si="328"/>
        <v>0</v>
      </c>
      <c r="AD193" s="24"/>
      <c r="AE193" s="23"/>
      <c r="AF193" s="22">
        <f t="shared" si="329"/>
        <v>0</v>
      </c>
      <c r="AG193" s="24"/>
      <c r="AH193" s="23"/>
      <c r="AI193" s="22">
        <f t="shared" si="330"/>
        <v>0</v>
      </c>
      <c r="AJ193" s="24"/>
      <c r="AK193" s="23"/>
      <c r="AL193" s="22">
        <f t="shared" si="331"/>
        <v>0</v>
      </c>
      <c r="AM193" s="24">
        <f t="shared" si="352"/>
        <v>0</v>
      </c>
      <c r="AN193" s="23">
        <f t="shared" si="352"/>
        <v>0</v>
      </c>
      <c r="AO193" s="22">
        <f t="shared" si="332"/>
        <v>0</v>
      </c>
      <c r="AP193" s="24"/>
      <c r="AQ193" s="23"/>
      <c r="AR193" s="22">
        <f t="shared" si="333"/>
        <v>0</v>
      </c>
      <c r="AS193" s="24"/>
      <c r="AT193" s="23"/>
      <c r="AU193" s="22">
        <f t="shared" si="334"/>
        <v>0</v>
      </c>
      <c r="AV193" s="24"/>
      <c r="AW193" s="23"/>
      <c r="AX193" s="22">
        <f t="shared" si="335"/>
        <v>0</v>
      </c>
      <c r="AY193" s="23">
        <f t="shared" si="353"/>
        <v>0</v>
      </c>
      <c r="AZ193" s="23">
        <f t="shared" si="353"/>
        <v>0</v>
      </c>
      <c r="BA193" s="22">
        <f t="shared" si="336"/>
        <v>0</v>
      </c>
      <c r="BB193" s="24">
        <f t="shared" si="354"/>
        <v>0</v>
      </c>
      <c r="BC193" s="23">
        <f t="shared" si="354"/>
        <v>0</v>
      </c>
      <c r="BD193" s="22">
        <f t="shared" si="337"/>
        <v>0</v>
      </c>
      <c r="BE193" s="24"/>
      <c r="BF193" s="24"/>
      <c r="BG193" s="20">
        <f t="shared" si="355"/>
        <v>0</v>
      </c>
    </row>
    <row r="194" spans="1:59" ht="13.5" hidden="1" customHeight="1" outlineLevel="1" x14ac:dyDescent="0.25">
      <c r="A194" s="28"/>
      <c r="B194" s="84" t="s">
        <v>48</v>
      </c>
      <c r="C194" s="75" t="s">
        <v>84</v>
      </c>
      <c r="D194" s="20"/>
      <c r="E194" s="20"/>
      <c r="F194" s="24"/>
      <c r="G194" s="23"/>
      <c r="H194" s="22">
        <f t="shared" ref="H194:H209" si="356">G194-F194</f>
        <v>0</v>
      </c>
      <c r="I194" s="24"/>
      <c r="J194" s="23"/>
      <c r="K194" s="22">
        <f t="shared" ref="K194:K209" si="357">J194-I194</f>
        <v>0</v>
      </c>
      <c r="L194" s="24"/>
      <c r="M194" s="23"/>
      <c r="N194" s="22">
        <f t="shared" ref="N194:N209" si="358">M194-L194</f>
        <v>0</v>
      </c>
      <c r="O194" s="24">
        <f t="shared" si="350"/>
        <v>0</v>
      </c>
      <c r="P194" s="23">
        <f t="shared" si="350"/>
        <v>0</v>
      </c>
      <c r="Q194" s="22">
        <f t="shared" ref="Q194:Q209" si="359">P194-O194</f>
        <v>0</v>
      </c>
      <c r="R194" s="24"/>
      <c r="S194" s="23"/>
      <c r="T194" s="22">
        <f t="shared" ref="T194:T209" si="360">S194-R194</f>
        <v>0</v>
      </c>
      <c r="U194" s="24"/>
      <c r="V194" s="23"/>
      <c r="W194" s="22">
        <f t="shared" ref="W194:W209" si="361">V194-U194</f>
        <v>0</v>
      </c>
      <c r="X194" s="24"/>
      <c r="Y194" s="23"/>
      <c r="Z194" s="22">
        <f t="shared" ref="Z194:Z209" si="362">Y194-X194</f>
        <v>0</v>
      </c>
      <c r="AA194" s="24">
        <f t="shared" si="351"/>
        <v>0</v>
      </c>
      <c r="AB194" s="23">
        <f t="shared" si="351"/>
        <v>0</v>
      </c>
      <c r="AC194" s="22">
        <f t="shared" ref="AC194:AC209" si="363">AB194-AA194</f>
        <v>0</v>
      </c>
      <c r="AD194" s="24"/>
      <c r="AE194" s="23"/>
      <c r="AF194" s="22">
        <f t="shared" ref="AF194:AF209" si="364">AE194-AD194</f>
        <v>0</v>
      </c>
      <c r="AG194" s="24"/>
      <c r="AH194" s="23"/>
      <c r="AI194" s="22">
        <f t="shared" ref="AI194:AI209" si="365">AH194-AG194</f>
        <v>0</v>
      </c>
      <c r="AJ194" s="24"/>
      <c r="AK194" s="23"/>
      <c r="AL194" s="22">
        <f t="shared" ref="AL194:AL209" si="366">AK194-AJ194</f>
        <v>0</v>
      </c>
      <c r="AM194" s="24">
        <f t="shared" si="352"/>
        <v>0</v>
      </c>
      <c r="AN194" s="23">
        <f t="shared" si="352"/>
        <v>0</v>
      </c>
      <c r="AO194" s="22">
        <f t="shared" ref="AO194:AO209" si="367">AN194-AM194</f>
        <v>0</v>
      </c>
      <c r="AP194" s="24"/>
      <c r="AQ194" s="23"/>
      <c r="AR194" s="22">
        <f t="shared" ref="AR194:AR209" si="368">AQ194-AP194</f>
        <v>0</v>
      </c>
      <c r="AS194" s="24"/>
      <c r="AT194" s="23"/>
      <c r="AU194" s="22">
        <f t="shared" ref="AU194:AU209" si="369">AT194-AS194</f>
        <v>0</v>
      </c>
      <c r="AV194" s="24"/>
      <c r="AW194" s="23"/>
      <c r="AX194" s="22">
        <f t="shared" ref="AX194:AX209" si="370">AW194-AV194</f>
        <v>0</v>
      </c>
      <c r="AY194" s="23">
        <f t="shared" si="353"/>
        <v>0</v>
      </c>
      <c r="AZ194" s="23">
        <f t="shared" si="353"/>
        <v>0</v>
      </c>
      <c r="BA194" s="22">
        <f t="shared" ref="BA194:BA209" si="371">AZ194-AY194</f>
        <v>0</v>
      </c>
      <c r="BB194" s="24">
        <f t="shared" si="354"/>
        <v>0</v>
      </c>
      <c r="BC194" s="23">
        <f t="shared" si="354"/>
        <v>0</v>
      </c>
      <c r="BD194" s="22">
        <f t="shared" ref="BD194:BD209" si="372">BC194-BB194</f>
        <v>0</v>
      </c>
      <c r="BE194" s="24"/>
      <c r="BF194" s="24"/>
      <c r="BG194" s="20">
        <f t="shared" si="355"/>
        <v>0</v>
      </c>
    </row>
    <row r="195" spans="1:59" ht="13.5" hidden="1" customHeight="1" outlineLevel="1" x14ac:dyDescent="0.25">
      <c r="A195" s="28"/>
      <c r="B195" s="84" t="s">
        <v>49</v>
      </c>
      <c r="C195" s="75" t="s">
        <v>84</v>
      </c>
      <c r="D195" s="20"/>
      <c r="E195" s="20"/>
      <c r="F195" s="24"/>
      <c r="G195" s="23"/>
      <c r="H195" s="22">
        <f t="shared" si="356"/>
        <v>0</v>
      </c>
      <c r="I195" s="24"/>
      <c r="J195" s="23"/>
      <c r="K195" s="22">
        <f t="shared" si="357"/>
        <v>0</v>
      </c>
      <c r="L195" s="24"/>
      <c r="M195" s="23"/>
      <c r="N195" s="22">
        <f t="shared" si="358"/>
        <v>0</v>
      </c>
      <c r="O195" s="24">
        <f t="shared" si="350"/>
        <v>0</v>
      </c>
      <c r="P195" s="23">
        <f t="shared" si="350"/>
        <v>0</v>
      </c>
      <c r="Q195" s="22">
        <f t="shared" si="359"/>
        <v>0</v>
      </c>
      <c r="R195" s="24"/>
      <c r="S195" s="23"/>
      <c r="T195" s="22">
        <f t="shared" si="360"/>
        <v>0</v>
      </c>
      <c r="U195" s="24"/>
      <c r="V195" s="23"/>
      <c r="W195" s="22">
        <f t="shared" si="361"/>
        <v>0</v>
      </c>
      <c r="X195" s="24"/>
      <c r="Y195" s="23"/>
      <c r="Z195" s="22">
        <f t="shared" si="362"/>
        <v>0</v>
      </c>
      <c r="AA195" s="24">
        <f t="shared" si="351"/>
        <v>0</v>
      </c>
      <c r="AB195" s="23">
        <f t="shared" si="351"/>
        <v>0</v>
      </c>
      <c r="AC195" s="22">
        <f t="shared" si="363"/>
        <v>0</v>
      </c>
      <c r="AD195" s="24"/>
      <c r="AE195" s="23"/>
      <c r="AF195" s="22">
        <f t="shared" si="364"/>
        <v>0</v>
      </c>
      <c r="AG195" s="24"/>
      <c r="AH195" s="23"/>
      <c r="AI195" s="22">
        <f t="shared" si="365"/>
        <v>0</v>
      </c>
      <c r="AJ195" s="24"/>
      <c r="AK195" s="23"/>
      <c r="AL195" s="22">
        <f t="shared" si="366"/>
        <v>0</v>
      </c>
      <c r="AM195" s="24">
        <f t="shared" si="352"/>
        <v>0</v>
      </c>
      <c r="AN195" s="23">
        <f t="shared" si="352"/>
        <v>0</v>
      </c>
      <c r="AO195" s="22">
        <f t="shared" si="367"/>
        <v>0</v>
      </c>
      <c r="AP195" s="24"/>
      <c r="AQ195" s="23"/>
      <c r="AR195" s="22">
        <f t="shared" si="368"/>
        <v>0</v>
      </c>
      <c r="AS195" s="24"/>
      <c r="AT195" s="23"/>
      <c r="AU195" s="22">
        <f t="shared" si="369"/>
        <v>0</v>
      </c>
      <c r="AV195" s="24"/>
      <c r="AW195" s="23"/>
      <c r="AX195" s="22">
        <f t="shared" si="370"/>
        <v>0</v>
      </c>
      <c r="AY195" s="23">
        <f t="shared" si="353"/>
        <v>0</v>
      </c>
      <c r="AZ195" s="23">
        <f t="shared" si="353"/>
        <v>0</v>
      </c>
      <c r="BA195" s="22">
        <f t="shared" si="371"/>
        <v>0</v>
      </c>
      <c r="BB195" s="24">
        <f t="shared" si="354"/>
        <v>0</v>
      </c>
      <c r="BC195" s="23">
        <f t="shared" si="354"/>
        <v>0</v>
      </c>
      <c r="BD195" s="22">
        <f t="shared" si="372"/>
        <v>0</v>
      </c>
      <c r="BE195" s="24"/>
      <c r="BF195" s="24"/>
      <c r="BG195" s="20">
        <f t="shared" si="355"/>
        <v>0</v>
      </c>
    </row>
    <row r="196" spans="1:59" ht="13.5" hidden="1" customHeight="1" outlineLevel="1" x14ac:dyDescent="0.25">
      <c r="A196" s="28"/>
      <c r="B196" s="84" t="s">
        <v>50</v>
      </c>
      <c r="C196" s="75" t="s">
        <v>84</v>
      </c>
      <c r="D196" s="20"/>
      <c r="E196" s="20"/>
      <c r="F196" s="24"/>
      <c r="G196" s="23"/>
      <c r="H196" s="22">
        <f t="shared" si="356"/>
        <v>0</v>
      </c>
      <c r="I196" s="24"/>
      <c r="J196" s="23"/>
      <c r="K196" s="22">
        <f t="shared" si="357"/>
        <v>0</v>
      </c>
      <c r="L196" s="24"/>
      <c r="M196" s="23"/>
      <c r="N196" s="22">
        <f t="shared" si="358"/>
        <v>0</v>
      </c>
      <c r="O196" s="24">
        <f t="shared" si="350"/>
        <v>0</v>
      </c>
      <c r="P196" s="23">
        <f t="shared" si="350"/>
        <v>0</v>
      </c>
      <c r="Q196" s="22">
        <f t="shared" si="359"/>
        <v>0</v>
      </c>
      <c r="R196" s="24"/>
      <c r="S196" s="23"/>
      <c r="T196" s="22">
        <f t="shared" si="360"/>
        <v>0</v>
      </c>
      <c r="U196" s="24"/>
      <c r="V196" s="23"/>
      <c r="W196" s="22">
        <f t="shared" si="361"/>
        <v>0</v>
      </c>
      <c r="X196" s="24"/>
      <c r="Y196" s="23"/>
      <c r="Z196" s="22">
        <f t="shared" si="362"/>
        <v>0</v>
      </c>
      <c r="AA196" s="24">
        <f t="shared" si="351"/>
        <v>0</v>
      </c>
      <c r="AB196" s="23">
        <f t="shared" si="351"/>
        <v>0</v>
      </c>
      <c r="AC196" s="22">
        <f t="shared" si="363"/>
        <v>0</v>
      </c>
      <c r="AD196" s="24"/>
      <c r="AE196" s="23"/>
      <c r="AF196" s="22">
        <f t="shared" si="364"/>
        <v>0</v>
      </c>
      <c r="AG196" s="24"/>
      <c r="AH196" s="23"/>
      <c r="AI196" s="22">
        <f t="shared" si="365"/>
        <v>0</v>
      </c>
      <c r="AJ196" s="24"/>
      <c r="AK196" s="23"/>
      <c r="AL196" s="22">
        <f t="shared" si="366"/>
        <v>0</v>
      </c>
      <c r="AM196" s="24">
        <f t="shared" si="352"/>
        <v>0</v>
      </c>
      <c r="AN196" s="23">
        <f t="shared" si="352"/>
        <v>0</v>
      </c>
      <c r="AO196" s="22">
        <f t="shared" si="367"/>
        <v>0</v>
      </c>
      <c r="AP196" s="24"/>
      <c r="AQ196" s="23"/>
      <c r="AR196" s="22">
        <f t="shared" si="368"/>
        <v>0</v>
      </c>
      <c r="AS196" s="24"/>
      <c r="AT196" s="23"/>
      <c r="AU196" s="22">
        <f t="shared" si="369"/>
        <v>0</v>
      </c>
      <c r="AV196" s="24"/>
      <c r="AW196" s="23"/>
      <c r="AX196" s="22">
        <f t="shared" si="370"/>
        <v>0</v>
      </c>
      <c r="AY196" s="23">
        <f t="shared" si="353"/>
        <v>0</v>
      </c>
      <c r="AZ196" s="23">
        <f t="shared" si="353"/>
        <v>0</v>
      </c>
      <c r="BA196" s="22">
        <f t="shared" si="371"/>
        <v>0</v>
      </c>
      <c r="BB196" s="24">
        <f t="shared" si="354"/>
        <v>0</v>
      </c>
      <c r="BC196" s="23">
        <f t="shared" si="354"/>
        <v>0</v>
      </c>
      <c r="BD196" s="22">
        <f t="shared" si="372"/>
        <v>0</v>
      </c>
      <c r="BE196" s="24"/>
      <c r="BF196" s="24"/>
      <c r="BG196" s="20">
        <f t="shared" si="355"/>
        <v>0</v>
      </c>
    </row>
    <row r="197" spans="1:59" ht="13.5" hidden="1" customHeight="1" outlineLevel="1" x14ac:dyDescent="0.25">
      <c r="A197" s="28"/>
      <c r="B197" s="84" t="s">
        <v>51</v>
      </c>
      <c r="C197" s="75" t="s">
        <v>84</v>
      </c>
      <c r="D197" s="20"/>
      <c r="E197" s="20"/>
      <c r="F197" s="24"/>
      <c r="G197" s="23"/>
      <c r="H197" s="22">
        <f t="shared" si="356"/>
        <v>0</v>
      </c>
      <c r="I197" s="24"/>
      <c r="J197" s="23"/>
      <c r="K197" s="22">
        <f t="shared" si="357"/>
        <v>0</v>
      </c>
      <c r="L197" s="24"/>
      <c r="M197" s="23"/>
      <c r="N197" s="22">
        <f t="shared" si="358"/>
        <v>0</v>
      </c>
      <c r="O197" s="24">
        <f t="shared" si="350"/>
        <v>0</v>
      </c>
      <c r="P197" s="23">
        <f t="shared" si="350"/>
        <v>0</v>
      </c>
      <c r="Q197" s="22">
        <f t="shared" si="359"/>
        <v>0</v>
      </c>
      <c r="R197" s="24"/>
      <c r="S197" s="23"/>
      <c r="T197" s="22">
        <f t="shared" si="360"/>
        <v>0</v>
      </c>
      <c r="U197" s="24"/>
      <c r="V197" s="23"/>
      <c r="W197" s="22">
        <f t="shared" si="361"/>
        <v>0</v>
      </c>
      <c r="X197" s="24"/>
      <c r="Y197" s="23"/>
      <c r="Z197" s="22">
        <f t="shared" si="362"/>
        <v>0</v>
      </c>
      <c r="AA197" s="24">
        <f t="shared" si="351"/>
        <v>0</v>
      </c>
      <c r="AB197" s="23">
        <f t="shared" si="351"/>
        <v>0</v>
      </c>
      <c r="AC197" s="22">
        <f t="shared" si="363"/>
        <v>0</v>
      </c>
      <c r="AD197" s="24"/>
      <c r="AE197" s="23"/>
      <c r="AF197" s="22">
        <f t="shared" si="364"/>
        <v>0</v>
      </c>
      <c r="AG197" s="24"/>
      <c r="AH197" s="23"/>
      <c r="AI197" s="22">
        <f t="shared" si="365"/>
        <v>0</v>
      </c>
      <c r="AJ197" s="24"/>
      <c r="AK197" s="23"/>
      <c r="AL197" s="22">
        <f t="shared" si="366"/>
        <v>0</v>
      </c>
      <c r="AM197" s="24">
        <f t="shared" si="352"/>
        <v>0</v>
      </c>
      <c r="AN197" s="23">
        <f t="shared" si="352"/>
        <v>0</v>
      </c>
      <c r="AO197" s="22">
        <f t="shared" si="367"/>
        <v>0</v>
      </c>
      <c r="AP197" s="24"/>
      <c r="AQ197" s="23"/>
      <c r="AR197" s="22">
        <f t="shared" si="368"/>
        <v>0</v>
      </c>
      <c r="AS197" s="24"/>
      <c r="AT197" s="23"/>
      <c r="AU197" s="22">
        <f t="shared" si="369"/>
        <v>0</v>
      </c>
      <c r="AV197" s="24"/>
      <c r="AW197" s="23"/>
      <c r="AX197" s="22">
        <f t="shared" si="370"/>
        <v>0</v>
      </c>
      <c r="AY197" s="23">
        <f t="shared" si="353"/>
        <v>0</v>
      </c>
      <c r="AZ197" s="23">
        <f t="shared" si="353"/>
        <v>0</v>
      </c>
      <c r="BA197" s="22">
        <f t="shared" si="371"/>
        <v>0</v>
      </c>
      <c r="BB197" s="24">
        <f t="shared" si="354"/>
        <v>0</v>
      </c>
      <c r="BC197" s="23">
        <f t="shared" si="354"/>
        <v>0</v>
      </c>
      <c r="BD197" s="22">
        <f t="shared" si="372"/>
        <v>0</v>
      </c>
      <c r="BE197" s="24"/>
      <c r="BF197" s="24"/>
      <c r="BG197" s="20">
        <f t="shared" si="355"/>
        <v>0</v>
      </c>
    </row>
    <row r="198" spans="1:59" ht="13.5" hidden="1" customHeight="1" outlineLevel="1" x14ac:dyDescent="0.25">
      <c r="A198" s="28"/>
      <c r="B198" s="84" t="s">
        <v>52</v>
      </c>
      <c r="C198" s="75" t="s">
        <v>84</v>
      </c>
      <c r="D198" s="20"/>
      <c r="E198" s="20"/>
      <c r="F198" s="24"/>
      <c r="G198" s="23"/>
      <c r="H198" s="22">
        <f t="shared" si="356"/>
        <v>0</v>
      </c>
      <c r="I198" s="24"/>
      <c r="J198" s="23"/>
      <c r="K198" s="22">
        <f t="shared" si="357"/>
        <v>0</v>
      </c>
      <c r="L198" s="24"/>
      <c r="M198" s="23"/>
      <c r="N198" s="22">
        <f t="shared" si="358"/>
        <v>0</v>
      </c>
      <c r="O198" s="24">
        <f t="shared" si="350"/>
        <v>0</v>
      </c>
      <c r="P198" s="23">
        <f t="shared" si="350"/>
        <v>0</v>
      </c>
      <c r="Q198" s="22">
        <f t="shared" si="359"/>
        <v>0</v>
      </c>
      <c r="R198" s="24"/>
      <c r="S198" s="23"/>
      <c r="T198" s="22">
        <f t="shared" si="360"/>
        <v>0</v>
      </c>
      <c r="U198" s="24"/>
      <c r="V198" s="23"/>
      <c r="W198" s="22">
        <f t="shared" si="361"/>
        <v>0</v>
      </c>
      <c r="X198" s="24"/>
      <c r="Y198" s="23"/>
      <c r="Z198" s="22">
        <f t="shared" si="362"/>
        <v>0</v>
      </c>
      <c r="AA198" s="24">
        <f t="shared" si="351"/>
        <v>0</v>
      </c>
      <c r="AB198" s="23">
        <f t="shared" si="351"/>
        <v>0</v>
      </c>
      <c r="AC198" s="22">
        <f t="shared" si="363"/>
        <v>0</v>
      </c>
      <c r="AD198" s="24"/>
      <c r="AE198" s="23"/>
      <c r="AF198" s="22">
        <f t="shared" si="364"/>
        <v>0</v>
      </c>
      <c r="AG198" s="24"/>
      <c r="AH198" s="23"/>
      <c r="AI198" s="22">
        <f t="shared" si="365"/>
        <v>0</v>
      </c>
      <c r="AJ198" s="24"/>
      <c r="AK198" s="23"/>
      <c r="AL198" s="22">
        <f t="shared" si="366"/>
        <v>0</v>
      </c>
      <c r="AM198" s="24">
        <f t="shared" si="352"/>
        <v>0</v>
      </c>
      <c r="AN198" s="23">
        <f t="shared" si="352"/>
        <v>0</v>
      </c>
      <c r="AO198" s="22">
        <f t="shared" si="367"/>
        <v>0</v>
      </c>
      <c r="AP198" s="24"/>
      <c r="AQ198" s="23"/>
      <c r="AR198" s="22">
        <f t="shared" si="368"/>
        <v>0</v>
      </c>
      <c r="AS198" s="24"/>
      <c r="AT198" s="23"/>
      <c r="AU198" s="22">
        <f t="shared" si="369"/>
        <v>0</v>
      </c>
      <c r="AV198" s="24"/>
      <c r="AW198" s="23"/>
      <c r="AX198" s="22">
        <f t="shared" si="370"/>
        <v>0</v>
      </c>
      <c r="AY198" s="23">
        <f t="shared" si="353"/>
        <v>0</v>
      </c>
      <c r="AZ198" s="23">
        <f t="shared" si="353"/>
        <v>0</v>
      </c>
      <c r="BA198" s="22">
        <f t="shared" si="371"/>
        <v>0</v>
      </c>
      <c r="BB198" s="24">
        <f t="shared" si="354"/>
        <v>0</v>
      </c>
      <c r="BC198" s="23">
        <f t="shared" si="354"/>
        <v>0</v>
      </c>
      <c r="BD198" s="22">
        <f t="shared" si="372"/>
        <v>0</v>
      </c>
      <c r="BE198" s="24"/>
      <c r="BF198" s="24"/>
      <c r="BG198" s="20">
        <f t="shared" si="355"/>
        <v>0</v>
      </c>
    </row>
    <row r="199" spans="1:59" ht="13.5" hidden="1" customHeight="1" outlineLevel="1" x14ac:dyDescent="0.25">
      <c r="A199" s="28"/>
      <c r="B199" s="84" t="s">
        <v>53</v>
      </c>
      <c r="C199" s="75" t="s">
        <v>84</v>
      </c>
      <c r="D199" s="20"/>
      <c r="E199" s="20"/>
      <c r="F199" s="24"/>
      <c r="G199" s="23"/>
      <c r="H199" s="22">
        <f t="shared" si="356"/>
        <v>0</v>
      </c>
      <c r="I199" s="24"/>
      <c r="J199" s="23"/>
      <c r="K199" s="22">
        <f t="shared" si="357"/>
        <v>0</v>
      </c>
      <c r="L199" s="24"/>
      <c r="M199" s="23"/>
      <c r="N199" s="22">
        <f t="shared" si="358"/>
        <v>0</v>
      </c>
      <c r="O199" s="24">
        <f t="shared" si="350"/>
        <v>0</v>
      </c>
      <c r="P199" s="23">
        <f t="shared" si="350"/>
        <v>0</v>
      </c>
      <c r="Q199" s="22">
        <f t="shared" si="359"/>
        <v>0</v>
      </c>
      <c r="R199" s="24"/>
      <c r="S199" s="23"/>
      <c r="T199" s="22">
        <f t="shared" si="360"/>
        <v>0</v>
      </c>
      <c r="U199" s="24"/>
      <c r="V199" s="23"/>
      <c r="W199" s="22">
        <f t="shared" si="361"/>
        <v>0</v>
      </c>
      <c r="X199" s="24"/>
      <c r="Y199" s="23"/>
      <c r="Z199" s="22">
        <f t="shared" si="362"/>
        <v>0</v>
      </c>
      <c r="AA199" s="24">
        <f t="shared" si="351"/>
        <v>0</v>
      </c>
      <c r="AB199" s="23">
        <f t="shared" si="351"/>
        <v>0</v>
      </c>
      <c r="AC199" s="22">
        <f t="shared" si="363"/>
        <v>0</v>
      </c>
      <c r="AD199" s="24"/>
      <c r="AE199" s="23"/>
      <c r="AF199" s="22">
        <f t="shared" si="364"/>
        <v>0</v>
      </c>
      <c r="AG199" s="24"/>
      <c r="AH199" s="23"/>
      <c r="AI199" s="22">
        <f t="shared" si="365"/>
        <v>0</v>
      </c>
      <c r="AJ199" s="24"/>
      <c r="AK199" s="23"/>
      <c r="AL199" s="22">
        <f t="shared" si="366"/>
        <v>0</v>
      </c>
      <c r="AM199" s="24">
        <f t="shared" si="352"/>
        <v>0</v>
      </c>
      <c r="AN199" s="23">
        <f t="shared" si="352"/>
        <v>0</v>
      </c>
      <c r="AO199" s="22">
        <f t="shared" si="367"/>
        <v>0</v>
      </c>
      <c r="AP199" s="24"/>
      <c r="AQ199" s="23"/>
      <c r="AR199" s="22">
        <f t="shared" si="368"/>
        <v>0</v>
      </c>
      <c r="AS199" s="24"/>
      <c r="AT199" s="23"/>
      <c r="AU199" s="22">
        <f t="shared" si="369"/>
        <v>0</v>
      </c>
      <c r="AV199" s="24"/>
      <c r="AW199" s="23"/>
      <c r="AX199" s="22">
        <f t="shared" si="370"/>
        <v>0</v>
      </c>
      <c r="AY199" s="23">
        <f t="shared" si="353"/>
        <v>0</v>
      </c>
      <c r="AZ199" s="23">
        <f t="shared" si="353"/>
        <v>0</v>
      </c>
      <c r="BA199" s="22">
        <f t="shared" si="371"/>
        <v>0</v>
      </c>
      <c r="BB199" s="24">
        <f t="shared" si="354"/>
        <v>0</v>
      </c>
      <c r="BC199" s="23">
        <f t="shared" si="354"/>
        <v>0</v>
      </c>
      <c r="BD199" s="22">
        <f t="shared" si="372"/>
        <v>0</v>
      </c>
      <c r="BE199" s="24"/>
      <c r="BF199" s="24"/>
      <c r="BG199" s="20">
        <f t="shared" si="355"/>
        <v>0</v>
      </c>
    </row>
    <row r="200" spans="1:59" ht="13.5" hidden="1" customHeight="1" outlineLevel="1" x14ac:dyDescent="0.25">
      <c r="A200" s="28"/>
      <c r="B200" s="84" t="s">
        <v>54</v>
      </c>
      <c r="C200" s="75" t="s">
        <v>84</v>
      </c>
      <c r="D200" s="20"/>
      <c r="E200" s="20"/>
      <c r="F200" s="24"/>
      <c r="G200" s="23"/>
      <c r="H200" s="22">
        <f t="shared" si="356"/>
        <v>0</v>
      </c>
      <c r="I200" s="24"/>
      <c r="J200" s="23"/>
      <c r="K200" s="22">
        <f t="shared" si="357"/>
        <v>0</v>
      </c>
      <c r="L200" s="24"/>
      <c r="M200" s="23"/>
      <c r="N200" s="22">
        <f t="shared" si="358"/>
        <v>0</v>
      </c>
      <c r="O200" s="24">
        <f t="shared" si="350"/>
        <v>0</v>
      </c>
      <c r="P200" s="23">
        <f t="shared" si="350"/>
        <v>0</v>
      </c>
      <c r="Q200" s="22">
        <f t="shared" si="359"/>
        <v>0</v>
      </c>
      <c r="R200" s="24"/>
      <c r="S200" s="23"/>
      <c r="T200" s="22">
        <f t="shared" si="360"/>
        <v>0</v>
      </c>
      <c r="U200" s="24"/>
      <c r="V200" s="23"/>
      <c r="W200" s="22">
        <f t="shared" si="361"/>
        <v>0</v>
      </c>
      <c r="X200" s="24"/>
      <c r="Y200" s="23"/>
      <c r="Z200" s="22">
        <f t="shared" si="362"/>
        <v>0</v>
      </c>
      <c r="AA200" s="24">
        <f t="shared" si="351"/>
        <v>0</v>
      </c>
      <c r="AB200" s="23">
        <f t="shared" si="351"/>
        <v>0</v>
      </c>
      <c r="AC200" s="22">
        <f t="shared" si="363"/>
        <v>0</v>
      </c>
      <c r="AD200" s="24"/>
      <c r="AE200" s="23"/>
      <c r="AF200" s="22">
        <f t="shared" si="364"/>
        <v>0</v>
      </c>
      <c r="AG200" s="24"/>
      <c r="AH200" s="23"/>
      <c r="AI200" s="22">
        <f t="shared" si="365"/>
        <v>0</v>
      </c>
      <c r="AJ200" s="24"/>
      <c r="AK200" s="23"/>
      <c r="AL200" s="22">
        <f t="shared" si="366"/>
        <v>0</v>
      </c>
      <c r="AM200" s="24">
        <f t="shared" si="352"/>
        <v>0</v>
      </c>
      <c r="AN200" s="23">
        <f t="shared" si="352"/>
        <v>0</v>
      </c>
      <c r="AO200" s="22">
        <f t="shared" si="367"/>
        <v>0</v>
      </c>
      <c r="AP200" s="24"/>
      <c r="AQ200" s="23"/>
      <c r="AR200" s="22">
        <f t="shared" si="368"/>
        <v>0</v>
      </c>
      <c r="AS200" s="24"/>
      <c r="AT200" s="23"/>
      <c r="AU200" s="22">
        <f t="shared" si="369"/>
        <v>0</v>
      </c>
      <c r="AV200" s="24"/>
      <c r="AW200" s="23"/>
      <c r="AX200" s="22">
        <f t="shared" si="370"/>
        <v>0</v>
      </c>
      <c r="AY200" s="23">
        <f t="shared" si="353"/>
        <v>0</v>
      </c>
      <c r="AZ200" s="23">
        <f t="shared" si="353"/>
        <v>0</v>
      </c>
      <c r="BA200" s="22">
        <f t="shared" si="371"/>
        <v>0</v>
      </c>
      <c r="BB200" s="24">
        <f t="shared" si="354"/>
        <v>0</v>
      </c>
      <c r="BC200" s="23">
        <f t="shared" si="354"/>
        <v>0</v>
      </c>
      <c r="BD200" s="22">
        <f t="shared" si="372"/>
        <v>0</v>
      </c>
      <c r="BE200" s="24"/>
      <c r="BF200" s="24"/>
      <c r="BG200" s="20">
        <f t="shared" si="355"/>
        <v>0</v>
      </c>
    </row>
    <row r="201" spans="1:59" ht="13.5" hidden="1" customHeight="1" outlineLevel="1" x14ac:dyDescent="0.25">
      <c r="A201" s="82"/>
      <c r="B201" s="84" t="s">
        <v>55</v>
      </c>
      <c r="C201" s="74" t="s">
        <v>84</v>
      </c>
      <c r="D201" s="20"/>
      <c r="E201" s="20"/>
      <c r="F201" s="24"/>
      <c r="G201" s="23"/>
      <c r="H201" s="22">
        <f t="shared" si="356"/>
        <v>0</v>
      </c>
      <c r="I201" s="24"/>
      <c r="J201" s="23"/>
      <c r="K201" s="22">
        <f t="shared" si="357"/>
        <v>0</v>
      </c>
      <c r="L201" s="24"/>
      <c r="M201" s="23"/>
      <c r="N201" s="22">
        <f t="shared" si="358"/>
        <v>0</v>
      </c>
      <c r="O201" s="24">
        <f t="shared" si="350"/>
        <v>0</v>
      </c>
      <c r="P201" s="23">
        <f t="shared" si="350"/>
        <v>0</v>
      </c>
      <c r="Q201" s="22">
        <f t="shared" si="359"/>
        <v>0</v>
      </c>
      <c r="R201" s="24"/>
      <c r="S201" s="23"/>
      <c r="T201" s="22">
        <f t="shared" si="360"/>
        <v>0</v>
      </c>
      <c r="U201" s="24"/>
      <c r="V201" s="23"/>
      <c r="W201" s="22">
        <f t="shared" si="361"/>
        <v>0</v>
      </c>
      <c r="X201" s="24"/>
      <c r="Y201" s="23"/>
      <c r="Z201" s="22">
        <f t="shared" si="362"/>
        <v>0</v>
      </c>
      <c r="AA201" s="24">
        <f t="shared" si="351"/>
        <v>0</v>
      </c>
      <c r="AB201" s="23">
        <f t="shared" si="351"/>
        <v>0</v>
      </c>
      <c r="AC201" s="22">
        <f t="shared" si="363"/>
        <v>0</v>
      </c>
      <c r="AD201" s="24"/>
      <c r="AE201" s="23"/>
      <c r="AF201" s="22">
        <f t="shared" si="364"/>
        <v>0</v>
      </c>
      <c r="AG201" s="24"/>
      <c r="AH201" s="23"/>
      <c r="AI201" s="22">
        <f t="shared" si="365"/>
        <v>0</v>
      </c>
      <c r="AJ201" s="24"/>
      <c r="AK201" s="23"/>
      <c r="AL201" s="22">
        <f t="shared" si="366"/>
        <v>0</v>
      </c>
      <c r="AM201" s="24">
        <f t="shared" si="352"/>
        <v>0</v>
      </c>
      <c r="AN201" s="23">
        <f t="shared" si="352"/>
        <v>0</v>
      </c>
      <c r="AO201" s="22">
        <f t="shared" si="367"/>
        <v>0</v>
      </c>
      <c r="AP201" s="24"/>
      <c r="AQ201" s="23"/>
      <c r="AR201" s="22">
        <f t="shared" si="368"/>
        <v>0</v>
      </c>
      <c r="AS201" s="24"/>
      <c r="AT201" s="23"/>
      <c r="AU201" s="22">
        <f t="shared" si="369"/>
        <v>0</v>
      </c>
      <c r="AV201" s="24"/>
      <c r="AW201" s="23"/>
      <c r="AX201" s="22">
        <f t="shared" si="370"/>
        <v>0</v>
      </c>
      <c r="AY201" s="23">
        <f t="shared" si="353"/>
        <v>0</v>
      </c>
      <c r="AZ201" s="23">
        <f t="shared" si="353"/>
        <v>0</v>
      </c>
      <c r="BA201" s="22">
        <f t="shared" si="371"/>
        <v>0</v>
      </c>
      <c r="BB201" s="24">
        <f t="shared" si="354"/>
        <v>0</v>
      </c>
      <c r="BC201" s="23">
        <f t="shared" si="354"/>
        <v>0</v>
      </c>
      <c r="BD201" s="22">
        <f t="shared" si="372"/>
        <v>0</v>
      </c>
      <c r="BE201" s="24"/>
      <c r="BF201" s="24"/>
      <c r="BG201" s="20">
        <f t="shared" si="355"/>
        <v>0</v>
      </c>
    </row>
    <row r="202" spans="1:59" ht="13.5" hidden="1" customHeight="1" outlineLevel="1" x14ac:dyDescent="0.25">
      <c r="A202" s="82"/>
      <c r="B202" s="99" t="s">
        <v>56</v>
      </c>
      <c r="C202" s="74" t="s">
        <v>84</v>
      </c>
      <c r="D202" s="20"/>
      <c r="E202" s="20"/>
      <c r="F202" s="24"/>
      <c r="G202" s="23"/>
      <c r="H202" s="22">
        <f t="shared" si="356"/>
        <v>0</v>
      </c>
      <c r="I202" s="24"/>
      <c r="J202" s="23"/>
      <c r="K202" s="22">
        <f t="shared" si="357"/>
        <v>0</v>
      </c>
      <c r="L202" s="24"/>
      <c r="M202" s="23"/>
      <c r="N202" s="22">
        <f t="shared" si="358"/>
        <v>0</v>
      </c>
      <c r="O202" s="24">
        <f t="shared" si="350"/>
        <v>0</v>
      </c>
      <c r="P202" s="23">
        <f t="shared" si="350"/>
        <v>0</v>
      </c>
      <c r="Q202" s="22">
        <f t="shared" si="359"/>
        <v>0</v>
      </c>
      <c r="R202" s="24"/>
      <c r="S202" s="23"/>
      <c r="T202" s="22">
        <f t="shared" si="360"/>
        <v>0</v>
      </c>
      <c r="U202" s="24"/>
      <c r="V202" s="23"/>
      <c r="W202" s="22">
        <f t="shared" si="361"/>
        <v>0</v>
      </c>
      <c r="X202" s="24"/>
      <c r="Y202" s="23"/>
      <c r="Z202" s="22">
        <f t="shared" si="362"/>
        <v>0</v>
      </c>
      <c r="AA202" s="24">
        <f t="shared" si="351"/>
        <v>0</v>
      </c>
      <c r="AB202" s="23">
        <f t="shared" si="351"/>
        <v>0</v>
      </c>
      <c r="AC202" s="22">
        <f t="shared" si="363"/>
        <v>0</v>
      </c>
      <c r="AD202" s="24"/>
      <c r="AE202" s="23"/>
      <c r="AF202" s="22">
        <f t="shared" si="364"/>
        <v>0</v>
      </c>
      <c r="AG202" s="24"/>
      <c r="AH202" s="23"/>
      <c r="AI202" s="22">
        <f t="shared" si="365"/>
        <v>0</v>
      </c>
      <c r="AJ202" s="24"/>
      <c r="AK202" s="23"/>
      <c r="AL202" s="22">
        <f t="shared" si="366"/>
        <v>0</v>
      </c>
      <c r="AM202" s="24">
        <f t="shared" si="352"/>
        <v>0</v>
      </c>
      <c r="AN202" s="23">
        <f t="shared" si="352"/>
        <v>0</v>
      </c>
      <c r="AO202" s="22">
        <f t="shared" si="367"/>
        <v>0</v>
      </c>
      <c r="AP202" s="24"/>
      <c r="AQ202" s="23"/>
      <c r="AR202" s="22">
        <f t="shared" si="368"/>
        <v>0</v>
      </c>
      <c r="AS202" s="24"/>
      <c r="AT202" s="23"/>
      <c r="AU202" s="22">
        <f t="shared" si="369"/>
        <v>0</v>
      </c>
      <c r="AV202" s="24"/>
      <c r="AW202" s="23"/>
      <c r="AX202" s="22">
        <f t="shared" si="370"/>
        <v>0</v>
      </c>
      <c r="AY202" s="23">
        <f t="shared" si="353"/>
        <v>0</v>
      </c>
      <c r="AZ202" s="23">
        <f t="shared" si="353"/>
        <v>0</v>
      </c>
      <c r="BA202" s="22">
        <f t="shared" si="371"/>
        <v>0</v>
      </c>
      <c r="BB202" s="24">
        <f t="shared" si="354"/>
        <v>0</v>
      </c>
      <c r="BC202" s="23">
        <f t="shared" si="354"/>
        <v>0</v>
      </c>
      <c r="BD202" s="22">
        <f t="shared" si="372"/>
        <v>0</v>
      </c>
      <c r="BE202" s="24"/>
      <c r="BF202" s="24"/>
      <c r="BG202" s="20">
        <f t="shared" si="355"/>
        <v>0</v>
      </c>
    </row>
    <row r="203" spans="1:59" ht="13.5" hidden="1" customHeight="1" outlineLevel="1" x14ac:dyDescent="0.25">
      <c r="A203" s="82"/>
      <c r="B203" s="84" t="s">
        <v>57</v>
      </c>
      <c r="C203" s="74" t="s">
        <v>84</v>
      </c>
      <c r="D203" s="20"/>
      <c r="E203" s="20"/>
      <c r="F203" s="24"/>
      <c r="G203" s="23"/>
      <c r="H203" s="22">
        <f t="shared" si="356"/>
        <v>0</v>
      </c>
      <c r="I203" s="24"/>
      <c r="J203" s="23"/>
      <c r="K203" s="22">
        <f t="shared" si="357"/>
        <v>0</v>
      </c>
      <c r="L203" s="24"/>
      <c r="M203" s="23"/>
      <c r="N203" s="22">
        <f t="shared" si="358"/>
        <v>0</v>
      </c>
      <c r="O203" s="24">
        <f t="shared" si="350"/>
        <v>0</v>
      </c>
      <c r="P203" s="23">
        <f t="shared" si="350"/>
        <v>0</v>
      </c>
      <c r="Q203" s="22">
        <f t="shared" si="359"/>
        <v>0</v>
      </c>
      <c r="R203" s="24"/>
      <c r="S203" s="23"/>
      <c r="T203" s="22">
        <f t="shared" si="360"/>
        <v>0</v>
      </c>
      <c r="U203" s="24"/>
      <c r="V203" s="23"/>
      <c r="W203" s="22">
        <f t="shared" si="361"/>
        <v>0</v>
      </c>
      <c r="X203" s="24"/>
      <c r="Y203" s="23"/>
      <c r="Z203" s="22">
        <f t="shared" si="362"/>
        <v>0</v>
      </c>
      <c r="AA203" s="24">
        <f t="shared" si="351"/>
        <v>0</v>
      </c>
      <c r="AB203" s="23">
        <f t="shared" si="351"/>
        <v>0</v>
      </c>
      <c r="AC203" s="22">
        <f t="shared" si="363"/>
        <v>0</v>
      </c>
      <c r="AD203" s="24"/>
      <c r="AE203" s="23"/>
      <c r="AF203" s="22">
        <f t="shared" si="364"/>
        <v>0</v>
      </c>
      <c r="AG203" s="24"/>
      <c r="AH203" s="23"/>
      <c r="AI203" s="22">
        <f t="shared" si="365"/>
        <v>0</v>
      </c>
      <c r="AJ203" s="24"/>
      <c r="AK203" s="23"/>
      <c r="AL203" s="22">
        <f t="shared" si="366"/>
        <v>0</v>
      </c>
      <c r="AM203" s="24">
        <f t="shared" si="352"/>
        <v>0</v>
      </c>
      <c r="AN203" s="23">
        <f t="shared" si="352"/>
        <v>0</v>
      </c>
      <c r="AO203" s="22">
        <f t="shared" si="367"/>
        <v>0</v>
      </c>
      <c r="AP203" s="24"/>
      <c r="AQ203" s="23"/>
      <c r="AR203" s="22">
        <f t="shared" si="368"/>
        <v>0</v>
      </c>
      <c r="AS203" s="24"/>
      <c r="AT203" s="23"/>
      <c r="AU203" s="22">
        <f t="shared" si="369"/>
        <v>0</v>
      </c>
      <c r="AV203" s="24"/>
      <c r="AW203" s="23"/>
      <c r="AX203" s="22">
        <f t="shared" si="370"/>
        <v>0</v>
      </c>
      <c r="AY203" s="23">
        <f t="shared" si="353"/>
        <v>0</v>
      </c>
      <c r="AZ203" s="23">
        <f t="shared" si="353"/>
        <v>0</v>
      </c>
      <c r="BA203" s="22">
        <f t="shared" si="371"/>
        <v>0</v>
      </c>
      <c r="BB203" s="24">
        <f t="shared" si="354"/>
        <v>0</v>
      </c>
      <c r="BC203" s="23">
        <f t="shared" si="354"/>
        <v>0</v>
      </c>
      <c r="BD203" s="22">
        <f t="shared" si="372"/>
        <v>0</v>
      </c>
      <c r="BE203" s="24"/>
      <c r="BF203" s="24"/>
      <c r="BG203" s="20">
        <f t="shared" si="355"/>
        <v>0</v>
      </c>
    </row>
    <row r="204" spans="1:59" ht="13.5" hidden="1" customHeight="1" outlineLevel="1" x14ac:dyDescent="0.25">
      <c r="A204" s="82"/>
      <c r="B204" s="99" t="s">
        <v>58</v>
      </c>
      <c r="C204" s="74" t="s">
        <v>84</v>
      </c>
      <c r="D204" s="157"/>
      <c r="E204" s="157"/>
      <c r="F204" s="115"/>
      <c r="G204" s="107"/>
      <c r="H204" s="108">
        <f t="shared" si="356"/>
        <v>0</v>
      </c>
      <c r="I204" s="115"/>
      <c r="J204" s="107"/>
      <c r="K204" s="108">
        <f t="shared" si="357"/>
        <v>0</v>
      </c>
      <c r="L204" s="115"/>
      <c r="M204" s="107"/>
      <c r="N204" s="108">
        <f t="shared" si="358"/>
        <v>0</v>
      </c>
      <c r="O204" s="115">
        <f t="shared" si="350"/>
        <v>0</v>
      </c>
      <c r="P204" s="107">
        <f t="shared" si="350"/>
        <v>0</v>
      </c>
      <c r="Q204" s="108">
        <f t="shared" si="359"/>
        <v>0</v>
      </c>
      <c r="R204" s="115"/>
      <c r="S204" s="107"/>
      <c r="T204" s="108">
        <f t="shared" si="360"/>
        <v>0</v>
      </c>
      <c r="U204" s="115"/>
      <c r="V204" s="107"/>
      <c r="W204" s="108">
        <f t="shared" si="361"/>
        <v>0</v>
      </c>
      <c r="X204" s="115"/>
      <c r="Y204" s="107"/>
      <c r="Z204" s="108">
        <f t="shared" si="362"/>
        <v>0</v>
      </c>
      <c r="AA204" s="115">
        <f t="shared" si="351"/>
        <v>0</v>
      </c>
      <c r="AB204" s="107">
        <f t="shared" si="351"/>
        <v>0</v>
      </c>
      <c r="AC204" s="108">
        <f t="shared" si="363"/>
        <v>0</v>
      </c>
      <c r="AD204" s="115"/>
      <c r="AE204" s="107"/>
      <c r="AF204" s="108">
        <f t="shared" si="364"/>
        <v>0</v>
      </c>
      <c r="AG204" s="115"/>
      <c r="AH204" s="107"/>
      <c r="AI204" s="108">
        <f t="shared" si="365"/>
        <v>0</v>
      </c>
      <c r="AJ204" s="115"/>
      <c r="AK204" s="107"/>
      <c r="AL204" s="108">
        <f t="shared" si="366"/>
        <v>0</v>
      </c>
      <c r="AM204" s="115">
        <f t="shared" si="352"/>
        <v>0</v>
      </c>
      <c r="AN204" s="107">
        <f t="shared" si="352"/>
        <v>0</v>
      </c>
      <c r="AO204" s="108">
        <f t="shared" si="367"/>
        <v>0</v>
      </c>
      <c r="AP204" s="115"/>
      <c r="AQ204" s="107"/>
      <c r="AR204" s="108">
        <f t="shared" si="368"/>
        <v>0</v>
      </c>
      <c r="AS204" s="115"/>
      <c r="AT204" s="107"/>
      <c r="AU204" s="108">
        <f t="shared" si="369"/>
        <v>0</v>
      </c>
      <c r="AV204" s="115"/>
      <c r="AW204" s="107"/>
      <c r="AX204" s="108">
        <f t="shared" si="370"/>
        <v>0</v>
      </c>
      <c r="AY204" s="107">
        <f t="shared" si="353"/>
        <v>0</v>
      </c>
      <c r="AZ204" s="107">
        <f t="shared" si="353"/>
        <v>0</v>
      </c>
      <c r="BA204" s="108">
        <f t="shared" si="371"/>
        <v>0</v>
      </c>
      <c r="BB204" s="115">
        <f t="shared" si="354"/>
        <v>0</v>
      </c>
      <c r="BC204" s="107">
        <f t="shared" si="354"/>
        <v>0</v>
      </c>
      <c r="BD204" s="108">
        <f t="shared" si="372"/>
        <v>0</v>
      </c>
      <c r="BE204" s="115"/>
      <c r="BF204" s="115"/>
      <c r="BG204" s="20">
        <f t="shared" si="355"/>
        <v>0</v>
      </c>
    </row>
    <row r="205" spans="1:59" ht="13.5" hidden="1" customHeight="1" outlineLevel="1" x14ac:dyDescent="0.25">
      <c r="A205" s="82"/>
      <c r="B205" s="84" t="s">
        <v>59</v>
      </c>
      <c r="C205" s="74" t="s">
        <v>84</v>
      </c>
      <c r="D205" s="157"/>
      <c r="E205" s="157"/>
      <c r="F205" s="115"/>
      <c r="G205" s="107"/>
      <c r="H205" s="108">
        <f t="shared" si="356"/>
        <v>0</v>
      </c>
      <c r="I205" s="115"/>
      <c r="J205" s="107"/>
      <c r="K205" s="108">
        <f t="shared" si="357"/>
        <v>0</v>
      </c>
      <c r="L205" s="115"/>
      <c r="M205" s="107"/>
      <c r="N205" s="108">
        <f t="shared" si="358"/>
        <v>0</v>
      </c>
      <c r="O205" s="115">
        <f t="shared" si="350"/>
        <v>0</v>
      </c>
      <c r="P205" s="107">
        <f t="shared" si="350"/>
        <v>0</v>
      </c>
      <c r="Q205" s="108">
        <f t="shared" si="359"/>
        <v>0</v>
      </c>
      <c r="R205" s="115"/>
      <c r="S205" s="107"/>
      <c r="T205" s="108">
        <f t="shared" si="360"/>
        <v>0</v>
      </c>
      <c r="U205" s="115"/>
      <c r="V205" s="107"/>
      <c r="W205" s="108">
        <f t="shared" si="361"/>
        <v>0</v>
      </c>
      <c r="X205" s="115"/>
      <c r="Y205" s="107"/>
      <c r="Z205" s="108">
        <f t="shared" si="362"/>
        <v>0</v>
      </c>
      <c r="AA205" s="115">
        <f t="shared" si="351"/>
        <v>0</v>
      </c>
      <c r="AB205" s="107">
        <f t="shared" si="351"/>
        <v>0</v>
      </c>
      <c r="AC205" s="108">
        <f t="shared" si="363"/>
        <v>0</v>
      </c>
      <c r="AD205" s="115"/>
      <c r="AE205" s="107"/>
      <c r="AF205" s="108">
        <f t="shared" si="364"/>
        <v>0</v>
      </c>
      <c r="AG205" s="115"/>
      <c r="AH205" s="107"/>
      <c r="AI205" s="108">
        <f t="shared" si="365"/>
        <v>0</v>
      </c>
      <c r="AJ205" s="115"/>
      <c r="AK205" s="107"/>
      <c r="AL205" s="108">
        <f t="shared" si="366"/>
        <v>0</v>
      </c>
      <c r="AM205" s="115">
        <f t="shared" si="352"/>
        <v>0</v>
      </c>
      <c r="AN205" s="107">
        <f t="shared" si="352"/>
        <v>0</v>
      </c>
      <c r="AO205" s="108">
        <f t="shared" si="367"/>
        <v>0</v>
      </c>
      <c r="AP205" s="115"/>
      <c r="AQ205" s="107"/>
      <c r="AR205" s="108">
        <f t="shared" si="368"/>
        <v>0</v>
      </c>
      <c r="AS205" s="115"/>
      <c r="AT205" s="107"/>
      <c r="AU205" s="108">
        <f t="shared" si="369"/>
        <v>0</v>
      </c>
      <c r="AV205" s="115"/>
      <c r="AW205" s="107"/>
      <c r="AX205" s="108">
        <f t="shared" si="370"/>
        <v>0</v>
      </c>
      <c r="AY205" s="107">
        <f t="shared" si="353"/>
        <v>0</v>
      </c>
      <c r="AZ205" s="107">
        <f t="shared" si="353"/>
        <v>0</v>
      </c>
      <c r="BA205" s="108">
        <f t="shared" si="371"/>
        <v>0</v>
      </c>
      <c r="BB205" s="115">
        <f t="shared" si="354"/>
        <v>0</v>
      </c>
      <c r="BC205" s="107">
        <f t="shared" si="354"/>
        <v>0</v>
      </c>
      <c r="BD205" s="108">
        <f t="shared" si="372"/>
        <v>0</v>
      </c>
      <c r="BE205" s="115"/>
      <c r="BF205" s="115"/>
      <c r="BG205" s="20">
        <f t="shared" si="355"/>
        <v>0</v>
      </c>
    </row>
    <row r="206" spans="1:59" ht="13.5" hidden="1" customHeight="1" outlineLevel="1" x14ac:dyDescent="0.25">
      <c r="A206" s="82"/>
      <c r="B206" s="99" t="s">
        <v>60</v>
      </c>
      <c r="C206" s="74" t="s">
        <v>84</v>
      </c>
      <c r="D206" s="157"/>
      <c r="E206" s="157"/>
      <c r="F206" s="115"/>
      <c r="G206" s="107"/>
      <c r="H206" s="108">
        <f t="shared" si="356"/>
        <v>0</v>
      </c>
      <c r="I206" s="115"/>
      <c r="J206" s="107"/>
      <c r="K206" s="108">
        <f t="shared" si="357"/>
        <v>0</v>
      </c>
      <c r="L206" s="115"/>
      <c r="M206" s="107"/>
      <c r="N206" s="108">
        <f t="shared" si="358"/>
        <v>0</v>
      </c>
      <c r="O206" s="115">
        <f>SUM(F206,I206,L206)</f>
        <v>0</v>
      </c>
      <c r="P206" s="107">
        <f>SUM(G206,J206,M206)</f>
        <v>0</v>
      </c>
      <c r="Q206" s="108">
        <f t="shared" si="359"/>
        <v>0</v>
      </c>
      <c r="R206" s="115"/>
      <c r="S206" s="107"/>
      <c r="T206" s="108">
        <f t="shared" si="360"/>
        <v>0</v>
      </c>
      <c r="U206" s="115"/>
      <c r="V206" s="107"/>
      <c r="W206" s="108">
        <f t="shared" si="361"/>
        <v>0</v>
      </c>
      <c r="X206" s="115"/>
      <c r="Y206" s="107"/>
      <c r="Z206" s="108">
        <f t="shared" si="362"/>
        <v>0</v>
      </c>
      <c r="AA206" s="115">
        <f>SUM(R206,U206,X206)</f>
        <v>0</v>
      </c>
      <c r="AB206" s="107">
        <f>SUM(S206,V206,Y206)</f>
        <v>0</v>
      </c>
      <c r="AC206" s="108">
        <f t="shared" si="363"/>
        <v>0</v>
      </c>
      <c r="AD206" s="115"/>
      <c r="AE206" s="107"/>
      <c r="AF206" s="108">
        <f t="shared" si="364"/>
        <v>0</v>
      </c>
      <c r="AG206" s="115"/>
      <c r="AH206" s="107"/>
      <c r="AI206" s="108">
        <f t="shared" si="365"/>
        <v>0</v>
      </c>
      <c r="AJ206" s="115"/>
      <c r="AK206" s="107"/>
      <c r="AL206" s="108">
        <f t="shared" si="366"/>
        <v>0</v>
      </c>
      <c r="AM206" s="115">
        <f>SUM(AD206,AG206,AJ206)</f>
        <v>0</v>
      </c>
      <c r="AN206" s="107">
        <f>SUM(AE206,AH206,AK206)</f>
        <v>0</v>
      </c>
      <c r="AO206" s="108">
        <f t="shared" si="367"/>
        <v>0</v>
      </c>
      <c r="AP206" s="115"/>
      <c r="AQ206" s="107"/>
      <c r="AR206" s="108">
        <f t="shared" si="368"/>
        <v>0</v>
      </c>
      <c r="AS206" s="115"/>
      <c r="AT206" s="107"/>
      <c r="AU206" s="108">
        <f t="shared" si="369"/>
        <v>0</v>
      </c>
      <c r="AV206" s="115"/>
      <c r="AW206" s="107"/>
      <c r="AX206" s="108">
        <f t="shared" si="370"/>
        <v>0</v>
      </c>
      <c r="AY206" s="107">
        <f>SUM(AP206,AS206,AV206)</f>
        <v>0</v>
      </c>
      <c r="AZ206" s="107">
        <f>SUM(AQ206,AT206,AW206)</f>
        <v>0</v>
      </c>
      <c r="BA206" s="108">
        <f t="shared" si="371"/>
        <v>0</v>
      </c>
      <c r="BB206" s="115">
        <f>SUM(F206,I206,L206,R206,U206,X206,AD206,AG206,AJ206,AP206,AS206,AV206)</f>
        <v>0</v>
      </c>
      <c r="BC206" s="107">
        <f>SUM(G206,J206,M206,S206,V206,Y206,AE206,AH206,AK206,AQ206,AT206,AW206)</f>
        <v>0</v>
      </c>
      <c r="BD206" s="108">
        <f t="shared" si="372"/>
        <v>0</v>
      </c>
      <c r="BE206" s="115"/>
      <c r="BF206" s="115"/>
      <c r="BG206" s="20">
        <f t="shared" si="355"/>
        <v>0</v>
      </c>
    </row>
    <row r="207" spans="1:59" ht="13.5" hidden="1" customHeight="1" outlineLevel="1" x14ac:dyDescent="0.25">
      <c r="A207" s="82"/>
      <c r="B207" s="84" t="s">
        <v>61</v>
      </c>
      <c r="C207" s="74" t="s">
        <v>84</v>
      </c>
      <c r="D207" s="157"/>
      <c r="E207" s="157"/>
      <c r="F207" s="115"/>
      <c r="G207" s="107"/>
      <c r="H207" s="108">
        <f t="shared" si="356"/>
        <v>0</v>
      </c>
      <c r="I207" s="115"/>
      <c r="J207" s="107"/>
      <c r="K207" s="108">
        <f t="shared" si="357"/>
        <v>0</v>
      </c>
      <c r="L207" s="115"/>
      <c r="M207" s="107"/>
      <c r="N207" s="108">
        <f t="shared" si="358"/>
        <v>0</v>
      </c>
      <c r="O207" s="115">
        <f>SUM(F207,I207,L207)</f>
        <v>0</v>
      </c>
      <c r="P207" s="107">
        <f>SUM(G207,J207,M207)</f>
        <v>0</v>
      </c>
      <c r="Q207" s="108">
        <f t="shared" si="359"/>
        <v>0</v>
      </c>
      <c r="R207" s="115"/>
      <c r="S207" s="107"/>
      <c r="T207" s="108">
        <f t="shared" si="360"/>
        <v>0</v>
      </c>
      <c r="U207" s="115"/>
      <c r="V207" s="107"/>
      <c r="W207" s="108">
        <f t="shared" si="361"/>
        <v>0</v>
      </c>
      <c r="X207" s="115"/>
      <c r="Y207" s="107"/>
      <c r="Z207" s="108">
        <f t="shared" si="362"/>
        <v>0</v>
      </c>
      <c r="AA207" s="115">
        <f>SUM(R207,U207,X207)</f>
        <v>0</v>
      </c>
      <c r="AB207" s="107">
        <f>SUM(S207,V207,Y207)</f>
        <v>0</v>
      </c>
      <c r="AC207" s="108">
        <f t="shared" si="363"/>
        <v>0</v>
      </c>
      <c r="AD207" s="115"/>
      <c r="AE207" s="107"/>
      <c r="AF207" s="108">
        <f t="shared" si="364"/>
        <v>0</v>
      </c>
      <c r="AG207" s="115"/>
      <c r="AH207" s="107"/>
      <c r="AI207" s="108">
        <f t="shared" si="365"/>
        <v>0</v>
      </c>
      <c r="AJ207" s="115"/>
      <c r="AK207" s="107"/>
      <c r="AL207" s="108">
        <f t="shared" si="366"/>
        <v>0</v>
      </c>
      <c r="AM207" s="115">
        <f>SUM(AD207,AG207,AJ207)</f>
        <v>0</v>
      </c>
      <c r="AN207" s="107">
        <f>SUM(AE207,AH207,AK207)</f>
        <v>0</v>
      </c>
      <c r="AO207" s="108">
        <f t="shared" si="367"/>
        <v>0</v>
      </c>
      <c r="AP207" s="115"/>
      <c r="AQ207" s="107"/>
      <c r="AR207" s="108">
        <f t="shared" si="368"/>
        <v>0</v>
      </c>
      <c r="AS207" s="115"/>
      <c r="AT207" s="107"/>
      <c r="AU207" s="108">
        <f t="shared" si="369"/>
        <v>0</v>
      </c>
      <c r="AV207" s="115"/>
      <c r="AW207" s="107"/>
      <c r="AX207" s="108">
        <f t="shared" si="370"/>
        <v>0</v>
      </c>
      <c r="AY207" s="107">
        <f>SUM(AP207,AS207,AV207)</f>
        <v>0</v>
      </c>
      <c r="AZ207" s="107">
        <f>SUM(AQ207,AT207,AW207)</f>
        <v>0</v>
      </c>
      <c r="BA207" s="108">
        <f t="shared" si="371"/>
        <v>0</v>
      </c>
      <c r="BB207" s="115">
        <f>SUM(F207,I207,L207,R207,U207,X207,AD207,AG207,AJ207,AP207,AS207,AV207)</f>
        <v>0</v>
      </c>
      <c r="BC207" s="107">
        <f>SUM(G207,J207,M207,S207,V207,Y207,AE207,AH207,AK207,AQ207,AT207,AW207)</f>
        <v>0</v>
      </c>
      <c r="BD207" s="108">
        <f t="shared" si="372"/>
        <v>0</v>
      </c>
      <c r="BE207" s="115"/>
      <c r="BF207" s="115"/>
      <c r="BG207" s="20">
        <f t="shared" si="355"/>
        <v>0</v>
      </c>
    </row>
    <row r="208" spans="1:59" s="210" customFormat="1" ht="13.5" customHeight="1" collapsed="1" thickBot="1" x14ac:dyDescent="0.3">
      <c r="A208" s="85"/>
      <c r="B208" s="95" t="s">
        <v>62</v>
      </c>
      <c r="C208" s="88" t="s">
        <v>84</v>
      </c>
      <c r="D208" s="93">
        <f>SUM(D209)</f>
        <v>0</v>
      </c>
      <c r="E208" s="93">
        <f>SUM(E209)</f>
        <v>0</v>
      </c>
      <c r="F208" s="187">
        <f>SUM(F209)</f>
        <v>0</v>
      </c>
      <c r="G208" s="92">
        <f>SUM(G209)</f>
        <v>0</v>
      </c>
      <c r="H208" s="91">
        <f t="shared" si="356"/>
        <v>0</v>
      </c>
      <c r="I208" s="187">
        <f>SUM(I209)</f>
        <v>0</v>
      </c>
      <c r="J208" s="92">
        <f>SUM(J209)</f>
        <v>0</v>
      </c>
      <c r="K208" s="91">
        <f t="shared" si="357"/>
        <v>0</v>
      </c>
      <c r="L208" s="187">
        <f>SUM(L209)</f>
        <v>0</v>
      </c>
      <c r="M208" s="92">
        <f>SUM(M209)</f>
        <v>0</v>
      </c>
      <c r="N208" s="91">
        <f t="shared" si="358"/>
        <v>0</v>
      </c>
      <c r="O208" s="187">
        <f>SUM(O209)</f>
        <v>0</v>
      </c>
      <c r="P208" s="92">
        <f>SUM(P209)</f>
        <v>0</v>
      </c>
      <c r="Q208" s="91">
        <f t="shared" si="359"/>
        <v>0</v>
      </c>
      <c r="R208" s="187">
        <f>SUM(R209)</f>
        <v>0</v>
      </c>
      <c r="S208" s="92">
        <f>SUM(S209)</f>
        <v>0</v>
      </c>
      <c r="T208" s="91">
        <f t="shared" si="360"/>
        <v>0</v>
      </c>
      <c r="U208" s="187">
        <f>SUM(U209)</f>
        <v>0</v>
      </c>
      <c r="V208" s="92">
        <f>SUM(V209)</f>
        <v>0</v>
      </c>
      <c r="W208" s="91">
        <f t="shared" si="361"/>
        <v>0</v>
      </c>
      <c r="X208" s="187">
        <f>SUM(X209)</f>
        <v>0</v>
      </c>
      <c r="Y208" s="92">
        <f>SUM(Y209)</f>
        <v>0</v>
      </c>
      <c r="Z208" s="91">
        <f t="shared" si="362"/>
        <v>0</v>
      </c>
      <c r="AA208" s="187">
        <f>SUM(AA209)</f>
        <v>0</v>
      </c>
      <c r="AB208" s="92">
        <f>SUM(AB209)</f>
        <v>0</v>
      </c>
      <c r="AC208" s="91">
        <f t="shared" si="363"/>
        <v>0</v>
      </c>
      <c r="AD208" s="187">
        <f>SUM(AD209)</f>
        <v>0</v>
      </c>
      <c r="AE208" s="92">
        <f>SUM(AE209)</f>
        <v>0</v>
      </c>
      <c r="AF208" s="91">
        <f t="shared" si="364"/>
        <v>0</v>
      </c>
      <c r="AG208" s="187">
        <f>SUM(AG209)</f>
        <v>0</v>
      </c>
      <c r="AH208" s="92">
        <f>SUM(AH209)</f>
        <v>0</v>
      </c>
      <c r="AI208" s="91">
        <f t="shared" si="365"/>
        <v>0</v>
      </c>
      <c r="AJ208" s="187">
        <f>SUM(AJ209)</f>
        <v>0</v>
      </c>
      <c r="AK208" s="92">
        <f>SUM(AK209)</f>
        <v>0</v>
      </c>
      <c r="AL208" s="91">
        <f t="shared" si="366"/>
        <v>0</v>
      </c>
      <c r="AM208" s="187">
        <f>SUM(AM209)</f>
        <v>0</v>
      </c>
      <c r="AN208" s="92">
        <f>SUM(AN209)</f>
        <v>0</v>
      </c>
      <c r="AO208" s="91">
        <f t="shared" si="367"/>
        <v>0</v>
      </c>
      <c r="AP208" s="187">
        <f>SUM(AP209)</f>
        <v>0</v>
      </c>
      <c r="AQ208" s="92">
        <f>SUM(AQ209)</f>
        <v>0</v>
      </c>
      <c r="AR208" s="91">
        <f t="shared" si="368"/>
        <v>0</v>
      </c>
      <c r="AS208" s="187">
        <f>SUM(AS209)</f>
        <v>0</v>
      </c>
      <c r="AT208" s="92">
        <f>SUM(AT209)</f>
        <v>0</v>
      </c>
      <c r="AU208" s="91">
        <f t="shared" si="369"/>
        <v>0</v>
      </c>
      <c r="AV208" s="187">
        <f>SUM(AV209)</f>
        <v>0</v>
      </c>
      <c r="AW208" s="92">
        <f>SUM(AW209)</f>
        <v>0</v>
      </c>
      <c r="AX208" s="91">
        <f t="shared" si="370"/>
        <v>0</v>
      </c>
      <c r="AY208" s="92">
        <f>SUM(AY209)</f>
        <v>0</v>
      </c>
      <c r="AZ208" s="92">
        <f>SUM(AZ209)</f>
        <v>0</v>
      </c>
      <c r="BA208" s="91">
        <f t="shared" si="371"/>
        <v>0</v>
      </c>
      <c r="BB208" s="187">
        <f>SUM(BB209)</f>
        <v>0</v>
      </c>
      <c r="BC208" s="92">
        <f>SUM(BC209)</f>
        <v>0</v>
      </c>
      <c r="BD208" s="91">
        <f t="shared" si="372"/>
        <v>0</v>
      </c>
      <c r="BE208" s="187">
        <f t="shared" ref="BE208:BG208" si="373">SUM(BE209)</f>
        <v>0</v>
      </c>
      <c r="BF208" s="187">
        <f t="shared" si="373"/>
        <v>0</v>
      </c>
      <c r="BG208" s="93">
        <f t="shared" si="373"/>
        <v>0</v>
      </c>
    </row>
    <row r="209" spans="1:59" ht="13.5" hidden="1" customHeight="1" outlineLevel="1" thickBot="1" x14ac:dyDescent="0.3">
      <c r="A209" s="11"/>
      <c r="B209" s="84" t="s">
        <v>63</v>
      </c>
      <c r="C209" s="73" t="s">
        <v>84</v>
      </c>
      <c r="D209" s="20"/>
      <c r="E209" s="20"/>
      <c r="F209" s="24"/>
      <c r="G209" s="23"/>
      <c r="H209" s="22">
        <f t="shared" si="356"/>
        <v>0</v>
      </c>
      <c r="I209" s="24"/>
      <c r="J209" s="23"/>
      <c r="K209" s="22">
        <f t="shared" si="357"/>
        <v>0</v>
      </c>
      <c r="L209" s="24"/>
      <c r="M209" s="23"/>
      <c r="N209" s="22">
        <f t="shared" si="358"/>
        <v>0</v>
      </c>
      <c r="O209" s="24">
        <f>SUM(F209,I209,L209)</f>
        <v>0</v>
      </c>
      <c r="P209" s="23">
        <f>SUM(G209,J209,M209)</f>
        <v>0</v>
      </c>
      <c r="Q209" s="22">
        <f t="shared" si="359"/>
        <v>0</v>
      </c>
      <c r="R209" s="24"/>
      <c r="S209" s="23"/>
      <c r="T209" s="22">
        <f t="shared" si="360"/>
        <v>0</v>
      </c>
      <c r="U209" s="24"/>
      <c r="V209" s="23"/>
      <c r="W209" s="22">
        <f t="shared" si="361"/>
        <v>0</v>
      </c>
      <c r="X209" s="24"/>
      <c r="Y209" s="23"/>
      <c r="Z209" s="22">
        <f t="shared" si="362"/>
        <v>0</v>
      </c>
      <c r="AA209" s="24">
        <f>SUM(R209,U209,X209)</f>
        <v>0</v>
      </c>
      <c r="AB209" s="23">
        <f>SUM(S209,V209,Y209)</f>
        <v>0</v>
      </c>
      <c r="AC209" s="22">
        <f t="shared" si="363"/>
        <v>0</v>
      </c>
      <c r="AD209" s="24"/>
      <c r="AE209" s="23"/>
      <c r="AF209" s="22">
        <f t="shared" si="364"/>
        <v>0</v>
      </c>
      <c r="AG209" s="24"/>
      <c r="AH209" s="23"/>
      <c r="AI209" s="22">
        <f t="shared" si="365"/>
        <v>0</v>
      </c>
      <c r="AJ209" s="24"/>
      <c r="AK209" s="23"/>
      <c r="AL209" s="22">
        <f t="shared" si="366"/>
        <v>0</v>
      </c>
      <c r="AM209" s="24">
        <f>SUM(AD209,AG209,AJ209)</f>
        <v>0</v>
      </c>
      <c r="AN209" s="23">
        <f>SUM(AE209,AH209,AK209)</f>
        <v>0</v>
      </c>
      <c r="AO209" s="22">
        <f t="shared" si="367"/>
        <v>0</v>
      </c>
      <c r="AP209" s="24"/>
      <c r="AQ209" s="23"/>
      <c r="AR209" s="22">
        <f t="shared" si="368"/>
        <v>0</v>
      </c>
      <c r="AS209" s="24"/>
      <c r="AT209" s="23"/>
      <c r="AU209" s="22">
        <f t="shared" si="369"/>
        <v>0</v>
      </c>
      <c r="AV209" s="24"/>
      <c r="AW209" s="23"/>
      <c r="AX209" s="22">
        <f t="shared" si="370"/>
        <v>0</v>
      </c>
      <c r="AY209" s="23">
        <f>SUM(AP209,AS209,AV209)</f>
        <v>0</v>
      </c>
      <c r="AZ209" s="23">
        <f>SUM(AQ209,AT209,AW209)</f>
        <v>0</v>
      </c>
      <c r="BA209" s="22">
        <f t="shared" si="371"/>
        <v>0</v>
      </c>
      <c r="BB209" s="24">
        <f>SUM(F209,I209,L209,R209,U209,X209,AD209,AG209,AJ209,AP209,AS209,AV209)</f>
        <v>0</v>
      </c>
      <c r="BC209" s="23">
        <f>SUM(G209,J209,M209,S209,V209,Y209,AE209,AH209,AK209,AQ209,AT209,AW209)</f>
        <v>0</v>
      </c>
      <c r="BD209" s="22">
        <f t="shared" si="372"/>
        <v>0</v>
      </c>
      <c r="BE209" s="24"/>
      <c r="BF209" s="24"/>
      <c r="BG209" s="20">
        <f>BB209+BE209+BF209</f>
        <v>0</v>
      </c>
    </row>
    <row r="210" spans="1:59" s="210" customFormat="1" ht="13.5" customHeight="1" collapsed="1" x14ac:dyDescent="0.25">
      <c r="A210" s="106" t="s">
        <v>85</v>
      </c>
      <c r="B210" s="105" t="s">
        <v>86</v>
      </c>
      <c r="C210" s="104" t="s">
        <v>84</v>
      </c>
      <c r="D210" s="192">
        <f t="shared" ref="D210:G225" si="374">IF(OR(D9=0,D178=0),0,1000/(D9/D178))</f>
        <v>0</v>
      </c>
      <c r="E210" s="192">
        <f t="shared" si="374"/>
        <v>0</v>
      </c>
      <c r="F210" s="195">
        <f t="shared" si="374"/>
        <v>0</v>
      </c>
      <c r="G210" s="193">
        <f t="shared" si="374"/>
        <v>0</v>
      </c>
      <c r="H210" s="194">
        <f t="shared" ref="H210:H225" si="375">G210-F210</f>
        <v>0</v>
      </c>
      <c r="I210" s="195">
        <f t="shared" ref="I210:J225" si="376">IF(OR(I9=0,I178=0),0,1000/(I9/I178))</f>
        <v>0</v>
      </c>
      <c r="J210" s="193">
        <f t="shared" si="376"/>
        <v>0</v>
      </c>
      <c r="K210" s="194">
        <f t="shared" ref="K210:K225" si="377">J210-I210</f>
        <v>0</v>
      </c>
      <c r="L210" s="195">
        <f t="shared" ref="L210:M225" si="378">IF(OR(L9=0,L178=0),0,1000/(L9/L178))</f>
        <v>0</v>
      </c>
      <c r="M210" s="193">
        <f t="shared" si="378"/>
        <v>0</v>
      </c>
      <c r="N210" s="194">
        <f t="shared" ref="N210:N225" si="379">M210-L210</f>
        <v>0</v>
      </c>
      <c r="O210" s="195">
        <f t="shared" ref="O210:P225" si="380">IF(OR(O9=0,O178=0),0,1000/(O9/O178))</f>
        <v>0</v>
      </c>
      <c r="P210" s="193">
        <f t="shared" si="380"/>
        <v>0</v>
      </c>
      <c r="Q210" s="194">
        <f t="shared" ref="Q210:Q225" si="381">P210-O210</f>
        <v>0</v>
      </c>
      <c r="R210" s="195">
        <f t="shared" ref="R210:S225" si="382">IF(OR(R9=0,R178=0),0,1000/(R9/R178))</f>
        <v>0</v>
      </c>
      <c r="S210" s="193">
        <f t="shared" si="382"/>
        <v>0</v>
      </c>
      <c r="T210" s="194">
        <f t="shared" ref="T210:T225" si="383">S210-R210</f>
        <v>0</v>
      </c>
      <c r="U210" s="195">
        <f t="shared" ref="U210:V225" si="384">IF(OR(U9=0,U178=0),0,1000/(U9/U178))</f>
        <v>0</v>
      </c>
      <c r="V210" s="193">
        <f t="shared" si="384"/>
        <v>0</v>
      </c>
      <c r="W210" s="194">
        <f t="shared" ref="W210:W225" si="385">V210-U210</f>
        <v>0</v>
      </c>
      <c r="X210" s="195">
        <f t="shared" ref="X210:Y225" si="386">IF(OR(X9=0,X178=0),0,1000/(X9/X178))</f>
        <v>0</v>
      </c>
      <c r="Y210" s="193">
        <f t="shared" si="386"/>
        <v>0</v>
      </c>
      <c r="Z210" s="194">
        <f t="shared" ref="Z210:Z225" si="387">Y210-X210</f>
        <v>0</v>
      </c>
      <c r="AA210" s="195">
        <f t="shared" ref="AA210:AB225" si="388">IF(OR(AA9=0,AA178=0),0,1000/(AA9/AA178))</f>
        <v>0</v>
      </c>
      <c r="AB210" s="193">
        <f t="shared" si="388"/>
        <v>0</v>
      </c>
      <c r="AC210" s="194">
        <f t="shared" ref="AC210:AC225" si="389">AB210-AA210</f>
        <v>0</v>
      </c>
      <c r="AD210" s="195">
        <f t="shared" ref="AD210:AE225" si="390">IF(OR(AD9=0,AD178=0),0,1000/(AD9/AD178))</f>
        <v>0</v>
      </c>
      <c r="AE210" s="193">
        <f t="shared" si="390"/>
        <v>0</v>
      </c>
      <c r="AF210" s="194">
        <f t="shared" ref="AF210:AF225" si="391">AE210-AD210</f>
        <v>0</v>
      </c>
      <c r="AG210" s="195">
        <f t="shared" ref="AG210:AH225" si="392">IF(OR(AG9=0,AG178=0),0,1000/(AG9/AG178))</f>
        <v>0</v>
      </c>
      <c r="AH210" s="193">
        <f t="shared" si="392"/>
        <v>0</v>
      </c>
      <c r="AI210" s="194">
        <f t="shared" ref="AI210:AI225" si="393">AH210-AG210</f>
        <v>0</v>
      </c>
      <c r="AJ210" s="195">
        <f t="shared" ref="AJ210:AK225" si="394">IF(OR(AJ9=0,AJ178=0),0,1000/(AJ9/AJ178))</f>
        <v>0</v>
      </c>
      <c r="AK210" s="193">
        <f t="shared" si="394"/>
        <v>0</v>
      </c>
      <c r="AL210" s="194">
        <f t="shared" ref="AL210:AL225" si="395">AK210-AJ210</f>
        <v>0</v>
      </c>
      <c r="AM210" s="195">
        <f t="shared" ref="AM210:AN225" si="396">IF(OR(AM9=0,AM178=0),0,1000/(AM9/AM178))</f>
        <v>0</v>
      </c>
      <c r="AN210" s="193">
        <f t="shared" si="396"/>
        <v>0</v>
      </c>
      <c r="AO210" s="194">
        <f t="shared" ref="AO210:AO225" si="397">AN210-AM210</f>
        <v>0</v>
      </c>
      <c r="AP210" s="195">
        <f t="shared" ref="AP210:AQ225" si="398">IF(OR(AP9=0,AP178=0),0,1000/(AP9/AP178))</f>
        <v>0</v>
      </c>
      <c r="AQ210" s="193">
        <f t="shared" si="398"/>
        <v>0</v>
      </c>
      <c r="AR210" s="194">
        <f t="shared" ref="AR210:AR225" si="399">AQ210-AP210</f>
        <v>0</v>
      </c>
      <c r="AS210" s="195">
        <f t="shared" ref="AS210:AT225" si="400">IF(OR(AS9=0,AS178=0),0,1000/(AS9/AS178))</f>
        <v>0</v>
      </c>
      <c r="AT210" s="193">
        <f t="shared" si="400"/>
        <v>0</v>
      </c>
      <c r="AU210" s="194">
        <f t="shared" ref="AU210:AU225" si="401">AT210-AS210</f>
        <v>0</v>
      </c>
      <c r="AV210" s="195">
        <f t="shared" ref="AV210:AW225" si="402">IF(OR(AV9=0,AV178=0),0,1000/(AV9/AV178))</f>
        <v>0</v>
      </c>
      <c r="AW210" s="193">
        <f t="shared" si="402"/>
        <v>0</v>
      </c>
      <c r="AX210" s="194">
        <f t="shared" ref="AX210:AX225" si="403">AW210-AV210</f>
        <v>0</v>
      </c>
      <c r="AY210" s="193">
        <f t="shared" ref="AY210:AZ225" si="404">IF(OR(AY9=0,AY178=0),0,1000/(AY9/AY178))</f>
        <v>0</v>
      </c>
      <c r="AZ210" s="193">
        <f t="shared" si="404"/>
        <v>0</v>
      </c>
      <c r="BA210" s="194">
        <f t="shared" ref="BA210:BA225" si="405">AZ210-AY210</f>
        <v>0</v>
      </c>
      <c r="BB210" s="195">
        <f t="shared" ref="BB210:BC225" si="406">IF(OR(BB9=0,BB178=0),0,1000/(BB9/BB178))</f>
        <v>0</v>
      </c>
      <c r="BC210" s="193">
        <f t="shared" si="406"/>
        <v>0</v>
      </c>
      <c r="BD210" s="194">
        <f t="shared" ref="BD210:BD225" si="407">BC210-BB210</f>
        <v>0</v>
      </c>
      <c r="BE210" s="195">
        <f t="shared" ref="BE210:BF224" si="408">IF(OR(BE9=0,BE178=0),0,1000/(BE9/BE178))</f>
        <v>0</v>
      </c>
      <c r="BF210" s="195">
        <f t="shared" si="408"/>
        <v>0</v>
      </c>
      <c r="BG210" s="192">
        <f t="shared" ref="BG210" si="409">IF(OR(BG9=0,BG178=0),0,1000/(BG9/BG178))</f>
        <v>0</v>
      </c>
    </row>
    <row r="211" spans="1:59" s="210" customFormat="1" ht="13.5" customHeight="1" x14ac:dyDescent="0.25">
      <c r="A211" s="103"/>
      <c r="B211" s="102" t="s">
        <v>33</v>
      </c>
      <c r="C211" s="101" t="s">
        <v>84</v>
      </c>
      <c r="D211" s="188">
        <f t="shared" si="374"/>
        <v>0</v>
      </c>
      <c r="E211" s="188">
        <f t="shared" si="374"/>
        <v>0</v>
      </c>
      <c r="F211" s="191">
        <f t="shared" si="374"/>
        <v>0</v>
      </c>
      <c r="G211" s="189">
        <f t="shared" si="374"/>
        <v>0</v>
      </c>
      <c r="H211" s="190">
        <f t="shared" si="375"/>
        <v>0</v>
      </c>
      <c r="I211" s="191">
        <f t="shared" si="376"/>
        <v>0</v>
      </c>
      <c r="J211" s="189">
        <f t="shared" si="376"/>
        <v>0</v>
      </c>
      <c r="K211" s="190">
        <f t="shared" si="377"/>
        <v>0</v>
      </c>
      <c r="L211" s="191">
        <f t="shared" si="378"/>
        <v>0</v>
      </c>
      <c r="M211" s="189">
        <f t="shared" si="378"/>
        <v>0</v>
      </c>
      <c r="N211" s="190">
        <f t="shared" si="379"/>
        <v>0</v>
      </c>
      <c r="O211" s="191">
        <f t="shared" si="380"/>
        <v>0</v>
      </c>
      <c r="P211" s="189">
        <f t="shared" si="380"/>
        <v>0</v>
      </c>
      <c r="Q211" s="190">
        <f t="shared" si="381"/>
        <v>0</v>
      </c>
      <c r="R211" s="191">
        <f t="shared" si="382"/>
        <v>0</v>
      </c>
      <c r="S211" s="189">
        <f t="shared" si="382"/>
        <v>0</v>
      </c>
      <c r="T211" s="190">
        <f t="shared" si="383"/>
        <v>0</v>
      </c>
      <c r="U211" s="191">
        <f t="shared" si="384"/>
        <v>0</v>
      </c>
      <c r="V211" s="189">
        <f t="shared" si="384"/>
        <v>0</v>
      </c>
      <c r="W211" s="190">
        <f t="shared" si="385"/>
        <v>0</v>
      </c>
      <c r="X211" s="191">
        <f t="shared" si="386"/>
        <v>0</v>
      </c>
      <c r="Y211" s="189">
        <f t="shared" si="386"/>
        <v>0</v>
      </c>
      <c r="Z211" s="190">
        <f t="shared" si="387"/>
        <v>0</v>
      </c>
      <c r="AA211" s="191">
        <f t="shared" si="388"/>
        <v>0</v>
      </c>
      <c r="AB211" s="189">
        <f t="shared" si="388"/>
        <v>0</v>
      </c>
      <c r="AC211" s="190">
        <f t="shared" si="389"/>
        <v>0</v>
      </c>
      <c r="AD211" s="191">
        <f t="shared" si="390"/>
        <v>0</v>
      </c>
      <c r="AE211" s="189">
        <f t="shared" si="390"/>
        <v>0</v>
      </c>
      <c r="AF211" s="190">
        <f t="shared" si="391"/>
        <v>0</v>
      </c>
      <c r="AG211" s="191">
        <f t="shared" si="392"/>
        <v>0</v>
      </c>
      <c r="AH211" s="189">
        <f t="shared" si="392"/>
        <v>0</v>
      </c>
      <c r="AI211" s="190">
        <f t="shared" si="393"/>
        <v>0</v>
      </c>
      <c r="AJ211" s="191">
        <f t="shared" si="394"/>
        <v>0</v>
      </c>
      <c r="AK211" s="189">
        <f t="shared" si="394"/>
        <v>0</v>
      </c>
      <c r="AL211" s="190">
        <f t="shared" si="395"/>
        <v>0</v>
      </c>
      <c r="AM211" s="191">
        <f t="shared" si="396"/>
        <v>0</v>
      </c>
      <c r="AN211" s="189">
        <f t="shared" si="396"/>
        <v>0</v>
      </c>
      <c r="AO211" s="190">
        <f t="shared" si="397"/>
        <v>0</v>
      </c>
      <c r="AP211" s="191">
        <f t="shared" si="398"/>
        <v>0</v>
      </c>
      <c r="AQ211" s="189">
        <f t="shared" si="398"/>
        <v>0</v>
      </c>
      <c r="AR211" s="190">
        <f t="shared" si="399"/>
        <v>0</v>
      </c>
      <c r="AS211" s="191">
        <f t="shared" si="400"/>
        <v>0</v>
      </c>
      <c r="AT211" s="189">
        <f t="shared" si="400"/>
        <v>0</v>
      </c>
      <c r="AU211" s="190">
        <f t="shared" si="401"/>
        <v>0</v>
      </c>
      <c r="AV211" s="191">
        <f t="shared" si="402"/>
        <v>0</v>
      </c>
      <c r="AW211" s="189">
        <f t="shared" si="402"/>
        <v>0</v>
      </c>
      <c r="AX211" s="190">
        <f t="shared" si="403"/>
        <v>0</v>
      </c>
      <c r="AY211" s="189">
        <f t="shared" si="404"/>
        <v>0</v>
      </c>
      <c r="AZ211" s="189">
        <f t="shared" si="404"/>
        <v>0</v>
      </c>
      <c r="BA211" s="190">
        <f t="shared" si="405"/>
        <v>0</v>
      </c>
      <c r="BB211" s="191">
        <f t="shared" si="406"/>
        <v>0</v>
      </c>
      <c r="BC211" s="189">
        <f t="shared" si="406"/>
        <v>0</v>
      </c>
      <c r="BD211" s="190">
        <f t="shared" si="407"/>
        <v>0</v>
      </c>
      <c r="BE211" s="191">
        <f t="shared" si="408"/>
        <v>0</v>
      </c>
      <c r="BF211" s="191">
        <f t="shared" si="408"/>
        <v>0</v>
      </c>
      <c r="BG211" s="188">
        <f t="shared" ref="BG211" si="410">IF(OR(BG10=0,BG179=0),0,1000/(BG10/BG179))</f>
        <v>0</v>
      </c>
    </row>
    <row r="212" spans="1:59" ht="13.5" hidden="1" customHeight="1" outlineLevel="1" x14ac:dyDescent="0.25">
      <c r="A212" s="72"/>
      <c r="B212" s="71" t="s">
        <v>34</v>
      </c>
      <c r="C212" s="70" t="s">
        <v>84</v>
      </c>
      <c r="D212" s="180">
        <f t="shared" si="374"/>
        <v>0</v>
      </c>
      <c r="E212" s="180">
        <f t="shared" si="374"/>
        <v>0</v>
      </c>
      <c r="F212" s="183">
        <f t="shared" si="374"/>
        <v>0</v>
      </c>
      <c r="G212" s="181">
        <f t="shared" si="374"/>
        <v>0</v>
      </c>
      <c r="H212" s="178">
        <f t="shared" si="375"/>
        <v>0</v>
      </c>
      <c r="I212" s="183">
        <f t="shared" si="376"/>
        <v>0</v>
      </c>
      <c r="J212" s="181">
        <f t="shared" si="376"/>
        <v>0</v>
      </c>
      <c r="K212" s="178">
        <f t="shared" si="377"/>
        <v>0</v>
      </c>
      <c r="L212" s="183">
        <f t="shared" si="378"/>
        <v>0</v>
      </c>
      <c r="M212" s="181">
        <f t="shared" si="378"/>
        <v>0</v>
      </c>
      <c r="N212" s="178">
        <f t="shared" si="379"/>
        <v>0</v>
      </c>
      <c r="O212" s="183">
        <f t="shared" si="380"/>
        <v>0</v>
      </c>
      <c r="P212" s="181">
        <f t="shared" si="380"/>
        <v>0</v>
      </c>
      <c r="Q212" s="178">
        <f t="shared" si="381"/>
        <v>0</v>
      </c>
      <c r="R212" s="183">
        <f t="shared" si="382"/>
        <v>0</v>
      </c>
      <c r="S212" s="181">
        <f t="shared" si="382"/>
        <v>0</v>
      </c>
      <c r="T212" s="178">
        <f t="shared" si="383"/>
        <v>0</v>
      </c>
      <c r="U212" s="183">
        <f t="shared" si="384"/>
        <v>0</v>
      </c>
      <c r="V212" s="181">
        <f t="shared" si="384"/>
        <v>0</v>
      </c>
      <c r="W212" s="178">
        <f t="shared" si="385"/>
        <v>0</v>
      </c>
      <c r="X212" s="183">
        <f t="shared" si="386"/>
        <v>0</v>
      </c>
      <c r="Y212" s="181">
        <f t="shared" si="386"/>
        <v>0</v>
      </c>
      <c r="Z212" s="178">
        <f t="shared" si="387"/>
        <v>0</v>
      </c>
      <c r="AA212" s="183">
        <f t="shared" si="388"/>
        <v>0</v>
      </c>
      <c r="AB212" s="181">
        <f t="shared" si="388"/>
        <v>0</v>
      </c>
      <c r="AC212" s="178">
        <f t="shared" si="389"/>
        <v>0</v>
      </c>
      <c r="AD212" s="183">
        <f t="shared" si="390"/>
        <v>0</v>
      </c>
      <c r="AE212" s="181">
        <f t="shared" si="390"/>
        <v>0</v>
      </c>
      <c r="AF212" s="178">
        <f t="shared" si="391"/>
        <v>0</v>
      </c>
      <c r="AG212" s="183">
        <f t="shared" si="392"/>
        <v>0</v>
      </c>
      <c r="AH212" s="181">
        <f t="shared" si="392"/>
        <v>0</v>
      </c>
      <c r="AI212" s="178">
        <f t="shared" si="393"/>
        <v>0</v>
      </c>
      <c r="AJ212" s="183">
        <f t="shared" si="394"/>
        <v>0</v>
      </c>
      <c r="AK212" s="181">
        <f t="shared" si="394"/>
        <v>0</v>
      </c>
      <c r="AL212" s="178">
        <f t="shared" si="395"/>
        <v>0</v>
      </c>
      <c r="AM212" s="183">
        <f t="shared" si="396"/>
        <v>0</v>
      </c>
      <c r="AN212" s="181">
        <f t="shared" si="396"/>
        <v>0</v>
      </c>
      <c r="AO212" s="178">
        <f t="shared" si="397"/>
        <v>0</v>
      </c>
      <c r="AP212" s="183">
        <f t="shared" si="398"/>
        <v>0</v>
      </c>
      <c r="AQ212" s="181">
        <f t="shared" si="398"/>
        <v>0</v>
      </c>
      <c r="AR212" s="178">
        <f t="shared" si="399"/>
        <v>0</v>
      </c>
      <c r="AS212" s="183">
        <f t="shared" si="400"/>
        <v>0</v>
      </c>
      <c r="AT212" s="181">
        <f t="shared" si="400"/>
        <v>0</v>
      </c>
      <c r="AU212" s="178">
        <f t="shared" si="401"/>
        <v>0</v>
      </c>
      <c r="AV212" s="183">
        <f t="shared" si="402"/>
        <v>0</v>
      </c>
      <c r="AW212" s="181">
        <f t="shared" si="402"/>
        <v>0</v>
      </c>
      <c r="AX212" s="178">
        <f t="shared" si="403"/>
        <v>0</v>
      </c>
      <c r="AY212" s="181">
        <f t="shared" si="404"/>
        <v>0</v>
      </c>
      <c r="AZ212" s="181">
        <f t="shared" si="404"/>
        <v>0</v>
      </c>
      <c r="BA212" s="182">
        <f t="shared" si="405"/>
        <v>0</v>
      </c>
      <c r="BB212" s="183">
        <f t="shared" si="406"/>
        <v>0</v>
      </c>
      <c r="BC212" s="181">
        <f t="shared" si="406"/>
        <v>0</v>
      </c>
      <c r="BD212" s="182">
        <f t="shared" si="407"/>
        <v>0</v>
      </c>
      <c r="BE212" s="183">
        <f t="shared" si="408"/>
        <v>0</v>
      </c>
      <c r="BF212" s="183">
        <f t="shared" si="408"/>
        <v>0</v>
      </c>
      <c r="BG212" s="180">
        <f t="shared" ref="BG212" si="411">IF(OR(BG11=0,BG180=0),0,1000/(BG11/BG180))</f>
        <v>0</v>
      </c>
    </row>
    <row r="213" spans="1:59" ht="13.5" hidden="1" customHeight="1" outlineLevel="1" x14ac:dyDescent="0.25">
      <c r="A213" s="72"/>
      <c r="B213" s="71" t="s">
        <v>35</v>
      </c>
      <c r="C213" s="70" t="s">
        <v>84</v>
      </c>
      <c r="D213" s="180">
        <f t="shared" si="374"/>
        <v>0</v>
      </c>
      <c r="E213" s="180">
        <f t="shared" si="374"/>
        <v>0</v>
      </c>
      <c r="F213" s="183">
        <f t="shared" si="374"/>
        <v>0</v>
      </c>
      <c r="G213" s="181">
        <f t="shared" si="374"/>
        <v>0</v>
      </c>
      <c r="H213" s="178">
        <f t="shared" si="375"/>
        <v>0</v>
      </c>
      <c r="I213" s="183">
        <f t="shared" si="376"/>
        <v>0</v>
      </c>
      <c r="J213" s="181">
        <f t="shared" si="376"/>
        <v>0</v>
      </c>
      <c r="K213" s="178">
        <f t="shared" si="377"/>
        <v>0</v>
      </c>
      <c r="L213" s="183">
        <f t="shared" si="378"/>
        <v>0</v>
      </c>
      <c r="M213" s="181">
        <f t="shared" si="378"/>
        <v>0</v>
      </c>
      <c r="N213" s="178">
        <f t="shared" si="379"/>
        <v>0</v>
      </c>
      <c r="O213" s="183">
        <f t="shared" si="380"/>
        <v>0</v>
      </c>
      <c r="P213" s="181">
        <f t="shared" si="380"/>
        <v>0</v>
      </c>
      <c r="Q213" s="178">
        <f t="shared" si="381"/>
        <v>0</v>
      </c>
      <c r="R213" s="183">
        <f t="shared" si="382"/>
        <v>0</v>
      </c>
      <c r="S213" s="181">
        <f t="shared" si="382"/>
        <v>0</v>
      </c>
      <c r="T213" s="178">
        <f t="shared" si="383"/>
        <v>0</v>
      </c>
      <c r="U213" s="183">
        <f t="shared" si="384"/>
        <v>0</v>
      </c>
      <c r="V213" s="181">
        <f t="shared" si="384"/>
        <v>0</v>
      </c>
      <c r="W213" s="178">
        <f t="shared" si="385"/>
        <v>0</v>
      </c>
      <c r="X213" s="183">
        <f t="shared" si="386"/>
        <v>0</v>
      </c>
      <c r="Y213" s="181">
        <f t="shared" si="386"/>
        <v>0</v>
      </c>
      <c r="Z213" s="178">
        <f t="shared" si="387"/>
        <v>0</v>
      </c>
      <c r="AA213" s="183">
        <f t="shared" si="388"/>
        <v>0</v>
      </c>
      <c r="AB213" s="181">
        <f t="shared" si="388"/>
        <v>0</v>
      </c>
      <c r="AC213" s="178">
        <f t="shared" si="389"/>
        <v>0</v>
      </c>
      <c r="AD213" s="183">
        <f t="shared" si="390"/>
        <v>0</v>
      </c>
      <c r="AE213" s="181">
        <f t="shared" si="390"/>
        <v>0</v>
      </c>
      <c r="AF213" s="178">
        <f t="shared" si="391"/>
        <v>0</v>
      </c>
      <c r="AG213" s="183">
        <f t="shared" si="392"/>
        <v>0</v>
      </c>
      <c r="AH213" s="181">
        <f t="shared" si="392"/>
        <v>0</v>
      </c>
      <c r="AI213" s="178">
        <f t="shared" si="393"/>
        <v>0</v>
      </c>
      <c r="AJ213" s="183">
        <f t="shared" si="394"/>
        <v>0</v>
      </c>
      <c r="AK213" s="181">
        <f t="shared" si="394"/>
        <v>0</v>
      </c>
      <c r="AL213" s="178">
        <f t="shared" si="395"/>
        <v>0</v>
      </c>
      <c r="AM213" s="183">
        <f t="shared" si="396"/>
        <v>0</v>
      </c>
      <c r="AN213" s="181">
        <f t="shared" si="396"/>
        <v>0</v>
      </c>
      <c r="AO213" s="178">
        <f t="shared" si="397"/>
        <v>0</v>
      </c>
      <c r="AP213" s="183">
        <f t="shared" si="398"/>
        <v>0</v>
      </c>
      <c r="AQ213" s="181">
        <f t="shared" si="398"/>
        <v>0</v>
      </c>
      <c r="AR213" s="178">
        <f t="shared" si="399"/>
        <v>0</v>
      </c>
      <c r="AS213" s="183">
        <f t="shared" si="400"/>
        <v>0</v>
      </c>
      <c r="AT213" s="181">
        <f t="shared" si="400"/>
        <v>0</v>
      </c>
      <c r="AU213" s="178">
        <f t="shared" si="401"/>
        <v>0</v>
      </c>
      <c r="AV213" s="183">
        <f t="shared" si="402"/>
        <v>0</v>
      </c>
      <c r="AW213" s="181">
        <f t="shared" si="402"/>
        <v>0</v>
      </c>
      <c r="AX213" s="178">
        <f t="shared" si="403"/>
        <v>0</v>
      </c>
      <c r="AY213" s="181">
        <f t="shared" si="404"/>
        <v>0</v>
      </c>
      <c r="AZ213" s="181">
        <f t="shared" si="404"/>
        <v>0</v>
      </c>
      <c r="BA213" s="182">
        <f t="shared" si="405"/>
        <v>0</v>
      </c>
      <c r="BB213" s="183">
        <f t="shared" si="406"/>
        <v>0</v>
      </c>
      <c r="BC213" s="181">
        <f t="shared" si="406"/>
        <v>0</v>
      </c>
      <c r="BD213" s="182">
        <f t="shared" si="407"/>
        <v>0</v>
      </c>
      <c r="BE213" s="183">
        <f t="shared" si="408"/>
        <v>0</v>
      </c>
      <c r="BF213" s="183">
        <f t="shared" si="408"/>
        <v>0</v>
      </c>
      <c r="BG213" s="180">
        <f t="shared" ref="BG213" si="412">IF(OR(BG12=0,BG181=0),0,1000/(BG12/BG181))</f>
        <v>0</v>
      </c>
    </row>
    <row r="214" spans="1:59" ht="13.5" hidden="1" customHeight="1" outlineLevel="1" x14ac:dyDescent="0.25">
      <c r="A214" s="72"/>
      <c r="B214" s="71" t="s">
        <v>36</v>
      </c>
      <c r="C214" s="70" t="s">
        <v>84</v>
      </c>
      <c r="D214" s="180">
        <f t="shared" si="374"/>
        <v>0</v>
      </c>
      <c r="E214" s="180">
        <f t="shared" si="374"/>
        <v>0</v>
      </c>
      <c r="F214" s="183">
        <f t="shared" si="374"/>
        <v>0</v>
      </c>
      <c r="G214" s="181">
        <f t="shared" si="374"/>
        <v>0</v>
      </c>
      <c r="H214" s="178">
        <f t="shared" si="375"/>
        <v>0</v>
      </c>
      <c r="I214" s="183">
        <f t="shared" si="376"/>
        <v>0</v>
      </c>
      <c r="J214" s="181">
        <f t="shared" si="376"/>
        <v>0</v>
      </c>
      <c r="K214" s="178">
        <f t="shared" si="377"/>
        <v>0</v>
      </c>
      <c r="L214" s="183">
        <f t="shared" si="378"/>
        <v>0</v>
      </c>
      <c r="M214" s="181">
        <f t="shared" si="378"/>
        <v>0</v>
      </c>
      <c r="N214" s="178">
        <f t="shared" si="379"/>
        <v>0</v>
      </c>
      <c r="O214" s="183">
        <f t="shared" si="380"/>
        <v>0</v>
      </c>
      <c r="P214" s="181">
        <f t="shared" si="380"/>
        <v>0</v>
      </c>
      <c r="Q214" s="178">
        <f t="shared" si="381"/>
        <v>0</v>
      </c>
      <c r="R214" s="183">
        <f t="shared" si="382"/>
        <v>0</v>
      </c>
      <c r="S214" s="181">
        <f t="shared" si="382"/>
        <v>0</v>
      </c>
      <c r="T214" s="178">
        <f t="shared" si="383"/>
        <v>0</v>
      </c>
      <c r="U214" s="183">
        <f t="shared" si="384"/>
        <v>0</v>
      </c>
      <c r="V214" s="181">
        <f t="shared" si="384"/>
        <v>0</v>
      </c>
      <c r="W214" s="178">
        <f t="shared" si="385"/>
        <v>0</v>
      </c>
      <c r="X214" s="183">
        <f t="shared" si="386"/>
        <v>0</v>
      </c>
      <c r="Y214" s="181">
        <f t="shared" si="386"/>
        <v>0</v>
      </c>
      <c r="Z214" s="178">
        <f t="shared" si="387"/>
        <v>0</v>
      </c>
      <c r="AA214" s="183">
        <f t="shared" si="388"/>
        <v>0</v>
      </c>
      <c r="AB214" s="181">
        <f t="shared" si="388"/>
        <v>0</v>
      </c>
      <c r="AC214" s="178">
        <f t="shared" si="389"/>
        <v>0</v>
      </c>
      <c r="AD214" s="183">
        <f t="shared" si="390"/>
        <v>0</v>
      </c>
      <c r="AE214" s="181">
        <f t="shared" si="390"/>
        <v>0</v>
      </c>
      <c r="AF214" s="178">
        <f t="shared" si="391"/>
        <v>0</v>
      </c>
      <c r="AG214" s="183">
        <f t="shared" si="392"/>
        <v>0</v>
      </c>
      <c r="AH214" s="181">
        <f t="shared" si="392"/>
        <v>0</v>
      </c>
      <c r="AI214" s="178">
        <f t="shared" si="393"/>
        <v>0</v>
      </c>
      <c r="AJ214" s="183">
        <f t="shared" si="394"/>
        <v>0</v>
      </c>
      <c r="AK214" s="181">
        <f t="shared" si="394"/>
        <v>0</v>
      </c>
      <c r="AL214" s="178">
        <f t="shared" si="395"/>
        <v>0</v>
      </c>
      <c r="AM214" s="183">
        <f t="shared" si="396"/>
        <v>0</v>
      </c>
      <c r="AN214" s="181">
        <f t="shared" si="396"/>
        <v>0</v>
      </c>
      <c r="AO214" s="178">
        <f t="shared" si="397"/>
        <v>0</v>
      </c>
      <c r="AP214" s="183">
        <f t="shared" si="398"/>
        <v>0</v>
      </c>
      <c r="AQ214" s="181">
        <f t="shared" si="398"/>
        <v>0</v>
      </c>
      <c r="AR214" s="178">
        <f t="shared" si="399"/>
        <v>0</v>
      </c>
      <c r="AS214" s="183">
        <f t="shared" si="400"/>
        <v>0</v>
      </c>
      <c r="AT214" s="181">
        <f t="shared" si="400"/>
        <v>0</v>
      </c>
      <c r="AU214" s="178">
        <f t="shared" si="401"/>
        <v>0</v>
      </c>
      <c r="AV214" s="183">
        <f t="shared" si="402"/>
        <v>0</v>
      </c>
      <c r="AW214" s="181">
        <f t="shared" si="402"/>
        <v>0</v>
      </c>
      <c r="AX214" s="178">
        <f t="shared" si="403"/>
        <v>0</v>
      </c>
      <c r="AY214" s="181">
        <f t="shared" si="404"/>
        <v>0</v>
      </c>
      <c r="AZ214" s="181">
        <f t="shared" si="404"/>
        <v>0</v>
      </c>
      <c r="BA214" s="182">
        <f t="shared" si="405"/>
        <v>0</v>
      </c>
      <c r="BB214" s="183">
        <f t="shared" si="406"/>
        <v>0</v>
      </c>
      <c r="BC214" s="181">
        <f t="shared" si="406"/>
        <v>0</v>
      </c>
      <c r="BD214" s="182">
        <f t="shared" si="407"/>
        <v>0</v>
      </c>
      <c r="BE214" s="183">
        <f t="shared" si="408"/>
        <v>0</v>
      </c>
      <c r="BF214" s="183">
        <f t="shared" si="408"/>
        <v>0</v>
      </c>
      <c r="BG214" s="180">
        <f t="shared" ref="BG214" si="413">IF(OR(BG13=0,BG182=0),0,1000/(BG13/BG182))</f>
        <v>0</v>
      </c>
    </row>
    <row r="215" spans="1:59" ht="13.5" hidden="1" customHeight="1" outlineLevel="1" x14ac:dyDescent="0.25">
      <c r="A215" s="72"/>
      <c r="B215" s="71" t="s">
        <v>37</v>
      </c>
      <c r="C215" s="70" t="s">
        <v>84</v>
      </c>
      <c r="D215" s="180">
        <f t="shared" si="374"/>
        <v>0</v>
      </c>
      <c r="E215" s="180">
        <f t="shared" si="374"/>
        <v>0</v>
      </c>
      <c r="F215" s="183">
        <f t="shared" si="374"/>
        <v>0</v>
      </c>
      <c r="G215" s="181">
        <f t="shared" si="374"/>
        <v>0</v>
      </c>
      <c r="H215" s="178">
        <f t="shared" si="375"/>
        <v>0</v>
      </c>
      <c r="I215" s="183">
        <f t="shared" si="376"/>
        <v>0</v>
      </c>
      <c r="J215" s="181">
        <f t="shared" si="376"/>
        <v>0</v>
      </c>
      <c r="K215" s="178">
        <f t="shared" si="377"/>
        <v>0</v>
      </c>
      <c r="L215" s="183">
        <f t="shared" si="378"/>
        <v>0</v>
      </c>
      <c r="M215" s="181">
        <f t="shared" si="378"/>
        <v>0</v>
      </c>
      <c r="N215" s="178">
        <f t="shared" si="379"/>
        <v>0</v>
      </c>
      <c r="O215" s="183">
        <f t="shared" si="380"/>
        <v>0</v>
      </c>
      <c r="P215" s="181">
        <f t="shared" si="380"/>
        <v>0</v>
      </c>
      <c r="Q215" s="178">
        <f t="shared" si="381"/>
        <v>0</v>
      </c>
      <c r="R215" s="183">
        <f t="shared" si="382"/>
        <v>0</v>
      </c>
      <c r="S215" s="181">
        <f t="shared" si="382"/>
        <v>0</v>
      </c>
      <c r="T215" s="178">
        <f t="shared" si="383"/>
        <v>0</v>
      </c>
      <c r="U215" s="183">
        <f t="shared" si="384"/>
        <v>0</v>
      </c>
      <c r="V215" s="181">
        <f t="shared" si="384"/>
        <v>0</v>
      </c>
      <c r="W215" s="178">
        <f t="shared" si="385"/>
        <v>0</v>
      </c>
      <c r="X215" s="183">
        <f t="shared" si="386"/>
        <v>0</v>
      </c>
      <c r="Y215" s="181">
        <f t="shared" si="386"/>
        <v>0</v>
      </c>
      <c r="Z215" s="178">
        <f t="shared" si="387"/>
        <v>0</v>
      </c>
      <c r="AA215" s="183">
        <f t="shared" si="388"/>
        <v>0</v>
      </c>
      <c r="AB215" s="181">
        <f t="shared" si="388"/>
        <v>0</v>
      </c>
      <c r="AC215" s="178">
        <f t="shared" si="389"/>
        <v>0</v>
      </c>
      <c r="AD215" s="183">
        <f t="shared" si="390"/>
        <v>0</v>
      </c>
      <c r="AE215" s="181">
        <f t="shared" si="390"/>
        <v>0</v>
      </c>
      <c r="AF215" s="178">
        <f t="shared" si="391"/>
        <v>0</v>
      </c>
      <c r="AG215" s="183">
        <f t="shared" si="392"/>
        <v>0</v>
      </c>
      <c r="AH215" s="181">
        <f t="shared" si="392"/>
        <v>0</v>
      </c>
      <c r="AI215" s="178">
        <f t="shared" si="393"/>
        <v>0</v>
      </c>
      <c r="AJ215" s="183">
        <f t="shared" si="394"/>
        <v>0</v>
      </c>
      <c r="AK215" s="181">
        <f t="shared" si="394"/>
        <v>0</v>
      </c>
      <c r="AL215" s="178">
        <f t="shared" si="395"/>
        <v>0</v>
      </c>
      <c r="AM215" s="183">
        <f t="shared" si="396"/>
        <v>0</v>
      </c>
      <c r="AN215" s="181">
        <f t="shared" si="396"/>
        <v>0</v>
      </c>
      <c r="AO215" s="178">
        <f t="shared" si="397"/>
        <v>0</v>
      </c>
      <c r="AP215" s="183">
        <f t="shared" si="398"/>
        <v>0</v>
      </c>
      <c r="AQ215" s="181">
        <f t="shared" si="398"/>
        <v>0</v>
      </c>
      <c r="AR215" s="178">
        <f t="shared" si="399"/>
        <v>0</v>
      </c>
      <c r="AS215" s="183">
        <f t="shared" si="400"/>
        <v>0</v>
      </c>
      <c r="AT215" s="181">
        <f t="shared" si="400"/>
        <v>0</v>
      </c>
      <c r="AU215" s="178">
        <f t="shared" si="401"/>
        <v>0</v>
      </c>
      <c r="AV215" s="183">
        <f t="shared" si="402"/>
        <v>0</v>
      </c>
      <c r="AW215" s="181">
        <f t="shared" si="402"/>
        <v>0</v>
      </c>
      <c r="AX215" s="178">
        <f t="shared" si="403"/>
        <v>0</v>
      </c>
      <c r="AY215" s="181">
        <f t="shared" si="404"/>
        <v>0</v>
      </c>
      <c r="AZ215" s="181">
        <f t="shared" si="404"/>
        <v>0</v>
      </c>
      <c r="BA215" s="182">
        <f t="shared" si="405"/>
        <v>0</v>
      </c>
      <c r="BB215" s="183">
        <f t="shared" si="406"/>
        <v>0</v>
      </c>
      <c r="BC215" s="181">
        <f t="shared" si="406"/>
        <v>0</v>
      </c>
      <c r="BD215" s="182">
        <f t="shared" si="407"/>
        <v>0</v>
      </c>
      <c r="BE215" s="183">
        <f t="shared" si="408"/>
        <v>0</v>
      </c>
      <c r="BF215" s="183">
        <f t="shared" si="408"/>
        <v>0</v>
      </c>
      <c r="BG215" s="180">
        <f t="shared" ref="BG215" si="414">IF(OR(BG14=0,BG183=0),0,1000/(BG14/BG183))</f>
        <v>0</v>
      </c>
    </row>
    <row r="216" spans="1:59" ht="13.5" hidden="1" customHeight="1" outlineLevel="1" x14ac:dyDescent="0.25">
      <c r="A216" s="72"/>
      <c r="B216" s="71" t="s">
        <v>38</v>
      </c>
      <c r="C216" s="70" t="s">
        <v>84</v>
      </c>
      <c r="D216" s="180">
        <f t="shared" si="374"/>
        <v>0</v>
      </c>
      <c r="E216" s="180">
        <f t="shared" si="374"/>
        <v>0</v>
      </c>
      <c r="F216" s="183">
        <f t="shared" si="374"/>
        <v>0</v>
      </c>
      <c r="G216" s="181">
        <f t="shared" si="374"/>
        <v>0</v>
      </c>
      <c r="H216" s="178">
        <f t="shared" si="375"/>
        <v>0</v>
      </c>
      <c r="I216" s="183">
        <f t="shared" si="376"/>
        <v>0</v>
      </c>
      <c r="J216" s="181">
        <f t="shared" si="376"/>
        <v>0</v>
      </c>
      <c r="K216" s="178">
        <f t="shared" si="377"/>
        <v>0</v>
      </c>
      <c r="L216" s="183">
        <f t="shared" si="378"/>
        <v>0</v>
      </c>
      <c r="M216" s="181">
        <f t="shared" si="378"/>
        <v>0</v>
      </c>
      <c r="N216" s="178">
        <f t="shared" si="379"/>
        <v>0</v>
      </c>
      <c r="O216" s="183">
        <f t="shared" si="380"/>
        <v>0</v>
      </c>
      <c r="P216" s="181">
        <f t="shared" si="380"/>
        <v>0</v>
      </c>
      <c r="Q216" s="178">
        <f t="shared" si="381"/>
        <v>0</v>
      </c>
      <c r="R216" s="183">
        <f t="shared" si="382"/>
        <v>0</v>
      </c>
      <c r="S216" s="181">
        <f t="shared" si="382"/>
        <v>0</v>
      </c>
      <c r="T216" s="178">
        <f t="shared" si="383"/>
        <v>0</v>
      </c>
      <c r="U216" s="183">
        <f t="shared" si="384"/>
        <v>0</v>
      </c>
      <c r="V216" s="181">
        <f t="shared" si="384"/>
        <v>0</v>
      </c>
      <c r="W216" s="178">
        <f t="shared" si="385"/>
        <v>0</v>
      </c>
      <c r="X216" s="183">
        <f t="shared" si="386"/>
        <v>0</v>
      </c>
      <c r="Y216" s="181">
        <f t="shared" si="386"/>
        <v>0</v>
      </c>
      <c r="Z216" s="178">
        <f t="shared" si="387"/>
        <v>0</v>
      </c>
      <c r="AA216" s="183">
        <f t="shared" si="388"/>
        <v>0</v>
      </c>
      <c r="AB216" s="181">
        <f t="shared" si="388"/>
        <v>0</v>
      </c>
      <c r="AC216" s="178">
        <f t="shared" si="389"/>
        <v>0</v>
      </c>
      <c r="AD216" s="183">
        <f t="shared" si="390"/>
        <v>0</v>
      </c>
      <c r="AE216" s="181">
        <f t="shared" si="390"/>
        <v>0</v>
      </c>
      <c r="AF216" s="178">
        <f t="shared" si="391"/>
        <v>0</v>
      </c>
      <c r="AG216" s="183">
        <f t="shared" si="392"/>
        <v>0</v>
      </c>
      <c r="AH216" s="181">
        <f t="shared" si="392"/>
        <v>0</v>
      </c>
      <c r="AI216" s="178">
        <f t="shared" si="393"/>
        <v>0</v>
      </c>
      <c r="AJ216" s="183">
        <f t="shared" si="394"/>
        <v>0</v>
      </c>
      <c r="AK216" s="181">
        <f t="shared" si="394"/>
        <v>0</v>
      </c>
      <c r="AL216" s="178">
        <f t="shared" si="395"/>
        <v>0</v>
      </c>
      <c r="AM216" s="183">
        <f t="shared" si="396"/>
        <v>0</v>
      </c>
      <c r="AN216" s="181">
        <f t="shared" si="396"/>
        <v>0</v>
      </c>
      <c r="AO216" s="178">
        <f t="shared" si="397"/>
        <v>0</v>
      </c>
      <c r="AP216" s="183">
        <f t="shared" si="398"/>
        <v>0</v>
      </c>
      <c r="AQ216" s="181">
        <f t="shared" si="398"/>
        <v>0</v>
      </c>
      <c r="AR216" s="178">
        <f t="shared" si="399"/>
        <v>0</v>
      </c>
      <c r="AS216" s="183">
        <f t="shared" si="400"/>
        <v>0</v>
      </c>
      <c r="AT216" s="181">
        <f t="shared" si="400"/>
        <v>0</v>
      </c>
      <c r="AU216" s="178">
        <f t="shared" si="401"/>
        <v>0</v>
      </c>
      <c r="AV216" s="183">
        <f t="shared" si="402"/>
        <v>0</v>
      </c>
      <c r="AW216" s="181">
        <f t="shared" si="402"/>
        <v>0</v>
      </c>
      <c r="AX216" s="178">
        <f t="shared" si="403"/>
        <v>0</v>
      </c>
      <c r="AY216" s="181">
        <f t="shared" si="404"/>
        <v>0</v>
      </c>
      <c r="AZ216" s="181">
        <f t="shared" si="404"/>
        <v>0</v>
      </c>
      <c r="BA216" s="182">
        <f t="shared" si="405"/>
        <v>0</v>
      </c>
      <c r="BB216" s="183">
        <f t="shared" si="406"/>
        <v>0</v>
      </c>
      <c r="BC216" s="181">
        <f t="shared" si="406"/>
        <v>0</v>
      </c>
      <c r="BD216" s="182">
        <f t="shared" si="407"/>
        <v>0</v>
      </c>
      <c r="BE216" s="183">
        <f t="shared" si="408"/>
        <v>0</v>
      </c>
      <c r="BF216" s="183">
        <f t="shared" si="408"/>
        <v>0</v>
      </c>
      <c r="BG216" s="180">
        <f t="shared" ref="BG216" si="415">IF(OR(BG15=0,BG184=0),0,1000/(BG15/BG184))</f>
        <v>0</v>
      </c>
    </row>
    <row r="217" spans="1:59" ht="13.5" hidden="1" customHeight="1" outlineLevel="1" x14ac:dyDescent="0.25">
      <c r="A217" s="72"/>
      <c r="B217" s="71" t="s">
        <v>39</v>
      </c>
      <c r="C217" s="70" t="s">
        <v>84</v>
      </c>
      <c r="D217" s="176">
        <f t="shared" si="374"/>
        <v>0</v>
      </c>
      <c r="E217" s="176">
        <f t="shared" si="374"/>
        <v>0</v>
      </c>
      <c r="F217" s="179">
        <f t="shared" si="374"/>
        <v>0</v>
      </c>
      <c r="G217" s="177">
        <f t="shared" si="374"/>
        <v>0</v>
      </c>
      <c r="H217" s="178">
        <f t="shared" si="375"/>
        <v>0</v>
      </c>
      <c r="I217" s="179">
        <f t="shared" si="376"/>
        <v>0</v>
      </c>
      <c r="J217" s="177">
        <f t="shared" si="376"/>
        <v>0</v>
      </c>
      <c r="K217" s="178">
        <f t="shared" si="377"/>
        <v>0</v>
      </c>
      <c r="L217" s="179">
        <f t="shared" si="378"/>
        <v>0</v>
      </c>
      <c r="M217" s="177">
        <f t="shared" si="378"/>
        <v>0</v>
      </c>
      <c r="N217" s="178">
        <f t="shared" si="379"/>
        <v>0</v>
      </c>
      <c r="O217" s="179">
        <f t="shared" si="380"/>
        <v>0</v>
      </c>
      <c r="P217" s="177">
        <f t="shared" si="380"/>
        <v>0</v>
      </c>
      <c r="Q217" s="178">
        <f t="shared" si="381"/>
        <v>0</v>
      </c>
      <c r="R217" s="179">
        <f t="shared" si="382"/>
        <v>0</v>
      </c>
      <c r="S217" s="177">
        <f t="shared" si="382"/>
        <v>0</v>
      </c>
      <c r="T217" s="178">
        <f t="shared" si="383"/>
        <v>0</v>
      </c>
      <c r="U217" s="179">
        <f t="shared" si="384"/>
        <v>0</v>
      </c>
      <c r="V217" s="177">
        <f t="shared" si="384"/>
        <v>0</v>
      </c>
      <c r="W217" s="178">
        <f t="shared" si="385"/>
        <v>0</v>
      </c>
      <c r="X217" s="179">
        <f t="shared" si="386"/>
        <v>0</v>
      </c>
      <c r="Y217" s="177">
        <f t="shared" si="386"/>
        <v>0</v>
      </c>
      <c r="Z217" s="178">
        <f t="shared" si="387"/>
        <v>0</v>
      </c>
      <c r="AA217" s="179">
        <f t="shared" si="388"/>
        <v>0</v>
      </c>
      <c r="AB217" s="177">
        <f t="shared" si="388"/>
        <v>0</v>
      </c>
      <c r="AC217" s="178">
        <f t="shared" si="389"/>
        <v>0</v>
      </c>
      <c r="AD217" s="179">
        <f t="shared" si="390"/>
        <v>0</v>
      </c>
      <c r="AE217" s="177">
        <f t="shared" si="390"/>
        <v>0</v>
      </c>
      <c r="AF217" s="178">
        <f t="shared" si="391"/>
        <v>0</v>
      </c>
      <c r="AG217" s="179">
        <f t="shared" si="392"/>
        <v>0</v>
      </c>
      <c r="AH217" s="177">
        <f t="shared" si="392"/>
        <v>0</v>
      </c>
      <c r="AI217" s="178">
        <f t="shared" si="393"/>
        <v>0</v>
      </c>
      <c r="AJ217" s="179">
        <f t="shared" si="394"/>
        <v>0</v>
      </c>
      <c r="AK217" s="177">
        <f t="shared" si="394"/>
        <v>0</v>
      </c>
      <c r="AL217" s="178">
        <f t="shared" si="395"/>
        <v>0</v>
      </c>
      <c r="AM217" s="179">
        <f t="shared" si="396"/>
        <v>0</v>
      </c>
      <c r="AN217" s="177">
        <f t="shared" si="396"/>
        <v>0</v>
      </c>
      <c r="AO217" s="178">
        <f t="shared" si="397"/>
        <v>0</v>
      </c>
      <c r="AP217" s="179">
        <f t="shared" si="398"/>
        <v>0</v>
      </c>
      <c r="AQ217" s="177">
        <f t="shared" si="398"/>
        <v>0</v>
      </c>
      <c r="AR217" s="178">
        <f t="shared" si="399"/>
        <v>0</v>
      </c>
      <c r="AS217" s="179">
        <f t="shared" si="400"/>
        <v>0</v>
      </c>
      <c r="AT217" s="177">
        <f t="shared" si="400"/>
        <v>0</v>
      </c>
      <c r="AU217" s="178">
        <f t="shared" si="401"/>
        <v>0</v>
      </c>
      <c r="AV217" s="179">
        <f t="shared" si="402"/>
        <v>0</v>
      </c>
      <c r="AW217" s="177">
        <f t="shared" si="402"/>
        <v>0</v>
      </c>
      <c r="AX217" s="178">
        <f t="shared" si="403"/>
        <v>0</v>
      </c>
      <c r="AY217" s="177">
        <f t="shared" si="404"/>
        <v>0</v>
      </c>
      <c r="AZ217" s="177">
        <f t="shared" si="404"/>
        <v>0</v>
      </c>
      <c r="BA217" s="178">
        <f t="shared" si="405"/>
        <v>0</v>
      </c>
      <c r="BB217" s="179">
        <f t="shared" si="406"/>
        <v>0</v>
      </c>
      <c r="BC217" s="177">
        <f t="shared" si="406"/>
        <v>0</v>
      </c>
      <c r="BD217" s="178">
        <f t="shared" si="407"/>
        <v>0</v>
      </c>
      <c r="BE217" s="179">
        <f t="shared" si="408"/>
        <v>0</v>
      </c>
      <c r="BF217" s="179">
        <f t="shared" si="408"/>
        <v>0</v>
      </c>
      <c r="BG217" s="176">
        <f t="shared" ref="BG217" si="416">IF(OR(BG16=0,BG185=0),0,1000/(BG16/BG185))</f>
        <v>0</v>
      </c>
    </row>
    <row r="218" spans="1:59" ht="13.5" hidden="1" customHeight="1" outlineLevel="1" x14ac:dyDescent="0.25">
      <c r="A218" s="72"/>
      <c r="B218" s="71" t="s">
        <v>40</v>
      </c>
      <c r="C218" s="70" t="s">
        <v>84</v>
      </c>
      <c r="D218" s="172">
        <f t="shared" si="374"/>
        <v>0</v>
      </c>
      <c r="E218" s="172">
        <f t="shared" si="374"/>
        <v>0</v>
      </c>
      <c r="F218" s="175">
        <f t="shared" si="374"/>
        <v>0</v>
      </c>
      <c r="G218" s="173">
        <f t="shared" si="374"/>
        <v>0</v>
      </c>
      <c r="H218" s="69">
        <f t="shared" si="375"/>
        <v>0</v>
      </c>
      <c r="I218" s="175">
        <f t="shared" si="376"/>
        <v>0</v>
      </c>
      <c r="J218" s="173">
        <f t="shared" si="376"/>
        <v>0</v>
      </c>
      <c r="K218" s="69">
        <f t="shared" si="377"/>
        <v>0</v>
      </c>
      <c r="L218" s="175">
        <f t="shared" si="378"/>
        <v>0</v>
      </c>
      <c r="M218" s="173">
        <f t="shared" si="378"/>
        <v>0</v>
      </c>
      <c r="N218" s="69">
        <f t="shared" si="379"/>
        <v>0</v>
      </c>
      <c r="O218" s="175">
        <f t="shared" si="380"/>
        <v>0</v>
      </c>
      <c r="P218" s="173">
        <f t="shared" si="380"/>
        <v>0</v>
      </c>
      <c r="Q218" s="69">
        <f t="shared" si="381"/>
        <v>0</v>
      </c>
      <c r="R218" s="175">
        <f t="shared" si="382"/>
        <v>0</v>
      </c>
      <c r="S218" s="173">
        <f t="shared" si="382"/>
        <v>0</v>
      </c>
      <c r="T218" s="69">
        <f t="shared" si="383"/>
        <v>0</v>
      </c>
      <c r="U218" s="175">
        <f t="shared" si="384"/>
        <v>0</v>
      </c>
      <c r="V218" s="173">
        <f t="shared" si="384"/>
        <v>0</v>
      </c>
      <c r="W218" s="69">
        <f t="shared" si="385"/>
        <v>0</v>
      </c>
      <c r="X218" s="175">
        <f t="shared" si="386"/>
        <v>0</v>
      </c>
      <c r="Y218" s="173">
        <f t="shared" si="386"/>
        <v>0</v>
      </c>
      <c r="Z218" s="69">
        <f t="shared" si="387"/>
        <v>0</v>
      </c>
      <c r="AA218" s="175">
        <f t="shared" si="388"/>
        <v>0</v>
      </c>
      <c r="AB218" s="173">
        <f t="shared" si="388"/>
        <v>0</v>
      </c>
      <c r="AC218" s="69">
        <f t="shared" si="389"/>
        <v>0</v>
      </c>
      <c r="AD218" s="175">
        <f t="shared" si="390"/>
        <v>0</v>
      </c>
      <c r="AE218" s="173">
        <f t="shared" si="390"/>
        <v>0</v>
      </c>
      <c r="AF218" s="69">
        <f t="shared" si="391"/>
        <v>0</v>
      </c>
      <c r="AG218" s="175">
        <f t="shared" si="392"/>
        <v>0</v>
      </c>
      <c r="AH218" s="173">
        <f t="shared" si="392"/>
        <v>0</v>
      </c>
      <c r="AI218" s="69">
        <f t="shared" si="393"/>
        <v>0</v>
      </c>
      <c r="AJ218" s="175">
        <f t="shared" si="394"/>
        <v>0</v>
      </c>
      <c r="AK218" s="173">
        <f t="shared" si="394"/>
        <v>0</v>
      </c>
      <c r="AL218" s="69">
        <f t="shared" si="395"/>
        <v>0</v>
      </c>
      <c r="AM218" s="175">
        <f t="shared" si="396"/>
        <v>0</v>
      </c>
      <c r="AN218" s="173">
        <f t="shared" si="396"/>
        <v>0</v>
      </c>
      <c r="AO218" s="69">
        <f t="shared" si="397"/>
        <v>0</v>
      </c>
      <c r="AP218" s="175">
        <f t="shared" si="398"/>
        <v>0</v>
      </c>
      <c r="AQ218" s="173">
        <f t="shared" si="398"/>
        <v>0</v>
      </c>
      <c r="AR218" s="69">
        <f t="shared" si="399"/>
        <v>0</v>
      </c>
      <c r="AS218" s="175">
        <f t="shared" si="400"/>
        <v>0</v>
      </c>
      <c r="AT218" s="173">
        <f t="shared" si="400"/>
        <v>0</v>
      </c>
      <c r="AU218" s="69">
        <f t="shared" si="401"/>
        <v>0</v>
      </c>
      <c r="AV218" s="175">
        <f t="shared" si="402"/>
        <v>0</v>
      </c>
      <c r="AW218" s="173">
        <f t="shared" si="402"/>
        <v>0</v>
      </c>
      <c r="AX218" s="69">
        <f t="shared" si="403"/>
        <v>0</v>
      </c>
      <c r="AY218" s="173">
        <f t="shared" si="404"/>
        <v>0</v>
      </c>
      <c r="AZ218" s="173">
        <f t="shared" si="404"/>
        <v>0</v>
      </c>
      <c r="BA218" s="174">
        <f t="shared" si="405"/>
        <v>0</v>
      </c>
      <c r="BB218" s="175">
        <f t="shared" si="406"/>
        <v>0</v>
      </c>
      <c r="BC218" s="173">
        <f t="shared" si="406"/>
        <v>0</v>
      </c>
      <c r="BD218" s="174">
        <f t="shared" si="407"/>
        <v>0</v>
      </c>
      <c r="BE218" s="175">
        <f t="shared" si="408"/>
        <v>0</v>
      </c>
      <c r="BF218" s="175">
        <f t="shared" si="408"/>
        <v>0</v>
      </c>
      <c r="BG218" s="172">
        <f t="shared" ref="BG218" si="417">IF(OR(BG17=0,BG186=0),0,1000/(BG17/BG186))</f>
        <v>0</v>
      </c>
    </row>
    <row r="219" spans="1:59" ht="13.5" hidden="1" customHeight="1" outlineLevel="1" x14ac:dyDescent="0.25">
      <c r="A219" s="72"/>
      <c r="B219" s="71" t="s">
        <v>41</v>
      </c>
      <c r="C219" s="70" t="s">
        <v>84</v>
      </c>
      <c r="D219" s="176">
        <f t="shared" si="374"/>
        <v>0</v>
      </c>
      <c r="E219" s="176">
        <f t="shared" si="374"/>
        <v>0</v>
      </c>
      <c r="F219" s="179">
        <f t="shared" si="374"/>
        <v>0</v>
      </c>
      <c r="G219" s="177">
        <f t="shared" si="374"/>
        <v>0</v>
      </c>
      <c r="H219" s="178">
        <f t="shared" si="375"/>
        <v>0</v>
      </c>
      <c r="I219" s="179">
        <f t="shared" si="376"/>
        <v>0</v>
      </c>
      <c r="J219" s="177">
        <f t="shared" si="376"/>
        <v>0</v>
      </c>
      <c r="K219" s="178">
        <f t="shared" si="377"/>
        <v>0</v>
      </c>
      <c r="L219" s="179">
        <f t="shared" si="378"/>
        <v>0</v>
      </c>
      <c r="M219" s="177">
        <f t="shared" si="378"/>
        <v>0</v>
      </c>
      <c r="N219" s="178">
        <f t="shared" si="379"/>
        <v>0</v>
      </c>
      <c r="O219" s="179">
        <f t="shared" si="380"/>
        <v>0</v>
      </c>
      <c r="P219" s="177">
        <f t="shared" si="380"/>
        <v>0</v>
      </c>
      <c r="Q219" s="178">
        <f t="shared" si="381"/>
        <v>0</v>
      </c>
      <c r="R219" s="179">
        <f t="shared" si="382"/>
        <v>0</v>
      </c>
      <c r="S219" s="177">
        <f t="shared" si="382"/>
        <v>0</v>
      </c>
      <c r="T219" s="178">
        <f t="shared" si="383"/>
        <v>0</v>
      </c>
      <c r="U219" s="179">
        <f t="shared" si="384"/>
        <v>0</v>
      </c>
      <c r="V219" s="177">
        <f t="shared" si="384"/>
        <v>0</v>
      </c>
      <c r="W219" s="178">
        <f t="shared" si="385"/>
        <v>0</v>
      </c>
      <c r="X219" s="179">
        <f t="shared" si="386"/>
        <v>0</v>
      </c>
      <c r="Y219" s="177">
        <f t="shared" si="386"/>
        <v>0</v>
      </c>
      <c r="Z219" s="178">
        <f t="shared" si="387"/>
        <v>0</v>
      </c>
      <c r="AA219" s="179">
        <f t="shared" si="388"/>
        <v>0</v>
      </c>
      <c r="AB219" s="177">
        <f t="shared" si="388"/>
        <v>0</v>
      </c>
      <c r="AC219" s="178">
        <f t="shared" si="389"/>
        <v>0</v>
      </c>
      <c r="AD219" s="179">
        <f t="shared" si="390"/>
        <v>0</v>
      </c>
      <c r="AE219" s="177">
        <f t="shared" si="390"/>
        <v>0</v>
      </c>
      <c r="AF219" s="178">
        <f t="shared" si="391"/>
        <v>0</v>
      </c>
      <c r="AG219" s="179">
        <f t="shared" si="392"/>
        <v>0</v>
      </c>
      <c r="AH219" s="177">
        <f t="shared" si="392"/>
        <v>0</v>
      </c>
      <c r="AI219" s="178">
        <f t="shared" si="393"/>
        <v>0</v>
      </c>
      <c r="AJ219" s="179">
        <f t="shared" si="394"/>
        <v>0</v>
      </c>
      <c r="AK219" s="177">
        <f t="shared" si="394"/>
        <v>0</v>
      </c>
      <c r="AL219" s="178">
        <f t="shared" si="395"/>
        <v>0</v>
      </c>
      <c r="AM219" s="179">
        <f t="shared" si="396"/>
        <v>0</v>
      </c>
      <c r="AN219" s="177">
        <f t="shared" si="396"/>
        <v>0</v>
      </c>
      <c r="AO219" s="178">
        <f t="shared" si="397"/>
        <v>0</v>
      </c>
      <c r="AP219" s="179">
        <f t="shared" si="398"/>
        <v>0</v>
      </c>
      <c r="AQ219" s="177">
        <f t="shared" si="398"/>
        <v>0</v>
      </c>
      <c r="AR219" s="178">
        <f t="shared" si="399"/>
        <v>0</v>
      </c>
      <c r="AS219" s="179">
        <f t="shared" si="400"/>
        <v>0</v>
      </c>
      <c r="AT219" s="177">
        <f t="shared" si="400"/>
        <v>0</v>
      </c>
      <c r="AU219" s="178">
        <f t="shared" si="401"/>
        <v>0</v>
      </c>
      <c r="AV219" s="179">
        <f t="shared" si="402"/>
        <v>0</v>
      </c>
      <c r="AW219" s="177">
        <f t="shared" si="402"/>
        <v>0</v>
      </c>
      <c r="AX219" s="178">
        <f t="shared" si="403"/>
        <v>0</v>
      </c>
      <c r="AY219" s="177">
        <f t="shared" si="404"/>
        <v>0</v>
      </c>
      <c r="AZ219" s="177">
        <f t="shared" si="404"/>
        <v>0</v>
      </c>
      <c r="BA219" s="178">
        <f t="shared" si="405"/>
        <v>0</v>
      </c>
      <c r="BB219" s="179">
        <f t="shared" si="406"/>
        <v>0</v>
      </c>
      <c r="BC219" s="177">
        <f t="shared" si="406"/>
        <v>0</v>
      </c>
      <c r="BD219" s="178">
        <f t="shared" si="407"/>
        <v>0</v>
      </c>
      <c r="BE219" s="179">
        <f t="shared" si="408"/>
        <v>0</v>
      </c>
      <c r="BF219" s="179">
        <f t="shared" si="408"/>
        <v>0</v>
      </c>
      <c r="BG219" s="176">
        <f t="shared" ref="BG219" si="418">IF(OR(BG18=0,BG187=0),0,1000/(BG18/BG187))</f>
        <v>0</v>
      </c>
    </row>
    <row r="220" spans="1:59" ht="13.5" hidden="1" customHeight="1" outlineLevel="1" x14ac:dyDescent="0.25">
      <c r="A220" s="60"/>
      <c r="B220" s="68" t="s">
        <v>42</v>
      </c>
      <c r="C220" s="75" t="s">
        <v>84</v>
      </c>
      <c r="D220" s="20">
        <f t="shared" si="374"/>
        <v>0</v>
      </c>
      <c r="E220" s="20">
        <f t="shared" si="374"/>
        <v>0</v>
      </c>
      <c r="F220" s="24">
        <f t="shared" si="374"/>
        <v>0</v>
      </c>
      <c r="G220" s="23">
        <f t="shared" si="374"/>
        <v>0</v>
      </c>
      <c r="H220" s="22">
        <f t="shared" si="375"/>
        <v>0</v>
      </c>
      <c r="I220" s="24">
        <f t="shared" si="376"/>
        <v>0</v>
      </c>
      <c r="J220" s="23">
        <f t="shared" si="376"/>
        <v>0</v>
      </c>
      <c r="K220" s="22">
        <f t="shared" si="377"/>
        <v>0</v>
      </c>
      <c r="L220" s="24">
        <f t="shared" si="378"/>
        <v>0</v>
      </c>
      <c r="M220" s="23">
        <f t="shared" si="378"/>
        <v>0</v>
      </c>
      <c r="N220" s="22">
        <f t="shared" si="379"/>
        <v>0</v>
      </c>
      <c r="O220" s="24">
        <f t="shared" si="380"/>
        <v>0</v>
      </c>
      <c r="P220" s="23">
        <f t="shared" si="380"/>
        <v>0</v>
      </c>
      <c r="Q220" s="22">
        <f t="shared" si="381"/>
        <v>0</v>
      </c>
      <c r="R220" s="24">
        <f t="shared" si="382"/>
        <v>0</v>
      </c>
      <c r="S220" s="23">
        <f t="shared" si="382"/>
        <v>0</v>
      </c>
      <c r="T220" s="22">
        <f t="shared" si="383"/>
        <v>0</v>
      </c>
      <c r="U220" s="24">
        <f t="shared" si="384"/>
        <v>0</v>
      </c>
      <c r="V220" s="23">
        <f t="shared" si="384"/>
        <v>0</v>
      </c>
      <c r="W220" s="22">
        <f t="shared" si="385"/>
        <v>0</v>
      </c>
      <c r="X220" s="24">
        <f t="shared" si="386"/>
        <v>0</v>
      </c>
      <c r="Y220" s="23">
        <f t="shared" si="386"/>
        <v>0</v>
      </c>
      <c r="Z220" s="22">
        <f t="shared" si="387"/>
        <v>0</v>
      </c>
      <c r="AA220" s="24">
        <f t="shared" si="388"/>
        <v>0</v>
      </c>
      <c r="AB220" s="23">
        <f t="shared" si="388"/>
        <v>0</v>
      </c>
      <c r="AC220" s="22">
        <f t="shared" si="389"/>
        <v>0</v>
      </c>
      <c r="AD220" s="24">
        <f t="shared" si="390"/>
        <v>0</v>
      </c>
      <c r="AE220" s="23">
        <f t="shared" si="390"/>
        <v>0</v>
      </c>
      <c r="AF220" s="22">
        <f t="shared" si="391"/>
        <v>0</v>
      </c>
      <c r="AG220" s="24">
        <f t="shared" si="392"/>
        <v>0</v>
      </c>
      <c r="AH220" s="23">
        <f t="shared" si="392"/>
        <v>0</v>
      </c>
      <c r="AI220" s="22">
        <f t="shared" si="393"/>
        <v>0</v>
      </c>
      <c r="AJ220" s="24">
        <f t="shared" si="394"/>
        <v>0</v>
      </c>
      <c r="AK220" s="23">
        <f t="shared" si="394"/>
        <v>0</v>
      </c>
      <c r="AL220" s="22">
        <f t="shared" si="395"/>
        <v>0</v>
      </c>
      <c r="AM220" s="24">
        <f t="shared" si="396"/>
        <v>0</v>
      </c>
      <c r="AN220" s="23">
        <f t="shared" si="396"/>
        <v>0</v>
      </c>
      <c r="AO220" s="22">
        <f t="shared" si="397"/>
        <v>0</v>
      </c>
      <c r="AP220" s="24">
        <f t="shared" si="398"/>
        <v>0</v>
      </c>
      <c r="AQ220" s="23">
        <f t="shared" si="398"/>
        <v>0</v>
      </c>
      <c r="AR220" s="22">
        <f t="shared" si="399"/>
        <v>0</v>
      </c>
      <c r="AS220" s="24">
        <f t="shared" si="400"/>
        <v>0</v>
      </c>
      <c r="AT220" s="23">
        <f t="shared" si="400"/>
        <v>0</v>
      </c>
      <c r="AU220" s="22">
        <f t="shared" si="401"/>
        <v>0</v>
      </c>
      <c r="AV220" s="24">
        <f t="shared" si="402"/>
        <v>0</v>
      </c>
      <c r="AW220" s="23">
        <f t="shared" si="402"/>
        <v>0</v>
      </c>
      <c r="AX220" s="22">
        <f t="shared" si="403"/>
        <v>0</v>
      </c>
      <c r="AY220" s="23">
        <f t="shared" si="404"/>
        <v>0</v>
      </c>
      <c r="AZ220" s="23">
        <f t="shared" si="404"/>
        <v>0</v>
      </c>
      <c r="BA220" s="22">
        <f t="shared" si="405"/>
        <v>0</v>
      </c>
      <c r="BB220" s="24">
        <f t="shared" si="406"/>
        <v>0</v>
      </c>
      <c r="BC220" s="23">
        <f t="shared" si="406"/>
        <v>0</v>
      </c>
      <c r="BD220" s="22">
        <f t="shared" si="407"/>
        <v>0</v>
      </c>
      <c r="BE220" s="24">
        <f t="shared" si="408"/>
        <v>0</v>
      </c>
      <c r="BF220" s="24">
        <f t="shared" si="408"/>
        <v>0</v>
      </c>
      <c r="BG220" s="20">
        <f t="shared" ref="BG220" si="419">IF(OR(BG19=0,BG188=0),0,1000/(BG19/BG188))</f>
        <v>0</v>
      </c>
    </row>
    <row r="221" spans="1:59" s="210" customFormat="1" ht="13.5" customHeight="1" collapsed="1" x14ac:dyDescent="0.25">
      <c r="A221" s="103"/>
      <c r="B221" s="102" t="s">
        <v>43</v>
      </c>
      <c r="C221" s="101" t="s">
        <v>84</v>
      </c>
      <c r="D221" s="188">
        <f t="shared" si="374"/>
        <v>0</v>
      </c>
      <c r="E221" s="188">
        <f t="shared" si="374"/>
        <v>0</v>
      </c>
      <c r="F221" s="191">
        <f t="shared" si="374"/>
        <v>0</v>
      </c>
      <c r="G221" s="189">
        <f t="shared" si="374"/>
        <v>0</v>
      </c>
      <c r="H221" s="190">
        <f t="shared" si="375"/>
        <v>0</v>
      </c>
      <c r="I221" s="191">
        <f t="shared" si="376"/>
        <v>0</v>
      </c>
      <c r="J221" s="189">
        <f t="shared" si="376"/>
        <v>0</v>
      </c>
      <c r="K221" s="190">
        <f t="shared" si="377"/>
        <v>0</v>
      </c>
      <c r="L221" s="191">
        <f t="shared" si="378"/>
        <v>0</v>
      </c>
      <c r="M221" s="189">
        <f t="shared" si="378"/>
        <v>0</v>
      </c>
      <c r="N221" s="190">
        <f t="shared" si="379"/>
        <v>0</v>
      </c>
      <c r="O221" s="191">
        <f t="shared" si="380"/>
        <v>0</v>
      </c>
      <c r="P221" s="189">
        <f t="shared" si="380"/>
        <v>0</v>
      </c>
      <c r="Q221" s="190">
        <f t="shared" si="381"/>
        <v>0</v>
      </c>
      <c r="R221" s="191">
        <f t="shared" si="382"/>
        <v>0</v>
      </c>
      <c r="S221" s="189">
        <f t="shared" si="382"/>
        <v>0</v>
      </c>
      <c r="T221" s="190">
        <f t="shared" si="383"/>
        <v>0</v>
      </c>
      <c r="U221" s="191">
        <f t="shared" si="384"/>
        <v>0</v>
      </c>
      <c r="V221" s="189">
        <f t="shared" si="384"/>
        <v>0</v>
      </c>
      <c r="W221" s="190">
        <f t="shared" si="385"/>
        <v>0</v>
      </c>
      <c r="X221" s="191">
        <f t="shared" si="386"/>
        <v>0</v>
      </c>
      <c r="Y221" s="189">
        <f t="shared" si="386"/>
        <v>0</v>
      </c>
      <c r="Z221" s="190">
        <f t="shared" si="387"/>
        <v>0</v>
      </c>
      <c r="AA221" s="191">
        <f t="shared" si="388"/>
        <v>0</v>
      </c>
      <c r="AB221" s="189">
        <f t="shared" si="388"/>
        <v>0</v>
      </c>
      <c r="AC221" s="190">
        <f t="shared" si="389"/>
        <v>0</v>
      </c>
      <c r="AD221" s="191">
        <f t="shared" si="390"/>
        <v>0</v>
      </c>
      <c r="AE221" s="189">
        <f t="shared" si="390"/>
        <v>0</v>
      </c>
      <c r="AF221" s="190">
        <f t="shared" si="391"/>
        <v>0</v>
      </c>
      <c r="AG221" s="191">
        <f t="shared" si="392"/>
        <v>0</v>
      </c>
      <c r="AH221" s="189">
        <f t="shared" si="392"/>
        <v>0</v>
      </c>
      <c r="AI221" s="190">
        <f t="shared" si="393"/>
        <v>0</v>
      </c>
      <c r="AJ221" s="191">
        <f t="shared" si="394"/>
        <v>0</v>
      </c>
      <c r="AK221" s="189">
        <f t="shared" si="394"/>
        <v>0</v>
      </c>
      <c r="AL221" s="190">
        <f t="shared" si="395"/>
        <v>0</v>
      </c>
      <c r="AM221" s="191">
        <f t="shared" si="396"/>
        <v>0</v>
      </c>
      <c r="AN221" s="189">
        <f t="shared" si="396"/>
        <v>0</v>
      </c>
      <c r="AO221" s="190">
        <f t="shared" si="397"/>
        <v>0</v>
      </c>
      <c r="AP221" s="191">
        <f t="shared" si="398"/>
        <v>0</v>
      </c>
      <c r="AQ221" s="189">
        <f t="shared" si="398"/>
        <v>0</v>
      </c>
      <c r="AR221" s="190">
        <f t="shared" si="399"/>
        <v>0</v>
      </c>
      <c r="AS221" s="191">
        <f t="shared" si="400"/>
        <v>0</v>
      </c>
      <c r="AT221" s="189">
        <f t="shared" si="400"/>
        <v>0</v>
      </c>
      <c r="AU221" s="190">
        <f t="shared" si="401"/>
        <v>0</v>
      </c>
      <c r="AV221" s="191">
        <f t="shared" si="402"/>
        <v>0</v>
      </c>
      <c r="AW221" s="189">
        <f t="shared" si="402"/>
        <v>0</v>
      </c>
      <c r="AX221" s="190">
        <f t="shared" si="403"/>
        <v>0</v>
      </c>
      <c r="AY221" s="189">
        <f t="shared" si="404"/>
        <v>0</v>
      </c>
      <c r="AZ221" s="189">
        <f t="shared" si="404"/>
        <v>0</v>
      </c>
      <c r="BA221" s="190">
        <f t="shared" si="405"/>
        <v>0</v>
      </c>
      <c r="BB221" s="191">
        <f t="shared" si="406"/>
        <v>0</v>
      </c>
      <c r="BC221" s="189">
        <f t="shared" si="406"/>
        <v>0</v>
      </c>
      <c r="BD221" s="190">
        <f t="shared" si="407"/>
        <v>0</v>
      </c>
      <c r="BE221" s="191">
        <f t="shared" si="408"/>
        <v>0</v>
      </c>
      <c r="BF221" s="191">
        <f t="shared" si="408"/>
        <v>0</v>
      </c>
      <c r="BG221" s="188">
        <f t="shared" ref="BG221" si="420">IF(OR(BG20=0,BG189=0),0,1000/(BG20/BG189))</f>
        <v>0</v>
      </c>
    </row>
    <row r="222" spans="1:59" ht="13.5" hidden="1" customHeight="1" outlineLevel="1" x14ac:dyDescent="0.25">
      <c r="A222" s="28"/>
      <c r="B222" s="84" t="s">
        <v>44</v>
      </c>
      <c r="C222" s="83" t="s">
        <v>84</v>
      </c>
      <c r="D222" s="20">
        <f t="shared" si="374"/>
        <v>0</v>
      </c>
      <c r="E222" s="20">
        <f t="shared" si="374"/>
        <v>0</v>
      </c>
      <c r="F222" s="24">
        <f t="shared" si="374"/>
        <v>0</v>
      </c>
      <c r="G222" s="23">
        <f t="shared" si="374"/>
        <v>0</v>
      </c>
      <c r="H222" s="22">
        <f t="shared" si="375"/>
        <v>0</v>
      </c>
      <c r="I222" s="24">
        <f t="shared" si="376"/>
        <v>0</v>
      </c>
      <c r="J222" s="23">
        <f t="shared" si="376"/>
        <v>0</v>
      </c>
      <c r="K222" s="22">
        <f t="shared" si="377"/>
        <v>0</v>
      </c>
      <c r="L222" s="24">
        <f t="shared" si="378"/>
        <v>0</v>
      </c>
      <c r="M222" s="23">
        <f t="shared" si="378"/>
        <v>0</v>
      </c>
      <c r="N222" s="22">
        <f t="shared" si="379"/>
        <v>0</v>
      </c>
      <c r="O222" s="24">
        <f t="shared" si="380"/>
        <v>0</v>
      </c>
      <c r="P222" s="23">
        <f t="shared" si="380"/>
        <v>0</v>
      </c>
      <c r="Q222" s="22">
        <f t="shared" si="381"/>
        <v>0</v>
      </c>
      <c r="R222" s="24">
        <f t="shared" si="382"/>
        <v>0</v>
      </c>
      <c r="S222" s="23">
        <f t="shared" si="382"/>
        <v>0</v>
      </c>
      <c r="T222" s="22">
        <f t="shared" si="383"/>
        <v>0</v>
      </c>
      <c r="U222" s="24">
        <f t="shared" si="384"/>
        <v>0</v>
      </c>
      <c r="V222" s="23">
        <f t="shared" si="384"/>
        <v>0</v>
      </c>
      <c r="W222" s="22">
        <f t="shared" si="385"/>
        <v>0</v>
      </c>
      <c r="X222" s="24">
        <f t="shared" si="386"/>
        <v>0</v>
      </c>
      <c r="Y222" s="23">
        <f t="shared" si="386"/>
        <v>0</v>
      </c>
      <c r="Z222" s="22">
        <f t="shared" si="387"/>
        <v>0</v>
      </c>
      <c r="AA222" s="24">
        <f t="shared" si="388"/>
        <v>0</v>
      </c>
      <c r="AB222" s="23">
        <f t="shared" si="388"/>
        <v>0</v>
      </c>
      <c r="AC222" s="22">
        <f t="shared" si="389"/>
        <v>0</v>
      </c>
      <c r="AD222" s="24">
        <f t="shared" si="390"/>
        <v>0</v>
      </c>
      <c r="AE222" s="23">
        <f t="shared" si="390"/>
        <v>0</v>
      </c>
      <c r="AF222" s="22">
        <f t="shared" si="391"/>
        <v>0</v>
      </c>
      <c r="AG222" s="24">
        <f t="shared" si="392"/>
        <v>0</v>
      </c>
      <c r="AH222" s="23">
        <f t="shared" si="392"/>
        <v>0</v>
      </c>
      <c r="AI222" s="22">
        <f t="shared" si="393"/>
        <v>0</v>
      </c>
      <c r="AJ222" s="24">
        <f t="shared" si="394"/>
        <v>0</v>
      </c>
      <c r="AK222" s="23">
        <f t="shared" si="394"/>
        <v>0</v>
      </c>
      <c r="AL222" s="22">
        <f t="shared" si="395"/>
        <v>0</v>
      </c>
      <c r="AM222" s="24">
        <f t="shared" si="396"/>
        <v>0</v>
      </c>
      <c r="AN222" s="23">
        <f t="shared" si="396"/>
        <v>0</v>
      </c>
      <c r="AO222" s="22">
        <f t="shared" si="397"/>
        <v>0</v>
      </c>
      <c r="AP222" s="24">
        <f t="shared" si="398"/>
        <v>0</v>
      </c>
      <c r="AQ222" s="23">
        <f t="shared" si="398"/>
        <v>0</v>
      </c>
      <c r="AR222" s="22">
        <f t="shared" si="399"/>
        <v>0</v>
      </c>
      <c r="AS222" s="24">
        <f t="shared" si="400"/>
        <v>0</v>
      </c>
      <c r="AT222" s="23">
        <f t="shared" si="400"/>
        <v>0</v>
      </c>
      <c r="AU222" s="22">
        <f t="shared" si="401"/>
        <v>0</v>
      </c>
      <c r="AV222" s="24">
        <f t="shared" si="402"/>
        <v>0</v>
      </c>
      <c r="AW222" s="23">
        <f t="shared" si="402"/>
        <v>0</v>
      </c>
      <c r="AX222" s="22">
        <f t="shared" si="403"/>
        <v>0</v>
      </c>
      <c r="AY222" s="23">
        <f t="shared" si="404"/>
        <v>0</v>
      </c>
      <c r="AZ222" s="23">
        <f t="shared" si="404"/>
        <v>0</v>
      </c>
      <c r="BA222" s="22">
        <f t="shared" si="405"/>
        <v>0</v>
      </c>
      <c r="BB222" s="24">
        <f t="shared" si="406"/>
        <v>0</v>
      </c>
      <c r="BC222" s="23">
        <f t="shared" si="406"/>
        <v>0</v>
      </c>
      <c r="BD222" s="22">
        <f t="shared" si="407"/>
        <v>0</v>
      </c>
      <c r="BE222" s="24">
        <f t="shared" si="408"/>
        <v>0</v>
      </c>
      <c r="BF222" s="24">
        <f t="shared" si="408"/>
        <v>0</v>
      </c>
      <c r="BG222" s="20">
        <f t="shared" ref="BG222" si="421">IF(OR(BG21=0,BG190=0),0,1000/(BG21/BG190))</f>
        <v>0</v>
      </c>
    </row>
    <row r="223" spans="1:59" ht="13.5" hidden="1" customHeight="1" outlineLevel="1" x14ac:dyDescent="0.25">
      <c r="A223" s="28"/>
      <c r="B223" s="84" t="s">
        <v>45</v>
      </c>
      <c r="C223" s="83" t="s">
        <v>84</v>
      </c>
      <c r="D223" s="20">
        <f t="shared" si="374"/>
        <v>0</v>
      </c>
      <c r="E223" s="20">
        <f t="shared" si="374"/>
        <v>0</v>
      </c>
      <c r="F223" s="24">
        <f t="shared" si="374"/>
        <v>0</v>
      </c>
      <c r="G223" s="23">
        <f t="shared" si="374"/>
        <v>0</v>
      </c>
      <c r="H223" s="22">
        <f t="shared" si="375"/>
        <v>0</v>
      </c>
      <c r="I223" s="24">
        <f t="shared" si="376"/>
        <v>0</v>
      </c>
      <c r="J223" s="23">
        <f t="shared" si="376"/>
        <v>0</v>
      </c>
      <c r="K223" s="22">
        <f t="shared" si="377"/>
        <v>0</v>
      </c>
      <c r="L223" s="24">
        <f t="shared" si="378"/>
        <v>0</v>
      </c>
      <c r="M223" s="23">
        <f t="shared" si="378"/>
        <v>0</v>
      </c>
      <c r="N223" s="22">
        <f t="shared" si="379"/>
        <v>0</v>
      </c>
      <c r="O223" s="24">
        <f t="shared" si="380"/>
        <v>0</v>
      </c>
      <c r="P223" s="23">
        <f t="shared" si="380"/>
        <v>0</v>
      </c>
      <c r="Q223" s="22">
        <f t="shared" si="381"/>
        <v>0</v>
      </c>
      <c r="R223" s="24">
        <f t="shared" si="382"/>
        <v>0</v>
      </c>
      <c r="S223" s="23">
        <f t="shared" si="382"/>
        <v>0</v>
      </c>
      <c r="T223" s="22">
        <f t="shared" si="383"/>
        <v>0</v>
      </c>
      <c r="U223" s="24">
        <f t="shared" si="384"/>
        <v>0</v>
      </c>
      <c r="V223" s="23">
        <f t="shared" si="384"/>
        <v>0</v>
      </c>
      <c r="W223" s="22">
        <f t="shared" si="385"/>
        <v>0</v>
      </c>
      <c r="X223" s="24">
        <f t="shared" si="386"/>
        <v>0</v>
      </c>
      <c r="Y223" s="23">
        <f t="shared" si="386"/>
        <v>0</v>
      </c>
      <c r="Z223" s="22">
        <f t="shared" si="387"/>
        <v>0</v>
      </c>
      <c r="AA223" s="24">
        <f t="shared" si="388"/>
        <v>0</v>
      </c>
      <c r="AB223" s="23">
        <f t="shared" si="388"/>
        <v>0</v>
      </c>
      <c r="AC223" s="22">
        <f t="shared" si="389"/>
        <v>0</v>
      </c>
      <c r="AD223" s="24">
        <f t="shared" si="390"/>
        <v>0</v>
      </c>
      <c r="AE223" s="23">
        <f t="shared" si="390"/>
        <v>0</v>
      </c>
      <c r="AF223" s="22">
        <f t="shared" si="391"/>
        <v>0</v>
      </c>
      <c r="AG223" s="24">
        <f t="shared" si="392"/>
        <v>0</v>
      </c>
      <c r="AH223" s="23">
        <f t="shared" si="392"/>
        <v>0</v>
      </c>
      <c r="AI223" s="22">
        <f t="shared" si="393"/>
        <v>0</v>
      </c>
      <c r="AJ223" s="24">
        <f t="shared" si="394"/>
        <v>0</v>
      </c>
      <c r="AK223" s="23">
        <f t="shared" si="394"/>
        <v>0</v>
      </c>
      <c r="AL223" s="22">
        <f t="shared" si="395"/>
        <v>0</v>
      </c>
      <c r="AM223" s="24">
        <f t="shared" si="396"/>
        <v>0</v>
      </c>
      <c r="AN223" s="23">
        <f t="shared" si="396"/>
        <v>0</v>
      </c>
      <c r="AO223" s="22">
        <f t="shared" si="397"/>
        <v>0</v>
      </c>
      <c r="AP223" s="24">
        <f t="shared" si="398"/>
        <v>0</v>
      </c>
      <c r="AQ223" s="23">
        <f t="shared" si="398"/>
        <v>0</v>
      </c>
      <c r="AR223" s="22">
        <f t="shared" si="399"/>
        <v>0</v>
      </c>
      <c r="AS223" s="24">
        <f t="shared" si="400"/>
        <v>0</v>
      </c>
      <c r="AT223" s="23">
        <f t="shared" si="400"/>
        <v>0</v>
      </c>
      <c r="AU223" s="22">
        <f t="shared" si="401"/>
        <v>0</v>
      </c>
      <c r="AV223" s="24">
        <f t="shared" si="402"/>
        <v>0</v>
      </c>
      <c r="AW223" s="23">
        <f t="shared" si="402"/>
        <v>0</v>
      </c>
      <c r="AX223" s="22">
        <f t="shared" si="403"/>
        <v>0</v>
      </c>
      <c r="AY223" s="23">
        <f t="shared" si="404"/>
        <v>0</v>
      </c>
      <c r="AZ223" s="23">
        <f t="shared" si="404"/>
        <v>0</v>
      </c>
      <c r="BA223" s="22">
        <f t="shared" si="405"/>
        <v>0</v>
      </c>
      <c r="BB223" s="24">
        <f t="shared" si="406"/>
        <v>0</v>
      </c>
      <c r="BC223" s="23">
        <f t="shared" si="406"/>
        <v>0</v>
      </c>
      <c r="BD223" s="22">
        <f t="shared" si="407"/>
        <v>0</v>
      </c>
      <c r="BE223" s="24">
        <f t="shared" si="408"/>
        <v>0</v>
      </c>
      <c r="BF223" s="24">
        <f t="shared" si="408"/>
        <v>0</v>
      </c>
      <c r="BG223" s="20">
        <f t="shared" ref="BG223" si="422">IF(OR(BG22=0,BG191=0),0,1000/(BG22/BG191))</f>
        <v>0</v>
      </c>
    </row>
    <row r="224" spans="1:59" ht="13.5" hidden="1" customHeight="1" outlineLevel="1" x14ac:dyDescent="0.25">
      <c r="A224" s="28"/>
      <c r="B224" s="84" t="s">
        <v>46</v>
      </c>
      <c r="C224" s="83" t="s">
        <v>84</v>
      </c>
      <c r="D224" s="20">
        <f t="shared" si="374"/>
        <v>0</v>
      </c>
      <c r="E224" s="20">
        <f t="shared" si="374"/>
        <v>0</v>
      </c>
      <c r="F224" s="24">
        <f t="shared" si="374"/>
        <v>0</v>
      </c>
      <c r="G224" s="23">
        <f t="shared" si="374"/>
        <v>0</v>
      </c>
      <c r="H224" s="22">
        <f t="shared" si="375"/>
        <v>0</v>
      </c>
      <c r="I224" s="24">
        <f t="shared" si="376"/>
        <v>0</v>
      </c>
      <c r="J224" s="23">
        <f t="shared" si="376"/>
        <v>0</v>
      </c>
      <c r="K224" s="22">
        <f t="shared" si="377"/>
        <v>0</v>
      </c>
      <c r="L224" s="24">
        <f t="shared" si="378"/>
        <v>0</v>
      </c>
      <c r="M224" s="23">
        <f t="shared" si="378"/>
        <v>0</v>
      </c>
      <c r="N224" s="22">
        <f t="shared" si="379"/>
        <v>0</v>
      </c>
      <c r="O224" s="24">
        <f t="shared" si="380"/>
        <v>0</v>
      </c>
      <c r="P224" s="23">
        <f t="shared" si="380"/>
        <v>0</v>
      </c>
      <c r="Q224" s="22">
        <f t="shared" si="381"/>
        <v>0</v>
      </c>
      <c r="R224" s="24">
        <f t="shared" si="382"/>
        <v>0</v>
      </c>
      <c r="S224" s="23">
        <f t="shared" si="382"/>
        <v>0</v>
      </c>
      <c r="T224" s="22">
        <f t="shared" si="383"/>
        <v>0</v>
      </c>
      <c r="U224" s="24">
        <f t="shared" si="384"/>
        <v>0</v>
      </c>
      <c r="V224" s="23">
        <f t="shared" si="384"/>
        <v>0</v>
      </c>
      <c r="W224" s="22">
        <f t="shared" si="385"/>
        <v>0</v>
      </c>
      <c r="X224" s="24">
        <f t="shared" si="386"/>
        <v>0</v>
      </c>
      <c r="Y224" s="23">
        <f t="shared" si="386"/>
        <v>0</v>
      </c>
      <c r="Z224" s="22">
        <f t="shared" si="387"/>
        <v>0</v>
      </c>
      <c r="AA224" s="24">
        <f t="shared" si="388"/>
        <v>0</v>
      </c>
      <c r="AB224" s="23">
        <f t="shared" si="388"/>
        <v>0</v>
      </c>
      <c r="AC224" s="22">
        <f t="shared" si="389"/>
        <v>0</v>
      </c>
      <c r="AD224" s="24">
        <f t="shared" si="390"/>
        <v>0</v>
      </c>
      <c r="AE224" s="23">
        <f t="shared" si="390"/>
        <v>0</v>
      </c>
      <c r="AF224" s="22">
        <f t="shared" si="391"/>
        <v>0</v>
      </c>
      <c r="AG224" s="24">
        <f t="shared" si="392"/>
        <v>0</v>
      </c>
      <c r="AH224" s="23">
        <f t="shared" si="392"/>
        <v>0</v>
      </c>
      <c r="AI224" s="22">
        <f t="shared" si="393"/>
        <v>0</v>
      </c>
      <c r="AJ224" s="24">
        <f t="shared" si="394"/>
        <v>0</v>
      </c>
      <c r="AK224" s="23">
        <f t="shared" si="394"/>
        <v>0</v>
      </c>
      <c r="AL224" s="22">
        <f t="shared" si="395"/>
        <v>0</v>
      </c>
      <c r="AM224" s="24">
        <f t="shared" si="396"/>
        <v>0</v>
      </c>
      <c r="AN224" s="23">
        <f t="shared" si="396"/>
        <v>0</v>
      </c>
      <c r="AO224" s="22">
        <f t="shared" si="397"/>
        <v>0</v>
      </c>
      <c r="AP224" s="24">
        <f t="shared" si="398"/>
        <v>0</v>
      </c>
      <c r="AQ224" s="23">
        <f t="shared" si="398"/>
        <v>0</v>
      </c>
      <c r="AR224" s="22">
        <f t="shared" si="399"/>
        <v>0</v>
      </c>
      <c r="AS224" s="24">
        <f t="shared" si="400"/>
        <v>0</v>
      </c>
      <c r="AT224" s="23">
        <f t="shared" si="400"/>
        <v>0</v>
      </c>
      <c r="AU224" s="22">
        <f t="shared" si="401"/>
        <v>0</v>
      </c>
      <c r="AV224" s="24">
        <f t="shared" si="402"/>
        <v>0</v>
      </c>
      <c r="AW224" s="23">
        <f t="shared" si="402"/>
        <v>0</v>
      </c>
      <c r="AX224" s="22">
        <f t="shared" si="403"/>
        <v>0</v>
      </c>
      <c r="AY224" s="23">
        <f t="shared" si="404"/>
        <v>0</v>
      </c>
      <c r="AZ224" s="23">
        <f t="shared" si="404"/>
        <v>0</v>
      </c>
      <c r="BA224" s="22">
        <f t="shared" si="405"/>
        <v>0</v>
      </c>
      <c r="BB224" s="24">
        <f t="shared" si="406"/>
        <v>0</v>
      </c>
      <c r="BC224" s="23">
        <f t="shared" si="406"/>
        <v>0</v>
      </c>
      <c r="BD224" s="22">
        <f t="shared" si="407"/>
        <v>0</v>
      </c>
      <c r="BE224" s="24">
        <f t="shared" si="408"/>
        <v>0</v>
      </c>
      <c r="BF224" s="24">
        <f t="shared" si="408"/>
        <v>0</v>
      </c>
      <c r="BG224" s="20">
        <f t="shared" ref="BG224" si="423">IF(OR(BG23=0,BG192=0),0,1000/(BG23/BG192))</f>
        <v>0</v>
      </c>
    </row>
    <row r="225" spans="1:59" ht="13.5" hidden="1" customHeight="1" outlineLevel="1" x14ac:dyDescent="0.25">
      <c r="A225" s="28"/>
      <c r="B225" s="84" t="s">
        <v>47</v>
      </c>
      <c r="C225" s="83" t="s">
        <v>84</v>
      </c>
      <c r="D225" s="20">
        <f t="shared" si="374"/>
        <v>0</v>
      </c>
      <c r="E225" s="20">
        <f t="shared" si="374"/>
        <v>0</v>
      </c>
      <c r="F225" s="24">
        <f t="shared" si="374"/>
        <v>0</v>
      </c>
      <c r="G225" s="23">
        <f t="shared" si="374"/>
        <v>0</v>
      </c>
      <c r="H225" s="22">
        <f t="shared" si="375"/>
        <v>0</v>
      </c>
      <c r="I225" s="24">
        <f t="shared" si="376"/>
        <v>0</v>
      </c>
      <c r="J225" s="23">
        <f t="shared" si="376"/>
        <v>0</v>
      </c>
      <c r="K225" s="22">
        <f t="shared" si="377"/>
        <v>0</v>
      </c>
      <c r="L225" s="24">
        <f t="shared" si="378"/>
        <v>0</v>
      </c>
      <c r="M225" s="23">
        <f t="shared" si="378"/>
        <v>0</v>
      </c>
      <c r="N225" s="22">
        <f t="shared" si="379"/>
        <v>0</v>
      </c>
      <c r="O225" s="24">
        <f t="shared" si="380"/>
        <v>0</v>
      </c>
      <c r="P225" s="23">
        <f t="shared" si="380"/>
        <v>0</v>
      </c>
      <c r="Q225" s="22">
        <f t="shared" si="381"/>
        <v>0</v>
      </c>
      <c r="R225" s="24">
        <f t="shared" si="382"/>
        <v>0</v>
      </c>
      <c r="S225" s="23">
        <f t="shared" si="382"/>
        <v>0</v>
      </c>
      <c r="T225" s="22">
        <f t="shared" si="383"/>
        <v>0</v>
      </c>
      <c r="U225" s="24">
        <f t="shared" si="384"/>
        <v>0</v>
      </c>
      <c r="V225" s="23">
        <f t="shared" si="384"/>
        <v>0</v>
      </c>
      <c r="W225" s="22">
        <f t="shared" si="385"/>
        <v>0</v>
      </c>
      <c r="X225" s="24">
        <f t="shared" si="386"/>
        <v>0</v>
      </c>
      <c r="Y225" s="23">
        <f t="shared" si="386"/>
        <v>0</v>
      </c>
      <c r="Z225" s="22">
        <f t="shared" si="387"/>
        <v>0</v>
      </c>
      <c r="AA225" s="24">
        <f t="shared" si="388"/>
        <v>0</v>
      </c>
      <c r="AB225" s="23">
        <f t="shared" si="388"/>
        <v>0</v>
      </c>
      <c r="AC225" s="22">
        <f t="shared" si="389"/>
        <v>0</v>
      </c>
      <c r="AD225" s="24">
        <f t="shared" si="390"/>
        <v>0</v>
      </c>
      <c r="AE225" s="23">
        <f t="shared" si="390"/>
        <v>0</v>
      </c>
      <c r="AF225" s="22">
        <f t="shared" si="391"/>
        <v>0</v>
      </c>
      <c r="AG225" s="24">
        <f t="shared" si="392"/>
        <v>0</v>
      </c>
      <c r="AH225" s="23">
        <f t="shared" si="392"/>
        <v>0</v>
      </c>
      <c r="AI225" s="22">
        <f t="shared" si="393"/>
        <v>0</v>
      </c>
      <c r="AJ225" s="24">
        <f t="shared" si="394"/>
        <v>0</v>
      </c>
      <c r="AK225" s="23">
        <f t="shared" si="394"/>
        <v>0</v>
      </c>
      <c r="AL225" s="22">
        <f t="shared" si="395"/>
        <v>0</v>
      </c>
      <c r="AM225" s="24">
        <f t="shared" si="396"/>
        <v>0</v>
      </c>
      <c r="AN225" s="23">
        <f t="shared" si="396"/>
        <v>0</v>
      </c>
      <c r="AO225" s="22">
        <f t="shared" si="397"/>
        <v>0</v>
      </c>
      <c r="AP225" s="24">
        <f t="shared" si="398"/>
        <v>0</v>
      </c>
      <c r="AQ225" s="23">
        <f t="shared" si="398"/>
        <v>0</v>
      </c>
      <c r="AR225" s="22">
        <f t="shared" si="399"/>
        <v>0</v>
      </c>
      <c r="AS225" s="24">
        <f t="shared" si="400"/>
        <v>0</v>
      </c>
      <c r="AT225" s="23">
        <f t="shared" si="400"/>
        <v>0</v>
      </c>
      <c r="AU225" s="22">
        <f t="shared" si="401"/>
        <v>0</v>
      </c>
      <c r="AV225" s="24">
        <f t="shared" si="402"/>
        <v>0</v>
      </c>
      <c r="AW225" s="23">
        <f t="shared" si="402"/>
        <v>0</v>
      </c>
      <c r="AX225" s="22">
        <f t="shared" si="403"/>
        <v>0</v>
      </c>
      <c r="AY225" s="23">
        <f t="shared" si="404"/>
        <v>0</v>
      </c>
      <c r="AZ225" s="23">
        <f t="shared" si="404"/>
        <v>0</v>
      </c>
      <c r="BA225" s="22">
        <f t="shared" si="405"/>
        <v>0</v>
      </c>
      <c r="BB225" s="24">
        <f t="shared" si="406"/>
        <v>0</v>
      </c>
      <c r="BC225" s="23">
        <f t="shared" si="406"/>
        <v>0</v>
      </c>
      <c r="BD225" s="22">
        <f t="shared" si="407"/>
        <v>0</v>
      </c>
      <c r="BE225" s="24">
        <f t="shared" ref="BE225:BF239" si="424">IF(OR(BE24=0,BE193=0),0,1000/(BE24/BE193))</f>
        <v>0</v>
      </c>
      <c r="BF225" s="24">
        <f t="shared" si="424"/>
        <v>0</v>
      </c>
      <c r="BG225" s="20">
        <f t="shared" ref="BG225" si="425">IF(OR(BG24=0,BG193=0),0,1000/(BG24/BG193))</f>
        <v>0</v>
      </c>
    </row>
    <row r="226" spans="1:59" ht="13.5" hidden="1" customHeight="1" outlineLevel="1" x14ac:dyDescent="0.25">
      <c r="A226" s="28"/>
      <c r="B226" s="84" t="s">
        <v>48</v>
      </c>
      <c r="C226" s="83" t="s">
        <v>84</v>
      </c>
      <c r="D226" s="20">
        <f t="shared" ref="D226:G241" si="426">IF(OR(D25=0,D194=0),0,1000/(D25/D194))</f>
        <v>0</v>
      </c>
      <c r="E226" s="20">
        <f t="shared" si="426"/>
        <v>0</v>
      </c>
      <c r="F226" s="24">
        <f t="shared" si="426"/>
        <v>0</v>
      </c>
      <c r="G226" s="23">
        <f t="shared" si="426"/>
        <v>0</v>
      </c>
      <c r="H226" s="22">
        <f t="shared" ref="H226:H241" si="427">G226-F226</f>
        <v>0</v>
      </c>
      <c r="I226" s="24">
        <f t="shared" ref="I226:J241" si="428">IF(OR(I25=0,I194=0),0,1000/(I25/I194))</f>
        <v>0</v>
      </c>
      <c r="J226" s="23">
        <f t="shared" si="428"/>
        <v>0</v>
      </c>
      <c r="K226" s="22">
        <f t="shared" ref="K226:K241" si="429">J226-I226</f>
        <v>0</v>
      </c>
      <c r="L226" s="24">
        <f t="shared" ref="L226:M241" si="430">IF(OR(L25=0,L194=0),0,1000/(L25/L194))</f>
        <v>0</v>
      </c>
      <c r="M226" s="23">
        <f t="shared" si="430"/>
        <v>0</v>
      </c>
      <c r="N226" s="22">
        <f t="shared" ref="N226:N241" si="431">M226-L226</f>
        <v>0</v>
      </c>
      <c r="O226" s="24">
        <f t="shared" ref="O226:P241" si="432">IF(OR(O25=0,O194=0),0,1000/(O25/O194))</f>
        <v>0</v>
      </c>
      <c r="P226" s="23">
        <f t="shared" si="432"/>
        <v>0</v>
      </c>
      <c r="Q226" s="22">
        <f t="shared" ref="Q226:Q241" si="433">P226-O226</f>
        <v>0</v>
      </c>
      <c r="R226" s="24">
        <f t="shared" ref="R226:S241" si="434">IF(OR(R25=0,R194=0),0,1000/(R25/R194))</f>
        <v>0</v>
      </c>
      <c r="S226" s="23">
        <f t="shared" si="434"/>
        <v>0</v>
      </c>
      <c r="T226" s="22">
        <f t="shared" ref="T226:T241" si="435">S226-R226</f>
        <v>0</v>
      </c>
      <c r="U226" s="24">
        <f t="shared" ref="U226:V241" si="436">IF(OR(U25=0,U194=0),0,1000/(U25/U194))</f>
        <v>0</v>
      </c>
      <c r="V226" s="23">
        <f t="shared" si="436"/>
        <v>0</v>
      </c>
      <c r="W226" s="22">
        <f t="shared" ref="W226:W241" si="437">V226-U226</f>
        <v>0</v>
      </c>
      <c r="X226" s="24">
        <f t="shared" ref="X226:Y241" si="438">IF(OR(X25=0,X194=0),0,1000/(X25/X194))</f>
        <v>0</v>
      </c>
      <c r="Y226" s="23">
        <f t="shared" si="438"/>
        <v>0</v>
      </c>
      <c r="Z226" s="22">
        <f t="shared" ref="Z226:Z241" si="439">Y226-X226</f>
        <v>0</v>
      </c>
      <c r="AA226" s="24">
        <f t="shared" ref="AA226:AB241" si="440">IF(OR(AA25=0,AA194=0),0,1000/(AA25/AA194))</f>
        <v>0</v>
      </c>
      <c r="AB226" s="23">
        <f t="shared" si="440"/>
        <v>0</v>
      </c>
      <c r="AC226" s="22">
        <f t="shared" ref="AC226:AC241" si="441">AB226-AA226</f>
        <v>0</v>
      </c>
      <c r="AD226" s="24">
        <f t="shared" ref="AD226:AE241" si="442">IF(OR(AD25=0,AD194=0),0,1000/(AD25/AD194))</f>
        <v>0</v>
      </c>
      <c r="AE226" s="23">
        <f t="shared" si="442"/>
        <v>0</v>
      </c>
      <c r="AF226" s="22">
        <f t="shared" ref="AF226:AF241" si="443">AE226-AD226</f>
        <v>0</v>
      </c>
      <c r="AG226" s="24">
        <f t="shared" ref="AG226:AH241" si="444">IF(OR(AG25=0,AG194=0),0,1000/(AG25/AG194))</f>
        <v>0</v>
      </c>
      <c r="AH226" s="23">
        <f t="shared" si="444"/>
        <v>0</v>
      </c>
      <c r="AI226" s="22">
        <f t="shared" ref="AI226:AI241" si="445">AH226-AG226</f>
        <v>0</v>
      </c>
      <c r="AJ226" s="24">
        <f t="shared" ref="AJ226:AK241" si="446">IF(OR(AJ25=0,AJ194=0),0,1000/(AJ25/AJ194))</f>
        <v>0</v>
      </c>
      <c r="AK226" s="23">
        <f t="shared" si="446"/>
        <v>0</v>
      </c>
      <c r="AL226" s="22">
        <f t="shared" ref="AL226:AL241" si="447">AK226-AJ226</f>
        <v>0</v>
      </c>
      <c r="AM226" s="24">
        <f t="shared" ref="AM226:AN241" si="448">IF(OR(AM25=0,AM194=0),0,1000/(AM25/AM194))</f>
        <v>0</v>
      </c>
      <c r="AN226" s="23">
        <f t="shared" si="448"/>
        <v>0</v>
      </c>
      <c r="AO226" s="22">
        <f t="shared" ref="AO226:AO241" si="449">AN226-AM226</f>
        <v>0</v>
      </c>
      <c r="AP226" s="24">
        <f t="shared" ref="AP226:AQ241" si="450">IF(OR(AP25=0,AP194=0),0,1000/(AP25/AP194))</f>
        <v>0</v>
      </c>
      <c r="AQ226" s="23">
        <f t="shared" si="450"/>
        <v>0</v>
      </c>
      <c r="AR226" s="22">
        <f t="shared" ref="AR226:AR241" si="451">AQ226-AP226</f>
        <v>0</v>
      </c>
      <c r="AS226" s="24">
        <f t="shared" ref="AS226:AT241" si="452">IF(OR(AS25=0,AS194=0),0,1000/(AS25/AS194))</f>
        <v>0</v>
      </c>
      <c r="AT226" s="23">
        <f t="shared" si="452"/>
        <v>0</v>
      </c>
      <c r="AU226" s="22">
        <f t="shared" ref="AU226:AU241" si="453">AT226-AS226</f>
        <v>0</v>
      </c>
      <c r="AV226" s="24">
        <f t="shared" ref="AV226:AW241" si="454">IF(OR(AV25=0,AV194=0),0,1000/(AV25/AV194))</f>
        <v>0</v>
      </c>
      <c r="AW226" s="23">
        <f t="shared" si="454"/>
        <v>0</v>
      </c>
      <c r="AX226" s="22">
        <f t="shared" ref="AX226:AX241" si="455">AW226-AV226</f>
        <v>0</v>
      </c>
      <c r="AY226" s="23">
        <f t="shared" ref="AY226:AZ241" si="456">IF(OR(AY25=0,AY194=0),0,1000/(AY25/AY194))</f>
        <v>0</v>
      </c>
      <c r="AZ226" s="23">
        <f t="shared" si="456"/>
        <v>0</v>
      </c>
      <c r="BA226" s="22">
        <f t="shared" ref="BA226:BA241" si="457">AZ226-AY226</f>
        <v>0</v>
      </c>
      <c r="BB226" s="24">
        <f t="shared" ref="BB226:BC241" si="458">IF(OR(BB25=0,BB194=0),0,1000/(BB25/BB194))</f>
        <v>0</v>
      </c>
      <c r="BC226" s="23">
        <f t="shared" si="458"/>
        <v>0</v>
      </c>
      <c r="BD226" s="22">
        <f t="shared" ref="BD226:BD241" si="459">BC226-BB226</f>
        <v>0</v>
      </c>
      <c r="BE226" s="24">
        <f t="shared" si="424"/>
        <v>0</v>
      </c>
      <c r="BF226" s="24">
        <f t="shared" si="424"/>
        <v>0</v>
      </c>
      <c r="BG226" s="20">
        <f t="shared" ref="BG226" si="460">IF(OR(BG25=0,BG194=0),0,1000/(BG25/BG194))</f>
        <v>0</v>
      </c>
    </row>
    <row r="227" spans="1:59" ht="13.5" hidden="1" customHeight="1" outlineLevel="1" x14ac:dyDescent="0.25">
      <c r="A227" s="28"/>
      <c r="B227" s="84" t="s">
        <v>49</v>
      </c>
      <c r="C227" s="83" t="s">
        <v>84</v>
      </c>
      <c r="D227" s="20">
        <f t="shared" si="426"/>
        <v>0</v>
      </c>
      <c r="E227" s="20">
        <f t="shared" si="426"/>
        <v>0</v>
      </c>
      <c r="F227" s="24">
        <f t="shared" si="426"/>
        <v>0</v>
      </c>
      <c r="G227" s="23">
        <f t="shared" si="426"/>
        <v>0</v>
      </c>
      <c r="H227" s="22">
        <f t="shared" si="427"/>
        <v>0</v>
      </c>
      <c r="I227" s="24">
        <f t="shared" si="428"/>
        <v>0</v>
      </c>
      <c r="J227" s="23">
        <f t="shared" si="428"/>
        <v>0</v>
      </c>
      <c r="K227" s="22">
        <f t="shared" si="429"/>
        <v>0</v>
      </c>
      <c r="L227" s="24">
        <f t="shared" si="430"/>
        <v>0</v>
      </c>
      <c r="M227" s="23">
        <f t="shared" si="430"/>
        <v>0</v>
      </c>
      <c r="N227" s="22">
        <f t="shared" si="431"/>
        <v>0</v>
      </c>
      <c r="O227" s="24">
        <f t="shared" si="432"/>
        <v>0</v>
      </c>
      <c r="P227" s="23">
        <f t="shared" si="432"/>
        <v>0</v>
      </c>
      <c r="Q227" s="22">
        <f t="shared" si="433"/>
        <v>0</v>
      </c>
      <c r="R227" s="24">
        <f t="shared" si="434"/>
        <v>0</v>
      </c>
      <c r="S227" s="23">
        <f t="shared" si="434"/>
        <v>0</v>
      </c>
      <c r="T227" s="22">
        <f t="shared" si="435"/>
        <v>0</v>
      </c>
      <c r="U227" s="24">
        <f t="shared" si="436"/>
        <v>0</v>
      </c>
      <c r="V227" s="23">
        <f t="shared" si="436"/>
        <v>0</v>
      </c>
      <c r="W227" s="22">
        <f t="shared" si="437"/>
        <v>0</v>
      </c>
      <c r="X227" s="24">
        <f t="shared" si="438"/>
        <v>0</v>
      </c>
      <c r="Y227" s="23">
        <f t="shared" si="438"/>
        <v>0</v>
      </c>
      <c r="Z227" s="22">
        <f t="shared" si="439"/>
        <v>0</v>
      </c>
      <c r="AA227" s="24">
        <f t="shared" si="440"/>
        <v>0</v>
      </c>
      <c r="AB227" s="23">
        <f t="shared" si="440"/>
        <v>0</v>
      </c>
      <c r="AC227" s="22">
        <f t="shared" si="441"/>
        <v>0</v>
      </c>
      <c r="AD227" s="24">
        <f t="shared" si="442"/>
        <v>0</v>
      </c>
      <c r="AE227" s="23">
        <f t="shared" si="442"/>
        <v>0</v>
      </c>
      <c r="AF227" s="22">
        <f t="shared" si="443"/>
        <v>0</v>
      </c>
      <c r="AG227" s="24">
        <f t="shared" si="444"/>
        <v>0</v>
      </c>
      <c r="AH227" s="23">
        <f t="shared" si="444"/>
        <v>0</v>
      </c>
      <c r="AI227" s="22">
        <f t="shared" si="445"/>
        <v>0</v>
      </c>
      <c r="AJ227" s="24">
        <f t="shared" si="446"/>
        <v>0</v>
      </c>
      <c r="AK227" s="23">
        <f t="shared" si="446"/>
        <v>0</v>
      </c>
      <c r="AL227" s="22">
        <f t="shared" si="447"/>
        <v>0</v>
      </c>
      <c r="AM227" s="24">
        <f t="shared" si="448"/>
        <v>0</v>
      </c>
      <c r="AN227" s="23">
        <f t="shared" si="448"/>
        <v>0</v>
      </c>
      <c r="AO227" s="22">
        <f t="shared" si="449"/>
        <v>0</v>
      </c>
      <c r="AP227" s="24">
        <f t="shared" si="450"/>
        <v>0</v>
      </c>
      <c r="AQ227" s="23">
        <f t="shared" si="450"/>
        <v>0</v>
      </c>
      <c r="AR227" s="22">
        <f t="shared" si="451"/>
        <v>0</v>
      </c>
      <c r="AS227" s="24">
        <f t="shared" si="452"/>
        <v>0</v>
      </c>
      <c r="AT227" s="23">
        <f t="shared" si="452"/>
        <v>0</v>
      </c>
      <c r="AU227" s="22">
        <f t="shared" si="453"/>
        <v>0</v>
      </c>
      <c r="AV227" s="24">
        <f t="shared" si="454"/>
        <v>0</v>
      </c>
      <c r="AW227" s="23">
        <f t="shared" si="454"/>
        <v>0</v>
      </c>
      <c r="AX227" s="22">
        <f t="shared" si="455"/>
        <v>0</v>
      </c>
      <c r="AY227" s="23">
        <f t="shared" si="456"/>
        <v>0</v>
      </c>
      <c r="AZ227" s="23">
        <f t="shared" si="456"/>
        <v>0</v>
      </c>
      <c r="BA227" s="22">
        <f t="shared" si="457"/>
        <v>0</v>
      </c>
      <c r="BB227" s="24">
        <f t="shared" si="458"/>
        <v>0</v>
      </c>
      <c r="BC227" s="23">
        <f t="shared" si="458"/>
        <v>0</v>
      </c>
      <c r="BD227" s="22">
        <f t="shared" si="459"/>
        <v>0</v>
      </c>
      <c r="BE227" s="24">
        <f t="shared" si="424"/>
        <v>0</v>
      </c>
      <c r="BF227" s="24">
        <f t="shared" si="424"/>
        <v>0</v>
      </c>
      <c r="BG227" s="20">
        <f t="shared" ref="BG227" si="461">IF(OR(BG26=0,BG195=0),0,1000/(BG26/BG195))</f>
        <v>0</v>
      </c>
    </row>
    <row r="228" spans="1:59" ht="13.5" hidden="1" customHeight="1" outlineLevel="1" x14ac:dyDescent="0.25">
      <c r="A228" s="28"/>
      <c r="B228" s="84" t="s">
        <v>50</v>
      </c>
      <c r="C228" s="83" t="s">
        <v>84</v>
      </c>
      <c r="D228" s="20">
        <f t="shared" si="426"/>
        <v>0</v>
      </c>
      <c r="E228" s="20">
        <f t="shared" si="426"/>
        <v>0</v>
      </c>
      <c r="F228" s="24">
        <f t="shared" si="426"/>
        <v>0</v>
      </c>
      <c r="G228" s="23">
        <f t="shared" si="426"/>
        <v>0</v>
      </c>
      <c r="H228" s="22">
        <f t="shared" si="427"/>
        <v>0</v>
      </c>
      <c r="I228" s="24">
        <f t="shared" si="428"/>
        <v>0</v>
      </c>
      <c r="J228" s="23">
        <f t="shared" si="428"/>
        <v>0</v>
      </c>
      <c r="K228" s="22">
        <f t="shared" si="429"/>
        <v>0</v>
      </c>
      <c r="L228" s="24">
        <f t="shared" si="430"/>
        <v>0</v>
      </c>
      <c r="M228" s="23">
        <f t="shared" si="430"/>
        <v>0</v>
      </c>
      <c r="N228" s="22">
        <f t="shared" si="431"/>
        <v>0</v>
      </c>
      <c r="O228" s="24">
        <f t="shared" si="432"/>
        <v>0</v>
      </c>
      <c r="P228" s="23">
        <f t="shared" si="432"/>
        <v>0</v>
      </c>
      <c r="Q228" s="22">
        <f t="shared" si="433"/>
        <v>0</v>
      </c>
      <c r="R228" s="24">
        <f t="shared" si="434"/>
        <v>0</v>
      </c>
      <c r="S228" s="23">
        <f t="shared" si="434"/>
        <v>0</v>
      </c>
      <c r="T228" s="22">
        <f t="shared" si="435"/>
        <v>0</v>
      </c>
      <c r="U228" s="24">
        <f t="shared" si="436"/>
        <v>0</v>
      </c>
      <c r="V228" s="23">
        <f t="shared" si="436"/>
        <v>0</v>
      </c>
      <c r="W228" s="22">
        <f t="shared" si="437"/>
        <v>0</v>
      </c>
      <c r="X228" s="24">
        <f t="shared" si="438"/>
        <v>0</v>
      </c>
      <c r="Y228" s="23">
        <f t="shared" si="438"/>
        <v>0</v>
      </c>
      <c r="Z228" s="22">
        <f t="shared" si="439"/>
        <v>0</v>
      </c>
      <c r="AA228" s="24">
        <f t="shared" si="440"/>
        <v>0</v>
      </c>
      <c r="AB228" s="23">
        <f t="shared" si="440"/>
        <v>0</v>
      </c>
      <c r="AC228" s="22">
        <f t="shared" si="441"/>
        <v>0</v>
      </c>
      <c r="AD228" s="24">
        <f t="shared" si="442"/>
        <v>0</v>
      </c>
      <c r="AE228" s="23">
        <f t="shared" si="442"/>
        <v>0</v>
      </c>
      <c r="AF228" s="22">
        <f t="shared" si="443"/>
        <v>0</v>
      </c>
      <c r="AG228" s="24">
        <f t="shared" si="444"/>
        <v>0</v>
      </c>
      <c r="AH228" s="23">
        <f t="shared" si="444"/>
        <v>0</v>
      </c>
      <c r="AI228" s="22">
        <f t="shared" si="445"/>
        <v>0</v>
      </c>
      <c r="AJ228" s="24">
        <f t="shared" si="446"/>
        <v>0</v>
      </c>
      <c r="AK228" s="23">
        <f t="shared" si="446"/>
        <v>0</v>
      </c>
      <c r="AL228" s="22">
        <f t="shared" si="447"/>
        <v>0</v>
      </c>
      <c r="AM228" s="24">
        <f t="shared" si="448"/>
        <v>0</v>
      </c>
      <c r="AN228" s="23">
        <f t="shared" si="448"/>
        <v>0</v>
      </c>
      <c r="AO228" s="22">
        <f t="shared" si="449"/>
        <v>0</v>
      </c>
      <c r="AP228" s="24">
        <f t="shared" si="450"/>
        <v>0</v>
      </c>
      <c r="AQ228" s="23">
        <f t="shared" si="450"/>
        <v>0</v>
      </c>
      <c r="AR228" s="22">
        <f t="shared" si="451"/>
        <v>0</v>
      </c>
      <c r="AS228" s="24">
        <f t="shared" si="452"/>
        <v>0</v>
      </c>
      <c r="AT228" s="23">
        <f t="shared" si="452"/>
        <v>0</v>
      </c>
      <c r="AU228" s="22">
        <f t="shared" si="453"/>
        <v>0</v>
      </c>
      <c r="AV228" s="24">
        <f t="shared" si="454"/>
        <v>0</v>
      </c>
      <c r="AW228" s="23">
        <f t="shared" si="454"/>
        <v>0</v>
      </c>
      <c r="AX228" s="22">
        <f t="shared" si="455"/>
        <v>0</v>
      </c>
      <c r="AY228" s="23">
        <f t="shared" si="456"/>
        <v>0</v>
      </c>
      <c r="AZ228" s="23">
        <f t="shared" si="456"/>
        <v>0</v>
      </c>
      <c r="BA228" s="22">
        <f t="shared" si="457"/>
        <v>0</v>
      </c>
      <c r="BB228" s="24">
        <f t="shared" si="458"/>
        <v>0</v>
      </c>
      <c r="BC228" s="23">
        <f t="shared" si="458"/>
        <v>0</v>
      </c>
      <c r="BD228" s="22">
        <f t="shared" si="459"/>
        <v>0</v>
      </c>
      <c r="BE228" s="24">
        <f t="shared" si="424"/>
        <v>0</v>
      </c>
      <c r="BF228" s="24">
        <f t="shared" si="424"/>
        <v>0</v>
      </c>
      <c r="BG228" s="20">
        <f t="shared" ref="BG228" si="462">IF(OR(BG27=0,BG196=0),0,1000/(BG27/BG196))</f>
        <v>0</v>
      </c>
    </row>
    <row r="229" spans="1:59" ht="13.5" hidden="1" customHeight="1" outlineLevel="1" x14ac:dyDescent="0.25">
      <c r="A229" s="28"/>
      <c r="B229" s="84" t="s">
        <v>51</v>
      </c>
      <c r="C229" s="83" t="s">
        <v>84</v>
      </c>
      <c r="D229" s="20">
        <f t="shared" si="426"/>
        <v>0</v>
      </c>
      <c r="E229" s="20">
        <f t="shared" si="426"/>
        <v>0</v>
      </c>
      <c r="F229" s="24">
        <f t="shared" si="426"/>
        <v>0</v>
      </c>
      <c r="G229" s="23">
        <f t="shared" si="426"/>
        <v>0</v>
      </c>
      <c r="H229" s="22">
        <f t="shared" si="427"/>
        <v>0</v>
      </c>
      <c r="I229" s="24">
        <f t="shared" si="428"/>
        <v>0</v>
      </c>
      <c r="J229" s="23">
        <f t="shared" si="428"/>
        <v>0</v>
      </c>
      <c r="K229" s="22">
        <f t="shared" si="429"/>
        <v>0</v>
      </c>
      <c r="L229" s="24">
        <f t="shared" si="430"/>
        <v>0</v>
      </c>
      <c r="M229" s="23">
        <f t="shared" si="430"/>
        <v>0</v>
      </c>
      <c r="N229" s="22">
        <f t="shared" si="431"/>
        <v>0</v>
      </c>
      <c r="O229" s="24">
        <f t="shared" si="432"/>
        <v>0</v>
      </c>
      <c r="P229" s="23">
        <f t="shared" si="432"/>
        <v>0</v>
      </c>
      <c r="Q229" s="22">
        <f t="shared" si="433"/>
        <v>0</v>
      </c>
      <c r="R229" s="24">
        <f t="shared" si="434"/>
        <v>0</v>
      </c>
      <c r="S229" s="23">
        <f t="shared" si="434"/>
        <v>0</v>
      </c>
      <c r="T229" s="22">
        <f t="shared" si="435"/>
        <v>0</v>
      </c>
      <c r="U229" s="24">
        <f t="shared" si="436"/>
        <v>0</v>
      </c>
      <c r="V229" s="23">
        <f t="shared" si="436"/>
        <v>0</v>
      </c>
      <c r="W229" s="22">
        <f t="shared" si="437"/>
        <v>0</v>
      </c>
      <c r="X229" s="24">
        <f t="shared" si="438"/>
        <v>0</v>
      </c>
      <c r="Y229" s="23">
        <f t="shared" si="438"/>
        <v>0</v>
      </c>
      <c r="Z229" s="22">
        <f t="shared" si="439"/>
        <v>0</v>
      </c>
      <c r="AA229" s="24">
        <f t="shared" si="440"/>
        <v>0</v>
      </c>
      <c r="AB229" s="23">
        <f t="shared" si="440"/>
        <v>0</v>
      </c>
      <c r="AC229" s="22">
        <f t="shared" si="441"/>
        <v>0</v>
      </c>
      <c r="AD229" s="24">
        <f t="shared" si="442"/>
        <v>0</v>
      </c>
      <c r="AE229" s="23">
        <f t="shared" si="442"/>
        <v>0</v>
      </c>
      <c r="AF229" s="22">
        <f t="shared" si="443"/>
        <v>0</v>
      </c>
      <c r="AG229" s="24">
        <f t="shared" si="444"/>
        <v>0</v>
      </c>
      <c r="AH229" s="23">
        <f t="shared" si="444"/>
        <v>0</v>
      </c>
      <c r="AI229" s="22">
        <f t="shared" si="445"/>
        <v>0</v>
      </c>
      <c r="AJ229" s="24">
        <f t="shared" si="446"/>
        <v>0</v>
      </c>
      <c r="AK229" s="23">
        <f t="shared" si="446"/>
        <v>0</v>
      </c>
      <c r="AL229" s="22">
        <f t="shared" si="447"/>
        <v>0</v>
      </c>
      <c r="AM229" s="24">
        <f t="shared" si="448"/>
        <v>0</v>
      </c>
      <c r="AN229" s="23">
        <f t="shared" si="448"/>
        <v>0</v>
      </c>
      <c r="AO229" s="22">
        <f t="shared" si="449"/>
        <v>0</v>
      </c>
      <c r="AP229" s="24">
        <f t="shared" si="450"/>
        <v>0</v>
      </c>
      <c r="AQ229" s="23">
        <f t="shared" si="450"/>
        <v>0</v>
      </c>
      <c r="AR229" s="22">
        <f t="shared" si="451"/>
        <v>0</v>
      </c>
      <c r="AS229" s="24">
        <f t="shared" si="452"/>
        <v>0</v>
      </c>
      <c r="AT229" s="23">
        <f t="shared" si="452"/>
        <v>0</v>
      </c>
      <c r="AU229" s="22">
        <f t="shared" si="453"/>
        <v>0</v>
      </c>
      <c r="AV229" s="24">
        <f t="shared" si="454"/>
        <v>0</v>
      </c>
      <c r="AW229" s="23">
        <f t="shared" si="454"/>
        <v>0</v>
      </c>
      <c r="AX229" s="22">
        <f t="shared" si="455"/>
        <v>0</v>
      </c>
      <c r="AY229" s="23">
        <f t="shared" si="456"/>
        <v>0</v>
      </c>
      <c r="AZ229" s="23">
        <f t="shared" si="456"/>
        <v>0</v>
      </c>
      <c r="BA229" s="22">
        <f t="shared" si="457"/>
        <v>0</v>
      </c>
      <c r="BB229" s="24">
        <f t="shared" si="458"/>
        <v>0</v>
      </c>
      <c r="BC229" s="23">
        <f t="shared" si="458"/>
        <v>0</v>
      </c>
      <c r="BD229" s="22">
        <f t="shared" si="459"/>
        <v>0</v>
      </c>
      <c r="BE229" s="24">
        <f t="shared" si="424"/>
        <v>0</v>
      </c>
      <c r="BF229" s="24">
        <f t="shared" si="424"/>
        <v>0</v>
      </c>
      <c r="BG229" s="20">
        <f t="shared" ref="BG229" si="463">IF(OR(BG28=0,BG197=0),0,1000/(BG28/BG197))</f>
        <v>0</v>
      </c>
    </row>
    <row r="230" spans="1:59" ht="13.5" hidden="1" customHeight="1" outlineLevel="1" x14ac:dyDescent="0.25">
      <c r="A230" s="28"/>
      <c r="B230" s="84" t="s">
        <v>52</v>
      </c>
      <c r="C230" s="75" t="s">
        <v>84</v>
      </c>
      <c r="D230" s="20">
        <f t="shared" si="426"/>
        <v>0</v>
      </c>
      <c r="E230" s="20">
        <f t="shared" si="426"/>
        <v>0</v>
      </c>
      <c r="F230" s="24">
        <f t="shared" si="426"/>
        <v>0</v>
      </c>
      <c r="G230" s="23">
        <f t="shared" si="426"/>
        <v>0</v>
      </c>
      <c r="H230" s="22">
        <f t="shared" si="427"/>
        <v>0</v>
      </c>
      <c r="I230" s="24">
        <f t="shared" si="428"/>
        <v>0</v>
      </c>
      <c r="J230" s="23">
        <f t="shared" si="428"/>
        <v>0</v>
      </c>
      <c r="K230" s="22">
        <f t="shared" si="429"/>
        <v>0</v>
      </c>
      <c r="L230" s="24">
        <f t="shared" si="430"/>
        <v>0</v>
      </c>
      <c r="M230" s="23">
        <f t="shared" si="430"/>
        <v>0</v>
      </c>
      <c r="N230" s="22">
        <f t="shared" si="431"/>
        <v>0</v>
      </c>
      <c r="O230" s="24">
        <f t="shared" si="432"/>
        <v>0</v>
      </c>
      <c r="P230" s="23">
        <f t="shared" si="432"/>
        <v>0</v>
      </c>
      <c r="Q230" s="22">
        <f t="shared" si="433"/>
        <v>0</v>
      </c>
      <c r="R230" s="24">
        <f t="shared" si="434"/>
        <v>0</v>
      </c>
      <c r="S230" s="23">
        <f t="shared" si="434"/>
        <v>0</v>
      </c>
      <c r="T230" s="22">
        <f t="shared" si="435"/>
        <v>0</v>
      </c>
      <c r="U230" s="24">
        <f t="shared" si="436"/>
        <v>0</v>
      </c>
      <c r="V230" s="23">
        <f t="shared" si="436"/>
        <v>0</v>
      </c>
      <c r="W230" s="22">
        <f t="shared" si="437"/>
        <v>0</v>
      </c>
      <c r="X230" s="24">
        <f t="shared" si="438"/>
        <v>0</v>
      </c>
      <c r="Y230" s="23">
        <f t="shared" si="438"/>
        <v>0</v>
      </c>
      <c r="Z230" s="22">
        <f t="shared" si="439"/>
        <v>0</v>
      </c>
      <c r="AA230" s="24">
        <f t="shared" si="440"/>
        <v>0</v>
      </c>
      <c r="AB230" s="23">
        <f t="shared" si="440"/>
        <v>0</v>
      </c>
      <c r="AC230" s="22">
        <f t="shared" si="441"/>
        <v>0</v>
      </c>
      <c r="AD230" s="24">
        <f t="shared" si="442"/>
        <v>0</v>
      </c>
      <c r="AE230" s="23">
        <f t="shared" si="442"/>
        <v>0</v>
      </c>
      <c r="AF230" s="22">
        <f t="shared" si="443"/>
        <v>0</v>
      </c>
      <c r="AG230" s="24">
        <f t="shared" si="444"/>
        <v>0</v>
      </c>
      <c r="AH230" s="23">
        <f t="shared" si="444"/>
        <v>0</v>
      </c>
      <c r="AI230" s="22">
        <f t="shared" si="445"/>
        <v>0</v>
      </c>
      <c r="AJ230" s="24">
        <f t="shared" si="446"/>
        <v>0</v>
      </c>
      <c r="AK230" s="23">
        <f t="shared" si="446"/>
        <v>0</v>
      </c>
      <c r="AL230" s="22">
        <f t="shared" si="447"/>
        <v>0</v>
      </c>
      <c r="AM230" s="24">
        <f t="shared" si="448"/>
        <v>0</v>
      </c>
      <c r="AN230" s="23">
        <f t="shared" si="448"/>
        <v>0</v>
      </c>
      <c r="AO230" s="22">
        <f t="shared" si="449"/>
        <v>0</v>
      </c>
      <c r="AP230" s="24">
        <f t="shared" si="450"/>
        <v>0</v>
      </c>
      <c r="AQ230" s="23">
        <f t="shared" si="450"/>
        <v>0</v>
      </c>
      <c r="AR230" s="22">
        <f t="shared" si="451"/>
        <v>0</v>
      </c>
      <c r="AS230" s="24">
        <f t="shared" si="452"/>
        <v>0</v>
      </c>
      <c r="AT230" s="23">
        <f t="shared" si="452"/>
        <v>0</v>
      </c>
      <c r="AU230" s="22">
        <f t="shared" si="453"/>
        <v>0</v>
      </c>
      <c r="AV230" s="24">
        <f t="shared" si="454"/>
        <v>0</v>
      </c>
      <c r="AW230" s="23">
        <f t="shared" si="454"/>
        <v>0</v>
      </c>
      <c r="AX230" s="22">
        <f t="shared" si="455"/>
        <v>0</v>
      </c>
      <c r="AY230" s="23">
        <f t="shared" si="456"/>
        <v>0</v>
      </c>
      <c r="AZ230" s="23">
        <f t="shared" si="456"/>
        <v>0</v>
      </c>
      <c r="BA230" s="22">
        <f t="shared" si="457"/>
        <v>0</v>
      </c>
      <c r="BB230" s="24">
        <f t="shared" si="458"/>
        <v>0</v>
      </c>
      <c r="BC230" s="23">
        <f t="shared" si="458"/>
        <v>0</v>
      </c>
      <c r="BD230" s="22">
        <f t="shared" si="459"/>
        <v>0</v>
      </c>
      <c r="BE230" s="24">
        <f t="shared" si="424"/>
        <v>0</v>
      </c>
      <c r="BF230" s="24">
        <f t="shared" si="424"/>
        <v>0</v>
      </c>
      <c r="BG230" s="20">
        <f t="shared" ref="BG230" si="464">IF(OR(BG29=0,BG198=0),0,1000/(BG29/BG198))</f>
        <v>0</v>
      </c>
    </row>
    <row r="231" spans="1:59" ht="13.5" hidden="1" customHeight="1" outlineLevel="1" x14ac:dyDescent="0.25">
      <c r="A231" s="28"/>
      <c r="B231" s="84" t="s">
        <v>53</v>
      </c>
      <c r="C231" s="75" t="s">
        <v>84</v>
      </c>
      <c r="D231" s="20">
        <f t="shared" si="426"/>
        <v>0</v>
      </c>
      <c r="E231" s="20">
        <f t="shared" si="426"/>
        <v>0</v>
      </c>
      <c r="F231" s="24">
        <f t="shared" si="426"/>
        <v>0</v>
      </c>
      <c r="G231" s="23">
        <f t="shared" si="426"/>
        <v>0</v>
      </c>
      <c r="H231" s="22">
        <f t="shared" si="427"/>
        <v>0</v>
      </c>
      <c r="I231" s="24">
        <f t="shared" si="428"/>
        <v>0</v>
      </c>
      <c r="J231" s="23">
        <f t="shared" si="428"/>
        <v>0</v>
      </c>
      <c r="K231" s="22">
        <f t="shared" si="429"/>
        <v>0</v>
      </c>
      <c r="L231" s="24">
        <f t="shared" si="430"/>
        <v>0</v>
      </c>
      <c r="M231" s="23">
        <f t="shared" si="430"/>
        <v>0</v>
      </c>
      <c r="N231" s="22">
        <f t="shared" si="431"/>
        <v>0</v>
      </c>
      <c r="O231" s="24">
        <f t="shared" si="432"/>
        <v>0</v>
      </c>
      <c r="P231" s="23">
        <f t="shared" si="432"/>
        <v>0</v>
      </c>
      <c r="Q231" s="22">
        <f t="shared" si="433"/>
        <v>0</v>
      </c>
      <c r="R231" s="24">
        <f t="shared" si="434"/>
        <v>0</v>
      </c>
      <c r="S231" s="23">
        <f t="shared" si="434"/>
        <v>0</v>
      </c>
      <c r="T231" s="22">
        <f t="shared" si="435"/>
        <v>0</v>
      </c>
      <c r="U231" s="24">
        <f t="shared" si="436"/>
        <v>0</v>
      </c>
      <c r="V231" s="23">
        <f t="shared" si="436"/>
        <v>0</v>
      </c>
      <c r="W231" s="22">
        <f t="shared" si="437"/>
        <v>0</v>
      </c>
      <c r="X231" s="24">
        <f t="shared" si="438"/>
        <v>0</v>
      </c>
      <c r="Y231" s="23">
        <f t="shared" si="438"/>
        <v>0</v>
      </c>
      <c r="Z231" s="22">
        <f t="shared" si="439"/>
        <v>0</v>
      </c>
      <c r="AA231" s="24">
        <f t="shared" si="440"/>
        <v>0</v>
      </c>
      <c r="AB231" s="23">
        <f t="shared" si="440"/>
        <v>0</v>
      </c>
      <c r="AC231" s="22">
        <f t="shared" si="441"/>
        <v>0</v>
      </c>
      <c r="AD231" s="24">
        <f t="shared" si="442"/>
        <v>0</v>
      </c>
      <c r="AE231" s="23">
        <f t="shared" si="442"/>
        <v>0</v>
      </c>
      <c r="AF231" s="22">
        <f t="shared" si="443"/>
        <v>0</v>
      </c>
      <c r="AG231" s="24">
        <f t="shared" si="444"/>
        <v>0</v>
      </c>
      <c r="AH231" s="23">
        <f t="shared" si="444"/>
        <v>0</v>
      </c>
      <c r="AI231" s="22">
        <f t="shared" si="445"/>
        <v>0</v>
      </c>
      <c r="AJ231" s="24">
        <f t="shared" si="446"/>
        <v>0</v>
      </c>
      <c r="AK231" s="23">
        <f t="shared" si="446"/>
        <v>0</v>
      </c>
      <c r="AL231" s="22">
        <f t="shared" si="447"/>
        <v>0</v>
      </c>
      <c r="AM231" s="24">
        <f t="shared" si="448"/>
        <v>0</v>
      </c>
      <c r="AN231" s="23">
        <f t="shared" si="448"/>
        <v>0</v>
      </c>
      <c r="AO231" s="22">
        <f t="shared" si="449"/>
        <v>0</v>
      </c>
      <c r="AP231" s="24">
        <f t="shared" si="450"/>
        <v>0</v>
      </c>
      <c r="AQ231" s="23">
        <f t="shared" si="450"/>
        <v>0</v>
      </c>
      <c r="AR231" s="22">
        <f t="shared" si="451"/>
        <v>0</v>
      </c>
      <c r="AS231" s="24">
        <f t="shared" si="452"/>
        <v>0</v>
      </c>
      <c r="AT231" s="23">
        <f t="shared" si="452"/>
        <v>0</v>
      </c>
      <c r="AU231" s="22">
        <f t="shared" si="453"/>
        <v>0</v>
      </c>
      <c r="AV231" s="24">
        <f t="shared" si="454"/>
        <v>0</v>
      </c>
      <c r="AW231" s="23">
        <f t="shared" si="454"/>
        <v>0</v>
      </c>
      <c r="AX231" s="22">
        <f t="shared" si="455"/>
        <v>0</v>
      </c>
      <c r="AY231" s="23">
        <f t="shared" si="456"/>
        <v>0</v>
      </c>
      <c r="AZ231" s="23">
        <f t="shared" si="456"/>
        <v>0</v>
      </c>
      <c r="BA231" s="22">
        <f t="shared" si="457"/>
        <v>0</v>
      </c>
      <c r="BB231" s="24">
        <f t="shared" si="458"/>
        <v>0</v>
      </c>
      <c r="BC231" s="23">
        <f t="shared" si="458"/>
        <v>0</v>
      </c>
      <c r="BD231" s="22">
        <f t="shared" si="459"/>
        <v>0</v>
      </c>
      <c r="BE231" s="24">
        <f t="shared" si="424"/>
        <v>0</v>
      </c>
      <c r="BF231" s="24">
        <f t="shared" si="424"/>
        <v>0</v>
      </c>
      <c r="BG231" s="20">
        <f t="shared" ref="BG231" si="465">IF(OR(BG30=0,BG199=0),0,1000/(BG30/BG199))</f>
        <v>0</v>
      </c>
    </row>
    <row r="232" spans="1:59" ht="13.5" hidden="1" customHeight="1" outlineLevel="1" x14ac:dyDescent="0.25">
      <c r="A232" s="28"/>
      <c r="B232" s="84" t="s">
        <v>54</v>
      </c>
      <c r="C232" s="75" t="s">
        <v>84</v>
      </c>
      <c r="D232" s="20">
        <f t="shared" si="426"/>
        <v>0</v>
      </c>
      <c r="E232" s="20">
        <f t="shared" si="426"/>
        <v>0</v>
      </c>
      <c r="F232" s="24">
        <f t="shared" si="426"/>
        <v>0</v>
      </c>
      <c r="G232" s="23">
        <f t="shared" si="426"/>
        <v>0</v>
      </c>
      <c r="H232" s="22">
        <f t="shared" si="427"/>
        <v>0</v>
      </c>
      <c r="I232" s="24">
        <f t="shared" si="428"/>
        <v>0</v>
      </c>
      <c r="J232" s="23">
        <f t="shared" si="428"/>
        <v>0</v>
      </c>
      <c r="K232" s="22">
        <f t="shared" si="429"/>
        <v>0</v>
      </c>
      <c r="L232" s="24">
        <f t="shared" si="430"/>
        <v>0</v>
      </c>
      <c r="M232" s="23">
        <f t="shared" si="430"/>
        <v>0</v>
      </c>
      <c r="N232" s="22">
        <f t="shared" si="431"/>
        <v>0</v>
      </c>
      <c r="O232" s="24">
        <f t="shared" si="432"/>
        <v>0</v>
      </c>
      <c r="P232" s="23">
        <f t="shared" si="432"/>
        <v>0</v>
      </c>
      <c r="Q232" s="22">
        <f t="shared" si="433"/>
        <v>0</v>
      </c>
      <c r="R232" s="24">
        <f t="shared" si="434"/>
        <v>0</v>
      </c>
      <c r="S232" s="23">
        <f t="shared" si="434"/>
        <v>0</v>
      </c>
      <c r="T232" s="22">
        <f t="shared" si="435"/>
        <v>0</v>
      </c>
      <c r="U232" s="24">
        <f t="shared" si="436"/>
        <v>0</v>
      </c>
      <c r="V232" s="23">
        <f t="shared" si="436"/>
        <v>0</v>
      </c>
      <c r="W232" s="22">
        <f t="shared" si="437"/>
        <v>0</v>
      </c>
      <c r="X232" s="24">
        <f t="shared" si="438"/>
        <v>0</v>
      </c>
      <c r="Y232" s="23">
        <f t="shared" si="438"/>
        <v>0</v>
      </c>
      <c r="Z232" s="22">
        <f t="shared" si="439"/>
        <v>0</v>
      </c>
      <c r="AA232" s="24">
        <f t="shared" si="440"/>
        <v>0</v>
      </c>
      <c r="AB232" s="23">
        <f t="shared" si="440"/>
        <v>0</v>
      </c>
      <c r="AC232" s="22">
        <f t="shared" si="441"/>
        <v>0</v>
      </c>
      <c r="AD232" s="24">
        <f t="shared" si="442"/>
        <v>0</v>
      </c>
      <c r="AE232" s="23">
        <f t="shared" si="442"/>
        <v>0</v>
      </c>
      <c r="AF232" s="22">
        <f t="shared" si="443"/>
        <v>0</v>
      </c>
      <c r="AG232" s="24">
        <f t="shared" si="444"/>
        <v>0</v>
      </c>
      <c r="AH232" s="23">
        <f t="shared" si="444"/>
        <v>0</v>
      </c>
      <c r="AI232" s="22">
        <f t="shared" si="445"/>
        <v>0</v>
      </c>
      <c r="AJ232" s="24">
        <f t="shared" si="446"/>
        <v>0</v>
      </c>
      <c r="AK232" s="23">
        <f t="shared" si="446"/>
        <v>0</v>
      </c>
      <c r="AL232" s="22">
        <f t="shared" si="447"/>
        <v>0</v>
      </c>
      <c r="AM232" s="24">
        <f t="shared" si="448"/>
        <v>0</v>
      </c>
      <c r="AN232" s="23">
        <f t="shared" si="448"/>
        <v>0</v>
      </c>
      <c r="AO232" s="22">
        <f t="shared" si="449"/>
        <v>0</v>
      </c>
      <c r="AP232" s="24">
        <f t="shared" si="450"/>
        <v>0</v>
      </c>
      <c r="AQ232" s="23">
        <f t="shared" si="450"/>
        <v>0</v>
      </c>
      <c r="AR232" s="22">
        <f t="shared" si="451"/>
        <v>0</v>
      </c>
      <c r="AS232" s="24">
        <f t="shared" si="452"/>
        <v>0</v>
      </c>
      <c r="AT232" s="23">
        <f t="shared" si="452"/>
        <v>0</v>
      </c>
      <c r="AU232" s="22">
        <f t="shared" si="453"/>
        <v>0</v>
      </c>
      <c r="AV232" s="24">
        <f t="shared" si="454"/>
        <v>0</v>
      </c>
      <c r="AW232" s="23">
        <f t="shared" si="454"/>
        <v>0</v>
      </c>
      <c r="AX232" s="22">
        <f t="shared" si="455"/>
        <v>0</v>
      </c>
      <c r="AY232" s="23">
        <f t="shared" si="456"/>
        <v>0</v>
      </c>
      <c r="AZ232" s="23">
        <f t="shared" si="456"/>
        <v>0</v>
      </c>
      <c r="BA232" s="22">
        <f t="shared" si="457"/>
        <v>0</v>
      </c>
      <c r="BB232" s="24">
        <f t="shared" si="458"/>
        <v>0</v>
      </c>
      <c r="BC232" s="23">
        <f t="shared" si="458"/>
        <v>0</v>
      </c>
      <c r="BD232" s="22">
        <f t="shared" si="459"/>
        <v>0</v>
      </c>
      <c r="BE232" s="24">
        <f t="shared" si="424"/>
        <v>0</v>
      </c>
      <c r="BF232" s="24">
        <f t="shared" si="424"/>
        <v>0</v>
      </c>
      <c r="BG232" s="20">
        <f t="shared" ref="BG232" si="466">IF(OR(BG31=0,BG200=0),0,1000/(BG31/BG200))</f>
        <v>0</v>
      </c>
    </row>
    <row r="233" spans="1:59" ht="13.5" hidden="1" customHeight="1" outlineLevel="1" x14ac:dyDescent="0.25">
      <c r="A233" s="82"/>
      <c r="B233" s="84" t="s">
        <v>55</v>
      </c>
      <c r="C233" s="74" t="s">
        <v>84</v>
      </c>
      <c r="D233" s="168">
        <f t="shared" si="426"/>
        <v>0</v>
      </c>
      <c r="E233" s="168">
        <f t="shared" si="426"/>
        <v>0</v>
      </c>
      <c r="F233" s="171">
        <f t="shared" si="426"/>
        <v>0</v>
      </c>
      <c r="G233" s="169">
        <f t="shared" si="426"/>
        <v>0</v>
      </c>
      <c r="H233" s="170">
        <f t="shared" si="427"/>
        <v>0</v>
      </c>
      <c r="I233" s="171">
        <f t="shared" si="428"/>
        <v>0</v>
      </c>
      <c r="J233" s="169">
        <f t="shared" si="428"/>
        <v>0</v>
      </c>
      <c r="K233" s="170">
        <f t="shared" si="429"/>
        <v>0</v>
      </c>
      <c r="L233" s="171">
        <f t="shared" si="430"/>
        <v>0</v>
      </c>
      <c r="M233" s="169">
        <f t="shared" si="430"/>
        <v>0</v>
      </c>
      <c r="N233" s="170">
        <f t="shared" si="431"/>
        <v>0</v>
      </c>
      <c r="O233" s="171">
        <f t="shared" si="432"/>
        <v>0</v>
      </c>
      <c r="P233" s="169">
        <f t="shared" si="432"/>
        <v>0</v>
      </c>
      <c r="Q233" s="170">
        <f t="shared" si="433"/>
        <v>0</v>
      </c>
      <c r="R233" s="171">
        <f t="shared" si="434"/>
        <v>0</v>
      </c>
      <c r="S233" s="169">
        <f t="shared" si="434"/>
        <v>0</v>
      </c>
      <c r="T233" s="170">
        <f t="shared" si="435"/>
        <v>0</v>
      </c>
      <c r="U233" s="171">
        <f t="shared" si="436"/>
        <v>0</v>
      </c>
      <c r="V233" s="169">
        <f t="shared" si="436"/>
        <v>0</v>
      </c>
      <c r="W233" s="170">
        <f t="shared" si="437"/>
        <v>0</v>
      </c>
      <c r="X233" s="171">
        <f t="shared" si="438"/>
        <v>0</v>
      </c>
      <c r="Y233" s="169">
        <f t="shared" si="438"/>
        <v>0</v>
      </c>
      <c r="Z233" s="170">
        <f t="shared" si="439"/>
        <v>0</v>
      </c>
      <c r="AA233" s="171">
        <f t="shared" si="440"/>
        <v>0</v>
      </c>
      <c r="AB233" s="169">
        <f t="shared" si="440"/>
        <v>0</v>
      </c>
      <c r="AC233" s="170">
        <f t="shared" si="441"/>
        <v>0</v>
      </c>
      <c r="AD233" s="171">
        <f t="shared" si="442"/>
        <v>0</v>
      </c>
      <c r="AE233" s="169">
        <f t="shared" si="442"/>
        <v>0</v>
      </c>
      <c r="AF233" s="170">
        <f t="shared" si="443"/>
        <v>0</v>
      </c>
      <c r="AG233" s="171">
        <f t="shared" si="444"/>
        <v>0</v>
      </c>
      <c r="AH233" s="169">
        <f t="shared" si="444"/>
        <v>0</v>
      </c>
      <c r="AI233" s="170">
        <f t="shared" si="445"/>
        <v>0</v>
      </c>
      <c r="AJ233" s="171">
        <f t="shared" si="446"/>
        <v>0</v>
      </c>
      <c r="AK233" s="169">
        <f t="shared" si="446"/>
        <v>0</v>
      </c>
      <c r="AL233" s="170">
        <f t="shared" si="447"/>
        <v>0</v>
      </c>
      <c r="AM233" s="171">
        <f t="shared" si="448"/>
        <v>0</v>
      </c>
      <c r="AN233" s="169">
        <f t="shared" si="448"/>
        <v>0</v>
      </c>
      <c r="AO233" s="170">
        <f t="shared" si="449"/>
        <v>0</v>
      </c>
      <c r="AP233" s="171">
        <f t="shared" si="450"/>
        <v>0</v>
      </c>
      <c r="AQ233" s="169">
        <f t="shared" si="450"/>
        <v>0</v>
      </c>
      <c r="AR233" s="170">
        <f t="shared" si="451"/>
        <v>0</v>
      </c>
      <c r="AS233" s="171">
        <f t="shared" si="452"/>
        <v>0</v>
      </c>
      <c r="AT233" s="169">
        <f t="shared" si="452"/>
        <v>0</v>
      </c>
      <c r="AU233" s="170">
        <f t="shared" si="453"/>
        <v>0</v>
      </c>
      <c r="AV233" s="171">
        <f t="shared" si="454"/>
        <v>0</v>
      </c>
      <c r="AW233" s="169">
        <f t="shared" si="454"/>
        <v>0</v>
      </c>
      <c r="AX233" s="170">
        <f t="shared" si="455"/>
        <v>0</v>
      </c>
      <c r="AY233" s="169">
        <f t="shared" si="456"/>
        <v>0</v>
      </c>
      <c r="AZ233" s="169">
        <f t="shared" si="456"/>
        <v>0</v>
      </c>
      <c r="BA233" s="170">
        <f t="shared" si="457"/>
        <v>0</v>
      </c>
      <c r="BB233" s="171">
        <f t="shared" si="458"/>
        <v>0</v>
      </c>
      <c r="BC233" s="169">
        <f t="shared" si="458"/>
        <v>0</v>
      </c>
      <c r="BD233" s="170">
        <f t="shared" si="459"/>
        <v>0</v>
      </c>
      <c r="BE233" s="171">
        <f t="shared" si="424"/>
        <v>0</v>
      </c>
      <c r="BF233" s="171">
        <f t="shared" si="424"/>
        <v>0</v>
      </c>
      <c r="BG233" s="168">
        <f t="shared" ref="BG233" si="467">IF(OR(BG32=0,BG201=0),0,1000/(BG32/BG201))</f>
        <v>0</v>
      </c>
    </row>
    <row r="234" spans="1:59" ht="13.5" hidden="1" customHeight="1" outlineLevel="1" x14ac:dyDescent="0.25">
      <c r="A234" s="82"/>
      <c r="B234" s="99" t="s">
        <v>56</v>
      </c>
      <c r="C234" s="74" t="s">
        <v>84</v>
      </c>
      <c r="D234" s="168">
        <f t="shared" si="426"/>
        <v>0</v>
      </c>
      <c r="E234" s="168">
        <f t="shared" si="426"/>
        <v>0</v>
      </c>
      <c r="F234" s="171">
        <f t="shared" si="426"/>
        <v>0</v>
      </c>
      <c r="G234" s="169">
        <f t="shared" si="426"/>
        <v>0</v>
      </c>
      <c r="H234" s="170">
        <f t="shared" si="427"/>
        <v>0</v>
      </c>
      <c r="I234" s="171">
        <f t="shared" si="428"/>
        <v>0</v>
      </c>
      <c r="J234" s="169">
        <f t="shared" si="428"/>
        <v>0</v>
      </c>
      <c r="K234" s="170">
        <f t="shared" si="429"/>
        <v>0</v>
      </c>
      <c r="L234" s="171">
        <f t="shared" si="430"/>
        <v>0</v>
      </c>
      <c r="M234" s="169">
        <f t="shared" si="430"/>
        <v>0</v>
      </c>
      <c r="N234" s="170">
        <f t="shared" si="431"/>
        <v>0</v>
      </c>
      <c r="O234" s="171">
        <f t="shared" si="432"/>
        <v>0</v>
      </c>
      <c r="P234" s="169">
        <f t="shared" si="432"/>
        <v>0</v>
      </c>
      <c r="Q234" s="170">
        <f t="shared" si="433"/>
        <v>0</v>
      </c>
      <c r="R234" s="171">
        <f t="shared" si="434"/>
        <v>0</v>
      </c>
      <c r="S234" s="169">
        <f t="shared" si="434"/>
        <v>0</v>
      </c>
      <c r="T234" s="170">
        <f t="shared" si="435"/>
        <v>0</v>
      </c>
      <c r="U234" s="171">
        <f t="shared" si="436"/>
        <v>0</v>
      </c>
      <c r="V234" s="169">
        <f t="shared" si="436"/>
        <v>0</v>
      </c>
      <c r="W234" s="170">
        <f t="shared" si="437"/>
        <v>0</v>
      </c>
      <c r="X234" s="171">
        <f t="shared" si="438"/>
        <v>0</v>
      </c>
      <c r="Y234" s="169">
        <f t="shared" si="438"/>
        <v>0</v>
      </c>
      <c r="Z234" s="170">
        <f t="shared" si="439"/>
        <v>0</v>
      </c>
      <c r="AA234" s="171">
        <f t="shared" si="440"/>
        <v>0</v>
      </c>
      <c r="AB234" s="169">
        <f t="shared" si="440"/>
        <v>0</v>
      </c>
      <c r="AC234" s="170">
        <f t="shared" si="441"/>
        <v>0</v>
      </c>
      <c r="AD234" s="171">
        <f t="shared" si="442"/>
        <v>0</v>
      </c>
      <c r="AE234" s="169">
        <f t="shared" si="442"/>
        <v>0</v>
      </c>
      <c r="AF234" s="170">
        <f t="shared" si="443"/>
        <v>0</v>
      </c>
      <c r="AG234" s="171">
        <f t="shared" si="444"/>
        <v>0</v>
      </c>
      <c r="AH234" s="169">
        <f t="shared" si="444"/>
        <v>0</v>
      </c>
      <c r="AI234" s="170">
        <f t="shared" si="445"/>
        <v>0</v>
      </c>
      <c r="AJ234" s="171">
        <f t="shared" si="446"/>
        <v>0</v>
      </c>
      <c r="AK234" s="169">
        <f t="shared" si="446"/>
        <v>0</v>
      </c>
      <c r="AL234" s="170">
        <f t="shared" si="447"/>
        <v>0</v>
      </c>
      <c r="AM234" s="171">
        <f t="shared" si="448"/>
        <v>0</v>
      </c>
      <c r="AN234" s="169">
        <f t="shared" si="448"/>
        <v>0</v>
      </c>
      <c r="AO234" s="170">
        <f t="shared" si="449"/>
        <v>0</v>
      </c>
      <c r="AP234" s="171">
        <f t="shared" si="450"/>
        <v>0</v>
      </c>
      <c r="AQ234" s="169">
        <f t="shared" si="450"/>
        <v>0</v>
      </c>
      <c r="AR234" s="170">
        <f t="shared" si="451"/>
        <v>0</v>
      </c>
      <c r="AS234" s="171">
        <f t="shared" si="452"/>
        <v>0</v>
      </c>
      <c r="AT234" s="169">
        <f t="shared" si="452"/>
        <v>0</v>
      </c>
      <c r="AU234" s="170">
        <f t="shared" si="453"/>
        <v>0</v>
      </c>
      <c r="AV234" s="171">
        <f t="shared" si="454"/>
        <v>0</v>
      </c>
      <c r="AW234" s="169">
        <f t="shared" si="454"/>
        <v>0</v>
      </c>
      <c r="AX234" s="170">
        <f t="shared" si="455"/>
        <v>0</v>
      </c>
      <c r="AY234" s="169">
        <f t="shared" si="456"/>
        <v>0</v>
      </c>
      <c r="AZ234" s="169">
        <f t="shared" si="456"/>
        <v>0</v>
      </c>
      <c r="BA234" s="170">
        <f t="shared" si="457"/>
        <v>0</v>
      </c>
      <c r="BB234" s="171">
        <f t="shared" si="458"/>
        <v>0</v>
      </c>
      <c r="BC234" s="169">
        <f t="shared" si="458"/>
        <v>0</v>
      </c>
      <c r="BD234" s="170">
        <f t="shared" si="459"/>
        <v>0</v>
      </c>
      <c r="BE234" s="171">
        <f t="shared" si="424"/>
        <v>0</v>
      </c>
      <c r="BF234" s="171">
        <f t="shared" si="424"/>
        <v>0</v>
      </c>
      <c r="BG234" s="168">
        <f t="shared" ref="BG234" si="468">IF(OR(BG33=0,BG202=0),0,1000/(BG33/BG202))</f>
        <v>0</v>
      </c>
    </row>
    <row r="235" spans="1:59" ht="13.5" hidden="1" customHeight="1" outlineLevel="1" x14ac:dyDescent="0.25">
      <c r="A235" s="82"/>
      <c r="B235" s="84" t="s">
        <v>57</v>
      </c>
      <c r="C235" s="74" t="s">
        <v>84</v>
      </c>
      <c r="D235" s="168">
        <f t="shared" si="426"/>
        <v>0</v>
      </c>
      <c r="E235" s="168">
        <f t="shared" si="426"/>
        <v>0</v>
      </c>
      <c r="F235" s="171">
        <f t="shared" si="426"/>
        <v>0</v>
      </c>
      <c r="G235" s="169">
        <f t="shared" si="426"/>
        <v>0</v>
      </c>
      <c r="H235" s="170">
        <f t="shared" si="427"/>
        <v>0</v>
      </c>
      <c r="I235" s="171">
        <f t="shared" si="428"/>
        <v>0</v>
      </c>
      <c r="J235" s="169">
        <f t="shared" si="428"/>
        <v>0</v>
      </c>
      <c r="K235" s="170">
        <f t="shared" si="429"/>
        <v>0</v>
      </c>
      <c r="L235" s="171">
        <f t="shared" si="430"/>
        <v>0</v>
      </c>
      <c r="M235" s="169">
        <f t="shared" si="430"/>
        <v>0</v>
      </c>
      <c r="N235" s="170">
        <f t="shared" si="431"/>
        <v>0</v>
      </c>
      <c r="O235" s="171">
        <f t="shared" si="432"/>
        <v>0</v>
      </c>
      <c r="P235" s="169">
        <f t="shared" si="432"/>
        <v>0</v>
      </c>
      <c r="Q235" s="170">
        <f t="shared" si="433"/>
        <v>0</v>
      </c>
      <c r="R235" s="171">
        <f t="shared" si="434"/>
        <v>0</v>
      </c>
      <c r="S235" s="169">
        <f t="shared" si="434"/>
        <v>0</v>
      </c>
      <c r="T235" s="170">
        <f t="shared" si="435"/>
        <v>0</v>
      </c>
      <c r="U235" s="171">
        <f t="shared" si="436"/>
        <v>0</v>
      </c>
      <c r="V235" s="169">
        <f t="shared" si="436"/>
        <v>0</v>
      </c>
      <c r="W235" s="170">
        <f t="shared" si="437"/>
        <v>0</v>
      </c>
      <c r="X235" s="171">
        <f t="shared" si="438"/>
        <v>0</v>
      </c>
      <c r="Y235" s="169">
        <f t="shared" si="438"/>
        <v>0</v>
      </c>
      <c r="Z235" s="170">
        <f t="shared" si="439"/>
        <v>0</v>
      </c>
      <c r="AA235" s="171">
        <f t="shared" si="440"/>
        <v>0</v>
      </c>
      <c r="AB235" s="169">
        <f t="shared" si="440"/>
        <v>0</v>
      </c>
      <c r="AC235" s="170">
        <f t="shared" si="441"/>
        <v>0</v>
      </c>
      <c r="AD235" s="171">
        <f t="shared" si="442"/>
        <v>0</v>
      </c>
      <c r="AE235" s="169">
        <f t="shared" si="442"/>
        <v>0</v>
      </c>
      <c r="AF235" s="170">
        <f t="shared" si="443"/>
        <v>0</v>
      </c>
      <c r="AG235" s="171">
        <f t="shared" si="444"/>
        <v>0</v>
      </c>
      <c r="AH235" s="169">
        <f t="shared" si="444"/>
        <v>0</v>
      </c>
      <c r="AI235" s="170">
        <f t="shared" si="445"/>
        <v>0</v>
      </c>
      <c r="AJ235" s="171">
        <f t="shared" si="446"/>
        <v>0</v>
      </c>
      <c r="AK235" s="169">
        <f t="shared" si="446"/>
        <v>0</v>
      </c>
      <c r="AL235" s="170">
        <f t="shared" si="447"/>
        <v>0</v>
      </c>
      <c r="AM235" s="171">
        <f t="shared" si="448"/>
        <v>0</v>
      </c>
      <c r="AN235" s="169">
        <f t="shared" si="448"/>
        <v>0</v>
      </c>
      <c r="AO235" s="170">
        <f t="shared" si="449"/>
        <v>0</v>
      </c>
      <c r="AP235" s="171">
        <f t="shared" si="450"/>
        <v>0</v>
      </c>
      <c r="AQ235" s="169">
        <f t="shared" si="450"/>
        <v>0</v>
      </c>
      <c r="AR235" s="170">
        <f t="shared" si="451"/>
        <v>0</v>
      </c>
      <c r="AS235" s="171">
        <f t="shared" si="452"/>
        <v>0</v>
      </c>
      <c r="AT235" s="169">
        <f t="shared" si="452"/>
        <v>0</v>
      </c>
      <c r="AU235" s="170">
        <f t="shared" si="453"/>
        <v>0</v>
      </c>
      <c r="AV235" s="171">
        <f t="shared" si="454"/>
        <v>0</v>
      </c>
      <c r="AW235" s="169">
        <f t="shared" si="454"/>
        <v>0</v>
      </c>
      <c r="AX235" s="170">
        <f t="shared" si="455"/>
        <v>0</v>
      </c>
      <c r="AY235" s="169">
        <f t="shared" si="456"/>
        <v>0</v>
      </c>
      <c r="AZ235" s="169">
        <f t="shared" si="456"/>
        <v>0</v>
      </c>
      <c r="BA235" s="170">
        <f t="shared" si="457"/>
        <v>0</v>
      </c>
      <c r="BB235" s="171">
        <f t="shared" si="458"/>
        <v>0</v>
      </c>
      <c r="BC235" s="169">
        <f t="shared" si="458"/>
        <v>0</v>
      </c>
      <c r="BD235" s="170">
        <f t="shared" si="459"/>
        <v>0</v>
      </c>
      <c r="BE235" s="171">
        <f t="shared" si="424"/>
        <v>0</v>
      </c>
      <c r="BF235" s="171">
        <f t="shared" si="424"/>
        <v>0</v>
      </c>
      <c r="BG235" s="168">
        <f t="shared" ref="BG235" si="469">IF(OR(BG34=0,BG203=0),0,1000/(BG34/BG203))</f>
        <v>0</v>
      </c>
    </row>
    <row r="236" spans="1:59" ht="13.5" hidden="1" customHeight="1" outlineLevel="1" x14ac:dyDescent="0.25">
      <c r="A236" s="82"/>
      <c r="B236" s="99" t="s">
        <v>58</v>
      </c>
      <c r="C236" s="74" t="s">
        <v>84</v>
      </c>
      <c r="D236" s="168">
        <f t="shared" si="426"/>
        <v>0</v>
      </c>
      <c r="E236" s="168">
        <f t="shared" si="426"/>
        <v>0</v>
      </c>
      <c r="F236" s="171">
        <f t="shared" si="426"/>
        <v>0</v>
      </c>
      <c r="G236" s="169">
        <f t="shared" si="426"/>
        <v>0</v>
      </c>
      <c r="H236" s="170">
        <f t="shared" si="427"/>
        <v>0</v>
      </c>
      <c r="I236" s="171">
        <f t="shared" si="428"/>
        <v>0</v>
      </c>
      <c r="J236" s="169">
        <f t="shared" si="428"/>
        <v>0</v>
      </c>
      <c r="K236" s="170">
        <f t="shared" si="429"/>
        <v>0</v>
      </c>
      <c r="L236" s="171">
        <f t="shared" si="430"/>
        <v>0</v>
      </c>
      <c r="M236" s="169">
        <f t="shared" si="430"/>
        <v>0</v>
      </c>
      <c r="N236" s="170">
        <f t="shared" si="431"/>
        <v>0</v>
      </c>
      <c r="O236" s="171">
        <f t="shared" si="432"/>
        <v>0</v>
      </c>
      <c r="P236" s="169">
        <f t="shared" si="432"/>
        <v>0</v>
      </c>
      <c r="Q236" s="170">
        <f t="shared" si="433"/>
        <v>0</v>
      </c>
      <c r="R236" s="171">
        <f t="shared" si="434"/>
        <v>0</v>
      </c>
      <c r="S236" s="169">
        <f t="shared" si="434"/>
        <v>0</v>
      </c>
      <c r="T236" s="170">
        <f t="shared" si="435"/>
        <v>0</v>
      </c>
      <c r="U236" s="171">
        <f t="shared" si="436"/>
        <v>0</v>
      </c>
      <c r="V236" s="169">
        <f t="shared" si="436"/>
        <v>0</v>
      </c>
      <c r="W236" s="170">
        <f t="shared" si="437"/>
        <v>0</v>
      </c>
      <c r="X236" s="171">
        <f t="shared" si="438"/>
        <v>0</v>
      </c>
      <c r="Y236" s="169">
        <f t="shared" si="438"/>
        <v>0</v>
      </c>
      <c r="Z236" s="170">
        <f t="shared" si="439"/>
        <v>0</v>
      </c>
      <c r="AA236" s="171">
        <f t="shared" si="440"/>
        <v>0</v>
      </c>
      <c r="AB236" s="169">
        <f t="shared" si="440"/>
        <v>0</v>
      </c>
      <c r="AC236" s="170">
        <f t="shared" si="441"/>
        <v>0</v>
      </c>
      <c r="AD236" s="171">
        <f t="shared" si="442"/>
        <v>0</v>
      </c>
      <c r="AE236" s="169">
        <f t="shared" si="442"/>
        <v>0</v>
      </c>
      <c r="AF236" s="170">
        <f t="shared" si="443"/>
        <v>0</v>
      </c>
      <c r="AG236" s="171">
        <f t="shared" si="444"/>
        <v>0</v>
      </c>
      <c r="AH236" s="169">
        <f t="shared" si="444"/>
        <v>0</v>
      </c>
      <c r="AI236" s="170">
        <f t="shared" si="445"/>
        <v>0</v>
      </c>
      <c r="AJ236" s="171">
        <f t="shared" si="446"/>
        <v>0</v>
      </c>
      <c r="AK236" s="169">
        <f t="shared" si="446"/>
        <v>0</v>
      </c>
      <c r="AL236" s="170">
        <f t="shared" si="447"/>
        <v>0</v>
      </c>
      <c r="AM236" s="171">
        <f t="shared" si="448"/>
        <v>0</v>
      </c>
      <c r="AN236" s="169">
        <f t="shared" si="448"/>
        <v>0</v>
      </c>
      <c r="AO236" s="170">
        <f t="shared" si="449"/>
        <v>0</v>
      </c>
      <c r="AP236" s="171">
        <f t="shared" si="450"/>
        <v>0</v>
      </c>
      <c r="AQ236" s="169">
        <f t="shared" si="450"/>
        <v>0</v>
      </c>
      <c r="AR236" s="170">
        <f t="shared" si="451"/>
        <v>0</v>
      </c>
      <c r="AS236" s="171">
        <f t="shared" si="452"/>
        <v>0</v>
      </c>
      <c r="AT236" s="169">
        <f t="shared" si="452"/>
        <v>0</v>
      </c>
      <c r="AU236" s="170">
        <f t="shared" si="453"/>
        <v>0</v>
      </c>
      <c r="AV236" s="171">
        <f t="shared" si="454"/>
        <v>0</v>
      </c>
      <c r="AW236" s="169">
        <f t="shared" si="454"/>
        <v>0</v>
      </c>
      <c r="AX236" s="170">
        <f t="shared" si="455"/>
        <v>0</v>
      </c>
      <c r="AY236" s="169">
        <f t="shared" si="456"/>
        <v>0</v>
      </c>
      <c r="AZ236" s="169">
        <f t="shared" si="456"/>
        <v>0</v>
      </c>
      <c r="BA236" s="170">
        <f t="shared" si="457"/>
        <v>0</v>
      </c>
      <c r="BB236" s="171">
        <f t="shared" si="458"/>
        <v>0</v>
      </c>
      <c r="BC236" s="169">
        <f t="shared" si="458"/>
        <v>0</v>
      </c>
      <c r="BD236" s="170">
        <f t="shared" si="459"/>
        <v>0</v>
      </c>
      <c r="BE236" s="171">
        <f t="shared" si="424"/>
        <v>0</v>
      </c>
      <c r="BF236" s="171">
        <f t="shared" si="424"/>
        <v>0</v>
      </c>
      <c r="BG236" s="168">
        <f t="shared" ref="BG236" si="470">IF(OR(BG35=0,BG204=0),0,1000/(BG35/BG204))</f>
        <v>0</v>
      </c>
    </row>
    <row r="237" spans="1:59" ht="13.5" hidden="1" customHeight="1" outlineLevel="1" x14ac:dyDescent="0.25">
      <c r="A237" s="82"/>
      <c r="B237" s="84" t="s">
        <v>59</v>
      </c>
      <c r="C237" s="74" t="s">
        <v>84</v>
      </c>
      <c r="D237" s="168">
        <f t="shared" si="426"/>
        <v>0</v>
      </c>
      <c r="E237" s="168">
        <f t="shared" si="426"/>
        <v>0</v>
      </c>
      <c r="F237" s="171">
        <f t="shared" si="426"/>
        <v>0</v>
      </c>
      <c r="G237" s="169">
        <f t="shared" si="426"/>
        <v>0</v>
      </c>
      <c r="H237" s="170">
        <f t="shared" si="427"/>
        <v>0</v>
      </c>
      <c r="I237" s="171">
        <f t="shared" si="428"/>
        <v>0</v>
      </c>
      <c r="J237" s="169">
        <f t="shared" si="428"/>
        <v>0</v>
      </c>
      <c r="K237" s="170">
        <f t="shared" si="429"/>
        <v>0</v>
      </c>
      <c r="L237" s="171">
        <f t="shared" si="430"/>
        <v>0</v>
      </c>
      <c r="M237" s="169">
        <f t="shared" si="430"/>
        <v>0</v>
      </c>
      <c r="N237" s="170">
        <f t="shared" si="431"/>
        <v>0</v>
      </c>
      <c r="O237" s="171">
        <f t="shared" si="432"/>
        <v>0</v>
      </c>
      <c r="P237" s="169">
        <f t="shared" si="432"/>
        <v>0</v>
      </c>
      <c r="Q237" s="170">
        <f t="shared" si="433"/>
        <v>0</v>
      </c>
      <c r="R237" s="171">
        <f t="shared" si="434"/>
        <v>0</v>
      </c>
      <c r="S237" s="169">
        <f t="shared" si="434"/>
        <v>0</v>
      </c>
      <c r="T237" s="170">
        <f t="shared" si="435"/>
        <v>0</v>
      </c>
      <c r="U237" s="171">
        <f t="shared" si="436"/>
        <v>0</v>
      </c>
      <c r="V237" s="169">
        <f t="shared" si="436"/>
        <v>0</v>
      </c>
      <c r="W237" s="170">
        <f t="shared" si="437"/>
        <v>0</v>
      </c>
      <c r="X237" s="171">
        <f t="shared" si="438"/>
        <v>0</v>
      </c>
      <c r="Y237" s="169">
        <f t="shared" si="438"/>
        <v>0</v>
      </c>
      <c r="Z237" s="170">
        <f t="shared" si="439"/>
        <v>0</v>
      </c>
      <c r="AA237" s="171">
        <f t="shared" si="440"/>
        <v>0</v>
      </c>
      <c r="AB237" s="169">
        <f t="shared" si="440"/>
        <v>0</v>
      </c>
      <c r="AC237" s="170">
        <f t="shared" si="441"/>
        <v>0</v>
      </c>
      <c r="AD237" s="171">
        <f t="shared" si="442"/>
        <v>0</v>
      </c>
      <c r="AE237" s="169">
        <f t="shared" si="442"/>
        <v>0</v>
      </c>
      <c r="AF237" s="170">
        <f t="shared" si="443"/>
        <v>0</v>
      </c>
      <c r="AG237" s="171">
        <f t="shared" si="444"/>
        <v>0</v>
      </c>
      <c r="AH237" s="169">
        <f t="shared" si="444"/>
        <v>0</v>
      </c>
      <c r="AI237" s="170">
        <f t="shared" si="445"/>
        <v>0</v>
      </c>
      <c r="AJ237" s="171">
        <f t="shared" si="446"/>
        <v>0</v>
      </c>
      <c r="AK237" s="169">
        <f t="shared" si="446"/>
        <v>0</v>
      </c>
      <c r="AL237" s="170">
        <f t="shared" si="447"/>
        <v>0</v>
      </c>
      <c r="AM237" s="171">
        <f t="shared" si="448"/>
        <v>0</v>
      </c>
      <c r="AN237" s="169">
        <f t="shared" si="448"/>
        <v>0</v>
      </c>
      <c r="AO237" s="170">
        <f t="shared" si="449"/>
        <v>0</v>
      </c>
      <c r="AP237" s="171">
        <f t="shared" si="450"/>
        <v>0</v>
      </c>
      <c r="AQ237" s="169">
        <f t="shared" si="450"/>
        <v>0</v>
      </c>
      <c r="AR237" s="170">
        <f t="shared" si="451"/>
        <v>0</v>
      </c>
      <c r="AS237" s="171">
        <f t="shared" si="452"/>
        <v>0</v>
      </c>
      <c r="AT237" s="169">
        <f t="shared" si="452"/>
        <v>0</v>
      </c>
      <c r="AU237" s="170">
        <f t="shared" si="453"/>
        <v>0</v>
      </c>
      <c r="AV237" s="171">
        <f t="shared" si="454"/>
        <v>0</v>
      </c>
      <c r="AW237" s="169">
        <f t="shared" si="454"/>
        <v>0</v>
      </c>
      <c r="AX237" s="170">
        <f t="shared" si="455"/>
        <v>0</v>
      </c>
      <c r="AY237" s="169">
        <f t="shared" si="456"/>
        <v>0</v>
      </c>
      <c r="AZ237" s="169">
        <f t="shared" si="456"/>
        <v>0</v>
      </c>
      <c r="BA237" s="170">
        <f t="shared" si="457"/>
        <v>0</v>
      </c>
      <c r="BB237" s="171">
        <f t="shared" si="458"/>
        <v>0</v>
      </c>
      <c r="BC237" s="169">
        <f t="shared" si="458"/>
        <v>0</v>
      </c>
      <c r="BD237" s="170">
        <f t="shared" si="459"/>
        <v>0</v>
      </c>
      <c r="BE237" s="171">
        <f t="shared" si="424"/>
        <v>0</v>
      </c>
      <c r="BF237" s="171">
        <f t="shared" si="424"/>
        <v>0</v>
      </c>
      <c r="BG237" s="168">
        <f t="shared" ref="BG237" si="471">IF(OR(BG36=0,BG205=0),0,1000/(BG36/BG205))</f>
        <v>0</v>
      </c>
    </row>
    <row r="238" spans="1:59" ht="13.5" hidden="1" customHeight="1" outlineLevel="1" x14ac:dyDescent="0.25">
      <c r="A238" s="82"/>
      <c r="B238" s="99" t="s">
        <v>60</v>
      </c>
      <c r="C238" s="74" t="s">
        <v>84</v>
      </c>
      <c r="D238" s="168">
        <f t="shared" si="426"/>
        <v>0</v>
      </c>
      <c r="E238" s="168">
        <f t="shared" si="426"/>
        <v>0</v>
      </c>
      <c r="F238" s="171">
        <f t="shared" si="426"/>
        <v>0</v>
      </c>
      <c r="G238" s="169">
        <f t="shared" si="426"/>
        <v>0</v>
      </c>
      <c r="H238" s="170">
        <f t="shared" si="427"/>
        <v>0</v>
      </c>
      <c r="I238" s="171">
        <f t="shared" si="428"/>
        <v>0</v>
      </c>
      <c r="J238" s="169">
        <f t="shared" si="428"/>
        <v>0</v>
      </c>
      <c r="K238" s="170">
        <f t="shared" si="429"/>
        <v>0</v>
      </c>
      <c r="L238" s="171">
        <f t="shared" si="430"/>
        <v>0</v>
      </c>
      <c r="M238" s="169">
        <f t="shared" si="430"/>
        <v>0</v>
      </c>
      <c r="N238" s="170">
        <f t="shared" si="431"/>
        <v>0</v>
      </c>
      <c r="O238" s="171">
        <f t="shared" si="432"/>
        <v>0</v>
      </c>
      <c r="P238" s="169">
        <f t="shared" si="432"/>
        <v>0</v>
      </c>
      <c r="Q238" s="170">
        <f t="shared" si="433"/>
        <v>0</v>
      </c>
      <c r="R238" s="171">
        <f t="shared" si="434"/>
        <v>0</v>
      </c>
      <c r="S238" s="169">
        <f t="shared" si="434"/>
        <v>0</v>
      </c>
      <c r="T238" s="170">
        <f t="shared" si="435"/>
        <v>0</v>
      </c>
      <c r="U238" s="171">
        <f t="shared" si="436"/>
        <v>0</v>
      </c>
      <c r="V238" s="169">
        <f t="shared" si="436"/>
        <v>0</v>
      </c>
      <c r="W238" s="170">
        <f t="shared" si="437"/>
        <v>0</v>
      </c>
      <c r="X238" s="171">
        <f t="shared" si="438"/>
        <v>0</v>
      </c>
      <c r="Y238" s="169">
        <f t="shared" si="438"/>
        <v>0</v>
      </c>
      <c r="Z238" s="170">
        <f t="shared" si="439"/>
        <v>0</v>
      </c>
      <c r="AA238" s="171">
        <f t="shared" si="440"/>
        <v>0</v>
      </c>
      <c r="AB238" s="169">
        <f t="shared" si="440"/>
        <v>0</v>
      </c>
      <c r="AC238" s="170">
        <f t="shared" si="441"/>
        <v>0</v>
      </c>
      <c r="AD238" s="171">
        <f t="shared" si="442"/>
        <v>0</v>
      </c>
      <c r="AE238" s="169">
        <f t="shared" si="442"/>
        <v>0</v>
      </c>
      <c r="AF238" s="170">
        <f t="shared" si="443"/>
        <v>0</v>
      </c>
      <c r="AG238" s="171">
        <f t="shared" si="444"/>
        <v>0</v>
      </c>
      <c r="AH238" s="169">
        <f t="shared" si="444"/>
        <v>0</v>
      </c>
      <c r="AI238" s="170">
        <f t="shared" si="445"/>
        <v>0</v>
      </c>
      <c r="AJ238" s="171">
        <f t="shared" si="446"/>
        <v>0</v>
      </c>
      <c r="AK238" s="169">
        <f t="shared" si="446"/>
        <v>0</v>
      </c>
      <c r="AL238" s="170">
        <f t="shared" si="447"/>
        <v>0</v>
      </c>
      <c r="AM238" s="171">
        <f t="shared" si="448"/>
        <v>0</v>
      </c>
      <c r="AN238" s="169">
        <f t="shared" si="448"/>
        <v>0</v>
      </c>
      <c r="AO238" s="170">
        <f t="shared" si="449"/>
        <v>0</v>
      </c>
      <c r="AP238" s="171">
        <f t="shared" si="450"/>
        <v>0</v>
      </c>
      <c r="AQ238" s="169">
        <f t="shared" si="450"/>
        <v>0</v>
      </c>
      <c r="AR238" s="170">
        <f t="shared" si="451"/>
        <v>0</v>
      </c>
      <c r="AS238" s="171">
        <f t="shared" si="452"/>
        <v>0</v>
      </c>
      <c r="AT238" s="169">
        <f t="shared" si="452"/>
        <v>0</v>
      </c>
      <c r="AU238" s="170">
        <f t="shared" si="453"/>
        <v>0</v>
      </c>
      <c r="AV238" s="171">
        <f t="shared" si="454"/>
        <v>0</v>
      </c>
      <c r="AW238" s="169">
        <f t="shared" si="454"/>
        <v>0</v>
      </c>
      <c r="AX238" s="170">
        <f t="shared" si="455"/>
        <v>0</v>
      </c>
      <c r="AY238" s="169">
        <f t="shared" si="456"/>
        <v>0</v>
      </c>
      <c r="AZ238" s="169">
        <f t="shared" si="456"/>
        <v>0</v>
      </c>
      <c r="BA238" s="170">
        <f t="shared" si="457"/>
        <v>0</v>
      </c>
      <c r="BB238" s="171">
        <f t="shared" si="458"/>
        <v>0</v>
      </c>
      <c r="BC238" s="169">
        <f t="shared" si="458"/>
        <v>0</v>
      </c>
      <c r="BD238" s="170">
        <f t="shared" si="459"/>
        <v>0</v>
      </c>
      <c r="BE238" s="171">
        <f t="shared" si="424"/>
        <v>0</v>
      </c>
      <c r="BF238" s="171">
        <f t="shared" si="424"/>
        <v>0</v>
      </c>
      <c r="BG238" s="168">
        <f t="shared" ref="BG238" si="472">IF(OR(BG37=0,BG206=0),0,1000/(BG37/BG206))</f>
        <v>0</v>
      </c>
    </row>
    <row r="239" spans="1:59" ht="13.5" hidden="1" customHeight="1" outlineLevel="1" x14ac:dyDescent="0.25">
      <c r="A239" s="82"/>
      <c r="B239" s="84" t="s">
        <v>61</v>
      </c>
      <c r="C239" s="74" t="s">
        <v>84</v>
      </c>
      <c r="D239" s="168">
        <f t="shared" si="426"/>
        <v>0</v>
      </c>
      <c r="E239" s="168">
        <f t="shared" si="426"/>
        <v>0</v>
      </c>
      <c r="F239" s="171">
        <f t="shared" si="426"/>
        <v>0</v>
      </c>
      <c r="G239" s="169">
        <f t="shared" si="426"/>
        <v>0</v>
      </c>
      <c r="H239" s="170">
        <f t="shared" si="427"/>
        <v>0</v>
      </c>
      <c r="I239" s="171">
        <f t="shared" si="428"/>
        <v>0</v>
      </c>
      <c r="J239" s="169">
        <f t="shared" si="428"/>
        <v>0</v>
      </c>
      <c r="K239" s="170">
        <f t="shared" si="429"/>
        <v>0</v>
      </c>
      <c r="L239" s="171">
        <f t="shared" si="430"/>
        <v>0</v>
      </c>
      <c r="M239" s="169">
        <f t="shared" si="430"/>
        <v>0</v>
      </c>
      <c r="N239" s="170">
        <f t="shared" si="431"/>
        <v>0</v>
      </c>
      <c r="O239" s="171">
        <f t="shared" si="432"/>
        <v>0</v>
      </c>
      <c r="P239" s="169">
        <f t="shared" si="432"/>
        <v>0</v>
      </c>
      <c r="Q239" s="170">
        <f t="shared" si="433"/>
        <v>0</v>
      </c>
      <c r="R239" s="171">
        <f t="shared" si="434"/>
        <v>0</v>
      </c>
      <c r="S239" s="169">
        <f t="shared" si="434"/>
        <v>0</v>
      </c>
      <c r="T239" s="170">
        <f t="shared" si="435"/>
        <v>0</v>
      </c>
      <c r="U239" s="171">
        <f t="shared" si="436"/>
        <v>0</v>
      </c>
      <c r="V239" s="169">
        <f t="shared" si="436"/>
        <v>0</v>
      </c>
      <c r="W239" s="170">
        <f t="shared" si="437"/>
        <v>0</v>
      </c>
      <c r="X239" s="171">
        <f t="shared" si="438"/>
        <v>0</v>
      </c>
      <c r="Y239" s="169">
        <f t="shared" si="438"/>
        <v>0</v>
      </c>
      <c r="Z239" s="170">
        <f t="shared" si="439"/>
        <v>0</v>
      </c>
      <c r="AA239" s="171">
        <f t="shared" si="440"/>
        <v>0</v>
      </c>
      <c r="AB239" s="169">
        <f t="shared" si="440"/>
        <v>0</v>
      </c>
      <c r="AC239" s="170">
        <f t="shared" si="441"/>
        <v>0</v>
      </c>
      <c r="AD239" s="171">
        <f t="shared" si="442"/>
        <v>0</v>
      </c>
      <c r="AE239" s="169">
        <f t="shared" si="442"/>
        <v>0</v>
      </c>
      <c r="AF239" s="170">
        <f t="shared" si="443"/>
        <v>0</v>
      </c>
      <c r="AG239" s="171">
        <f t="shared" si="444"/>
        <v>0</v>
      </c>
      <c r="AH239" s="169">
        <f t="shared" si="444"/>
        <v>0</v>
      </c>
      <c r="AI239" s="170">
        <f t="shared" si="445"/>
        <v>0</v>
      </c>
      <c r="AJ239" s="171">
        <f t="shared" si="446"/>
        <v>0</v>
      </c>
      <c r="AK239" s="169">
        <f t="shared" si="446"/>
        <v>0</v>
      </c>
      <c r="AL239" s="170">
        <f t="shared" si="447"/>
        <v>0</v>
      </c>
      <c r="AM239" s="171">
        <f t="shared" si="448"/>
        <v>0</v>
      </c>
      <c r="AN239" s="169">
        <f t="shared" si="448"/>
        <v>0</v>
      </c>
      <c r="AO239" s="170">
        <f t="shared" si="449"/>
        <v>0</v>
      </c>
      <c r="AP239" s="171">
        <f t="shared" si="450"/>
        <v>0</v>
      </c>
      <c r="AQ239" s="169">
        <f t="shared" si="450"/>
        <v>0</v>
      </c>
      <c r="AR239" s="170">
        <f t="shared" si="451"/>
        <v>0</v>
      </c>
      <c r="AS239" s="171">
        <f t="shared" si="452"/>
        <v>0</v>
      </c>
      <c r="AT239" s="169">
        <f t="shared" si="452"/>
        <v>0</v>
      </c>
      <c r="AU239" s="170">
        <f t="shared" si="453"/>
        <v>0</v>
      </c>
      <c r="AV239" s="171">
        <f t="shared" si="454"/>
        <v>0</v>
      </c>
      <c r="AW239" s="169">
        <f t="shared" si="454"/>
        <v>0</v>
      </c>
      <c r="AX239" s="170">
        <f t="shared" si="455"/>
        <v>0</v>
      </c>
      <c r="AY239" s="169">
        <f t="shared" si="456"/>
        <v>0</v>
      </c>
      <c r="AZ239" s="169">
        <f t="shared" si="456"/>
        <v>0</v>
      </c>
      <c r="BA239" s="170">
        <f t="shared" si="457"/>
        <v>0</v>
      </c>
      <c r="BB239" s="171">
        <f t="shared" si="458"/>
        <v>0</v>
      </c>
      <c r="BC239" s="169">
        <f t="shared" si="458"/>
        <v>0</v>
      </c>
      <c r="BD239" s="170">
        <f t="shared" si="459"/>
        <v>0</v>
      </c>
      <c r="BE239" s="171">
        <f t="shared" si="424"/>
        <v>0</v>
      </c>
      <c r="BF239" s="171">
        <f t="shared" si="424"/>
        <v>0</v>
      </c>
      <c r="BG239" s="168">
        <f t="shared" ref="BG239" si="473">IF(OR(BG38=0,BG207=0),0,1000/(BG38/BG207))</f>
        <v>0</v>
      </c>
    </row>
    <row r="240" spans="1:59" s="210" customFormat="1" ht="13.5" customHeight="1" collapsed="1" thickBot="1" x14ac:dyDescent="0.3">
      <c r="A240" s="85"/>
      <c r="B240" s="95" t="s">
        <v>62</v>
      </c>
      <c r="C240" s="88" t="s">
        <v>84</v>
      </c>
      <c r="D240" s="164">
        <f t="shared" si="426"/>
        <v>0</v>
      </c>
      <c r="E240" s="164">
        <f t="shared" si="426"/>
        <v>0</v>
      </c>
      <c r="F240" s="167">
        <f t="shared" si="426"/>
        <v>0</v>
      </c>
      <c r="G240" s="165">
        <f t="shared" si="426"/>
        <v>0</v>
      </c>
      <c r="H240" s="166">
        <f t="shared" si="427"/>
        <v>0</v>
      </c>
      <c r="I240" s="167">
        <f t="shared" si="428"/>
        <v>0</v>
      </c>
      <c r="J240" s="165">
        <f t="shared" si="428"/>
        <v>0</v>
      </c>
      <c r="K240" s="166">
        <f t="shared" si="429"/>
        <v>0</v>
      </c>
      <c r="L240" s="167">
        <f t="shared" si="430"/>
        <v>0</v>
      </c>
      <c r="M240" s="165">
        <f t="shared" si="430"/>
        <v>0</v>
      </c>
      <c r="N240" s="166">
        <f t="shared" si="431"/>
        <v>0</v>
      </c>
      <c r="O240" s="167">
        <f t="shared" si="432"/>
        <v>0</v>
      </c>
      <c r="P240" s="165">
        <f t="shared" si="432"/>
        <v>0</v>
      </c>
      <c r="Q240" s="166">
        <f t="shared" si="433"/>
        <v>0</v>
      </c>
      <c r="R240" s="167">
        <f t="shared" si="434"/>
        <v>0</v>
      </c>
      <c r="S240" s="165">
        <f t="shared" si="434"/>
        <v>0</v>
      </c>
      <c r="T240" s="166">
        <f t="shared" si="435"/>
        <v>0</v>
      </c>
      <c r="U240" s="167">
        <f t="shared" si="436"/>
        <v>0</v>
      </c>
      <c r="V240" s="165">
        <f t="shared" si="436"/>
        <v>0</v>
      </c>
      <c r="W240" s="166">
        <f t="shared" si="437"/>
        <v>0</v>
      </c>
      <c r="X240" s="167">
        <f t="shared" si="438"/>
        <v>0</v>
      </c>
      <c r="Y240" s="165">
        <f t="shared" si="438"/>
        <v>0</v>
      </c>
      <c r="Z240" s="166">
        <f t="shared" si="439"/>
        <v>0</v>
      </c>
      <c r="AA240" s="167">
        <f t="shared" si="440"/>
        <v>0</v>
      </c>
      <c r="AB240" s="165">
        <f t="shared" si="440"/>
        <v>0</v>
      </c>
      <c r="AC240" s="166">
        <f t="shared" si="441"/>
        <v>0</v>
      </c>
      <c r="AD240" s="167">
        <f t="shared" si="442"/>
        <v>0</v>
      </c>
      <c r="AE240" s="165">
        <f t="shared" si="442"/>
        <v>0</v>
      </c>
      <c r="AF240" s="166">
        <f t="shared" si="443"/>
        <v>0</v>
      </c>
      <c r="AG240" s="167">
        <f t="shared" si="444"/>
        <v>0</v>
      </c>
      <c r="AH240" s="165">
        <f t="shared" si="444"/>
        <v>0</v>
      </c>
      <c r="AI240" s="166">
        <f t="shared" si="445"/>
        <v>0</v>
      </c>
      <c r="AJ240" s="167">
        <f t="shared" si="446"/>
        <v>0</v>
      </c>
      <c r="AK240" s="165">
        <f t="shared" si="446"/>
        <v>0</v>
      </c>
      <c r="AL240" s="166">
        <f t="shared" si="447"/>
        <v>0</v>
      </c>
      <c r="AM240" s="167">
        <f t="shared" si="448"/>
        <v>0</v>
      </c>
      <c r="AN240" s="165">
        <f t="shared" si="448"/>
        <v>0</v>
      </c>
      <c r="AO240" s="166">
        <f t="shared" si="449"/>
        <v>0</v>
      </c>
      <c r="AP240" s="167">
        <f t="shared" si="450"/>
        <v>0</v>
      </c>
      <c r="AQ240" s="165">
        <f t="shared" si="450"/>
        <v>0</v>
      </c>
      <c r="AR240" s="166">
        <f t="shared" si="451"/>
        <v>0</v>
      </c>
      <c r="AS240" s="167">
        <f t="shared" si="452"/>
        <v>0</v>
      </c>
      <c r="AT240" s="165">
        <f t="shared" si="452"/>
        <v>0</v>
      </c>
      <c r="AU240" s="166">
        <f t="shared" si="453"/>
        <v>0</v>
      </c>
      <c r="AV240" s="167">
        <f t="shared" si="454"/>
        <v>0</v>
      </c>
      <c r="AW240" s="165">
        <f t="shared" si="454"/>
        <v>0</v>
      </c>
      <c r="AX240" s="166">
        <f t="shared" si="455"/>
        <v>0</v>
      </c>
      <c r="AY240" s="165">
        <f t="shared" si="456"/>
        <v>0</v>
      </c>
      <c r="AZ240" s="165">
        <f t="shared" si="456"/>
        <v>0</v>
      </c>
      <c r="BA240" s="166">
        <f t="shared" si="457"/>
        <v>0</v>
      </c>
      <c r="BB240" s="167">
        <f t="shared" si="458"/>
        <v>0</v>
      </c>
      <c r="BC240" s="165">
        <f t="shared" si="458"/>
        <v>0</v>
      </c>
      <c r="BD240" s="166">
        <f t="shared" si="459"/>
        <v>0</v>
      </c>
      <c r="BE240" s="167">
        <f t="shared" ref="BE240:BF241" si="474">IF(OR(BE39=0,BE208=0),0,1000/(BE39/BE208))</f>
        <v>0</v>
      </c>
      <c r="BF240" s="167">
        <f t="shared" si="474"/>
        <v>0</v>
      </c>
      <c r="BG240" s="164">
        <f t="shared" ref="BG240" si="475">IF(OR(BG39=0,BG208=0),0,1000/(BG39/BG208))</f>
        <v>0</v>
      </c>
    </row>
    <row r="241" spans="1:59" ht="13.5" hidden="1" customHeight="1" outlineLevel="1" thickBot="1" x14ac:dyDescent="0.3">
      <c r="A241" s="11"/>
      <c r="B241" s="84" t="s">
        <v>63</v>
      </c>
      <c r="C241" s="73" t="s">
        <v>84</v>
      </c>
      <c r="D241" s="4">
        <f t="shared" si="426"/>
        <v>0</v>
      </c>
      <c r="E241" s="4">
        <f t="shared" si="426"/>
        <v>0</v>
      </c>
      <c r="F241" s="7">
        <f t="shared" si="426"/>
        <v>0</v>
      </c>
      <c r="G241" s="6">
        <f t="shared" si="426"/>
        <v>0</v>
      </c>
      <c r="H241" s="5">
        <f t="shared" si="427"/>
        <v>0</v>
      </c>
      <c r="I241" s="7">
        <f t="shared" si="428"/>
        <v>0</v>
      </c>
      <c r="J241" s="6">
        <f t="shared" si="428"/>
        <v>0</v>
      </c>
      <c r="K241" s="5">
        <f t="shared" si="429"/>
        <v>0</v>
      </c>
      <c r="L241" s="7">
        <f t="shared" si="430"/>
        <v>0</v>
      </c>
      <c r="M241" s="6">
        <f t="shared" si="430"/>
        <v>0</v>
      </c>
      <c r="N241" s="5">
        <f t="shared" si="431"/>
        <v>0</v>
      </c>
      <c r="O241" s="7">
        <f t="shared" si="432"/>
        <v>0</v>
      </c>
      <c r="P241" s="6">
        <f t="shared" si="432"/>
        <v>0</v>
      </c>
      <c r="Q241" s="5">
        <f t="shared" si="433"/>
        <v>0</v>
      </c>
      <c r="R241" s="7">
        <f t="shared" si="434"/>
        <v>0</v>
      </c>
      <c r="S241" s="6">
        <f t="shared" si="434"/>
        <v>0</v>
      </c>
      <c r="T241" s="5">
        <f t="shared" si="435"/>
        <v>0</v>
      </c>
      <c r="U241" s="7">
        <f t="shared" si="436"/>
        <v>0</v>
      </c>
      <c r="V241" s="6">
        <f t="shared" si="436"/>
        <v>0</v>
      </c>
      <c r="W241" s="5">
        <f t="shared" si="437"/>
        <v>0</v>
      </c>
      <c r="X241" s="7">
        <f t="shared" si="438"/>
        <v>0</v>
      </c>
      <c r="Y241" s="6">
        <f t="shared" si="438"/>
        <v>0</v>
      </c>
      <c r="Z241" s="5">
        <f t="shared" si="439"/>
        <v>0</v>
      </c>
      <c r="AA241" s="7">
        <f t="shared" si="440"/>
        <v>0</v>
      </c>
      <c r="AB241" s="6">
        <f t="shared" si="440"/>
        <v>0</v>
      </c>
      <c r="AC241" s="5">
        <f t="shared" si="441"/>
        <v>0</v>
      </c>
      <c r="AD241" s="7">
        <f t="shared" si="442"/>
        <v>0</v>
      </c>
      <c r="AE241" s="6">
        <f t="shared" si="442"/>
        <v>0</v>
      </c>
      <c r="AF241" s="5">
        <f t="shared" si="443"/>
        <v>0</v>
      </c>
      <c r="AG241" s="7">
        <f t="shared" si="444"/>
        <v>0</v>
      </c>
      <c r="AH241" s="6">
        <f t="shared" si="444"/>
        <v>0</v>
      </c>
      <c r="AI241" s="5">
        <f t="shared" si="445"/>
        <v>0</v>
      </c>
      <c r="AJ241" s="7">
        <f t="shared" si="446"/>
        <v>0</v>
      </c>
      <c r="AK241" s="6">
        <f t="shared" si="446"/>
        <v>0</v>
      </c>
      <c r="AL241" s="5">
        <f t="shared" si="447"/>
        <v>0</v>
      </c>
      <c r="AM241" s="7">
        <f t="shared" si="448"/>
        <v>0</v>
      </c>
      <c r="AN241" s="6">
        <f t="shared" si="448"/>
        <v>0</v>
      </c>
      <c r="AO241" s="5">
        <f t="shared" si="449"/>
        <v>0</v>
      </c>
      <c r="AP241" s="7">
        <f t="shared" si="450"/>
        <v>0</v>
      </c>
      <c r="AQ241" s="6">
        <f t="shared" si="450"/>
        <v>0</v>
      </c>
      <c r="AR241" s="5">
        <f t="shared" si="451"/>
        <v>0</v>
      </c>
      <c r="AS241" s="7">
        <f t="shared" si="452"/>
        <v>0</v>
      </c>
      <c r="AT241" s="6">
        <f t="shared" si="452"/>
        <v>0</v>
      </c>
      <c r="AU241" s="5">
        <f t="shared" si="453"/>
        <v>0</v>
      </c>
      <c r="AV241" s="7">
        <f t="shared" si="454"/>
        <v>0</v>
      </c>
      <c r="AW241" s="6">
        <f t="shared" si="454"/>
        <v>0</v>
      </c>
      <c r="AX241" s="5">
        <f t="shared" si="455"/>
        <v>0</v>
      </c>
      <c r="AY241" s="6">
        <f t="shared" si="456"/>
        <v>0</v>
      </c>
      <c r="AZ241" s="6">
        <f t="shared" si="456"/>
        <v>0</v>
      </c>
      <c r="BA241" s="5">
        <f t="shared" si="457"/>
        <v>0</v>
      </c>
      <c r="BB241" s="7">
        <f t="shared" si="458"/>
        <v>0</v>
      </c>
      <c r="BC241" s="6">
        <f t="shared" si="458"/>
        <v>0</v>
      </c>
      <c r="BD241" s="5">
        <f t="shared" si="459"/>
        <v>0</v>
      </c>
      <c r="BE241" s="7">
        <f t="shared" si="474"/>
        <v>0</v>
      </c>
      <c r="BF241" s="7">
        <f t="shared" si="474"/>
        <v>0</v>
      </c>
      <c r="BG241" s="4">
        <f t="shared" ref="BG241" si="476">IF(OR(BG40=0,BG209=0),0,1000/(BG40/BG209))</f>
        <v>0</v>
      </c>
    </row>
    <row r="242" spans="1:59" s="210" customFormat="1" ht="13.5" customHeight="1" collapsed="1" x14ac:dyDescent="0.25">
      <c r="A242" s="106" t="s">
        <v>87</v>
      </c>
      <c r="B242" s="105" t="s">
        <v>88</v>
      </c>
      <c r="C242" s="104" t="s">
        <v>89</v>
      </c>
      <c r="D242" s="192">
        <f t="shared" ref="D242:G257" si="477">IF(D178=0,0,D9/D178*30)</f>
        <v>0</v>
      </c>
      <c r="E242" s="192">
        <f t="shared" si="477"/>
        <v>0</v>
      </c>
      <c r="F242" s="195">
        <f t="shared" si="477"/>
        <v>0</v>
      </c>
      <c r="G242" s="193">
        <f t="shared" si="477"/>
        <v>0</v>
      </c>
      <c r="H242" s="194">
        <f t="shared" ref="H242:H257" si="478">G242-F242</f>
        <v>0</v>
      </c>
      <c r="I242" s="195">
        <f t="shared" ref="I242:J257" si="479">IF(I178=0,0,I9/I178*30)</f>
        <v>0</v>
      </c>
      <c r="J242" s="193">
        <f t="shared" si="479"/>
        <v>0</v>
      </c>
      <c r="K242" s="194">
        <f t="shared" ref="K242:K257" si="480">J242-I242</f>
        <v>0</v>
      </c>
      <c r="L242" s="195">
        <f t="shared" ref="L242:M257" si="481">IF(L178=0,0,L9/L178*30)</f>
        <v>0</v>
      </c>
      <c r="M242" s="193">
        <f t="shared" si="481"/>
        <v>0</v>
      </c>
      <c r="N242" s="194">
        <f t="shared" ref="N242:N257" si="482">M242-L242</f>
        <v>0</v>
      </c>
      <c r="O242" s="195">
        <f t="shared" ref="O242:P257" si="483">IF(O178=0,0,O9/O178*30)</f>
        <v>0</v>
      </c>
      <c r="P242" s="193">
        <f t="shared" si="483"/>
        <v>0</v>
      </c>
      <c r="Q242" s="194">
        <f t="shared" ref="Q242:Q257" si="484">P242-O242</f>
        <v>0</v>
      </c>
      <c r="R242" s="195">
        <f t="shared" ref="R242:S257" si="485">IF(R178=0,0,R9/R178*30)</f>
        <v>0</v>
      </c>
      <c r="S242" s="193">
        <f t="shared" si="485"/>
        <v>0</v>
      </c>
      <c r="T242" s="194">
        <f t="shared" ref="T242:T257" si="486">S242-R242</f>
        <v>0</v>
      </c>
      <c r="U242" s="195">
        <f t="shared" ref="U242:V257" si="487">IF(U178=0,0,U9/U178*30)</f>
        <v>0</v>
      </c>
      <c r="V242" s="193">
        <f t="shared" si="487"/>
        <v>0</v>
      </c>
      <c r="W242" s="194">
        <f t="shared" ref="W242:W257" si="488">V242-U242</f>
        <v>0</v>
      </c>
      <c r="X242" s="195">
        <f t="shared" ref="X242:Y257" si="489">IF(X178=0,0,X9/X178*30)</f>
        <v>0</v>
      </c>
      <c r="Y242" s="193">
        <f t="shared" si="489"/>
        <v>0</v>
      </c>
      <c r="Z242" s="194">
        <f t="shared" ref="Z242:Z257" si="490">Y242-X242</f>
        <v>0</v>
      </c>
      <c r="AA242" s="195">
        <f t="shared" ref="AA242:AB257" si="491">IF(AA178=0,0,AA9/AA178*30)</f>
        <v>0</v>
      </c>
      <c r="AB242" s="193">
        <f t="shared" si="491"/>
        <v>0</v>
      </c>
      <c r="AC242" s="194">
        <f t="shared" ref="AC242:AC257" si="492">AB242-AA242</f>
        <v>0</v>
      </c>
      <c r="AD242" s="195">
        <f t="shared" ref="AD242:AE257" si="493">IF(AD178=0,0,AD9/AD178*30)</f>
        <v>0</v>
      </c>
      <c r="AE242" s="193">
        <f t="shared" si="493"/>
        <v>0</v>
      </c>
      <c r="AF242" s="194">
        <f t="shared" ref="AF242:AF257" si="494">AE242-AD242</f>
        <v>0</v>
      </c>
      <c r="AG242" s="195">
        <f t="shared" ref="AG242:AH257" si="495">IF(AG178=0,0,AG9/AG178*30)</f>
        <v>0</v>
      </c>
      <c r="AH242" s="193">
        <f t="shared" si="495"/>
        <v>0</v>
      </c>
      <c r="AI242" s="194">
        <f t="shared" ref="AI242:AI257" si="496">AH242-AG242</f>
        <v>0</v>
      </c>
      <c r="AJ242" s="195">
        <f t="shared" ref="AJ242:AK257" si="497">IF(AJ178=0,0,AJ9/AJ178*30)</f>
        <v>0</v>
      </c>
      <c r="AK242" s="193">
        <f t="shared" si="497"/>
        <v>0</v>
      </c>
      <c r="AL242" s="194">
        <f t="shared" ref="AL242:AL257" si="498">AK242-AJ242</f>
        <v>0</v>
      </c>
      <c r="AM242" s="195">
        <f t="shared" ref="AM242:AN257" si="499">IF(AM178=0,0,AM9/AM178*30)</f>
        <v>0</v>
      </c>
      <c r="AN242" s="193">
        <f t="shared" si="499"/>
        <v>0</v>
      </c>
      <c r="AO242" s="194">
        <f t="shared" ref="AO242:AO257" si="500">AN242-AM242</f>
        <v>0</v>
      </c>
      <c r="AP242" s="195">
        <f t="shared" ref="AP242:AQ257" si="501">IF(AP178=0,0,AP9/AP178*30)</f>
        <v>0</v>
      </c>
      <c r="AQ242" s="193">
        <f t="shared" si="501"/>
        <v>0</v>
      </c>
      <c r="AR242" s="194">
        <f t="shared" ref="AR242:AR257" si="502">AQ242-AP242</f>
        <v>0</v>
      </c>
      <c r="AS242" s="195">
        <f t="shared" ref="AS242:AT257" si="503">IF(AS178=0,0,AS9/AS178*30)</f>
        <v>0</v>
      </c>
      <c r="AT242" s="193">
        <f t="shared" si="503"/>
        <v>0</v>
      </c>
      <c r="AU242" s="194">
        <f t="shared" ref="AU242:AU257" si="504">AT242-AS242</f>
        <v>0</v>
      </c>
      <c r="AV242" s="195">
        <f t="shared" ref="AV242:AW257" si="505">IF(AV178=0,0,AV9/AV178*30)</f>
        <v>0</v>
      </c>
      <c r="AW242" s="193">
        <f t="shared" si="505"/>
        <v>0</v>
      </c>
      <c r="AX242" s="194">
        <f t="shared" ref="AX242:AX257" si="506">AW242-AV242</f>
        <v>0</v>
      </c>
      <c r="AY242" s="193">
        <f t="shared" ref="AY242:AZ257" si="507">IF(AY178=0,0,AY9/AY178*30)</f>
        <v>0</v>
      </c>
      <c r="AZ242" s="193">
        <f t="shared" si="507"/>
        <v>0</v>
      </c>
      <c r="BA242" s="194">
        <f t="shared" ref="BA242:BA257" si="508">AZ242-AY242</f>
        <v>0</v>
      </c>
      <c r="BB242" s="195">
        <f t="shared" ref="BB242:BC257" si="509">IF(BB178=0,0,BB9/BB178*30)</f>
        <v>0</v>
      </c>
      <c r="BC242" s="193">
        <f t="shared" si="509"/>
        <v>0</v>
      </c>
      <c r="BD242" s="194">
        <f t="shared" ref="BD242:BD257" si="510">BC242-BB242</f>
        <v>0</v>
      </c>
      <c r="BE242" s="195">
        <f t="shared" ref="BE242:BF256" si="511">IF(BE178=0,0,BE9/BE178*30)</f>
        <v>0</v>
      </c>
      <c r="BF242" s="195">
        <f t="shared" si="511"/>
        <v>0</v>
      </c>
      <c r="BG242" s="192">
        <f t="shared" ref="BG242" si="512">IF(BG178=0,0,BG9/BG178*30)</f>
        <v>0</v>
      </c>
    </row>
    <row r="243" spans="1:59" s="210" customFormat="1" ht="13.5" customHeight="1" x14ac:dyDescent="0.25">
      <c r="A243" s="103"/>
      <c r="B243" s="102" t="s">
        <v>33</v>
      </c>
      <c r="C243" s="101" t="s">
        <v>89</v>
      </c>
      <c r="D243" s="188">
        <f t="shared" si="477"/>
        <v>0</v>
      </c>
      <c r="E243" s="188">
        <f t="shared" si="477"/>
        <v>0</v>
      </c>
      <c r="F243" s="191">
        <f t="shared" si="477"/>
        <v>0</v>
      </c>
      <c r="G243" s="189">
        <f t="shared" si="477"/>
        <v>0</v>
      </c>
      <c r="H243" s="190">
        <f t="shared" si="478"/>
        <v>0</v>
      </c>
      <c r="I243" s="191">
        <f t="shared" si="479"/>
        <v>0</v>
      </c>
      <c r="J243" s="189">
        <f t="shared" si="479"/>
        <v>0</v>
      </c>
      <c r="K243" s="190">
        <f t="shared" si="480"/>
        <v>0</v>
      </c>
      <c r="L243" s="191">
        <f t="shared" si="481"/>
        <v>0</v>
      </c>
      <c r="M243" s="189">
        <f t="shared" si="481"/>
        <v>0</v>
      </c>
      <c r="N243" s="190">
        <f t="shared" si="482"/>
        <v>0</v>
      </c>
      <c r="O243" s="191">
        <f t="shared" si="483"/>
        <v>0</v>
      </c>
      <c r="P243" s="189">
        <f t="shared" si="483"/>
        <v>0</v>
      </c>
      <c r="Q243" s="190">
        <f t="shared" si="484"/>
        <v>0</v>
      </c>
      <c r="R243" s="191">
        <f t="shared" si="485"/>
        <v>0</v>
      </c>
      <c r="S243" s="189">
        <f t="shared" si="485"/>
        <v>0</v>
      </c>
      <c r="T243" s="190">
        <f t="shared" si="486"/>
        <v>0</v>
      </c>
      <c r="U243" s="191">
        <f t="shared" si="487"/>
        <v>0</v>
      </c>
      <c r="V243" s="189">
        <f t="shared" si="487"/>
        <v>0</v>
      </c>
      <c r="W243" s="190">
        <f t="shared" si="488"/>
        <v>0</v>
      </c>
      <c r="X243" s="191">
        <f t="shared" si="489"/>
        <v>0</v>
      </c>
      <c r="Y243" s="189">
        <f t="shared" si="489"/>
        <v>0</v>
      </c>
      <c r="Z243" s="190">
        <f t="shared" si="490"/>
        <v>0</v>
      </c>
      <c r="AA243" s="191">
        <f t="shared" si="491"/>
        <v>0</v>
      </c>
      <c r="AB243" s="189">
        <f t="shared" si="491"/>
        <v>0</v>
      </c>
      <c r="AC243" s="190">
        <f t="shared" si="492"/>
        <v>0</v>
      </c>
      <c r="AD243" s="191">
        <f t="shared" si="493"/>
        <v>0</v>
      </c>
      <c r="AE243" s="189">
        <f t="shared" si="493"/>
        <v>0</v>
      </c>
      <c r="AF243" s="190">
        <f t="shared" si="494"/>
        <v>0</v>
      </c>
      <c r="AG243" s="191">
        <f t="shared" si="495"/>
        <v>0</v>
      </c>
      <c r="AH243" s="189">
        <f t="shared" si="495"/>
        <v>0</v>
      </c>
      <c r="AI243" s="190">
        <f t="shared" si="496"/>
        <v>0</v>
      </c>
      <c r="AJ243" s="191">
        <f t="shared" si="497"/>
        <v>0</v>
      </c>
      <c r="AK243" s="189">
        <f t="shared" si="497"/>
        <v>0</v>
      </c>
      <c r="AL243" s="190">
        <f t="shared" si="498"/>
        <v>0</v>
      </c>
      <c r="AM243" s="191">
        <f t="shared" si="499"/>
        <v>0</v>
      </c>
      <c r="AN243" s="189">
        <f t="shared" si="499"/>
        <v>0</v>
      </c>
      <c r="AO243" s="190">
        <f t="shared" si="500"/>
        <v>0</v>
      </c>
      <c r="AP243" s="191">
        <f t="shared" si="501"/>
        <v>0</v>
      </c>
      <c r="AQ243" s="189">
        <f t="shared" si="501"/>
        <v>0</v>
      </c>
      <c r="AR243" s="190">
        <f t="shared" si="502"/>
        <v>0</v>
      </c>
      <c r="AS243" s="191">
        <f t="shared" si="503"/>
        <v>0</v>
      </c>
      <c r="AT243" s="189">
        <f t="shared" si="503"/>
        <v>0</v>
      </c>
      <c r="AU243" s="190">
        <f t="shared" si="504"/>
        <v>0</v>
      </c>
      <c r="AV243" s="191">
        <f t="shared" si="505"/>
        <v>0</v>
      </c>
      <c r="AW243" s="189">
        <f t="shared" si="505"/>
        <v>0</v>
      </c>
      <c r="AX243" s="190">
        <f t="shared" si="506"/>
        <v>0</v>
      </c>
      <c r="AY243" s="189">
        <f t="shared" si="507"/>
        <v>0</v>
      </c>
      <c r="AZ243" s="189">
        <f t="shared" si="507"/>
        <v>0</v>
      </c>
      <c r="BA243" s="190">
        <f t="shared" si="508"/>
        <v>0</v>
      </c>
      <c r="BB243" s="191">
        <f t="shared" si="509"/>
        <v>0</v>
      </c>
      <c r="BC243" s="189">
        <f t="shared" si="509"/>
        <v>0</v>
      </c>
      <c r="BD243" s="190">
        <f t="shared" si="510"/>
        <v>0</v>
      </c>
      <c r="BE243" s="191">
        <f t="shared" si="511"/>
        <v>0</v>
      </c>
      <c r="BF243" s="191">
        <f t="shared" si="511"/>
        <v>0</v>
      </c>
      <c r="BG243" s="188">
        <f t="shared" ref="BG243" si="513">IF(BG179=0,0,BG10/BG179*30)</f>
        <v>0</v>
      </c>
    </row>
    <row r="244" spans="1:59" ht="13.5" hidden="1" customHeight="1" outlineLevel="1" x14ac:dyDescent="0.25">
      <c r="A244" s="100"/>
      <c r="B244" s="84" t="s">
        <v>34</v>
      </c>
      <c r="C244" s="83" t="s">
        <v>89</v>
      </c>
      <c r="D244" s="20">
        <f t="shared" si="477"/>
        <v>0</v>
      </c>
      <c r="E244" s="20">
        <f t="shared" si="477"/>
        <v>0</v>
      </c>
      <c r="F244" s="24">
        <f t="shared" si="477"/>
        <v>0</v>
      </c>
      <c r="G244" s="23">
        <f t="shared" si="477"/>
        <v>0</v>
      </c>
      <c r="H244" s="22">
        <f t="shared" si="478"/>
        <v>0</v>
      </c>
      <c r="I244" s="24">
        <f t="shared" si="479"/>
        <v>0</v>
      </c>
      <c r="J244" s="23">
        <f t="shared" si="479"/>
        <v>0</v>
      </c>
      <c r="K244" s="22">
        <f t="shared" si="480"/>
        <v>0</v>
      </c>
      <c r="L244" s="24">
        <f t="shared" si="481"/>
        <v>0</v>
      </c>
      <c r="M244" s="23">
        <f t="shared" si="481"/>
        <v>0</v>
      </c>
      <c r="N244" s="22">
        <f t="shared" si="482"/>
        <v>0</v>
      </c>
      <c r="O244" s="24">
        <f t="shared" si="483"/>
        <v>0</v>
      </c>
      <c r="P244" s="23">
        <f t="shared" si="483"/>
        <v>0</v>
      </c>
      <c r="Q244" s="22">
        <f t="shared" si="484"/>
        <v>0</v>
      </c>
      <c r="R244" s="24">
        <f t="shared" si="485"/>
        <v>0</v>
      </c>
      <c r="S244" s="23">
        <f t="shared" si="485"/>
        <v>0</v>
      </c>
      <c r="T244" s="22">
        <f t="shared" si="486"/>
        <v>0</v>
      </c>
      <c r="U244" s="24">
        <f t="shared" si="487"/>
        <v>0</v>
      </c>
      <c r="V244" s="23">
        <f t="shared" si="487"/>
        <v>0</v>
      </c>
      <c r="W244" s="22">
        <f t="shared" si="488"/>
        <v>0</v>
      </c>
      <c r="X244" s="24">
        <f t="shared" si="489"/>
        <v>0</v>
      </c>
      <c r="Y244" s="23">
        <f t="shared" si="489"/>
        <v>0</v>
      </c>
      <c r="Z244" s="22">
        <f t="shared" si="490"/>
        <v>0</v>
      </c>
      <c r="AA244" s="24">
        <f t="shared" si="491"/>
        <v>0</v>
      </c>
      <c r="AB244" s="23">
        <f t="shared" si="491"/>
        <v>0</v>
      </c>
      <c r="AC244" s="22">
        <f t="shared" si="492"/>
        <v>0</v>
      </c>
      <c r="AD244" s="24">
        <f t="shared" si="493"/>
        <v>0</v>
      </c>
      <c r="AE244" s="23">
        <f t="shared" si="493"/>
        <v>0</v>
      </c>
      <c r="AF244" s="22">
        <f t="shared" si="494"/>
        <v>0</v>
      </c>
      <c r="AG244" s="24">
        <f t="shared" si="495"/>
        <v>0</v>
      </c>
      <c r="AH244" s="23">
        <f t="shared" si="495"/>
        <v>0</v>
      </c>
      <c r="AI244" s="22">
        <f t="shared" si="496"/>
        <v>0</v>
      </c>
      <c r="AJ244" s="24">
        <f t="shared" si="497"/>
        <v>0</v>
      </c>
      <c r="AK244" s="23">
        <f t="shared" si="497"/>
        <v>0</v>
      </c>
      <c r="AL244" s="22">
        <f t="shared" si="498"/>
        <v>0</v>
      </c>
      <c r="AM244" s="24">
        <f t="shared" si="499"/>
        <v>0</v>
      </c>
      <c r="AN244" s="23">
        <f t="shared" si="499"/>
        <v>0</v>
      </c>
      <c r="AO244" s="22">
        <f t="shared" si="500"/>
        <v>0</v>
      </c>
      <c r="AP244" s="24">
        <f t="shared" si="501"/>
        <v>0</v>
      </c>
      <c r="AQ244" s="23">
        <f t="shared" si="501"/>
        <v>0</v>
      </c>
      <c r="AR244" s="22">
        <f t="shared" si="502"/>
        <v>0</v>
      </c>
      <c r="AS244" s="24">
        <f t="shared" si="503"/>
        <v>0</v>
      </c>
      <c r="AT244" s="23">
        <f t="shared" si="503"/>
        <v>0</v>
      </c>
      <c r="AU244" s="22">
        <f t="shared" si="504"/>
        <v>0</v>
      </c>
      <c r="AV244" s="24">
        <f t="shared" si="505"/>
        <v>0</v>
      </c>
      <c r="AW244" s="23">
        <f t="shared" si="505"/>
        <v>0</v>
      </c>
      <c r="AX244" s="22">
        <f t="shared" si="506"/>
        <v>0</v>
      </c>
      <c r="AY244" s="23">
        <f t="shared" si="507"/>
        <v>0</v>
      </c>
      <c r="AZ244" s="23">
        <f t="shared" si="507"/>
        <v>0</v>
      </c>
      <c r="BA244" s="22">
        <f t="shared" si="508"/>
        <v>0</v>
      </c>
      <c r="BB244" s="24">
        <f t="shared" si="509"/>
        <v>0</v>
      </c>
      <c r="BC244" s="23">
        <f t="shared" si="509"/>
        <v>0</v>
      </c>
      <c r="BD244" s="22">
        <f t="shared" si="510"/>
        <v>0</v>
      </c>
      <c r="BE244" s="24">
        <f t="shared" si="511"/>
        <v>0</v>
      </c>
      <c r="BF244" s="24">
        <f t="shared" si="511"/>
        <v>0</v>
      </c>
      <c r="BG244" s="20">
        <f t="shared" ref="BG244" si="514">IF(BG180=0,0,BG11/BG180*30)</f>
        <v>0</v>
      </c>
    </row>
    <row r="245" spans="1:59" ht="13.5" hidden="1" customHeight="1" outlineLevel="1" x14ac:dyDescent="0.25">
      <c r="A245" s="100"/>
      <c r="B245" s="84" t="s">
        <v>35</v>
      </c>
      <c r="C245" s="83" t="s">
        <v>89</v>
      </c>
      <c r="D245" s="20">
        <f t="shared" si="477"/>
        <v>0</v>
      </c>
      <c r="E245" s="20">
        <f t="shared" si="477"/>
        <v>0</v>
      </c>
      <c r="F245" s="24">
        <f t="shared" si="477"/>
        <v>0</v>
      </c>
      <c r="G245" s="23">
        <f t="shared" si="477"/>
        <v>0</v>
      </c>
      <c r="H245" s="22">
        <f t="shared" si="478"/>
        <v>0</v>
      </c>
      <c r="I245" s="24">
        <f t="shared" si="479"/>
        <v>0</v>
      </c>
      <c r="J245" s="23">
        <f t="shared" si="479"/>
        <v>0</v>
      </c>
      <c r="K245" s="22">
        <f t="shared" si="480"/>
        <v>0</v>
      </c>
      <c r="L245" s="24">
        <f t="shared" si="481"/>
        <v>0</v>
      </c>
      <c r="M245" s="23">
        <f t="shared" si="481"/>
        <v>0</v>
      </c>
      <c r="N245" s="22">
        <f t="shared" si="482"/>
        <v>0</v>
      </c>
      <c r="O245" s="24">
        <f t="shared" si="483"/>
        <v>0</v>
      </c>
      <c r="P245" s="23">
        <f t="shared" si="483"/>
        <v>0</v>
      </c>
      <c r="Q245" s="22">
        <f t="shared" si="484"/>
        <v>0</v>
      </c>
      <c r="R245" s="24">
        <f t="shared" si="485"/>
        <v>0</v>
      </c>
      <c r="S245" s="23">
        <f t="shared" si="485"/>
        <v>0</v>
      </c>
      <c r="T245" s="22">
        <f t="shared" si="486"/>
        <v>0</v>
      </c>
      <c r="U245" s="24">
        <f t="shared" si="487"/>
        <v>0</v>
      </c>
      <c r="V245" s="23">
        <f t="shared" si="487"/>
        <v>0</v>
      </c>
      <c r="W245" s="22">
        <f t="shared" si="488"/>
        <v>0</v>
      </c>
      <c r="X245" s="24">
        <f t="shared" si="489"/>
        <v>0</v>
      </c>
      <c r="Y245" s="23">
        <f t="shared" si="489"/>
        <v>0</v>
      </c>
      <c r="Z245" s="22">
        <f t="shared" si="490"/>
        <v>0</v>
      </c>
      <c r="AA245" s="24">
        <f t="shared" si="491"/>
        <v>0</v>
      </c>
      <c r="AB245" s="23">
        <f t="shared" si="491"/>
        <v>0</v>
      </c>
      <c r="AC245" s="22">
        <f t="shared" si="492"/>
        <v>0</v>
      </c>
      <c r="AD245" s="24">
        <f t="shared" si="493"/>
        <v>0</v>
      </c>
      <c r="AE245" s="23">
        <f t="shared" si="493"/>
        <v>0</v>
      </c>
      <c r="AF245" s="22">
        <f t="shared" si="494"/>
        <v>0</v>
      </c>
      <c r="AG245" s="24">
        <f t="shared" si="495"/>
        <v>0</v>
      </c>
      <c r="AH245" s="23">
        <f t="shared" si="495"/>
        <v>0</v>
      </c>
      <c r="AI245" s="22">
        <f t="shared" si="496"/>
        <v>0</v>
      </c>
      <c r="AJ245" s="24">
        <f t="shared" si="497"/>
        <v>0</v>
      </c>
      <c r="AK245" s="23">
        <f t="shared" si="497"/>
        <v>0</v>
      </c>
      <c r="AL245" s="22">
        <f t="shared" si="498"/>
        <v>0</v>
      </c>
      <c r="AM245" s="24">
        <f t="shared" si="499"/>
        <v>0</v>
      </c>
      <c r="AN245" s="23">
        <f t="shared" si="499"/>
        <v>0</v>
      </c>
      <c r="AO245" s="22">
        <f t="shared" si="500"/>
        <v>0</v>
      </c>
      <c r="AP245" s="24">
        <f t="shared" si="501"/>
        <v>0</v>
      </c>
      <c r="AQ245" s="23">
        <f t="shared" si="501"/>
        <v>0</v>
      </c>
      <c r="AR245" s="22">
        <f t="shared" si="502"/>
        <v>0</v>
      </c>
      <c r="AS245" s="24">
        <f t="shared" si="503"/>
        <v>0</v>
      </c>
      <c r="AT245" s="23">
        <f t="shared" si="503"/>
        <v>0</v>
      </c>
      <c r="AU245" s="22">
        <f t="shared" si="504"/>
        <v>0</v>
      </c>
      <c r="AV245" s="24">
        <f t="shared" si="505"/>
        <v>0</v>
      </c>
      <c r="AW245" s="23">
        <f t="shared" si="505"/>
        <v>0</v>
      </c>
      <c r="AX245" s="22">
        <f t="shared" si="506"/>
        <v>0</v>
      </c>
      <c r="AY245" s="23">
        <f t="shared" si="507"/>
        <v>0</v>
      </c>
      <c r="AZ245" s="23">
        <f t="shared" si="507"/>
        <v>0</v>
      </c>
      <c r="BA245" s="22">
        <f t="shared" si="508"/>
        <v>0</v>
      </c>
      <c r="BB245" s="24">
        <f t="shared" si="509"/>
        <v>0</v>
      </c>
      <c r="BC245" s="23">
        <f t="shared" si="509"/>
        <v>0</v>
      </c>
      <c r="BD245" s="22">
        <f t="shared" si="510"/>
        <v>0</v>
      </c>
      <c r="BE245" s="24">
        <f t="shared" si="511"/>
        <v>0</v>
      </c>
      <c r="BF245" s="24">
        <f t="shared" si="511"/>
        <v>0</v>
      </c>
      <c r="BG245" s="20">
        <f t="shared" ref="BG245" si="515">IF(BG181=0,0,BG12/BG181*30)</f>
        <v>0</v>
      </c>
    </row>
    <row r="246" spans="1:59" ht="13.5" hidden="1" customHeight="1" outlineLevel="1" x14ac:dyDescent="0.25">
      <c r="A246" s="100"/>
      <c r="B246" s="84" t="s">
        <v>36</v>
      </c>
      <c r="C246" s="83" t="s">
        <v>89</v>
      </c>
      <c r="D246" s="20">
        <f t="shared" si="477"/>
        <v>0</v>
      </c>
      <c r="E246" s="20">
        <f t="shared" si="477"/>
        <v>0</v>
      </c>
      <c r="F246" s="24">
        <f t="shared" si="477"/>
        <v>0</v>
      </c>
      <c r="G246" s="23">
        <f t="shared" si="477"/>
        <v>0</v>
      </c>
      <c r="H246" s="22">
        <f t="shared" si="478"/>
        <v>0</v>
      </c>
      <c r="I246" s="24">
        <f t="shared" si="479"/>
        <v>0</v>
      </c>
      <c r="J246" s="23">
        <f t="shared" si="479"/>
        <v>0</v>
      </c>
      <c r="K246" s="22">
        <f t="shared" si="480"/>
        <v>0</v>
      </c>
      <c r="L246" s="24">
        <f t="shared" si="481"/>
        <v>0</v>
      </c>
      <c r="M246" s="23">
        <f t="shared" si="481"/>
        <v>0</v>
      </c>
      <c r="N246" s="22">
        <f t="shared" si="482"/>
        <v>0</v>
      </c>
      <c r="O246" s="24">
        <f t="shared" si="483"/>
        <v>0</v>
      </c>
      <c r="P246" s="23">
        <f t="shared" si="483"/>
        <v>0</v>
      </c>
      <c r="Q246" s="22">
        <f t="shared" si="484"/>
        <v>0</v>
      </c>
      <c r="R246" s="24">
        <f t="shared" si="485"/>
        <v>0</v>
      </c>
      <c r="S246" s="23">
        <f t="shared" si="485"/>
        <v>0</v>
      </c>
      <c r="T246" s="22">
        <f t="shared" si="486"/>
        <v>0</v>
      </c>
      <c r="U246" s="24">
        <f t="shared" si="487"/>
        <v>0</v>
      </c>
      <c r="V246" s="23">
        <f t="shared" si="487"/>
        <v>0</v>
      </c>
      <c r="W246" s="22">
        <f t="shared" si="488"/>
        <v>0</v>
      </c>
      <c r="X246" s="24">
        <f t="shared" si="489"/>
        <v>0</v>
      </c>
      <c r="Y246" s="23">
        <f t="shared" si="489"/>
        <v>0</v>
      </c>
      <c r="Z246" s="22">
        <f t="shared" si="490"/>
        <v>0</v>
      </c>
      <c r="AA246" s="24">
        <f t="shared" si="491"/>
        <v>0</v>
      </c>
      <c r="AB246" s="23">
        <f t="shared" si="491"/>
        <v>0</v>
      </c>
      <c r="AC246" s="22">
        <f t="shared" si="492"/>
        <v>0</v>
      </c>
      <c r="AD246" s="24">
        <f t="shared" si="493"/>
        <v>0</v>
      </c>
      <c r="AE246" s="23">
        <f t="shared" si="493"/>
        <v>0</v>
      </c>
      <c r="AF246" s="22">
        <f t="shared" si="494"/>
        <v>0</v>
      </c>
      <c r="AG246" s="24">
        <f t="shared" si="495"/>
        <v>0</v>
      </c>
      <c r="AH246" s="23">
        <f t="shared" si="495"/>
        <v>0</v>
      </c>
      <c r="AI246" s="22">
        <f t="shared" si="496"/>
        <v>0</v>
      </c>
      <c r="AJ246" s="24">
        <f t="shared" si="497"/>
        <v>0</v>
      </c>
      <c r="AK246" s="23">
        <f t="shared" si="497"/>
        <v>0</v>
      </c>
      <c r="AL246" s="22">
        <f t="shared" si="498"/>
        <v>0</v>
      </c>
      <c r="AM246" s="24">
        <f t="shared" si="499"/>
        <v>0</v>
      </c>
      <c r="AN246" s="23">
        <f t="shared" si="499"/>
        <v>0</v>
      </c>
      <c r="AO246" s="22">
        <f t="shared" si="500"/>
        <v>0</v>
      </c>
      <c r="AP246" s="24">
        <f t="shared" si="501"/>
        <v>0</v>
      </c>
      <c r="AQ246" s="23">
        <f t="shared" si="501"/>
        <v>0</v>
      </c>
      <c r="AR246" s="22">
        <f t="shared" si="502"/>
        <v>0</v>
      </c>
      <c r="AS246" s="24">
        <f t="shared" si="503"/>
        <v>0</v>
      </c>
      <c r="AT246" s="23">
        <f t="shared" si="503"/>
        <v>0</v>
      </c>
      <c r="AU246" s="22">
        <f t="shared" si="504"/>
        <v>0</v>
      </c>
      <c r="AV246" s="24">
        <f t="shared" si="505"/>
        <v>0</v>
      </c>
      <c r="AW246" s="23">
        <f t="shared" si="505"/>
        <v>0</v>
      </c>
      <c r="AX246" s="22">
        <f t="shared" si="506"/>
        <v>0</v>
      </c>
      <c r="AY246" s="23">
        <f t="shared" si="507"/>
        <v>0</v>
      </c>
      <c r="AZ246" s="23">
        <f t="shared" si="507"/>
        <v>0</v>
      </c>
      <c r="BA246" s="22">
        <f t="shared" si="508"/>
        <v>0</v>
      </c>
      <c r="BB246" s="24">
        <f t="shared" si="509"/>
        <v>0</v>
      </c>
      <c r="BC246" s="23">
        <f t="shared" si="509"/>
        <v>0</v>
      </c>
      <c r="BD246" s="22">
        <f t="shared" si="510"/>
        <v>0</v>
      </c>
      <c r="BE246" s="24">
        <f t="shared" si="511"/>
        <v>0</v>
      </c>
      <c r="BF246" s="24">
        <f t="shared" si="511"/>
        <v>0</v>
      </c>
      <c r="BG246" s="20">
        <f t="shared" ref="BG246" si="516">IF(BG182=0,0,BG13/BG182*30)</f>
        <v>0</v>
      </c>
    </row>
    <row r="247" spans="1:59" ht="13.5" hidden="1" customHeight="1" outlineLevel="1" x14ac:dyDescent="0.25">
      <c r="A247" s="100"/>
      <c r="B247" s="84" t="s">
        <v>37</v>
      </c>
      <c r="C247" s="83" t="s">
        <v>89</v>
      </c>
      <c r="D247" s="20">
        <f t="shared" si="477"/>
        <v>0</v>
      </c>
      <c r="E247" s="20">
        <f t="shared" si="477"/>
        <v>0</v>
      </c>
      <c r="F247" s="24">
        <f t="shared" si="477"/>
        <v>0</v>
      </c>
      <c r="G247" s="23">
        <f t="shared" si="477"/>
        <v>0</v>
      </c>
      <c r="H247" s="22">
        <f t="shared" si="478"/>
        <v>0</v>
      </c>
      <c r="I247" s="24">
        <f t="shared" si="479"/>
        <v>0</v>
      </c>
      <c r="J247" s="23">
        <f t="shared" si="479"/>
        <v>0</v>
      </c>
      <c r="K247" s="22">
        <f t="shared" si="480"/>
        <v>0</v>
      </c>
      <c r="L247" s="24">
        <f t="shared" si="481"/>
        <v>0</v>
      </c>
      <c r="M247" s="23">
        <f t="shared" si="481"/>
        <v>0</v>
      </c>
      <c r="N247" s="22">
        <f t="shared" si="482"/>
        <v>0</v>
      </c>
      <c r="O247" s="24">
        <f t="shared" si="483"/>
        <v>0</v>
      </c>
      <c r="P247" s="23">
        <f t="shared" si="483"/>
        <v>0</v>
      </c>
      <c r="Q247" s="22">
        <f t="shared" si="484"/>
        <v>0</v>
      </c>
      <c r="R247" s="24">
        <f t="shared" si="485"/>
        <v>0</v>
      </c>
      <c r="S247" s="23">
        <f t="shared" si="485"/>
        <v>0</v>
      </c>
      <c r="T247" s="22">
        <f t="shared" si="486"/>
        <v>0</v>
      </c>
      <c r="U247" s="24">
        <f t="shared" si="487"/>
        <v>0</v>
      </c>
      <c r="V247" s="23">
        <f t="shared" si="487"/>
        <v>0</v>
      </c>
      <c r="W247" s="22">
        <f t="shared" si="488"/>
        <v>0</v>
      </c>
      <c r="X247" s="24">
        <f t="shared" si="489"/>
        <v>0</v>
      </c>
      <c r="Y247" s="23">
        <f t="shared" si="489"/>
        <v>0</v>
      </c>
      <c r="Z247" s="22">
        <f t="shared" si="490"/>
        <v>0</v>
      </c>
      <c r="AA247" s="24">
        <f t="shared" si="491"/>
        <v>0</v>
      </c>
      <c r="AB247" s="23">
        <f t="shared" si="491"/>
        <v>0</v>
      </c>
      <c r="AC247" s="22">
        <f t="shared" si="492"/>
        <v>0</v>
      </c>
      <c r="AD247" s="24">
        <f t="shared" si="493"/>
        <v>0</v>
      </c>
      <c r="AE247" s="23">
        <f t="shared" si="493"/>
        <v>0</v>
      </c>
      <c r="AF247" s="22">
        <f t="shared" si="494"/>
        <v>0</v>
      </c>
      <c r="AG247" s="24">
        <f t="shared" si="495"/>
        <v>0</v>
      </c>
      <c r="AH247" s="23">
        <f t="shared" si="495"/>
        <v>0</v>
      </c>
      <c r="AI247" s="22">
        <f t="shared" si="496"/>
        <v>0</v>
      </c>
      <c r="AJ247" s="24">
        <f t="shared" si="497"/>
        <v>0</v>
      </c>
      <c r="AK247" s="23">
        <f t="shared" si="497"/>
        <v>0</v>
      </c>
      <c r="AL247" s="22">
        <f t="shared" si="498"/>
        <v>0</v>
      </c>
      <c r="AM247" s="24">
        <f t="shared" si="499"/>
        <v>0</v>
      </c>
      <c r="AN247" s="23">
        <f t="shared" si="499"/>
        <v>0</v>
      </c>
      <c r="AO247" s="22">
        <f t="shared" si="500"/>
        <v>0</v>
      </c>
      <c r="AP247" s="24">
        <f t="shared" si="501"/>
        <v>0</v>
      </c>
      <c r="AQ247" s="23">
        <f t="shared" si="501"/>
        <v>0</v>
      </c>
      <c r="AR247" s="22">
        <f t="shared" si="502"/>
        <v>0</v>
      </c>
      <c r="AS247" s="24">
        <f t="shared" si="503"/>
        <v>0</v>
      </c>
      <c r="AT247" s="23">
        <f t="shared" si="503"/>
        <v>0</v>
      </c>
      <c r="AU247" s="22">
        <f t="shared" si="504"/>
        <v>0</v>
      </c>
      <c r="AV247" s="24">
        <f t="shared" si="505"/>
        <v>0</v>
      </c>
      <c r="AW247" s="23">
        <f t="shared" si="505"/>
        <v>0</v>
      </c>
      <c r="AX247" s="22">
        <f t="shared" si="506"/>
        <v>0</v>
      </c>
      <c r="AY247" s="23">
        <f t="shared" si="507"/>
        <v>0</v>
      </c>
      <c r="AZ247" s="23">
        <f t="shared" si="507"/>
        <v>0</v>
      </c>
      <c r="BA247" s="22">
        <f t="shared" si="508"/>
        <v>0</v>
      </c>
      <c r="BB247" s="24">
        <f t="shared" si="509"/>
        <v>0</v>
      </c>
      <c r="BC247" s="23">
        <f t="shared" si="509"/>
        <v>0</v>
      </c>
      <c r="BD247" s="22">
        <f t="shared" si="510"/>
        <v>0</v>
      </c>
      <c r="BE247" s="24">
        <f t="shared" si="511"/>
        <v>0</v>
      </c>
      <c r="BF247" s="24">
        <f t="shared" si="511"/>
        <v>0</v>
      </c>
      <c r="BG247" s="20">
        <f t="shared" ref="BG247" si="517">IF(BG183=0,0,BG14/BG183*30)</f>
        <v>0</v>
      </c>
    </row>
    <row r="248" spans="1:59" ht="13.5" hidden="1" customHeight="1" outlineLevel="1" x14ac:dyDescent="0.25">
      <c r="A248" s="100"/>
      <c r="B248" s="84" t="s">
        <v>38</v>
      </c>
      <c r="C248" s="83" t="s">
        <v>89</v>
      </c>
      <c r="D248" s="20">
        <f t="shared" si="477"/>
        <v>0</v>
      </c>
      <c r="E248" s="20">
        <f t="shared" si="477"/>
        <v>0</v>
      </c>
      <c r="F248" s="24">
        <f t="shared" si="477"/>
        <v>0</v>
      </c>
      <c r="G248" s="23">
        <f t="shared" si="477"/>
        <v>0</v>
      </c>
      <c r="H248" s="22">
        <f t="shared" si="478"/>
        <v>0</v>
      </c>
      <c r="I248" s="24">
        <f t="shared" si="479"/>
        <v>0</v>
      </c>
      <c r="J248" s="23">
        <f t="shared" si="479"/>
        <v>0</v>
      </c>
      <c r="K248" s="22">
        <f t="shared" si="480"/>
        <v>0</v>
      </c>
      <c r="L248" s="24">
        <f t="shared" si="481"/>
        <v>0</v>
      </c>
      <c r="M248" s="23">
        <f t="shared" si="481"/>
        <v>0</v>
      </c>
      <c r="N248" s="22">
        <f t="shared" si="482"/>
        <v>0</v>
      </c>
      <c r="O248" s="24">
        <f t="shared" si="483"/>
        <v>0</v>
      </c>
      <c r="P248" s="23">
        <f t="shared" si="483"/>
        <v>0</v>
      </c>
      <c r="Q248" s="22">
        <f t="shared" si="484"/>
        <v>0</v>
      </c>
      <c r="R248" s="24">
        <f t="shared" si="485"/>
        <v>0</v>
      </c>
      <c r="S248" s="23">
        <f t="shared" si="485"/>
        <v>0</v>
      </c>
      <c r="T248" s="22">
        <f t="shared" si="486"/>
        <v>0</v>
      </c>
      <c r="U248" s="24">
        <f t="shared" si="487"/>
        <v>0</v>
      </c>
      <c r="V248" s="23">
        <f t="shared" si="487"/>
        <v>0</v>
      </c>
      <c r="W248" s="22">
        <f t="shared" si="488"/>
        <v>0</v>
      </c>
      <c r="X248" s="24">
        <f t="shared" si="489"/>
        <v>0</v>
      </c>
      <c r="Y248" s="23">
        <f t="shared" si="489"/>
        <v>0</v>
      </c>
      <c r="Z248" s="22">
        <f t="shared" si="490"/>
        <v>0</v>
      </c>
      <c r="AA248" s="24">
        <f t="shared" si="491"/>
        <v>0</v>
      </c>
      <c r="AB248" s="23">
        <f t="shared" si="491"/>
        <v>0</v>
      </c>
      <c r="AC248" s="22">
        <f t="shared" si="492"/>
        <v>0</v>
      </c>
      <c r="AD248" s="24">
        <f t="shared" si="493"/>
        <v>0</v>
      </c>
      <c r="AE248" s="23">
        <f t="shared" si="493"/>
        <v>0</v>
      </c>
      <c r="AF248" s="22">
        <f t="shared" si="494"/>
        <v>0</v>
      </c>
      <c r="AG248" s="24">
        <f t="shared" si="495"/>
        <v>0</v>
      </c>
      <c r="AH248" s="23">
        <f t="shared" si="495"/>
        <v>0</v>
      </c>
      <c r="AI248" s="22">
        <f t="shared" si="496"/>
        <v>0</v>
      </c>
      <c r="AJ248" s="24">
        <f t="shared" si="497"/>
        <v>0</v>
      </c>
      <c r="AK248" s="23">
        <f t="shared" si="497"/>
        <v>0</v>
      </c>
      <c r="AL248" s="22">
        <f t="shared" si="498"/>
        <v>0</v>
      </c>
      <c r="AM248" s="24">
        <f t="shared" si="499"/>
        <v>0</v>
      </c>
      <c r="AN248" s="23">
        <f t="shared" si="499"/>
        <v>0</v>
      </c>
      <c r="AO248" s="22">
        <f t="shared" si="500"/>
        <v>0</v>
      </c>
      <c r="AP248" s="24">
        <f t="shared" si="501"/>
        <v>0</v>
      </c>
      <c r="AQ248" s="23">
        <f t="shared" si="501"/>
        <v>0</v>
      </c>
      <c r="AR248" s="22">
        <f t="shared" si="502"/>
        <v>0</v>
      </c>
      <c r="AS248" s="24">
        <f t="shared" si="503"/>
        <v>0</v>
      </c>
      <c r="AT248" s="23">
        <f t="shared" si="503"/>
        <v>0</v>
      </c>
      <c r="AU248" s="22">
        <f t="shared" si="504"/>
        <v>0</v>
      </c>
      <c r="AV248" s="24">
        <f t="shared" si="505"/>
        <v>0</v>
      </c>
      <c r="AW248" s="23">
        <f t="shared" si="505"/>
        <v>0</v>
      </c>
      <c r="AX248" s="22">
        <f t="shared" si="506"/>
        <v>0</v>
      </c>
      <c r="AY248" s="23">
        <f t="shared" si="507"/>
        <v>0</v>
      </c>
      <c r="AZ248" s="23">
        <f t="shared" si="507"/>
        <v>0</v>
      </c>
      <c r="BA248" s="22">
        <f t="shared" si="508"/>
        <v>0</v>
      </c>
      <c r="BB248" s="24">
        <f t="shared" si="509"/>
        <v>0</v>
      </c>
      <c r="BC248" s="23">
        <f t="shared" si="509"/>
        <v>0</v>
      </c>
      <c r="BD248" s="22">
        <f t="shared" si="510"/>
        <v>0</v>
      </c>
      <c r="BE248" s="24">
        <f t="shared" si="511"/>
        <v>0</v>
      </c>
      <c r="BF248" s="24">
        <f t="shared" si="511"/>
        <v>0</v>
      </c>
      <c r="BG248" s="20">
        <f t="shared" ref="BG248" si="518">IF(BG184=0,0,BG15/BG184*30)</f>
        <v>0</v>
      </c>
    </row>
    <row r="249" spans="1:59" ht="13.5" hidden="1" customHeight="1" outlineLevel="1" x14ac:dyDescent="0.25">
      <c r="A249" s="100"/>
      <c r="B249" s="84" t="s">
        <v>39</v>
      </c>
      <c r="C249" s="83" t="s">
        <v>89</v>
      </c>
      <c r="D249" s="20">
        <f t="shared" si="477"/>
        <v>0</v>
      </c>
      <c r="E249" s="20">
        <f t="shared" si="477"/>
        <v>0</v>
      </c>
      <c r="F249" s="24">
        <f t="shared" si="477"/>
        <v>0</v>
      </c>
      <c r="G249" s="23">
        <f t="shared" si="477"/>
        <v>0</v>
      </c>
      <c r="H249" s="22">
        <f t="shared" si="478"/>
        <v>0</v>
      </c>
      <c r="I249" s="24">
        <f t="shared" si="479"/>
        <v>0</v>
      </c>
      <c r="J249" s="23">
        <f t="shared" si="479"/>
        <v>0</v>
      </c>
      <c r="K249" s="22">
        <f t="shared" si="480"/>
        <v>0</v>
      </c>
      <c r="L249" s="24">
        <f t="shared" si="481"/>
        <v>0</v>
      </c>
      <c r="M249" s="23">
        <f t="shared" si="481"/>
        <v>0</v>
      </c>
      <c r="N249" s="22">
        <f t="shared" si="482"/>
        <v>0</v>
      </c>
      <c r="O249" s="24">
        <f t="shared" si="483"/>
        <v>0</v>
      </c>
      <c r="P249" s="23">
        <f t="shared" si="483"/>
        <v>0</v>
      </c>
      <c r="Q249" s="22">
        <f t="shared" si="484"/>
        <v>0</v>
      </c>
      <c r="R249" s="24">
        <f t="shared" si="485"/>
        <v>0</v>
      </c>
      <c r="S249" s="23">
        <f t="shared" si="485"/>
        <v>0</v>
      </c>
      <c r="T249" s="22">
        <f t="shared" si="486"/>
        <v>0</v>
      </c>
      <c r="U249" s="24">
        <f t="shared" si="487"/>
        <v>0</v>
      </c>
      <c r="V249" s="23">
        <f t="shared" si="487"/>
        <v>0</v>
      </c>
      <c r="W249" s="22">
        <f t="shared" si="488"/>
        <v>0</v>
      </c>
      <c r="X249" s="24">
        <f t="shared" si="489"/>
        <v>0</v>
      </c>
      <c r="Y249" s="23">
        <f t="shared" si="489"/>
        <v>0</v>
      </c>
      <c r="Z249" s="22">
        <f t="shared" si="490"/>
        <v>0</v>
      </c>
      <c r="AA249" s="24">
        <f t="shared" si="491"/>
        <v>0</v>
      </c>
      <c r="AB249" s="23">
        <f t="shared" si="491"/>
        <v>0</v>
      </c>
      <c r="AC249" s="22">
        <f t="shared" si="492"/>
        <v>0</v>
      </c>
      <c r="AD249" s="24">
        <f t="shared" si="493"/>
        <v>0</v>
      </c>
      <c r="AE249" s="23">
        <f t="shared" si="493"/>
        <v>0</v>
      </c>
      <c r="AF249" s="22">
        <f t="shared" si="494"/>
        <v>0</v>
      </c>
      <c r="AG249" s="24">
        <f t="shared" si="495"/>
        <v>0</v>
      </c>
      <c r="AH249" s="23">
        <f t="shared" si="495"/>
        <v>0</v>
      </c>
      <c r="AI249" s="22">
        <f t="shared" si="496"/>
        <v>0</v>
      </c>
      <c r="AJ249" s="24">
        <f t="shared" si="497"/>
        <v>0</v>
      </c>
      <c r="AK249" s="23">
        <f t="shared" si="497"/>
        <v>0</v>
      </c>
      <c r="AL249" s="22">
        <f t="shared" si="498"/>
        <v>0</v>
      </c>
      <c r="AM249" s="24">
        <f t="shared" si="499"/>
        <v>0</v>
      </c>
      <c r="AN249" s="23">
        <f t="shared" si="499"/>
        <v>0</v>
      </c>
      <c r="AO249" s="22">
        <f t="shared" si="500"/>
        <v>0</v>
      </c>
      <c r="AP249" s="24">
        <f t="shared" si="501"/>
        <v>0</v>
      </c>
      <c r="AQ249" s="23">
        <f t="shared" si="501"/>
        <v>0</v>
      </c>
      <c r="AR249" s="22">
        <f t="shared" si="502"/>
        <v>0</v>
      </c>
      <c r="AS249" s="24">
        <f t="shared" si="503"/>
        <v>0</v>
      </c>
      <c r="AT249" s="23">
        <f t="shared" si="503"/>
        <v>0</v>
      </c>
      <c r="AU249" s="22">
        <f t="shared" si="504"/>
        <v>0</v>
      </c>
      <c r="AV249" s="24">
        <f t="shared" si="505"/>
        <v>0</v>
      </c>
      <c r="AW249" s="23">
        <f t="shared" si="505"/>
        <v>0</v>
      </c>
      <c r="AX249" s="22">
        <f t="shared" si="506"/>
        <v>0</v>
      </c>
      <c r="AY249" s="23">
        <f t="shared" si="507"/>
        <v>0</v>
      </c>
      <c r="AZ249" s="23">
        <f t="shared" si="507"/>
        <v>0</v>
      </c>
      <c r="BA249" s="22">
        <f t="shared" si="508"/>
        <v>0</v>
      </c>
      <c r="BB249" s="24">
        <f t="shared" si="509"/>
        <v>0</v>
      </c>
      <c r="BC249" s="23">
        <f t="shared" si="509"/>
        <v>0</v>
      </c>
      <c r="BD249" s="22">
        <f t="shared" si="510"/>
        <v>0</v>
      </c>
      <c r="BE249" s="24">
        <f t="shared" si="511"/>
        <v>0</v>
      </c>
      <c r="BF249" s="24">
        <f t="shared" si="511"/>
        <v>0</v>
      </c>
      <c r="BG249" s="20">
        <f t="shared" ref="BG249" si="519">IF(BG185=0,0,BG16/BG185*30)</f>
        <v>0</v>
      </c>
    </row>
    <row r="250" spans="1:59" ht="13.5" hidden="1" customHeight="1" outlineLevel="1" x14ac:dyDescent="0.25">
      <c r="A250" s="100"/>
      <c r="B250" s="84" t="s">
        <v>40</v>
      </c>
      <c r="C250" s="83" t="s">
        <v>89</v>
      </c>
      <c r="D250" s="20">
        <f t="shared" si="477"/>
        <v>0</v>
      </c>
      <c r="E250" s="20">
        <f t="shared" si="477"/>
        <v>0</v>
      </c>
      <c r="F250" s="24">
        <f t="shared" si="477"/>
        <v>0</v>
      </c>
      <c r="G250" s="23">
        <f t="shared" si="477"/>
        <v>0</v>
      </c>
      <c r="H250" s="22">
        <f t="shared" si="478"/>
        <v>0</v>
      </c>
      <c r="I250" s="24">
        <f t="shared" si="479"/>
        <v>0</v>
      </c>
      <c r="J250" s="23">
        <f t="shared" si="479"/>
        <v>0</v>
      </c>
      <c r="K250" s="22">
        <f t="shared" si="480"/>
        <v>0</v>
      </c>
      <c r="L250" s="24">
        <f t="shared" si="481"/>
        <v>0</v>
      </c>
      <c r="M250" s="23">
        <f t="shared" si="481"/>
        <v>0</v>
      </c>
      <c r="N250" s="22">
        <f t="shared" si="482"/>
        <v>0</v>
      </c>
      <c r="O250" s="24">
        <f t="shared" si="483"/>
        <v>0</v>
      </c>
      <c r="P250" s="23">
        <f t="shared" si="483"/>
        <v>0</v>
      </c>
      <c r="Q250" s="22">
        <f t="shared" si="484"/>
        <v>0</v>
      </c>
      <c r="R250" s="24">
        <f t="shared" si="485"/>
        <v>0</v>
      </c>
      <c r="S250" s="23">
        <f t="shared" si="485"/>
        <v>0</v>
      </c>
      <c r="T250" s="22">
        <f t="shared" si="486"/>
        <v>0</v>
      </c>
      <c r="U250" s="24">
        <f t="shared" si="487"/>
        <v>0</v>
      </c>
      <c r="V250" s="23">
        <f t="shared" si="487"/>
        <v>0</v>
      </c>
      <c r="W250" s="22">
        <f t="shared" si="488"/>
        <v>0</v>
      </c>
      <c r="X250" s="24">
        <f t="shared" si="489"/>
        <v>0</v>
      </c>
      <c r="Y250" s="23">
        <f t="shared" si="489"/>
        <v>0</v>
      </c>
      <c r="Z250" s="22">
        <f t="shared" si="490"/>
        <v>0</v>
      </c>
      <c r="AA250" s="24">
        <f t="shared" si="491"/>
        <v>0</v>
      </c>
      <c r="AB250" s="23">
        <f t="shared" si="491"/>
        <v>0</v>
      </c>
      <c r="AC250" s="22">
        <f t="shared" si="492"/>
        <v>0</v>
      </c>
      <c r="AD250" s="24">
        <f t="shared" si="493"/>
        <v>0</v>
      </c>
      <c r="AE250" s="23">
        <f t="shared" si="493"/>
        <v>0</v>
      </c>
      <c r="AF250" s="22">
        <f t="shared" si="494"/>
        <v>0</v>
      </c>
      <c r="AG250" s="24">
        <f t="shared" si="495"/>
        <v>0</v>
      </c>
      <c r="AH250" s="23">
        <f t="shared" si="495"/>
        <v>0</v>
      </c>
      <c r="AI250" s="22">
        <f t="shared" si="496"/>
        <v>0</v>
      </c>
      <c r="AJ250" s="24">
        <f t="shared" si="497"/>
        <v>0</v>
      </c>
      <c r="AK250" s="23">
        <f t="shared" si="497"/>
        <v>0</v>
      </c>
      <c r="AL250" s="22">
        <f t="shared" si="498"/>
        <v>0</v>
      </c>
      <c r="AM250" s="24">
        <f t="shared" si="499"/>
        <v>0</v>
      </c>
      <c r="AN250" s="23">
        <f t="shared" si="499"/>
        <v>0</v>
      </c>
      <c r="AO250" s="22">
        <f t="shared" si="500"/>
        <v>0</v>
      </c>
      <c r="AP250" s="24">
        <f t="shared" si="501"/>
        <v>0</v>
      </c>
      <c r="AQ250" s="23">
        <f t="shared" si="501"/>
        <v>0</v>
      </c>
      <c r="AR250" s="22">
        <f t="shared" si="502"/>
        <v>0</v>
      </c>
      <c r="AS250" s="24">
        <f t="shared" si="503"/>
        <v>0</v>
      </c>
      <c r="AT250" s="23">
        <f t="shared" si="503"/>
        <v>0</v>
      </c>
      <c r="AU250" s="22">
        <f t="shared" si="504"/>
        <v>0</v>
      </c>
      <c r="AV250" s="24">
        <f t="shared" si="505"/>
        <v>0</v>
      </c>
      <c r="AW250" s="23">
        <f t="shared" si="505"/>
        <v>0</v>
      </c>
      <c r="AX250" s="22">
        <f t="shared" si="506"/>
        <v>0</v>
      </c>
      <c r="AY250" s="23">
        <f t="shared" si="507"/>
        <v>0</v>
      </c>
      <c r="AZ250" s="23">
        <f t="shared" si="507"/>
        <v>0</v>
      </c>
      <c r="BA250" s="22">
        <f t="shared" si="508"/>
        <v>0</v>
      </c>
      <c r="BB250" s="24">
        <f t="shared" si="509"/>
        <v>0</v>
      </c>
      <c r="BC250" s="23">
        <f t="shared" si="509"/>
        <v>0</v>
      </c>
      <c r="BD250" s="22">
        <f t="shared" si="510"/>
        <v>0</v>
      </c>
      <c r="BE250" s="24">
        <f t="shared" si="511"/>
        <v>0</v>
      </c>
      <c r="BF250" s="24">
        <f t="shared" si="511"/>
        <v>0</v>
      </c>
      <c r="BG250" s="20">
        <f t="shared" ref="BG250" si="520">IF(BG186=0,0,BG17/BG186*30)</f>
        <v>0</v>
      </c>
    </row>
    <row r="251" spans="1:59" ht="13.5" hidden="1" customHeight="1" outlineLevel="1" x14ac:dyDescent="0.25">
      <c r="A251" s="100"/>
      <c r="B251" s="84" t="s">
        <v>41</v>
      </c>
      <c r="C251" s="83" t="s">
        <v>89</v>
      </c>
      <c r="D251" s="20">
        <f t="shared" si="477"/>
        <v>0</v>
      </c>
      <c r="E251" s="20">
        <f t="shared" si="477"/>
        <v>0</v>
      </c>
      <c r="F251" s="24">
        <f t="shared" si="477"/>
        <v>0</v>
      </c>
      <c r="G251" s="23">
        <f t="shared" si="477"/>
        <v>0</v>
      </c>
      <c r="H251" s="22">
        <f t="shared" si="478"/>
        <v>0</v>
      </c>
      <c r="I251" s="24">
        <f t="shared" si="479"/>
        <v>0</v>
      </c>
      <c r="J251" s="23">
        <f t="shared" si="479"/>
        <v>0</v>
      </c>
      <c r="K251" s="22">
        <f t="shared" si="480"/>
        <v>0</v>
      </c>
      <c r="L251" s="24">
        <f t="shared" si="481"/>
        <v>0</v>
      </c>
      <c r="M251" s="23">
        <f t="shared" si="481"/>
        <v>0</v>
      </c>
      <c r="N251" s="22">
        <f t="shared" si="482"/>
        <v>0</v>
      </c>
      <c r="O251" s="24">
        <f t="shared" si="483"/>
        <v>0</v>
      </c>
      <c r="P251" s="23">
        <f t="shared" si="483"/>
        <v>0</v>
      </c>
      <c r="Q251" s="22">
        <f t="shared" si="484"/>
        <v>0</v>
      </c>
      <c r="R251" s="24">
        <f t="shared" si="485"/>
        <v>0</v>
      </c>
      <c r="S251" s="23">
        <f t="shared" si="485"/>
        <v>0</v>
      </c>
      <c r="T251" s="22">
        <f t="shared" si="486"/>
        <v>0</v>
      </c>
      <c r="U251" s="24">
        <f t="shared" si="487"/>
        <v>0</v>
      </c>
      <c r="V251" s="23">
        <f t="shared" si="487"/>
        <v>0</v>
      </c>
      <c r="W251" s="22">
        <f t="shared" si="488"/>
        <v>0</v>
      </c>
      <c r="X251" s="24">
        <f t="shared" si="489"/>
        <v>0</v>
      </c>
      <c r="Y251" s="23">
        <f t="shared" si="489"/>
        <v>0</v>
      </c>
      <c r="Z251" s="22">
        <f t="shared" si="490"/>
        <v>0</v>
      </c>
      <c r="AA251" s="24">
        <f t="shared" si="491"/>
        <v>0</v>
      </c>
      <c r="AB251" s="23">
        <f t="shared" si="491"/>
        <v>0</v>
      </c>
      <c r="AC251" s="22">
        <f t="shared" si="492"/>
        <v>0</v>
      </c>
      <c r="AD251" s="24">
        <f t="shared" si="493"/>
        <v>0</v>
      </c>
      <c r="AE251" s="23">
        <f t="shared" si="493"/>
        <v>0</v>
      </c>
      <c r="AF251" s="22">
        <f t="shared" si="494"/>
        <v>0</v>
      </c>
      <c r="AG251" s="24">
        <f t="shared" si="495"/>
        <v>0</v>
      </c>
      <c r="AH251" s="23">
        <f t="shared" si="495"/>
        <v>0</v>
      </c>
      <c r="AI251" s="22">
        <f t="shared" si="496"/>
        <v>0</v>
      </c>
      <c r="AJ251" s="24">
        <f t="shared" si="497"/>
        <v>0</v>
      </c>
      <c r="AK251" s="23">
        <f t="shared" si="497"/>
        <v>0</v>
      </c>
      <c r="AL251" s="22">
        <f t="shared" si="498"/>
        <v>0</v>
      </c>
      <c r="AM251" s="24">
        <f t="shared" si="499"/>
        <v>0</v>
      </c>
      <c r="AN251" s="23">
        <f t="shared" si="499"/>
        <v>0</v>
      </c>
      <c r="AO251" s="22">
        <f t="shared" si="500"/>
        <v>0</v>
      </c>
      <c r="AP251" s="24">
        <f t="shared" si="501"/>
        <v>0</v>
      </c>
      <c r="AQ251" s="23">
        <f t="shared" si="501"/>
        <v>0</v>
      </c>
      <c r="AR251" s="22">
        <f t="shared" si="502"/>
        <v>0</v>
      </c>
      <c r="AS251" s="24">
        <f t="shared" si="503"/>
        <v>0</v>
      </c>
      <c r="AT251" s="23">
        <f t="shared" si="503"/>
        <v>0</v>
      </c>
      <c r="AU251" s="22">
        <f t="shared" si="504"/>
        <v>0</v>
      </c>
      <c r="AV251" s="24">
        <f t="shared" si="505"/>
        <v>0</v>
      </c>
      <c r="AW251" s="23">
        <f t="shared" si="505"/>
        <v>0</v>
      </c>
      <c r="AX251" s="22">
        <f t="shared" si="506"/>
        <v>0</v>
      </c>
      <c r="AY251" s="23">
        <f t="shared" si="507"/>
        <v>0</v>
      </c>
      <c r="AZ251" s="23">
        <f t="shared" si="507"/>
        <v>0</v>
      </c>
      <c r="BA251" s="22">
        <f t="shared" si="508"/>
        <v>0</v>
      </c>
      <c r="BB251" s="24">
        <f t="shared" si="509"/>
        <v>0</v>
      </c>
      <c r="BC251" s="23">
        <f t="shared" si="509"/>
        <v>0</v>
      </c>
      <c r="BD251" s="22">
        <f t="shared" si="510"/>
        <v>0</v>
      </c>
      <c r="BE251" s="24">
        <f t="shared" si="511"/>
        <v>0</v>
      </c>
      <c r="BF251" s="24">
        <f t="shared" si="511"/>
        <v>0</v>
      </c>
      <c r="BG251" s="20">
        <f t="shared" ref="BG251" si="521">IF(BG187=0,0,BG18/BG187*30)</f>
        <v>0</v>
      </c>
    </row>
    <row r="252" spans="1:59" ht="13.5" hidden="1" customHeight="1" outlineLevel="1" x14ac:dyDescent="0.25">
      <c r="A252" s="28"/>
      <c r="B252" s="84" t="s">
        <v>42</v>
      </c>
      <c r="C252" s="83" t="s">
        <v>89</v>
      </c>
      <c r="D252" s="20">
        <f t="shared" si="477"/>
        <v>0</v>
      </c>
      <c r="E252" s="20">
        <f t="shared" si="477"/>
        <v>0</v>
      </c>
      <c r="F252" s="24">
        <f t="shared" si="477"/>
        <v>0</v>
      </c>
      <c r="G252" s="23">
        <f t="shared" si="477"/>
        <v>0</v>
      </c>
      <c r="H252" s="22">
        <f t="shared" si="478"/>
        <v>0</v>
      </c>
      <c r="I252" s="24">
        <f t="shared" si="479"/>
        <v>0</v>
      </c>
      <c r="J252" s="23">
        <f t="shared" si="479"/>
        <v>0</v>
      </c>
      <c r="K252" s="22">
        <f t="shared" si="480"/>
        <v>0</v>
      </c>
      <c r="L252" s="24">
        <f t="shared" si="481"/>
        <v>0</v>
      </c>
      <c r="M252" s="23">
        <f t="shared" si="481"/>
        <v>0</v>
      </c>
      <c r="N252" s="22">
        <f t="shared" si="482"/>
        <v>0</v>
      </c>
      <c r="O252" s="24">
        <f t="shared" si="483"/>
        <v>0</v>
      </c>
      <c r="P252" s="23">
        <f t="shared" si="483"/>
        <v>0</v>
      </c>
      <c r="Q252" s="22">
        <f t="shared" si="484"/>
        <v>0</v>
      </c>
      <c r="R252" s="24">
        <f t="shared" si="485"/>
        <v>0</v>
      </c>
      <c r="S252" s="23">
        <f t="shared" si="485"/>
        <v>0</v>
      </c>
      <c r="T252" s="22">
        <f t="shared" si="486"/>
        <v>0</v>
      </c>
      <c r="U252" s="24">
        <f t="shared" si="487"/>
        <v>0</v>
      </c>
      <c r="V252" s="23">
        <f t="shared" si="487"/>
        <v>0</v>
      </c>
      <c r="W252" s="22">
        <f t="shared" si="488"/>
        <v>0</v>
      </c>
      <c r="X252" s="24">
        <f t="shared" si="489"/>
        <v>0</v>
      </c>
      <c r="Y252" s="23">
        <f t="shared" si="489"/>
        <v>0</v>
      </c>
      <c r="Z252" s="22">
        <f t="shared" si="490"/>
        <v>0</v>
      </c>
      <c r="AA252" s="24">
        <f t="shared" si="491"/>
        <v>0</v>
      </c>
      <c r="AB252" s="23">
        <f t="shared" si="491"/>
        <v>0</v>
      </c>
      <c r="AC252" s="22">
        <f t="shared" si="492"/>
        <v>0</v>
      </c>
      <c r="AD252" s="24">
        <f t="shared" si="493"/>
        <v>0</v>
      </c>
      <c r="AE252" s="23">
        <f t="shared" si="493"/>
        <v>0</v>
      </c>
      <c r="AF252" s="22">
        <f t="shared" si="494"/>
        <v>0</v>
      </c>
      <c r="AG252" s="24">
        <f t="shared" si="495"/>
        <v>0</v>
      </c>
      <c r="AH252" s="23">
        <f t="shared" si="495"/>
        <v>0</v>
      </c>
      <c r="AI252" s="22">
        <f t="shared" si="496"/>
        <v>0</v>
      </c>
      <c r="AJ252" s="24">
        <f t="shared" si="497"/>
        <v>0</v>
      </c>
      <c r="AK252" s="23">
        <f t="shared" si="497"/>
        <v>0</v>
      </c>
      <c r="AL252" s="22">
        <f t="shared" si="498"/>
        <v>0</v>
      </c>
      <c r="AM252" s="24">
        <f t="shared" si="499"/>
        <v>0</v>
      </c>
      <c r="AN252" s="23">
        <f t="shared" si="499"/>
        <v>0</v>
      </c>
      <c r="AO252" s="22">
        <f t="shared" si="500"/>
        <v>0</v>
      </c>
      <c r="AP252" s="24">
        <f t="shared" si="501"/>
        <v>0</v>
      </c>
      <c r="AQ252" s="23">
        <f t="shared" si="501"/>
        <v>0</v>
      </c>
      <c r="AR252" s="22">
        <f t="shared" si="502"/>
        <v>0</v>
      </c>
      <c r="AS252" s="24">
        <f t="shared" si="503"/>
        <v>0</v>
      </c>
      <c r="AT252" s="23">
        <f t="shared" si="503"/>
        <v>0</v>
      </c>
      <c r="AU252" s="22">
        <f t="shared" si="504"/>
        <v>0</v>
      </c>
      <c r="AV252" s="24">
        <f t="shared" si="505"/>
        <v>0</v>
      </c>
      <c r="AW252" s="23">
        <f t="shared" si="505"/>
        <v>0</v>
      </c>
      <c r="AX252" s="22">
        <f t="shared" si="506"/>
        <v>0</v>
      </c>
      <c r="AY252" s="23">
        <f t="shared" si="507"/>
        <v>0</v>
      </c>
      <c r="AZ252" s="23">
        <f t="shared" si="507"/>
        <v>0</v>
      </c>
      <c r="BA252" s="22">
        <f t="shared" si="508"/>
        <v>0</v>
      </c>
      <c r="BB252" s="24">
        <f t="shared" si="509"/>
        <v>0</v>
      </c>
      <c r="BC252" s="23">
        <f t="shared" si="509"/>
        <v>0</v>
      </c>
      <c r="BD252" s="22">
        <f t="shared" si="510"/>
        <v>0</v>
      </c>
      <c r="BE252" s="24">
        <f t="shared" si="511"/>
        <v>0</v>
      </c>
      <c r="BF252" s="24">
        <f t="shared" si="511"/>
        <v>0</v>
      </c>
      <c r="BG252" s="20">
        <f t="shared" ref="BG252" si="522">IF(BG188=0,0,BG19/BG188*30)</f>
        <v>0</v>
      </c>
    </row>
    <row r="253" spans="1:59" s="210" customFormat="1" ht="13.5" customHeight="1" collapsed="1" x14ac:dyDescent="0.25">
      <c r="A253" s="103"/>
      <c r="B253" s="102" t="s">
        <v>43</v>
      </c>
      <c r="C253" s="101" t="s">
        <v>89</v>
      </c>
      <c r="D253" s="188">
        <f t="shared" si="477"/>
        <v>0</v>
      </c>
      <c r="E253" s="188">
        <f t="shared" si="477"/>
        <v>0</v>
      </c>
      <c r="F253" s="191">
        <f t="shared" si="477"/>
        <v>0</v>
      </c>
      <c r="G253" s="189">
        <f t="shared" si="477"/>
        <v>0</v>
      </c>
      <c r="H253" s="190">
        <f t="shared" si="478"/>
        <v>0</v>
      </c>
      <c r="I253" s="191">
        <f t="shared" si="479"/>
        <v>0</v>
      </c>
      <c r="J253" s="189">
        <f t="shared" si="479"/>
        <v>0</v>
      </c>
      <c r="K253" s="190">
        <f t="shared" si="480"/>
        <v>0</v>
      </c>
      <c r="L253" s="191">
        <f t="shared" si="481"/>
        <v>0</v>
      </c>
      <c r="M253" s="189">
        <f t="shared" si="481"/>
        <v>0</v>
      </c>
      <c r="N253" s="190">
        <f t="shared" si="482"/>
        <v>0</v>
      </c>
      <c r="O253" s="191">
        <f t="shared" si="483"/>
        <v>0</v>
      </c>
      <c r="P253" s="189">
        <f t="shared" si="483"/>
        <v>0</v>
      </c>
      <c r="Q253" s="190">
        <f t="shared" si="484"/>
        <v>0</v>
      </c>
      <c r="R253" s="191">
        <f t="shared" si="485"/>
        <v>0</v>
      </c>
      <c r="S253" s="189">
        <f t="shared" si="485"/>
        <v>0</v>
      </c>
      <c r="T253" s="190">
        <f t="shared" si="486"/>
        <v>0</v>
      </c>
      <c r="U253" s="191">
        <f t="shared" si="487"/>
        <v>0</v>
      </c>
      <c r="V253" s="189">
        <f t="shared" si="487"/>
        <v>0</v>
      </c>
      <c r="W253" s="190">
        <f t="shared" si="488"/>
        <v>0</v>
      </c>
      <c r="X253" s="191">
        <f t="shared" si="489"/>
        <v>0</v>
      </c>
      <c r="Y253" s="189">
        <f t="shared" si="489"/>
        <v>0</v>
      </c>
      <c r="Z253" s="190">
        <f t="shared" si="490"/>
        <v>0</v>
      </c>
      <c r="AA253" s="191">
        <f t="shared" si="491"/>
        <v>0</v>
      </c>
      <c r="AB253" s="189">
        <f t="shared" si="491"/>
        <v>0</v>
      </c>
      <c r="AC253" s="190">
        <f t="shared" si="492"/>
        <v>0</v>
      </c>
      <c r="AD253" s="191">
        <f t="shared" si="493"/>
        <v>0</v>
      </c>
      <c r="AE253" s="189">
        <f t="shared" si="493"/>
        <v>0</v>
      </c>
      <c r="AF253" s="190">
        <f t="shared" si="494"/>
        <v>0</v>
      </c>
      <c r="AG253" s="191">
        <f t="shared" si="495"/>
        <v>0</v>
      </c>
      <c r="AH253" s="189">
        <f t="shared" si="495"/>
        <v>0</v>
      </c>
      <c r="AI253" s="190">
        <f t="shared" si="496"/>
        <v>0</v>
      </c>
      <c r="AJ253" s="191">
        <f t="shared" si="497"/>
        <v>0</v>
      </c>
      <c r="AK253" s="189">
        <f t="shared" si="497"/>
        <v>0</v>
      </c>
      <c r="AL253" s="190">
        <f t="shared" si="498"/>
        <v>0</v>
      </c>
      <c r="AM253" s="191">
        <f t="shared" si="499"/>
        <v>0</v>
      </c>
      <c r="AN253" s="189">
        <f t="shared" si="499"/>
        <v>0</v>
      </c>
      <c r="AO253" s="190">
        <f t="shared" si="500"/>
        <v>0</v>
      </c>
      <c r="AP253" s="191">
        <f t="shared" si="501"/>
        <v>0</v>
      </c>
      <c r="AQ253" s="189">
        <f t="shared" si="501"/>
        <v>0</v>
      </c>
      <c r="AR253" s="190">
        <f t="shared" si="502"/>
        <v>0</v>
      </c>
      <c r="AS253" s="191">
        <f t="shared" si="503"/>
        <v>0</v>
      </c>
      <c r="AT253" s="189">
        <f t="shared" si="503"/>
        <v>0</v>
      </c>
      <c r="AU253" s="190">
        <f t="shared" si="504"/>
        <v>0</v>
      </c>
      <c r="AV253" s="191">
        <f t="shared" si="505"/>
        <v>0</v>
      </c>
      <c r="AW253" s="189">
        <f t="shared" si="505"/>
        <v>0</v>
      </c>
      <c r="AX253" s="190">
        <f t="shared" si="506"/>
        <v>0</v>
      </c>
      <c r="AY253" s="189">
        <f t="shared" si="507"/>
        <v>0</v>
      </c>
      <c r="AZ253" s="189">
        <f t="shared" si="507"/>
        <v>0</v>
      </c>
      <c r="BA253" s="190">
        <f t="shared" si="508"/>
        <v>0</v>
      </c>
      <c r="BB253" s="191">
        <f t="shared" si="509"/>
        <v>0</v>
      </c>
      <c r="BC253" s="189">
        <f t="shared" si="509"/>
        <v>0</v>
      </c>
      <c r="BD253" s="190">
        <f t="shared" si="510"/>
        <v>0</v>
      </c>
      <c r="BE253" s="191">
        <f t="shared" si="511"/>
        <v>0</v>
      </c>
      <c r="BF253" s="191">
        <f t="shared" si="511"/>
        <v>0</v>
      </c>
      <c r="BG253" s="188">
        <f t="shared" ref="BG253" si="523">IF(BG189=0,0,BG20/BG189*30)</f>
        <v>0</v>
      </c>
    </row>
    <row r="254" spans="1:59" ht="13.5" hidden="1" customHeight="1" outlineLevel="1" x14ac:dyDescent="0.25">
      <c r="A254" s="28"/>
      <c r="B254" s="84" t="s">
        <v>44</v>
      </c>
      <c r="C254" s="75" t="s">
        <v>89</v>
      </c>
      <c r="D254" s="20">
        <f t="shared" si="477"/>
        <v>0</v>
      </c>
      <c r="E254" s="20">
        <f t="shared" si="477"/>
        <v>0</v>
      </c>
      <c r="F254" s="24">
        <f t="shared" si="477"/>
        <v>0</v>
      </c>
      <c r="G254" s="23">
        <f t="shared" si="477"/>
        <v>0</v>
      </c>
      <c r="H254" s="22">
        <f t="shared" si="478"/>
        <v>0</v>
      </c>
      <c r="I254" s="24">
        <f t="shared" si="479"/>
        <v>0</v>
      </c>
      <c r="J254" s="23">
        <f t="shared" si="479"/>
        <v>0</v>
      </c>
      <c r="K254" s="22">
        <f t="shared" si="480"/>
        <v>0</v>
      </c>
      <c r="L254" s="24">
        <f t="shared" si="481"/>
        <v>0</v>
      </c>
      <c r="M254" s="23">
        <f t="shared" si="481"/>
        <v>0</v>
      </c>
      <c r="N254" s="22">
        <f t="shared" si="482"/>
        <v>0</v>
      </c>
      <c r="O254" s="24">
        <f t="shared" si="483"/>
        <v>0</v>
      </c>
      <c r="P254" s="23">
        <f t="shared" si="483"/>
        <v>0</v>
      </c>
      <c r="Q254" s="22">
        <f t="shared" si="484"/>
        <v>0</v>
      </c>
      <c r="R254" s="24">
        <f t="shared" si="485"/>
        <v>0</v>
      </c>
      <c r="S254" s="23">
        <f t="shared" si="485"/>
        <v>0</v>
      </c>
      <c r="T254" s="22">
        <f t="shared" si="486"/>
        <v>0</v>
      </c>
      <c r="U254" s="24">
        <f t="shared" si="487"/>
        <v>0</v>
      </c>
      <c r="V254" s="23">
        <f t="shared" si="487"/>
        <v>0</v>
      </c>
      <c r="W254" s="22">
        <f t="shared" si="488"/>
        <v>0</v>
      </c>
      <c r="X254" s="24">
        <f t="shared" si="489"/>
        <v>0</v>
      </c>
      <c r="Y254" s="23">
        <f t="shared" si="489"/>
        <v>0</v>
      </c>
      <c r="Z254" s="22">
        <f t="shared" si="490"/>
        <v>0</v>
      </c>
      <c r="AA254" s="24">
        <f t="shared" si="491"/>
        <v>0</v>
      </c>
      <c r="AB254" s="23">
        <f t="shared" si="491"/>
        <v>0</v>
      </c>
      <c r="AC254" s="22">
        <f t="shared" si="492"/>
        <v>0</v>
      </c>
      <c r="AD254" s="24">
        <f t="shared" si="493"/>
        <v>0</v>
      </c>
      <c r="AE254" s="23">
        <f t="shared" si="493"/>
        <v>0</v>
      </c>
      <c r="AF254" s="22">
        <f t="shared" si="494"/>
        <v>0</v>
      </c>
      <c r="AG254" s="24">
        <f t="shared" si="495"/>
        <v>0</v>
      </c>
      <c r="AH254" s="23">
        <f t="shared" si="495"/>
        <v>0</v>
      </c>
      <c r="AI254" s="22">
        <f t="shared" si="496"/>
        <v>0</v>
      </c>
      <c r="AJ254" s="24">
        <f t="shared" si="497"/>
        <v>0</v>
      </c>
      <c r="AK254" s="23">
        <f t="shared" si="497"/>
        <v>0</v>
      </c>
      <c r="AL254" s="22">
        <f t="shared" si="498"/>
        <v>0</v>
      </c>
      <c r="AM254" s="24">
        <f t="shared" si="499"/>
        <v>0</v>
      </c>
      <c r="AN254" s="23">
        <f t="shared" si="499"/>
        <v>0</v>
      </c>
      <c r="AO254" s="22">
        <f t="shared" si="500"/>
        <v>0</v>
      </c>
      <c r="AP254" s="24">
        <f t="shared" si="501"/>
        <v>0</v>
      </c>
      <c r="AQ254" s="23">
        <f t="shared" si="501"/>
        <v>0</v>
      </c>
      <c r="AR254" s="22">
        <f t="shared" si="502"/>
        <v>0</v>
      </c>
      <c r="AS254" s="24">
        <f t="shared" si="503"/>
        <v>0</v>
      </c>
      <c r="AT254" s="23">
        <f t="shared" si="503"/>
        <v>0</v>
      </c>
      <c r="AU254" s="22">
        <f t="shared" si="504"/>
        <v>0</v>
      </c>
      <c r="AV254" s="24">
        <f t="shared" si="505"/>
        <v>0</v>
      </c>
      <c r="AW254" s="23">
        <f t="shared" si="505"/>
        <v>0</v>
      </c>
      <c r="AX254" s="22">
        <f t="shared" si="506"/>
        <v>0</v>
      </c>
      <c r="AY254" s="23">
        <f t="shared" si="507"/>
        <v>0</v>
      </c>
      <c r="AZ254" s="23">
        <f t="shared" si="507"/>
        <v>0</v>
      </c>
      <c r="BA254" s="22">
        <f t="shared" si="508"/>
        <v>0</v>
      </c>
      <c r="BB254" s="24">
        <f t="shared" si="509"/>
        <v>0</v>
      </c>
      <c r="BC254" s="23">
        <f t="shared" si="509"/>
        <v>0</v>
      </c>
      <c r="BD254" s="22">
        <f t="shared" si="510"/>
        <v>0</v>
      </c>
      <c r="BE254" s="24">
        <f t="shared" si="511"/>
        <v>0</v>
      </c>
      <c r="BF254" s="24">
        <f t="shared" si="511"/>
        <v>0</v>
      </c>
      <c r="BG254" s="20">
        <f t="shared" ref="BG254" si="524">IF(BG190=0,0,BG21/BG190*30)</f>
        <v>0</v>
      </c>
    </row>
    <row r="255" spans="1:59" ht="13.5" hidden="1" customHeight="1" outlineLevel="1" x14ac:dyDescent="0.25">
      <c r="A255" s="28"/>
      <c r="B255" s="84" t="s">
        <v>45</v>
      </c>
      <c r="C255" s="75" t="s">
        <v>89</v>
      </c>
      <c r="D255" s="20">
        <f t="shared" si="477"/>
        <v>0</v>
      </c>
      <c r="E255" s="20">
        <f t="shared" si="477"/>
        <v>0</v>
      </c>
      <c r="F255" s="24">
        <f t="shared" si="477"/>
        <v>0</v>
      </c>
      <c r="G255" s="23">
        <f t="shared" si="477"/>
        <v>0</v>
      </c>
      <c r="H255" s="22">
        <f t="shared" si="478"/>
        <v>0</v>
      </c>
      <c r="I255" s="24">
        <f t="shared" si="479"/>
        <v>0</v>
      </c>
      <c r="J255" s="23">
        <f t="shared" si="479"/>
        <v>0</v>
      </c>
      <c r="K255" s="22">
        <f t="shared" si="480"/>
        <v>0</v>
      </c>
      <c r="L255" s="24">
        <f t="shared" si="481"/>
        <v>0</v>
      </c>
      <c r="M255" s="23">
        <f t="shared" si="481"/>
        <v>0</v>
      </c>
      <c r="N255" s="22">
        <f t="shared" si="482"/>
        <v>0</v>
      </c>
      <c r="O255" s="24">
        <f t="shared" si="483"/>
        <v>0</v>
      </c>
      <c r="P255" s="23">
        <f t="shared" si="483"/>
        <v>0</v>
      </c>
      <c r="Q255" s="22">
        <f t="shared" si="484"/>
        <v>0</v>
      </c>
      <c r="R255" s="24">
        <f t="shared" si="485"/>
        <v>0</v>
      </c>
      <c r="S255" s="23">
        <f t="shared" si="485"/>
        <v>0</v>
      </c>
      <c r="T255" s="22">
        <f t="shared" si="486"/>
        <v>0</v>
      </c>
      <c r="U255" s="24">
        <f t="shared" si="487"/>
        <v>0</v>
      </c>
      <c r="V255" s="23">
        <f t="shared" si="487"/>
        <v>0</v>
      </c>
      <c r="W255" s="22">
        <f t="shared" si="488"/>
        <v>0</v>
      </c>
      <c r="X255" s="24">
        <f t="shared" si="489"/>
        <v>0</v>
      </c>
      <c r="Y255" s="23">
        <f t="shared" si="489"/>
        <v>0</v>
      </c>
      <c r="Z255" s="22">
        <f t="shared" si="490"/>
        <v>0</v>
      </c>
      <c r="AA255" s="24">
        <f t="shared" si="491"/>
        <v>0</v>
      </c>
      <c r="AB255" s="23">
        <f t="shared" si="491"/>
        <v>0</v>
      </c>
      <c r="AC255" s="22">
        <f t="shared" si="492"/>
        <v>0</v>
      </c>
      <c r="AD255" s="24">
        <f t="shared" si="493"/>
        <v>0</v>
      </c>
      <c r="AE255" s="23">
        <f t="shared" si="493"/>
        <v>0</v>
      </c>
      <c r="AF255" s="22">
        <f t="shared" si="494"/>
        <v>0</v>
      </c>
      <c r="AG255" s="24">
        <f t="shared" si="495"/>
        <v>0</v>
      </c>
      <c r="AH255" s="23">
        <f t="shared" si="495"/>
        <v>0</v>
      </c>
      <c r="AI255" s="22">
        <f t="shared" si="496"/>
        <v>0</v>
      </c>
      <c r="AJ255" s="24">
        <f t="shared" si="497"/>
        <v>0</v>
      </c>
      <c r="AK255" s="23">
        <f t="shared" si="497"/>
        <v>0</v>
      </c>
      <c r="AL255" s="22">
        <f t="shared" si="498"/>
        <v>0</v>
      </c>
      <c r="AM255" s="24">
        <f t="shared" si="499"/>
        <v>0</v>
      </c>
      <c r="AN255" s="23">
        <f t="shared" si="499"/>
        <v>0</v>
      </c>
      <c r="AO255" s="22">
        <f t="shared" si="500"/>
        <v>0</v>
      </c>
      <c r="AP255" s="24">
        <f t="shared" si="501"/>
        <v>0</v>
      </c>
      <c r="AQ255" s="23">
        <f t="shared" si="501"/>
        <v>0</v>
      </c>
      <c r="AR255" s="22">
        <f t="shared" si="502"/>
        <v>0</v>
      </c>
      <c r="AS255" s="24">
        <f t="shared" si="503"/>
        <v>0</v>
      </c>
      <c r="AT255" s="23">
        <f t="shared" si="503"/>
        <v>0</v>
      </c>
      <c r="AU255" s="22">
        <f t="shared" si="504"/>
        <v>0</v>
      </c>
      <c r="AV255" s="24">
        <f t="shared" si="505"/>
        <v>0</v>
      </c>
      <c r="AW255" s="23">
        <f t="shared" si="505"/>
        <v>0</v>
      </c>
      <c r="AX255" s="22">
        <f t="shared" si="506"/>
        <v>0</v>
      </c>
      <c r="AY255" s="23">
        <f t="shared" si="507"/>
        <v>0</v>
      </c>
      <c r="AZ255" s="23">
        <f t="shared" si="507"/>
        <v>0</v>
      </c>
      <c r="BA255" s="22">
        <f t="shared" si="508"/>
        <v>0</v>
      </c>
      <c r="BB255" s="24">
        <f t="shared" si="509"/>
        <v>0</v>
      </c>
      <c r="BC255" s="23">
        <f t="shared" si="509"/>
        <v>0</v>
      </c>
      <c r="BD255" s="22">
        <f t="shared" si="510"/>
        <v>0</v>
      </c>
      <c r="BE255" s="24">
        <f t="shared" si="511"/>
        <v>0</v>
      </c>
      <c r="BF255" s="24">
        <f t="shared" si="511"/>
        <v>0</v>
      </c>
      <c r="BG255" s="20">
        <f t="shared" ref="BG255" si="525">IF(BG191=0,0,BG22/BG191*30)</f>
        <v>0</v>
      </c>
    </row>
    <row r="256" spans="1:59" ht="13.5" hidden="1" customHeight="1" outlineLevel="1" x14ac:dyDescent="0.25">
      <c r="A256" s="28"/>
      <c r="B256" s="84" t="s">
        <v>46</v>
      </c>
      <c r="C256" s="75" t="s">
        <v>89</v>
      </c>
      <c r="D256" s="20">
        <f t="shared" si="477"/>
        <v>0</v>
      </c>
      <c r="E256" s="20">
        <f t="shared" si="477"/>
        <v>0</v>
      </c>
      <c r="F256" s="24">
        <f t="shared" si="477"/>
        <v>0</v>
      </c>
      <c r="G256" s="23">
        <f t="shared" si="477"/>
        <v>0</v>
      </c>
      <c r="H256" s="22">
        <f t="shared" si="478"/>
        <v>0</v>
      </c>
      <c r="I256" s="24">
        <f t="shared" si="479"/>
        <v>0</v>
      </c>
      <c r="J256" s="23">
        <f t="shared" si="479"/>
        <v>0</v>
      </c>
      <c r="K256" s="22">
        <f t="shared" si="480"/>
        <v>0</v>
      </c>
      <c r="L256" s="24">
        <f t="shared" si="481"/>
        <v>0</v>
      </c>
      <c r="M256" s="23">
        <f t="shared" si="481"/>
        <v>0</v>
      </c>
      <c r="N256" s="22">
        <f t="shared" si="482"/>
        <v>0</v>
      </c>
      <c r="O256" s="24">
        <f t="shared" si="483"/>
        <v>0</v>
      </c>
      <c r="P256" s="23">
        <f t="shared" si="483"/>
        <v>0</v>
      </c>
      <c r="Q256" s="22">
        <f t="shared" si="484"/>
        <v>0</v>
      </c>
      <c r="R256" s="24">
        <f t="shared" si="485"/>
        <v>0</v>
      </c>
      <c r="S256" s="23">
        <f t="shared" si="485"/>
        <v>0</v>
      </c>
      <c r="T256" s="22">
        <f t="shared" si="486"/>
        <v>0</v>
      </c>
      <c r="U256" s="24">
        <f t="shared" si="487"/>
        <v>0</v>
      </c>
      <c r="V256" s="23">
        <f t="shared" si="487"/>
        <v>0</v>
      </c>
      <c r="W256" s="22">
        <f t="shared" si="488"/>
        <v>0</v>
      </c>
      <c r="X256" s="24">
        <f t="shared" si="489"/>
        <v>0</v>
      </c>
      <c r="Y256" s="23">
        <f t="shared" si="489"/>
        <v>0</v>
      </c>
      <c r="Z256" s="22">
        <f t="shared" si="490"/>
        <v>0</v>
      </c>
      <c r="AA256" s="24">
        <f t="shared" si="491"/>
        <v>0</v>
      </c>
      <c r="AB256" s="23">
        <f t="shared" si="491"/>
        <v>0</v>
      </c>
      <c r="AC256" s="22">
        <f t="shared" si="492"/>
        <v>0</v>
      </c>
      <c r="AD256" s="24">
        <f t="shared" si="493"/>
        <v>0</v>
      </c>
      <c r="AE256" s="23">
        <f t="shared" si="493"/>
        <v>0</v>
      </c>
      <c r="AF256" s="22">
        <f t="shared" si="494"/>
        <v>0</v>
      </c>
      <c r="AG256" s="24">
        <f t="shared" si="495"/>
        <v>0</v>
      </c>
      <c r="AH256" s="23">
        <f t="shared" si="495"/>
        <v>0</v>
      </c>
      <c r="AI256" s="22">
        <f t="shared" si="496"/>
        <v>0</v>
      </c>
      <c r="AJ256" s="24">
        <f t="shared" si="497"/>
        <v>0</v>
      </c>
      <c r="AK256" s="23">
        <f t="shared" si="497"/>
        <v>0</v>
      </c>
      <c r="AL256" s="22">
        <f t="shared" si="498"/>
        <v>0</v>
      </c>
      <c r="AM256" s="24">
        <f t="shared" si="499"/>
        <v>0</v>
      </c>
      <c r="AN256" s="23">
        <f t="shared" si="499"/>
        <v>0</v>
      </c>
      <c r="AO256" s="22">
        <f t="shared" si="500"/>
        <v>0</v>
      </c>
      <c r="AP256" s="24">
        <f t="shared" si="501"/>
        <v>0</v>
      </c>
      <c r="AQ256" s="23">
        <f t="shared" si="501"/>
        <v>0</v>
      </c>
      <c r="AR256" s="22">
        <f t="shared" si="502"/>
        <v>0</v>
      </c>
      <c r="AS256" s="24">
        <f t="shared" si="503"/>
        <v>0</v>
      </c>
      <c r="AT256" s="23">
        <f t="shared" si="503"/>
        <v>0</v>
      </c>
      <c r="AU256" s="22">
        <f t="shared" si="504"/>
        <v>0</v>
      </c>
      <c r="AV256" s="24">
        <f t="shared" si="505"/>
        <v>0</v>
      </c>
      <c r="AW256" s="23">
        <f t="shared" si="505"/>
        <v>0</v>
      </c>
      <c r="AX256" s="22">
        <f t="shared" si="506"/>
        <v>0</v>
      </c>
      <c r="AY256" s="23">
        <f t="shared" si="507"/>
        <v>0</v>
      </c>
      <c r="AZ256" s="23">
        <f t="shared" si="507"/>
        <v>0</v>
      </c>
      <c r="BA256" s="22">
        <f t="shared" si="508"/>
        <v>0</v>
      </c>
      <c r="BB256" s="24">
        <f t="shared" si="509"/>
        <v>0</v>
      </c>
      <c r="BC256" s="23">
        <f t="shared" si="509"/>
        <v>0</v>
      </c>
      <c r="BD256" s="22">
        <f t="shared" si="510"/>
        <v>0</v>
      </c>
      <c r="BE256" s="24">
        <f t="shared" si="511"/>
        <v>0</v>
      </c>
      <c r="BF256" s="24">
        <f t="shared" si="511"/>
        <v>0</v>
      </c>
      <c r="BG256" s="20">
        <f t="shared" ref="BG256" si="526">IF(BG192=0,0,BG23/BG192*30)</f>
        <v>0</v>
      </c>
    </row>
    <row r="257" spans="1:59" ht="13.5" hidden="1" customHeight="1" outlineLevel="1" x14ac:dyDescent="0.25">
      <c r="A257" s="28"/>
      <c r="B257" s="84" t="s">
        <v>47</v>
      </c>
      <c r="C257" s="75" t="s">
        <v>89</v>
      </c>
      <c r="D257" s="20">
        <f t="shared" si="477"/>
        <v>0</v>
      </c>
      <c r="E257" s="20">
        <f t="shared" si="477"/>
        <v>0</v>
      </c>
      <c r="F257" s="24">
        <f t="shared" si="477"/>
        <v>0</v>
      </c>
      <c r="G257" s="23">
        <f t="shared" si="477"/>
        <v>0</v>
      </c>
      <c r="H257" s="22">
        <f t="shared" si="478"/>
        <v>0</v>
      </c>
      <c r="I257" s="24">
        <f t="shared" si="479"/>
        <v>0</v>
      </c>
      <c r="J257" s="23">
        <f t="shared" si="479"/>
        <v>0</v>
      </c>
      <c r="K257" s="22">
        <f t="shared" si="480"/>
        <v>0</v>
      </c>
      <c r="L257" s="24">
        <f t="shared" si="481"/>
        <v>0</v>
      </c>
      <c r="M257" s="23">
        <f t="shared" si="481"/>
        <v>0</v>
      </c>
      <c r="N257" s="22">
        <f t="shared" si="482"/>
        <v>0</v>
      </c>
      <c r="O257" s="24">
        <f t="shared" si="483"/>
        <v>0</v>
      </c>
      <c r="P257" s="23">
        <f t="shared" si="483"/>
        <v>0</v>
      </c>
      <c r="Q257" s="22">
        <f t="shared" si="484"/>
        <v>0</v>
      </c>
      <c r="R257" s="24">
        <f t="shared" si="485"/>
        <v>0</v>
      </c>
      <c r="S257" s="23">
        <f t="shared" si="485"/>
        <v>0</v>
      </c>
      <c r="T257" s="22">
        <f t="shared" si="486"/>
        <v>0</v>
      </c>
      <c r="U257" s="24">
        <f t="shared" si="487"/>
        <v>0</v>
      </c>
      <c r="V257" s="23">
        <f t="shared" si="487"/>
        <v>0</v>
      </c>
      <c r="W257" s="22">
        <f t="shared" si="488"/>
        <v>0</v>
      </c>
      <c r="X257" s="24">
        <f t="shared" si="489"/>
        <v>0</v>
      </c>
      <c r="Y257" s="23">
        <f t="shared" si="489"/>
        <v>0</v>
      </c>
      <c r="Z257" s="22">
        <f t="shared" si="490"/>
        <v>0</v>
      </c>
      <c r="AA257" s="24">
        <f t="shared" si="491"/>
        <v>0</v>
      </c>
      <c r="AB257" s="23">
        <f t="shared" si="491"/>
        <v>0</v>
      </c>
      <c r="AC257" s="22">
        <f t="shared" si="492"/>
        <v>0</v>
      </c>
      <c r="AD257" s="24">
        <f t="shared" si="493"/>
        <v>0</v>
      </c>
      <c r="AE257" s="23">
        <f t="shared" si="493"/>
        <v>0</v>
      </c>
      <c r="AF257" s="22">
        <f t="shared" si="494"/>
        <v>0</v>
      </c>
      <c r="AG257" s="24">
        <f t="shared" si="495"/>
        <v>0</v>
      </c>
      <c r="AH257" s="23">
        <f t="shared" si="495"/>
        <v>0</v>
      </c>
      <c r="AI257" s="22">
        <f t="shared" si="496"/>
        <v>0</v>
      </c>
      <c r="AJ257" s="24">
        <f t="shared" si="497"/>
        <v>0</v>
      </c>
      <c r="AK257" s="23">
        <f t="shared" si="497"/>
        <v>0</v>
      </c>
      <c r="AL257" s="22">
        <f t="shared" si="498"/>
        <v>0</v>
      </c>
      <c r="AM257" s="24">
        <f t="shared" si="499"/>
        <v>0</v>
      </c>
      <c r="AN257" s="23">
        <f t="shared" si="499"/>
        <v>0</v>
      </c>
      <c r="AO257" s="22">
        <f t="shared" si="500"/>
        <v>0</v>
      </c>
      <c r="AP257" s="24">
        <f t="shared" si="501"/>
        <v>0</v>
      </c>
      <c r="AQ257" s="23">
        <f t="shared" si="501"/>
        <v>0</v>
      </c>
      <c r="AR257" s="22">
        <f t="shared" si="502"/>
        <v>0</v>
      </c>
      <c r="AS257" s="24">
        <f t="shared" si="503"/>
        <v>0</v>
      </c>
      <c r="AT257" s="23">
        <f t="shared" si="503"/>
        <v>0</v>
      </c>
      <c r="AU257" s="22">
        <f t="shared" si="504"/>
        <v>0</v>
      </c>
      <c r="AV257" s="24">
        <f t="shared" si="505"/>
        <v>0</v>
      </c>
      <c r="AW257" s="23">
        <f t="shared" si="505"/>
        <v>0</v>
      </c>
      <c r="AX257" s="22">
        <f t="shared" si="506"/>
        <v>0</v>
      </c>
      <c r="AY257" s="23">
        <f t="shared" si="507"/>
        <v>0</v>
      </c>
      <c r="AZ257" s="23">
        <f t="shared" si="507"/>
        <v>0</v>
      </c>
      <c r="BA257" s="22">
        <f t="shared" si="508"/>
        <v>0</v>
      </c>
      <c r="BB257" s="24">
        <f t="shared" si="509"/>
        <v>0</v>
      </c>
      <c r="BC257" s="23">
        <f t="shared" si="509"/>
        <v>0</v>
      </c>
      <c r="BD257" s="22">
        <f t="shared" si="510"/>
        <v>0</v>
      </c>
      <c r="BE257" s="24">
        <f t="shared" ref="BE257:BF271" si="527">IF(BE193=0,0,BE24/BE193*30)</f>
        <v>0</v>
      </c>
      <c r="BF257" s="24">
        <f t="shared" si="527"/>
        <v>0</v>
      </c>
      <c r="BG257" s="20">
        <f t="shared" ref="BG257" si="528">IF(BG193=0,0,BG24/BG193*30)</f>
        <v>0</v>
      </c>
    </row>
    <row r="258" spans="1:59" ht="13.5" hidden="1" customHeight="1" outlineLevel="1" x14ac:dyDescent="0.25">
      <c r="A258" s="28"/>
      <c r="B258" s="84" t="s">
        <v>48</v>
      </c>
      <c r="C258" s="75" t="s">
        <v>89</v>
      </c>
      <c r="D258" s="20">
        <f t="shared" ref="D258:G273" si="529">IF(D194=0,0,D25/D194*30)</f>
        <v>0</v>
      </c>
      <c r="E258" s="20">
        <f t="shared" si="529"/>
        <v>0</v>
      </c>
      <c r="F258" s="24">
        <f t="shared" si="529"/>
        <v>0</v>
      </c>
      <c r="G258" s="23">
        <f t="shared" si="529"/>
        <v>0</v>
      </c>
      <c r="H258" s="22">
        <f t="shared" ref="H258:H273" si="530">G258-F258</f>
        <v>0</v>
      </c>
      <c r="I258" s="24">
        <f t="shared" ref="I258:J273" si="531">IF(I194=0,0,I25/I194*30)</f>
        <v>0</v>
      </c>
      <c r="J258" s="23">
        <f t="shared" si="531"/>
        <v>0</v>
      </c>
      <c r="K258" s="22">
        <f t="shared" ref="K258:K273" si="532">J258-I258</f>
        <v>0</v>
      </c>
      <c r="L258" s="24">
        <f t="shared" ref="L258:M273" si="533">IF(L194=0,0,L25/L194*30)</f>
        <v>0</v>
      </c>
      <c r="M258" s="23">
        <f t="shared" si="533"/>
        <v>0</v>
      </c>
      <c r="N258" s="22">
        <f t="shared" ref="N258:N273" si="534">M258-L258</f>
        <v>0</v>
      </c>
      <c r="O258" s="24">
        <f t="shared" ref="O258:P273" si="535">IF(O194=0,0,O25/O194*30)</f>
        <v>0</v>
      </c>
      <c r="P258" s="23">
        <f t="shared" si="535"/>
        <v>0</v>
      </c>
      <c r="Q258" s="22">
        <f t="shared" ref="Q258:Q273" si="536">P258-O258</f>
        <v>0</v>
      </c>
      <c r="R258" s="24">
        <f t="shared" ref="R258:S273" si="537">IF(R194=0,0,R25/R194*30)</f>
        <v>0</v>
      </c>
      <c r="S258" s="23">
        <f t="shared" si="537"/>
        <v>0</v>
      </c>
      <c r="T258" s="22">
        <f t="shared" ref="T258:T273" si="538">S258-R258</f>
        <v>0</v>
      </c>
      <c r="U258" s="24">
        <f t="shared" ref="U258:V273" si="539">IF(U194=0,0,U25/U194*30)</f>
        <v>0</v>
      </c>
      <c r="V258" s="23">
        <f t="shared" si="539"/>
        <v>0</v>
      </c>
      <c r="W258" s="22">
        <f t="shared" ref="W258:W273" si="540">V258-U258</f>
        <v>0</v>
      </c>
      <c r="X258" s="24">
        <f t="shared" ref="X258:Y273" si="541">IF(X194=0,0,X25/X194*30)</f>
        <v>0</v>
      </c>
      <c r="Y258" s="23">
        <f t="shared" si="541"/>
        <v>0</v>
      </c>
      <c r="Z258" s="22">
        <f t="shared" ref="Z258:Z273" si="542">Y258-X258</f>
        <v>0</v>
      </c>
      <c r="AA258" s="24">
        <f t="shared" ref="AA258:AB273" si="543">IF(AA194=0,0,AA25/AA194*30)</f>
        <v>0</v>
      </c>
      <c r="AB258" s="23">
        <f t="shared" si="543"/>
        <v>0</v>
      </c>
      <c r="AC258" s="22">
        <f t="shared" ref="AC258:AC273" si="544">AB258-AA258</f>
        <v>0</v>
      </c>
      <c r="AD258" s="24">
        <f t="shared" ref="AD258:AE273" si="545">IF(AD194=0,0,AD25/AD194*30)</f>
        <v>0</v>
      </c>
      <c r="AE258" s="23">
        <f t="shared" si="545"/>
        <v>0</v>
      </c>
      <c r="AF258" s="22">
        <f t="shared" ref="AF258:AF273" si="546">AE258-AD258</f>
        <v>0</v>
      </c>
      <c r="AG258" s="24">
        <f t="shared" ref="AG258:AH273" si="547">IF(AG194=0,0,AG25/AG194*30)</f>
        <v>0</v>
      </c>
      <c r="AH258" s="23">
        <f t="shared" si="547"/>
        <v>0</v>
      </c>
      <c r="AI258" s="22">
        <f t="shared" ref="AI258:AI273" si="548">AH258-AG258</f>
        <v>0</v>
      </c>
      <c r="AJ258" s="24">
        <f t="shared" ref="AJ258:AK273" si="549">IF(AJ194=0,0,AJ25/AJ194*30)</f>
        <v>0</v>
      </c>
      <c r="AK258" s="23">
        <f t="shared" si="549"/>
        <v>0</v>
      </c>
      <c r="AL258" s="22">
        <f t="shared" ref="AL258:AL273" si="550">AK258-AJ258</f>
        <v>0</v>
      </c>
      <c r="AM258" s="24">
        <f t="shared" ref="AM258:AN273" si="551">IF(AM194=0,0,AM25/AM194*30)</f>
        <v>0</v>
      </c>
      <c r="AN258" s="23">
        <f t="shared" si="551"/>
        <v>0</v>
      </c>
      <c r="AO258" s="22">
        <f t="shared" ref="AO258:AO273" si="552">AN258-AM258</f>
        <v>0</v>
      </c>
      <c r="AP258" s="24">
        <f t="shared" ref="AP258:AQ273" si="553">IF(AP194=0,0,AP25/AP194*30)</f>
        <v>0</v>
      </c>
      <c r="AQ258" s="23">
        <f t="shared" si="553"/>
        <v>0</v>
      </c>
      <c r="AR258" s="22">
        <f t="shared" ref="AR258:AR273" si="554">AQ258-AP258</f>
        <v>0</v>
      </c>
      <c r="AS258" s="24">
        <f t="shared" ref="AS258:AT273" si="555">IF(AS194=0,0,AS25/AS194*30)</f>
        <v>0</v>
      </c>
      <c r="AT258" s="23">
        <f t="shared" si="555"/>
        <v>0</v>
      </c>
      <c r="AU258" s="22">
        <f t="shared" ref="AU258:AU273" si="556">AT258-AS258</f>
        <v>0</v>
      </c>
      <c r="AV258" s="24">
        <f t="shared" ref="AV258:AW273" si="557">IF(AV194=0,0,AV25/AV194*30)</f>
        <v>0</v>
      </c>
      <c r="AW258" s="23">
        <f t="shared" si="557"/>
        <v>0</v>
      </c>
      <c r="AX258" s="22">
        <f t="shared" ref="AX258:AX273" si="558">AW258-AV258</f>
        <v>0</v>
      </c>
      <c r="AY258" s="23">
        <f t="shared" ref="AY258:AZ273" si="559">IF(AY194=0,0,AY25/AY194*30)</f>
        <v>0</v>
      </c>
      <c r="AZ258" s="23">
        <f t="shared" si="559"/>
        <v>0</v>
      </c>
      <c r="BA258" s="22">
        <f t="shared" ref="BA258:BA273" si="560">AZ258-AY258</f>
        <v>0</v>
      </c>
      <c r="BB258" s="24">
        <f t="shared" ref="BB258:BC273" si="561">IF(BB194=0,0,BB25/BB194*30)</f>
        <v>0</v>
      </c>
      <c r="BC258" s="23">
        <f t="shared" si="561"/>
        <v>0</v>
      </c>
      <c r="BD258" s="22">
        <f t="shared" ref="BD258:BD273" si="562">BC258-BB258</f>
        <v>0</v>
      </c>
      <c r="BE258" s="24">
        <f t="shared" si="527"/>
        <v>0</v>
      </c>
      <c r="BF258" s="24">
        <f t="shared" si="527"/>
        <v>0</v>
      </c>
      <c r="BG258" s="20">
        <f t="shared" ref="BG258" si="563">IF(BG194=0,0,BG25/BG194*30)</f>
        <v>0</v>
      </c>
    </row>
    <row r="259" spans="1:59" ht="13.5" hidden="1" customHeight="1" outlineLevel="1" x14ac:dyDescent="0.25">
      <c r="A259" s="28"/>
      <c r="B259" s="84" t="s">
        <v>49</v>
      </c>
      <c r="C259" s="75" t="s">
        <v>89</v>
      </c>
      <c r="D259" s="20">
        <f t="shared" si="529"/>
        <v>0</v>
      </c>
      <c r="E259" s="20">
        <f t="shared" si="529"/>
        <v>0</v>
      </c>
      <c r="F259" s="24">
        <f t="shared" si="529"/>
        <v>0</v>
      </c>
      <c r="G259" s="23">
        <f t="shared" si="529"/>
        <v>0</v>
      </c>
      <c r="H259" s="22">
        <f t="shared" si="530"/>
        <v>0</v>
      </c>
      <c r="I259" s="24">
        <f t="shared" si="531"/>
        <v>0</v>
      </c>
      <c r="J259" s="23">
        <f t="shared" si="531"/>
        <v>0</v>
      </c>
      <c r="K259" s="22">
        <f t="shared" si="532"/>
        <v>0</v>
      </c>
      <c r="L259" s="24">
        <f t="shared" si="533"/>
        <v>0</v>
      </c>
      <c r="M259" s="23">
        <f t="shared" si="533"/>
        <v>0</v>
      </c>
      <c r="N259" s="22">
        <f t="shared" si="534"/>
        <v>0</v>
      </c>
      <c r="O259" s="24">
        <f t="shared" si="535"/>
        <v>0</v>
      </c>
      <c r="P259" s="23">
        <f t="shared" si="535"/>
        <v>0</v>
      </c>
      <c r="Q259" s="22">
        <f t="shared" si="536"/>
        <v>0</v>
      </c>
      <c r="R259" s="24">
        <f t="shared" si="537"/>
        <v>0</v>
      </c>
      <c r="S259" s="23">
        <f t="shared" si="537"/>
        <v>0</v>
      </c>
      <c r="T259" s="22">
        <f t="shared" si="538"/>
        <v>0</v>
      </c>
      <c r="U259" s="24">
        <f t="shared" si="539"/>
        <v>0</v>
      </c>
      <c r="V259" s="23">
        <f t="shared" si="539"/>
        <v>0</v>
      </c>
      <c r="W259" s="22">
        <f t="shared" si="540"/>
        <v>0</v>
      </c>
      <c r="X259" s="24">
        <f t="shared" si="541"/>
        <v>0</v>
      </c>
      <c r="Y259" s="23">
        <f t="shared" si="541"/>
        <v>0</v>
      </c>
      <c r="Z259" s="22">
        <f t="shared" si="542"/>
        <v>0</v>
      </c>
      <c r="AA259" s="24">
        <f t="shared" si="543"/>
        <v>0</v>
      </c>
      <c r="AB259" s="23">
        <f t="shared" si="543"/>
        <v>0</v>
      </c>
      <c r="AC259" s="22">
        <f t="shared" si="544"/>
        <v>0</v>
      </c>
      <c r="AD259" s="24">
        <f t="shared" si="545"/>
        <v>0</v>
      </c>
      <c r="AE259" s="23">
        <f t="shared" si="545"/>
        <v>0</v>
      </c>
      <c r="AF259" s="22">
        <f t="shared" si="546"/>
        <v>0</v>
      </c>
      <c r="AG259" s="24">
        <f t="shared" si="547"/>
        <v>0</v>
      </c>
      <c r="AH259" s="23">
        <f t="shared" si="547"/>
        <v>0</v>
      </c>
      <c r="AI259" s="22">
        <f t="shared" si="548"/>
        <v>0</v>
      </c>
      <c r="AJ259" s="24">
        <f t="shared" si="549"/>
        <v>0</v>
      </c>
      <c r="AK259" s="23">
        <f t="shared" si="549"/>
        <v>0</v>
      </c>
      <c r="AL259" s="22">
        <f t="shared" si="550"/>
        <v>0</v>
      </c>
      <c r="AM259" s="24">
        <f t="shared" si="551"/>
        <v>0</v>
      </c>
      <c r="AN259" s="23">
        <f t="shared" si="551"/>
        <v>0</v>
      </c>
      <c r="AO259" s="22">
        <f t="shared" si="552"/>
        <v>0</v>
      </c>
      <c r="AP259" s="24">
        <f t="shared" si="553"/>
        <v>0</v>
      </c>
      <c r="AQ259" s="23">
        <f t="shared" si="553"/>
        <v>0</v>
      </c>
      <c r="AR259" s="22">
        <f t="shared" si="554"/>
        <v>0</v>
      </c>
      <c r="AS259" s="24">
        <f t="shared" si="555"/>
        <v>0</v>
      </c>
      <c r="AT259" s="23">
        <f t="shared" si="555"/>
        <v>0</v>
      </c>
      <c r="AU259" s="22">
        <f t="shared" si="556"/>
        <v>0</v>
      </c>
      <c r="AV259" s="24">
        <f t="shared" si="557"/>
        <v>0</v>
      </c>
      <c r="AW259" s="23">
        <f t="shared" si="557"/>
        <v>0</v>
      </c>
      <c r="AX259" s="22">
        <f t="shared" si="558"/>
        <v>0</v>
      </c>
      <c r="AY259" s="23">
        <f t="shared" si="559"/>
        <v>0</v>
      </c>
      <c r="AZ259" s="23">
        <f t="shared" si="559"/>
        <v>0</v>
      </c>
      <c r="BA259" s="22">
        <f t="shared" si="560"/>
        <v>0</v>
      </c>
      <c r="BB259" s="24">
        <f t="shared" si="561"/>
        <v>0</v>
      </c>
      <c r="BC259" s="23">
        <f t="shared" si="561"/>
        <v>0</v>
      </c>
      <c r="BD259" s="22">
        <f t="shared" si="562"/>
        <v>0</v>
      </c>
      <c r="BE259" s="24">
        <f t="shared" si="527"/>
        <v>0</v>
      </c>
      <c r="BF259" s="24">
        <f t="shared" si="527"/>
        <v>0</v>
      </c>
      <c r="BG259" s="20">
        <f t="shared" ref="BG259" si="564">IF(BG195=0,0,BG26/BG195*30)</f>
        <v>0</v>
      </c>
    </row>
    <row r="260" spans="1:59" ht="13.5" hidden="1" customHeight="1" outlineLevel="1" x14ac:dyDescent="0.25">
      <c r="A260" s="28"/>
      <c r="B260" s="84" t="s">
        <v>50</v>
      </c>
      <c r="C260" s="75" t="s">
        <v>89</v>
      </c>
      <c r="D260" s="20">
        <f t="shared" si="529"/>
        <v>0</v>
      </c>
      <c r="E260" s="20">
        <f t="shared" si="529"/>
        <v>0</v>
      </c>
      <c r="F260" s="24">
        <f t="shared" si="529"/>
        <v>0</v>
      </c>
      <c r="G260" s="23">
        <f t="shared" si="529"/>
        <v>0</v>
      </c>
      <c r="H260" s="22">
        <f t="shared" si="530"/>
        <v>0</v>
      </c>
      <c r="I260" s="24">
        <f t="shared" si="531"/>
        <v>0</v>
      </c>
      <c r="J260" s="23">
        <f t="shared" si="531"/>
        <v>0</v>
      </c>
      <c r="K260" s="22">
        <f t="shared" si="532"/>
        <v>0</v>
      </c>
      <c r="L260" s="24">
        <f t="shared" si="533"/>
        <v>0</v>
      </c>
      <c r="M260" s="23">
        <f t="shared" si="533"/>
        <v>0</v>
      </c>
      <c r="N260" s="22">
        <f t="shared" si="534"/>
        <v>0</v>
      </c>
      <c r="O260" s="24">
        <f t="shared" si="535"/>
        <v>0</v>
      </c>
      <c r="P260" s="23">
        <f t="shared" si="535"/>
        <v>0</v>
      </c>
      <c r="Q260" s="22">
        <f t="shared" si="536"/>
        <v>0</v>
      </c>
      <c r="R260" s="24">
        <f t="shared" si="537"/>
        <v>0</v>
      </c>
      <c r="S260" s="23">
        <f t="shared" si="537"/>
        <v>0</v>
      </c>
      <c r="T260" s="22">
        <f t="shared" si="538"/>
        <v>0</v>
      </c>
      <c r="U260" s="24">
        <f t="shared" si="539"/>
        <v>0</v>
      </c>
      <c r="V260" s="23">
        <f t="shared" si="539"/>
        <v>0</v>
      </c>
      <c r="W260" s="22">
        <f t="shared" si="540"/>
        <v>0</v>
      </c>
      <c r="X260" s="24">
        <f t="shared" si="541"/>
        <v>0</v>
      </c>
      <c r="Y260" s="23">
        <f t="shared" si="541"/>
        <v>0</v>
      </c>
      <c r="Z260" s="22">
        <f t="shared" si="542"/>
        <v>0</v>
      </c>
      <c r="AA260" s="24">
        <f t="shared" si="543"/>
        <v>0</v>
      </c>
      <c r="AB260" s="23">
        <f t="shared" si="543"/>
        <v>0</v>
      </c>
      <c r="AC260" s="22">
        <f t="shared" si="544"/>
        <v>0</v>
      </c>
      <c r="AD260" s="24">
        <f t="shared" si="545"/>
        <v>0</v>
      </c>
      <c r="AE260" s="23">
        <f t="shared" si="545"/>
        <v>0</v>
      </c>
      <c r="AF260" s="22">
        <f t="shared" si="546"/>
        <v>0</v>
      </c>
      <c r="AG260" s="24">
        <f t="shared" si="547"/>
        <v>0</v>
      </c>
      <c r="AH260" s="23">
        <f t="shared" si="547"/>
        <v>0</v>
      </c>
      <c r="AI260" s="22">
        <f t="shared" si="548"/>
        <v>0</v>
      </c>
      <c r="AJ260" s="24">
        <f t="shared" si="549"/>
        <v>0</v>
      </c>
      <c r="AK260" s="23">
        <f t="shared" si="549"/>
        <v>0</v>
      </c>
      <c r="AL260" s="22">
        <f t="shared" si="550"/>
        <v>0</v>
      </c>
      <c r="AM260" s="24">
        <f t="shared" si="551"/>
        <v>0</v>
      </c>
      <c r="AN260" s="23">
        <f t="shared" si="551"/>
        <v>0</v>
      </c>
      <c r="AO260" s="22">
        <f t="shared" si="552"/>
        <v>0</v>
      </c>
      <c r="AP260" s="24">
        <f t="shared" si="553"/>
        <v>0</v>
      </c>
      <c r="AQ260" s="23">
        <f t="shared" si="553"/>
        <v>0</v>
      </c>
      <c r="AR260" s="22">
        <f t="shared" si="554"/>
        <v>0</v>
      </c>
      <c r="AS260" s="24">
        <f t="shared" si="555"/>
        <v>0</v>
      </c>
      <c r="AT260" s="23">
        <f t="shared" si="555"/>
        <v>0</v>
      </c>
      <c r="AU260" s="22">
        <f t="shared" si="556"/>
        <v>0</v>
      </c>
      <c r="AV260" s="24">
        <f t="shared" si="557"/>
        <v>0</v>
      </c>
      <c r="AW260" s="23">
        <f t="shared" si="557"/>
        <v>0</v>
      </c>
      <c r="AX260" s="22">
        <f t="shared" si="558"/>
        <v>0</v>
      </c>
      <c r="AY260" s="23">
        <f t="shared" si="559"/>
        <v>0</v>
      </c>
      <c r="AZ260" s="23">
        <f t="shared" si="559"/>
        <v>0</v>
      </c>
      <c r="BA260" s="22">
        <f t="shared" si="560"/>
        <v>0</v>
      </c>
      <c r="BB260" s="24">
        <f t="shared" si="561"/>
        <v>0</v>
      </c>
      <c r="BC260" s="23">
        <f t="shared" si="561"/>
        <v>0</v>
      </c>
      <c r="BD260" s="22">
        <f t="shared" si="562"/>
        <v>0</v>
      </c>
      <c r="BE260" s="24">
        <f t="shared" si="527"/>
        <v>0</v>
      </c>
      <c r="BF260" s="24">
        <f t="shared" si="527"/>
        <v>0</v>
      </c>
      <c r="BG260" s="20">
        <f t="shared" ref="BG260" si="565">IF(BG196=0,0,BG27/BG196*30)</f>
        <v>0</v>
      </c>
    </row>
    <row r="261" spans="1:59" ht="13.5" hidden="1" customHeight="1" outlineLevel="1" x14ac:dyDescent="0.25">
      <c r="A261" s="28"/>
      <c r="B261" s="84" t="s">
        <v>51</v>
      </c>
      <c r="C261" s="75" t="s">
        <v>89</v>
      </c>
      <c r="D261" s="20">
        <f t="shared" si="529"/>
        <v>0</v>
      </c>
      <c r="E261" s="20">
        <f t="shared" si="529"/>
        <v>0</v>
      </c>
      <c r="F261" s="24">
        <f t="shared" si="529"/>
        <v>0</v>
      </c>
      <c r="G261" s="23">
        <f t="shared" si="529"/>
        <v>0</v>
      </c>
      <c r="H261" s="22">
        <f t="shared" si="530"/>
        <v>0</v>
      </c>
      <c r="I261" s="24">
        <f t="shared" si="531"/>
        <v>0</v>
      </c>
      <c r="J261" s="23">
        <f t="shared" si="531"/>
        <v>0</v>
      </c>
      <c r="K261" s="22">
        <f t="shared" si="532"/>
        <v>0</v>
      </c>
      <c r="L261" s="24">
        <f t="shared" si="533"/>
        <v>0</v>
      </c>
      <c r="M261" s="23">
        <f t="shared" si="533"/>
        <v>0</v>
      </c>
      <c r="N261" s="22">
        <f t="shared" si="534"/>
        <v>0</v>
      </c>
      <c r="O261" s="24">
        <f t="shared" si="535"/>
        <v>0</v>
      </c>
      <c r="P261" s="23">
        <f t="shared" si="535"/>
        <v>0</v>
      </c>
      <c r="Q261" s="22">
        <f t="shared" si="536"/>
        <v>0</v>
      </c>
      <c r="R261" s="24">
        <f t="shared" si="537"/>
        <v>0</v>
      </c>
      <c r="S261" s="23">
        <f t="shared" si="537"/>
        <v>0</v>
      </c>
      <c r="T261" s="22">
        <f t="shared" si="538"/>
        <v>0</v>
      </c>
      <c r="U261" s="24">
        <f t="shared" si="539"/>
        <v>0</v>
      </c>
      <c r="V261" s="23">
        <f t="shared" si="539"/>
        <v>0</v>
      </c>
      <c r="W261" s="22">
        <f t="shared" si="540"/>
        <v>0</v>
      </c>
      <c r="X261" s="24">
        <f t="shared" si="541"/>
        <v>0</v>
      </c>
      <c r="Y261" s="23">
        <f t="shared" si="541"/>
        <v>0</v>
      </c>
      <c r="Z261" s="22">
        <f t="shared" si="542"/>
        <v>0</v>
      </c>
      <c r="AA261" s="24">
        <f t="shared" si="543"/>
        <v>0</v>
      </c>
      <c r="AB261" s="23">
        <f t="shared" si="543"/>
        <v>0</v>
      </c>
      <c r="AC261" s="22">
        <f t="shared" si="544"/>
        <v>0</v>
      </c>
      <c r="AD261" s="24">
        <f t="shared" si="545"/>
        <v>0</v>
      </c>
      <c r="AE261" s="23">
        <f t="shared" si="545"/>
        <v>0</v>
      </c>
      <c r="AF261" s="22">
        <f t="shared" si="546"/>
        <v>0</v>
      </c>
      <c r="AG261" s="24">
        <f t="shared" si="547"/>
        <v>0</v>
      </c>
      <c r="AH261" s="23">
        <f t="shared" si="547"/>
        <v>0</v>
      </c>
      <c r="AI261" s="22">
        <f t="shared" si="548"/>
        <v>0</v>
      </c>
      <c r="AJ261" s="24">
        <f t="shared" si="549"/>
        <v>0</v>
      </c>
      <c r="AK261" s="23">
        <f t="shared" si="549"/>
        <v>0</v>
      </c>
      <c r="AL261" s="22">
        <f t="shared" si="550"/>
        <v>0</v>
      </c>
      <c r="AM261" s="24">
        <f t="shared" si="551"/>
        <v>0</v>
      </c>
      <c r="AN261" s="23">
        <f t="shared" si="551"/>
        <v>0</v>
      </c>
      <c r="AO261" s="22">
        <f t="shared" si="552"/>
        <v>0</v>
      </c>
      <c r="AP261" s="24">
        <f t="shared" si="553"/>
        <v>0</v>
      </c>
      <c r="AQ261" s="23">
        <f t="shared" si="553"/>
        <v>0</v>
      </c>
      <c r="AR261" s="22">
        <f t="shared" si="554"/>
        <v>0</v>
      </c>
      <c r="AS261" s="24">
        <f t="shared" si="555"/>
        <v>0</v>
      </c>
      <c r="AT261" s="23">
        <f t="shared" si="555"/>
        <v>0</v>
      </c>
      <c r="AU261" s="22">
        <f t="shared" si="556"/>
        <v>0</v>
      </c>
      <c r="AV261" s="24">
        <f t="shared" si="557"/>
        <v>0</v>
      </c>
      <c r="AW261" s="23">
        <f t="shared" si="557"/>
        <v>0</v>
      </c>
      <c r="AX261" s="22">
        <f t="shared" si="558"/>
        <v>0</v>
      </c>
      <c r="AY261" s="23">
        <f t="shared" si="559"/>
        <v>0</v>
      </c>
      <c r="AZ261" s="23">
        <f t="shared" si="559"/>
        <v>0</v>
      </c>
      <c r="BA261" s="22">
        <f t="shared" si="560"/>
        <v>0</v>
      </c>
      <c r="BB261" s="24">
        <f t="shared" si="561"/>
        <v>0</v>
      </c>
      <c r="BC261" s="23">
        <f t="shared" si="561"/>
        <v>0</v>
      </c>
      <c r="BD261" s="22">
        <f t="shared" si="562"/>
        <v>0</v>
      </c>
      <c r="BE261" s="24">
        <f t="shared" si="527"/>
        <v>0</v>
      </c>
      <c r="BF261" s="24">
        <f t="shared" si="527"/>
        <v>0</v>
      </c>
      <c r="BG261" s="20">
        <f t="shared" ref="BG261" si="566">IF(BG197=0,0,BG28/BG197*30)</f>
        <v>0</v>
      </c>
    </row>
    <row r="262" spans="1:59" ht="13.5" hidden="1" customHeight="1" outlineLevel="1" x14ac:dyDescent="0.25">
      <c r="A262" s="28"/>
      <c r="B262" s="84" t="s">
        <v>52</v>
      </c>
      <c r="C262" s="75" t="s">
        <v>89</v>
      </c>
      <c r="D262" s="20">
        <f t="shared" si="529"/>
        <v>0</v>
      </c>
      <c r="E262" s="20">
        <f t="shared" si="529"/>
        <v>0</v>
      </c>
      <c r="F262" s="24">
        <f t="shared" si="529"/>
        <v>0</v>
      </c>
      <c r="G262" s="23">
        <f t="shared" si="529"/>
        <v>0</v>
      </c>
      <c r="H262" s="22">
        <f t="shared" si="530"/>
        <v>0</v>
      </c>
      <c r="I262" s="24">
        <f t="shared" si="531"/>
        <v>0</v>
      </c>
      <c r="J262" s="23">
        <f t="shared" si="531"/>
        <v>0</v>
      </c>
      <c r="K262" s="22">
        <f t="shared" si="532"/>
        <v>0</v>
      </c>
      <c r="L262" s="24">
        <f t="shared" si="533"/>
        <v>0</v>
      </c>
      <c r="M262" s="23">
        <f t="shared" si="533"/>
        <v>0</v>
      </c>
      <c r="N262" s="22">
        <f t="shared" si="534"/>
        <v>0</v>
      </c>
      <c r="O262" s="24">
        <f t="shared" si="535"/>
        <v>0</v>
      </c>
      <c r="P262" s="23">
        <f t="shared" si="535"/>
        <v>0</v>
      </c>
      <c r="Q262" s="22">
        <f t="shared" si="536"/>
        <v>0</v>
      </c>
      <c r="R262" s="24">
        <f t="shared" si="537"/>
        <v>0</v>
      </c>
      <c r="S262" s="23">
        <f t="shared" si="537"/>
        <v>0</v>
      </c>
      <c r="T262" s="22">
        <f t="shared" si="538"/>
        <v>0</v>
      </c>
      <c r="U262" s="24">
        <f t="shared" si="539"/>
        <v>0</v>
      </c>
      <c r="V262" s="23">
        <f t="shared" si="539"/>
        <v>0</v>
      </c>
      <c r="W262" s="22">
        <f t="shared" si="540"/>
        <v>0</v>
      </c>
      <c r="X262" s="24">
        <f t="shared" si="541"/>
        <v>0</v>
      </c>
      <c r="Y262" s="23">
        <f t="shared" si="541"/>
        <v>0</v>
      </c>
      <c r="Z262" s="22">
        <f t="shared" si="542"/>
        <v>0</v>
      </c>
      <c r="AA262" s="24">
        <f t="shared" si="543"/>
        <v>0</v>
      </c>
      <c r="AB262" s="23">
        <f t="shared" si="543"/>
        <v>0</v>
      </c>
      <c r="AC262" s="22">
        <f t="shared" si="544"/>
        <v>0</v>
      </c>
      <c r="AD262" s="24">
        <f t="shared" si="545"/>
        <v>0</v>
      </c>
      <c r="AE262" s="23">
        <f t="shared" si="545"/>
        <v>0</v>
      </c>
      <c r="AF262" s="22">
        <f t="shared" si="546"/>
        <v>0</v>
      </c>
      <c r="AG262" s="24">
        <f t="shared" si="547"/>
        <v>0</v>
      </c>
      <c r="AH262" s="23">
        <f t="shared" si="547"/>
        <v>0</v>
      </c>
      <c r="AI262" s="22">
        <f t="shared" si="548"/>
        <v>0</v>
      </c>
      <c r="AJ262" s="24">
        <f t="shared" si="549"/>
        <v>0</v>
      </c>
      <c r="AK262" s="23">
        <f t="shared" si="549"/>
        <v>0</v>
      </c>
      <c r="AL262" s="22">
        <f t="shared" si="550"/>
        <v>0</v>
      </c>
      <c r="AM262" s="24">
        <f t="shared" si="551"/>
        <v>0</v>
      </c>
      <c r="AN262" s="23">
        <f t="shared" si="551"/>
        <v>0</v>
      </c>
      <c r="AO262" s="22">
        <f t="shared" si="552"/>
        <v>0</v>
      </c>
      <c r="AP262" s="24">
        <f t="shared" si="553"/>
        <v>0</v>
      </c>
      <c r="AQ262" s="23">
        <f t="shared" si="553"/>
        <v>0</v>
      </c>
      <c r="AR262" s="22">
        <f t="shared" si="554"/>
        <v>0</v>
      </c>
      <c r="AS262" s="24">
        <f t="shared" si="555"/>
        <v>0</v>
      </c>
      <c r="AT262" s="23">
        <f t="shared" si="555"/>
        <v>0</v>
      </c>
      <c r="AU262" s="22">
        <f t="shared" si="556"/>
        <v>0</v>
      </c>
      <c r="AV262" s="24">
        <f t="shared" si="557"/>
        <v>0</v>
      </c>
      <c r="AW262" s="23">
        <f t="shared" si="557"/>
        <v>0</v>
      </c>
      <c r="AX262" s="22">
        <f t="shared" si="558"/>
        <v>0</v>
      </c>
      <c r="AY262" s="23">
        <f t="shared" si="559"/>
        <v>0</v>
      </c>
      <c r="AZ262" s="23">
        <f t="shared" si="559"/>
        <v>0</v>
      </c>
      <c r="BA262" s="22">
        <f t="shared" si="560"/>
        <v>0</v>
      </c>
      <c r="BB262" s="24">
        <f t="shared" si="561"/>
        <v>0</v>
      </c>
      <c r="BC262" s="23">
        <f t="shared" si="561"/>
        <v>0</v>
      </c>
      <c r="BD262" s="22">
        <f t="shared" si="562"/>
        <v>0</v>
      </c>
      <c r="BE262" s="24">
        <f t="shared" si="527"/>
        <v>0</v>
      </c>
      <c r="BF262" s="24">
        <f t="shared" si="527"/>
        <v>0</v>
      </c>
      <c r="BG262" s="20">
        <f t="shared" ref="BG262" si="567">IF(BG198=0,0,BG29/BG198*30)</f>
        <v>0</v>
      </c>
    </row>
    <row r="263" spans="1:59" ht="13.5" hidden="1" customHeight="1" outlineLevel="1" x14ac:dyDescent="0.25">
      <c r="A263" s="28"/>
      <c r="B263" s="84" t="s">
        <v>53</v>
      </c>
      <c r="C263" s="75" t="s">
        <v>89</v>
      </c>
      <c r="D263" s="20">
        <f t="shared" si="529"/>
        <v>0</v>
      </c>
      <c r="E263" s="20">
        <f t="shared" si="529"/>
        <v>0</v>
      </c>
      <c r="F263" s="24">
        <f t="shared" si="529"/>
        <v>0</v>
      </c>
      <c r="G263" s="23">
        <f t="shared" si="529"/>
        <v>0</v>
      </c>
      <c r="H263" s="22">
        <f t="shared" si="530"/>
        <v>0</v>
      </c>
      <c r="I263" s="24">
        <f t="shared" si="531"/>
        <v>0</v>
      </c>
      <c r="J263" s="23">
        <f t="shared" si="531"/>
        <v>0</v>
      </c>
      <c r="K263" s="22">
        <f t="shared" si="532"/>
        <v>0</v>
      </c>
      <c r="L263" s="24">
        <f t="shared" si="533"/>
        <v>0</v>
      </c>
      <c r="M263" s="23">
        <f t="shared" si="533"/>
        <v>0</v>
      </c>
      <c r="N263" s="22">
        <f t="shared" si="534"/>
        <v>0</v>
      </c>
      <c r="O263" s="24">
        <f t="shared" si="535"/>
        <v>0</v>
      </c>
      <c r="P263" s="23">
        <f t="shared" si="535"/>
        <v>0</v>
      </c>
      <c r="Q263" s="22">
        <f t="shared" si="536"/>
        <v>0</v>
      </c>
      <c r="R263" s="24">
        <f t="shared" si="537"/>
        <v>0</v>
      </c>
      <c r="S263" s="23">
        <f t="shared" si="537"/>
        <v>0</v>
      </c>
      <c r="T263" s="22">
        <f t="shared" si="538"/>
        <v>0</v>
      </c>
      <c r="U263" s="24">
        <f t="shared" si="539"/>
        <v>0</v>
      </c>
      <c r="V263" s="23">
        <f t="shared" si="539"/>
        <v>0</v>
      </c>
      <c r="W263" s="22">
        <f t="shared" si="540"/>
        <v>0</v>
      </c>
      <c r="X263" s="24">
        <f t="shared" si="541"/>
        <v>0</v>
      </c>
      <c r="Y263" s="23">
        <f t="shared" si="541"/>
        <v>0</v>
      </c>
      <c r="Z263" s="22">
        <f t="shared" si="542"/>
        <v>0</v>
      </c>
      <c r="AA263" s="24">
        <f t="shared" si="543"/>
        <v>0</v>
      </c>
      <c r="AB263" s="23">
        <f t="shared" si="543"/>
        <v>0</v>
      </c>
      <c r="AC263" s="22">
        <f t="shared" si="544"/>
        <v>0</v>
      </c>
      <c r="AD263" s="24">
        <f t="shared" si="545"/>
        <v>0</v>
      </c>
      <c r="AE263" s="23">
        <f t="shared" si="545"/>
        <v>0</v>
      </c>
      <c r="AF263" s="22">
        <f t="shared" si="546"/>
        <v>0</v>
      </c>
      <c r="AG263" s="24">
        <f t="shared" si="547"/>
        <v>0</v>
      </c>
      <c r="AH263" s="23">
        <f t="shared" si="547"/>
        <v>0</v>
      </c>
      <c r="AI263" s="22">
        <f t="shared" si="548"/>
        <v>0</v>
      </c>
      <c r="AJ263" s="24">
        <f t="shared" si="549"/>
        <v>0</v>
      </c>
      <c r="AK263" s="23">
        <f t="shared" si="549"/>
        <v>0</v>
      </c>
      <c r="AL263" s="22">
        <f t="shared" si="550"/>
        <v>0</v>
      </c>
      <c r="AM263" s="24">
        <f t="shared" si="551"/>
        <v>0</v>
      </c>
      <c r="AN263" s="23">
        <f t="shared" si="551"/>
        <v>0</v>
      </c>
      <c r="AO263" s="22">
        <f t="shared" si="552"/>
        <v>0</v>
      </c>
      <c r="AP263" s="24">
        <f t="shared" si="553"/>
        <v>0</v>
      </c>
      <c r="AQ263" s="23">
        <f t="shared" si="553"/>
        <v>0</v>
      </c>
      <c r="AR263" s="22">
        <f t="shared" si="554"/>
        <v>0</v>
      </c>
      <c r="AS263" s="24">
        <f t="shared" si="555"/>
        <v>0</v>
      </c>
      <c r="AT263" s="23">
        <f t="shared" si="555"/>
        <v>0</v>
      </c>
      <c r="AU263" s="22">
        <f t="shared" si="556"/>
        <v>0</v>
      </c>
      <c r="AV263" s="24">
        <f t="shared" si="557"/>
        <v>0</v>
      </c>
      <c r="AW263" s="23">
        <f t="shared" si="557"/>
        <v>0</v>
      </c>
      <c r="AX263" s="22">
        <f t="shared" si="558"/>
        <v>0</v>
      </c>
      <c r="AY263" s="23">
        <f t="shared" si="559"/>
        <v>0</v>
      </c>
      <c r="AZ263" s="23">
        <f t="shared" si="559"/>
        <v>0</v>
      </c>
      <c r="BA263" s="22">
        <f t="shared" si="560"/>
        <v>0</v>
      </c>
      <c r="BB263" s="24">
        <f t="shared" si="561"/>
        <v>0</v>
      </c>
      <c r="BC263" s="23">
        <f t="shared" si="561"/>
        <v>0</v>
      </c>
      <c r="BD263" s="22">
        <f t="shared" si="562"/>
        <v>0</v>
      </c>
      <c r="BE263" s="24">
        <f t="shared" si="527"/>
        <v>0</v>
      </c>
      <c r="BF263" s="24">
        <f t="shared" si="527"/>
        <v>0</v>
      </c>
      <c r="BG263" s="20">
        <f t="shared" ref="BG263" si="568">IF(BG199=0,0,BG30/BG199*30)</f>
        <v>0</v>
      </c>
    </row>
    <row r="264" spans="1:59" ht="13.5" hidden="1" customHeight="1" outlineLevel="1" x14ac:dyDescent="0.25">
      <c r="A264" s="28"/>
      <c r="B264" s="84" t="s">
        <v>54</v>
      </c>
      <c r="C264" s="75" t="s">
        <v>89</v>
      </c>
      <c r="D264" s="20">
        <f t="shared" si="529"/>
        <v>0</v>
      </c>
      <c r="E264" s="20">
        <f t="shared" si="529"/>
        <v>0</v>
      </c>
      <c r="F264" s="24">
        <f t="shared" si="529"/>
        <v>0</v>
      </c>
      <c r="G264" s="23">
        <f t="shared" si="529"/>
        <v>0</v>
      </c>
      <c r="H264" s="22">
        <f t="shared" si="530"/>
        <v>0</v>
      </c>
      <c r="I264" s="24">
        <f t="shared" si="531"/>
        <v>0</v>
      </c>
      <c r="J264" s="23">
        <f t="shared" si="531"/>
        <v>0</v>
      </c>
      <c r="K264" s="22">
        <f t="shared" si="532"/>
        <v>0</v>
      </c>
      <c r="L264" s="24">
        <f t="shared" si="533"/>
        <v>0</v>
      </c>
      <c r="M264" s="23">
        <f t="shared" si="533"/>
        <v>0</v>
      </c>
      <c r="N264" s="22">
        <f t="shared" si="534"/>
        <v>0</v>
      </c>
      <c r="O264" s="24">
        <f t="shared" si="535"/>
        <v>0</v>
      </c>
      <c r="P264" s="23">
        <f t="shared" si="535"/>
        <v>0</v>
      </c>
      <c r="Q264" s="22">
        <f t="shared" si="536"/>
        <v>0</v>
      </c>
      <c r="R264" s="24">
        <f t="shared" si="537"/>
        <v>0</v>
      </c>
      <c r="S264" s="23">
        <f t="shared" si="537"/>
        <v>0</v>
      </c>
      <c r="T264" s="22">
        <f t="shared" si="538"/>
        <v>0</v>
      </c>
      <c r="U264" s="24">
        <f t="shared" si="539"/>
        <v>0</v>
      </c>
      <c r="V264" s="23">
        <f t="shared" si="539"/>
        <v>0</v>
      </c>
      <c r="W264" s="22">
        <f t="shared" si="540"/>
        <v>0</v>
      </c>
      <c r="X264" s="24">
        <f t="shared" si="541"/>
        <v>0</v>
      </c>
      <c r="Y264" s="23">
        <f t="shared" si="541"/>
        <v>0</v>
      </c>
      <c r="Z264" s="22">
        <f t="shared" si="542"/>
        <v>0</v>
      </c>
      <c r="AA264" s="24">
        <f t="shared" si="543"/>
        <v>0</v>
      </c>
      <c r="AB264" s="23">
        <f t="shared" si="543"/>
        <v>0</v>
      </c>
      <c r="AC264" s="22">
        <f t="shared" si="544"/>
        <v>0</v>
      </c>
      <c r="AD264" s="24">
        <f t="shared" si="545"/>
        <v>0</v>
      </c>
      <c r="AE264" s="23">
        <f t="shared" si="545"/>
        <v>0</v>
      </c>
      <c r="AF264" s="22">
        <f t="shared" si="546"/>
        <v>0</v>
      </c>
      <c r="AG264" s="24">
        <f t="shared" si="547"/>
        <v>0</v>
      </c>
      <c r="AH264" s="23">
        <f t="shared" si="547"/>
        <v>0</v>
      </c>
      <c r="AI264" s="22">
        <f t="shared" si="548"/>
        <v>0</v>
      </c>
      <c r="AJ264" s="24">
        <f t="shared" si="549"/>
        <v>0</v>
      </c>
      <c r="AK264" s="23">
        <f t="shared" si="549"/>
        <v>0</v>
      </c>
      <c r="AL264" s="22">
        <f t="shared" si="550"/>
        <v>0</v>
      </c>
      <c r="AM264" s="24">
        <f t="shared" si="551"/>
        <v>0</v>
      </c>
      <c r="AN264" s="23">
        <f t="shared" si="551"/>
        <v>0</v>
      </c>
      <c r="AO264" s="22">
        <f t="shared" si="552"/>
        <v>0</v>
      </c>
      <c r="AP264" s="24">
        <f t="shared" si="553"/>
        <v>0</v>
      </c>
      <c r="AQ264" s="23">
        <f t="shared" si="553"/>
        <v>0</v>
      </c>
      <c r="AR264" s="22">
        <f t="shared" si="554"/>
        <v>0</v>
      </c>
      <c r="AS264" s="24">
        <f t="shared" si="555"/>
        <v>0</v>
      </c>
      <c r="AT264" s="23">
        <f t="shared" si="555"/>
        <v>0</v>
      </c>
      <c r="AU264" s="22">
        <f t="shared" si="556"/>
        <v>0</v>
      </c>
      <c r="AV264" s="24">
        <f t="shared" si="557"/>
        <v>0</v>
      </c>
      <c r="AW264" s="23">
        <f t="shared" si="557"/>
        <v>0</v>
      </c>
      <c r="AX264" s="22">
        <f t="shared" si="558"/>
        <v>0</v>
      </c>
      <c r="AY264" s="23">
        <f t="shared" si="559"/>
        <v>0</v>
      </c>
      <c r="AZ264" s="23">
        <f t="shared" si="559"/>
        <v>0</v>
      </c>
      <c r="BA264" s="22">
        <f t="shared" si="560"/>
        <v>0</v>
      </c>
      <c r="BB264" s="24">
        <f t="shared" si="561"/>
        <v>0</v>
      </c>
      <c r="BC264" s="23">
        <f t="shared" si="561"/>
        <v>0</v>
      </c>
      <c r="BD264" s="22">
        <f t="shared" si="562"/>
        <v>0</v>
      </c>
      <c r="BE264" s="24">
        <f t="shared" si="527"/>
        <v>0</v>
      </c>
      <c r="BF264" s="24">
        <f t="shared" si="527"/>
        <v>0</v>
      </c>
      <c r="BG264" s="20">
        <f t="shared" ref="BG264" si="569">IF(BG200=0,0,BG31/BG200*30)</f>
        <v>0</v>
      </c>
    </row>
    <row r="265" spans="1:59" ht="13.5" hidden="1" customHeight="1" outlineLevel="1" x14ac:dyDescent="0.25">
      <c r="A265" s="82"/>
      <c r="B265" s="84" t="s">
        <v>55</v>
      </c>
      <c r="C265" s="74" t="s">
        <v>89</v>
      </c>
      <c r="D265" s="168">
        <f t="shared" si="529"/>
        <v>0</v>
      </c>
      <c r="E265" s="168">
        <f t="shared" si="529"/>
        <v>0</v>
      </c>
      <c r="F265" s="171">
        <f t="shared" si="529"/>
        <v>0</v>
      </c>
      <c r="G265" s="169">
        <f t="shared" si="529"/>
        <v>0</v>
      </c>
      <c r="H265" s="170">
        <f t="shared" si="530"/>
        <v>0</v>
      </c>
      <c r="I265" s="171">
        <f t="shared" si="531"/>
        <v>0</v>
      </c>
      <c r="J265" s="169">
        <f t="shared" si="531"/>
        <v>0</v>
      </c>
      <c r="K265" s="170">
        <f t="shared" si="532"/>
        <v>0</v>
      </c>
      <c r="L265" s="171">
        <f t="shared" si="533"/>
        <v>0</v>
      </c>
      <c r="M265" s="169">
        <f t="shared" si="533"/>
        <v>0</v>
      </c>
      <c r="N265" s="170">
        <f t="shared" si="534"/>
        <v>0</v>
      </c>
      <c r="O265" s="171">
        <f t="shared" si="535"/>
        <v>0</v>
      </c>
      <c r="P265" s="169">
        <f t="shared" si="535"/>
        <v>0</v>
      </c>
      <c r="Q265" s="170">
        <f t="shared" si="536"/>
        <v>0</v>
      </c>
      <c r="R265" s="171">
        <f t="shared" si="537"/>
        <v>0</v>
      </c>
      <c r="S265" s="169">
        <f t="shared" si="537"/>
        <v>0</v>
      </c>
      <c r="T265" s="170">
        <f t="shared" si="538"/>
        <v>0</v>
      </c>
      <c r="U265" s="171">
        <f t="shared" si="539"/>
        <v>0</v>
      </c>
      <c r="V265" s="169">
        <f t="shared" si="539"/>
        <v>0</v>
      </c>
      <c r="W265" s="170">
        <f t="shared" si="540"/>
        <v>0</v>
      </c>
      <c r="X265" s="171">
        <f t="shared" si="541"/>
        <v>0</v>
      </c>
      <c r="Y265" s="169">
        <f t="shared" si="541"/>
        <v>0</v>
      </c>
      <c r="Z265" s="170">
        <f t="shared" si="542"/>
        <v>0</v>
      </c>
      <c r="AA265" s="171">
        <f t="shared" si="543"/>
        <v>0</v>
      </c>
      <c r="AB265" s="169">
        <f t="shared" si="543"/>
        <v>0</v>
      </c>
      <c r="AC265" s="170">
        <f t="shared" si="544"/>
        <v>0</v>
      </c>
      <c r="AD265" s="171">
        <f t="shared" si="545"/>
        <v>0</v>
      </c>
      <c r="AE265" s="169">
        <f t="shared" si="545"/>
        <v>0</v>
      </c>
      <c r="AF265" s="170">
        <f t="shared" si="546"/>
        <v>0</v>
      </c>
      <c r="AG265" s="171">
        <f t="shared" si="547"/>
        <v>0</v>
      </c>
      <c r="AH265" s="169">
        <f t="shared" si="547"/>
        <v>0</v>
      </c>
      <c r="AI265" s="170">
        <f t="shared" si="548"/>
        <v>0</v>
      </c>
      <c r="AJ265" s="171">
        <f t="shared" si="549"/>
        <v>0</v>
      </c>
      <c r="AK265" s="169">
        <f t="shared" si="549"/>
        <v>0</v>
      </c>
      <c r="AL265" s="170">
        <f t="shared" si="550"/>
        <v>0</v>
      </c>
      <c r="AM265" s="171">
        <f t="shared" si="551"/>
        <v>0</v>
      </c>
      <c r="AN265" s="169">
        <f t="shared" si="551"/>
        <v>0</v>
      </c>
      <c r="AO265" s="170">
        <f t="shared" si="552"/>
        <v>0</v>
      </c>
      <c r="AP265" s="171">
        <f t="shared" si="553"/>
        <v>0</v>
      </c>
      <c r="AQ265" s="169">
        <f t="shared" si="553"/>
        <v>0</v>
      </c>
      <c r="AR265" s="170">
        <f t="shared" si="554"/>
        <v>0</v>
      </c>
      <c r="AS265" s="171">
        <f t="shared" si="555"/>
        <v>0</v>
      </c>
      <c r="AT265" s="169">
        <f t="shared" si="555"/>
        <v>0</v>
      </c>
      <c r="AU265" s="170">
        <f t="shared" si="556"/>
        <v>0</v>
      </c>
      <c r="AV265" s="171">
        <f t="shared" si="557"/>
        <v>0</v>
      </c>
      <c r="AW265" s="169">
        <f t="shared" si="557"/>
        <v>0</v>
      </c>
      <c r="AX265" s="170">
        <f t="shared" si="558"/>
        <v>0</v>
      </c>
      <c r="AY265" s="169">
        <f t="shared" si="559"/>
        <v>0</v>
      </c>
      <c r="AZ265" s="169">
        <f t="shared" si="559"/>
        <v>0</v>
      </c>
      <c r="BA265" s="170">
        <f t="shared" si="560"/>
        <v>0</v>
      </c>
      <c r="BB265" s="171">
        <f t="shared" si="561"/>
        <v>0</v>
      </c>
      <c r="BC265" s="169">
        <f t="shared" si="561"/>
        <v>0</v>
      </c>
      <c r="BD265" s="170">
        <f t="shared" si="562"/>
        <v>0</v>
      </c>
      <c r="BE265" s="171">
        <f t="shared" si="527"/>
        <v>0</v>
      </c>
      <c r="BF265" s="171">
        <f t="shared" si="527"/>
        <v>0</v>
      </c>
      <c r="BG265" s="168">
        <f t="shared" ref="BG265" si="570">IF(BG201=0,0,BG32/BG201*30)</f>
        <v>0</v>
      </c>
    </row>
    <row r="266" spans="1:59" ht="13.5" hidden="1" customHeight="1" outlineLevel="1" x14ac:dyDescent="0.25">
      <c r="A266" s="82"/>
      <c r="B266" s="99" t="s">
        <v>56</v>
      </c>
      <c r="C266" s="74" t="s">
        <v>89</v>
      </c>
      <c r="D266" s="168">
        <f t="shared" si="529"/>
        <v>0</v>
      </c>
      <c r="E266" s="168">
        <f t="shared" si="529"/>
        <v>0</v>
      </c>
      <c r="F266" s="171">
        <f t="shared" si="529"/>
        <v>0</v>
      </c>
      <c r="G266" s="169">
        <f t="shared" si="529"/>
        <v>0</v>
      </c>
      <c r="H266" s="170">
        <f t="shared" si="530"/>
        <v>0</v>
      </c>
      <c r="I266" s="171">
        <f t="shared" si="531"/>
        <v>0</v>
      </c>
      <c r="J266" s="169">
        <f t="shared" si="531"/>
        <v>0</v>
      </c>
      <c r="K266" s="170">
        <f t="shared" si="532"/>
        <v>0</v>
      </c>
      <c r="L266" s="171">
        <f t="shared" si="533"/>
        <v>0</v>
      </c>
      <c r="M266" s="169">
        <f t="shared" si="533"/>
        <v>0</v>
      </c>
      <c r="N266" s="170">
        <f t="shared" si="534"/>
        <v>0</v>
      </c>
      <c r="O266" s="171">
        <f t="shared" si="535"/>
        <v>0</v>
      </c>
      <c r="P266" s="169">
        <f t="shared" si="535"/>
        <v>0</v>
      </c>
      <c r="Q266" s="170">
        <f t="shared" si="536"/>
        <v>0</v>
      </c>
      <c r="R266" s="171">
        <f t="shared" si="537"/>
        <v>0</v>
      </c>
      <c r="S266" s="169">
        <f t="shared" si="537"/>
        <v>0</v>
      </c>
      <c r="T266" s="170">
        <f t="shared" si="538"/>
        <v>0</v>
      </c>
      <c r="U266" s="171">
        <f t="shared" si="539"/>
        <v>0</v>
      </c>
      <c r="V266" s="169">
        <f t="shared" si="539"/>
        <v>0</v>
      </c>
      <c r="W266" s="170">
        <f t="shared" si="540"/>
        <v>0</v>
      </c>
      <c r="X266" s="171">
        <f t="shared" si="541"/>
        <v>0</v>
      </c>
      <c r="Y266" s="169">
        <f t="shared" si="541"/>
        <v>0</v>
      </c>
      <c r="Z266" s="170">
        <f t="shared" si="542"/>
        <v>0</v>
      </c>
      <c r="AA266" s="171">
        <f t="shared" si="543"/>
        <v>0</v>
      </c>
      <c r="AB266" s="169">
        <f t="shared" si="543"/>
        <v>0</v>
      </c>
      <c r="AC266" s="170">
        <f t="shared" si="544"/>
        <v>0</v>
      </c>
      <c r="AD266" s="171">
        <f t="shared" si="545"/>
        <v>0</v>
      </c>
      <c r="AE266" s="169">
        <f t="shared" si="545"/>
        <v>0</v>
      </c>
      <c r="AF266" s="170">
        <f t="shared" si="546"/>
        <v>0</v>
      </c>
      <c r="AG266" s="171">
        <f t="shared" si="547"/>
        <v>0</v>
      </c>
      <c r="AH266" s="169">
        <f t="shared" si="547"/>
        <v>0</v>
      </c>
      <c r="AI266" s="170">
        <f t="shared" si="548"/>
        <v>0</v>
      </c>
      <c r="AJ266" s="171">
        <f t="shared" si="549"/>
        <v>0</v>
      </c>
      <c r="AK266" s="169">
        <f t="shared" si="549"/>
        <v>0</v>
      </c>
      <c r="AL266" s="170">
        <f t="shared" si="550"/>
        <v>0</v>
      </c>
      <c r="AM266" s="171">
        <f t="shared" si="551"/>
        <v>0</v>
      </c>
      <c r="AN266" s="169">
        <f t="shared" si="551"/>
        <v>0</v>
      </c>
      <c r="AO266" s="170">
        <f t="shared" si="552"/>
        <v>0</v>
      </c>
      <c r="AP266" s="171">
        <f t="shared" si="553"/>
        <v>0</v>
      </c>
      <c r="AQ266" s="169">
        <f t="shared" si="553"/>
        <v>0</v>
      </c>
      <c r="AR266" s="170">
        <f t="shared" si="554"/>
        <v>0</v>
      </c>
      <c r="AS266" s="171">
        <f t="shared" si="555"/>
        <v>0</v>
      </c>
      <c r="AT266" s="169">
        <f t="shared" si="555"/>
        <v>0</v>
      </c>
      <c r="AU266" s="170">
        <f t="shared" si="556"/>
        <v>0</v>
      </c>
      <c r="AV266" s="171">
        <f t="shared" si="557"/>
        <v>0</v>
      </c>
      <c r="AW266" s="169">
        <f t="shared" si="557"/>
        <v>0</v>
      </c>
      <c r="AX266" s="170">
        <f t="shared" si="558"/>
        <v>0</v>
      </c>
      <c r="AY266" s="169">
        <f t="shared" si="559"/>
        <v>0</v>
      </c>
      <c r="AZ266" s="169">
        <f t="shared" si="559"/>
        <v>0</v>
      </c>
      <c r="BA266" s="170">
        <f t="shared" si="560"/>
        <v>0</v>
      </c>
      <c r="BB266" s="171">
        <f t="shared" si="561"/>
        <v>0</v>
      </c>
      <c r="BC266" s="169">
        <f t="shared" si="561"/>
        <v>0</v>
      </c>
      <c r="BD266" s="170">
        <f t="shared" si="562"/>
        <v>0</v>
      </c>
      <c r="BE266" s="171">
        <f t="shared" si="527"/>
        <v>0</v>
      </c>
      <c r="BF266" s="171">
        <f t="shared" si="527"/>
        <v>0</v>
      </c>
      <c r="BG266" s="168">
        <f t="shared" ref="BG266" si="571">IF(BG202=0,0,BG33/BG202*30)</f>
        <v>0</v>
      </c>
    </row>
    <row r="267" spans="1:59" ht="13.5" hidden="1" customHeight="1" outlineLevel="1" x14ac:dyDescent="0.25">
      <c r="A267" s="82"/>
      <c r="B267" s="84" t="s">
        <v>57</v>
      </c>
      <c r="C267" s="74" t="s">
        <v>89</v>
      </c>
      <c r="D267" s="168">
        <f t="shared" si="529"/>
        <v>0</v>
      </c>
      <c r="E267" s="168">
        <f t="shared" si="529"/>
        <v>0</v>
      </c>
      <c r="F267" s="171">
        <f t="shared" si="529"/>
        <v>0</v>
      </c>
      <c r="G267" s="169">
        <f t="shared" si="529"/>
        <v>0</v>
      </c>
      <c r="H267" s="170">
        <f t="shared" si="530"/>
        <v>0</v>
      </c>
      <c r="I267" s="171">
        <f t="shared" si="531"/>
        <v>0</v>
      </c>
      <c r="J267" s="169">
        <f t="shared" si="531"/>
        <v>0</v>
      </c>
      <c r="K267" s="170">
        <f t="shared" si="532"/>
        <v>0</v>
      </c>
      <c r="L267" s="171">
        <f t="shared" si="533"/>
        <v>0</v>
      </c>
      <c r="M267" s="169">
        <f t="shared" si="533"/>
        <v>0</v>
      </c>
      <c r="N267" s="170">
        <f t="shared" si="534"/>
        <v>0</v>
      </c>
      <c r="O267" s="171">
        <f t="shared" si="535"/>
        <v>0</v>
      </c>
      <c r="P267" s="169">
        <f t="shared" si="535"/>
        <v>0</v>
      </c>
      <c r="Q267" s="170">
        <f t="shared" si="536"/>
        <v>0</v>
      </c>
      <c r="R267" s="171">
        <f t="shared" si="537"/>
        <v>0</v>
      </c>
      <c r="S267" s="169">
        <f t="shared" si="537"/>
        <v>0</v>
      </c>
      <c r="T267" s="170">
        <f t="shared" si="538"/>
        <v>0</v>
      </c>
      <c r="U267" s="171">
        <f t="shared" si="539"/>
        <v>0</v>
      </c>
      <c r="V267" s="169">
        <f t="shared" si="539"/>
        <v>0</v>
      </c>
      <c r="W267" s="170">
        <f t="shared" si="540"/>
        <v>0</v>
      </c>
      <c r="X267" s="171">
        <f t="shared" si="541"/>
        <v>0</v>
      </c>
      <c r="Y267" s="169">
        <f t="shared" si="541"/>
        <v>0</v>
      </c>
      <c r="Z267" s="170">
        <f t="shared" si="542"/>
        <v>0</v>
      </c>
      <c r="AA267" s="171">
        <f t="shared" si="543"/>
        <v>0</v>
      </c>
      <c r="AB267" s="169">
        <f t="shared" si="543"/>
        <v>0</v>
      </c>
      <c r="AC267" s="170">
        <f t="shared" si="544"/>
        <v>0</v>
      </c>
      <c r="AD267" s="171">
        <f t="shared" si="545"/>
        <v>0</v>
      </c>
      <c r="AE267" s="169">
        <f t="shared" si="545"/>
        <v>0</v>
      </c>
      <c r="AF267" s="170">
        <f t="shared" si="546"/>
        <v>0</v>
      </c>
      <c r="AG267" s="171">
        <f t="shared" si="547"/>
        <v>0</v>
      </c>
      <c r="AH267" s="169">
        <f t="shared" si="547"/>
        <v>0</v>
      </c>
      <c r="AI267" s="170">
        <f t="shared" si="548"/>
        <v>0</v>
      </c>
      <c r="AJ267" s="171">
        <f t="shared" si="549"/>
        <v>0</v>
      </c>
      <c r="AK267" s="169">
        <f t="shared" si="549"/>
        <v>0</v>
      </c>
      <c r="AL267" s="170">
        <f t="shared" si="550"/>
        <v>0</v>
      </c>
      <c r="AM267" s="171">
        <f t="shared" si="551"/>
        <v>0</v>
      </c>
      <c r="AN267" s="169">
        <f t="shared" si="551"/>
        <v>0</v>
      </c>
      <c r="AO267" s="170">
        <f t="shared" si="552"/>
        <v>0</v>
      </c>
      <c r="AP267" s="171">
        <f t="shared" si="553"/>
        <v>0</v>
      </c>
      <c r="AQ267" s="169">
        <f t="shared" si="553"/>
        <v>0</v>
      </c>
      <c r="AR267" s="170">
        <f t="shared" si="554"/>
        <v>0</v>
      </c>
      <c r="AS267" s="171">
        <f t="shared" si="555"/>
        <v>0</v>
      </c>
      <c r="AT267" s="169">
        <f t="shared" si="555"/>
        <v>0</v>
      </c>
      <c r="AU267" s="170">
        <f t="shared" si="556"/>
        <v>0</v>
      </c>
      <c r="AV267" s="171">
        <f t="shared" si="557"/>
        <v>0</v>
      </c>
      <c r="AW267" s="169">
        <f t="shared" si="557"/>
        <v>0</v>
      </c>
      <c r="AX267" s="170">
        <f t="shared" si="558"/>
        <v>0</v>
      </c>
      <c r="AY267" s="169">
        <f t="shared" si="559"/>
        <v>0</v>
      </c>
      <c r="AZ267" s="169">
        <f t="shared" si="559"/>
        <v>0</v>
      </c>
      <c r="BA267" s="170">
        <f t="shared" si="560"/>
        <v>0</v>
      </c>
      <c r="BB267" s="171">
        <f t="shared" si="561"/>
        <v>0</v>
      </c>
      <c r="BC267" s="169">
        <f t="shared" si="561"/>
        <v>0</v>
      </c>
      <c r="BD267" s="170">
        <f t="shared" si="562"/>
        <v>0</v>
      </c>
      <c r="BE267" s="171">
        <f t="shared" si="527"/>
        <v>0</v>
      </c>
      <c r="BF267" s="171">
        <f t="shared" si="527"/>
        <v>0</v>
      </c>
      <c r="BG267" s="168">
        <f t="shared" ref="BG267" si="572">IF(BG203=0,0,BG34/BG203*30)</f>
        <v>0</v>
      </c>
    </row>
    <row r="268" spans="1:59" ht="13.5" hidden="1" customHeight="1" outlineLevel="1" x14ac:dyDescent="0.25">
      <c r="A268" s="82"/>
      <c r="B268" s="99" t="s">
        <v>58</v>
      </c>
      <c r="C268" s="74" t="s">
        <v>89</v>
      </c>
      <c r="D268" s="168">
        <f t="shared" si="529"/>
        <v>0</v>
      </c>
      <c r="E268" s="168">
        <f t="shared" si="529"/>
        <v>0</v>
      </c>
      <c r="F268" s="171">
        <f t="shared" si="529"/>
        <v>0</v>
      </c>
      <c r="G268" s="169">
        <f t="shared" si="529"/>
        <v>0</v>
      </c>
      <c r="H268" s="170">
        <f t="shared" si="530"/>
        <v>0</v>
      </c>
      <c r="I268" s="171">
        <f t="shared" si="531"/>
        <v>0</v>
      </c>
      <c r="J268" s="169">
        <f t="shared" si="531"/>
        <v>0</v>
      </c>
      <c r="K268" s="170">
        <f t="shared" si="532"/>
        <v>0</v>
      </c>
      <c r="L268" s="171">
        <f t="shared" si="533"/>
        <v>0</v>
      </c>
      <c r="M268" s="169">
        <f t="shared" si="533"/>
        <v>0</v>
      </c>
      <c r="N268" s="170">
        <f t="shared" si="534"/>
        <v>0</v>
      </c>
      <c r="O268" s="171">
        <f t="shared" si="535"/>
        <v>0</v>
      </c>
      <c r="P268" s="169">
        <f t="shared" si="535"/>
        <v>0</v>
      </c>
      <c r="Q268" s="170">
        <f t="shared" si="536"/>
        <v>0</v>
      </c>
      <c r="R268" s="171">
        <f t="shared" si="537"/>
        <v>0</v>
      </c>
      <c r="S268" s="169">
        <f t="shared" si="537"/>
        <v>0</v>
      </c>
      <c r="T268" s="170">
        <f t="shared" si="538"/>
        <v>0</v>
      </c>
      <c r="U268" s="171">
        <f t="shared" si="539"/>
        <v>0</v>
      </c>
      <c r="V268" s="169">
        <f t="shared" si="539"/>
        <v>0</v>
      </c>
      <c r="W268" s="170">
        <f t="shared" si="540"/>
        <v>0</v>
      </c>
      <c r="X268" s="171">
        <f t="shared" si="541"/>
        <v>0</v>
      </c>
      <c r="Y268" s="169">
        <f t="shared" si="541"/>
        <v>0</v>
      </c>
      <c r="Z268" s="170">
        <f t="shared" si="542"/>
        <v>0</v>
      </c>
      <c r="AA268" s="171">
        <f t="shared" si="543"/>
        <v>0</v>
      </c>
      <c r="AB268" s="169">
        <f t="shared" si="543"/>
        <v>0</v>
      </c>
      <c r="AC268" s="170">
        <f t="shared" si="544"/>
        <v>0</v>
      </c>
      <c r="AD268" s="171">
        <f t="shared" si="545"/>
        <v>0</v>
      </c>
      <c r="AE268" s="169">
        <f t="shared" si="545"/>
        <v>0</v>
      </c>
      <c r="AF268" s="170">
        <f t="shared" si="546"/>
        <v>0</v>
      </c>
      <c r="AG268" s="171">
        <f t="shared" si="547"/>
        <v>0</v>
      </c>
      <c r="AH268" s="169">
        <f t="shared" si="547"/>
        <v>0</v>
      </c>
      <c r="AI268" s="170">
        <f t="shared" si="548"/>
        <v>0</v>
      </c>
      <c r="AJ268" s="171">
        <f t="shared" si="549"/>
        <v>0</v>
      </c>
      <c r="AK268" s="169">
        <f t="shared" si="549"/>
        <v>0</v>
      </c>
      <c r="AL268" s="170">
        <f t="shared" si="550"/>
        <v>0</v>
      </c>
      <c r="AM268" s="171">
        <f t="shared" si="551"/>
        <v>0</v>
      </c>
      <c r="AN268" s="169">
        <f t="shared" si="551"/>
        <v>0</v>
      </c>
      <c r="AO268" s="170">
        <f t="shared" si="552"/>
        <v>0</v>
      </c>
      <c r="AP268" s="171">
        <f t="shared" si="553"/>
        <v>0</v>
      </c>
      <c r="AQ268" s="169">
        <f t="shared" si="553"/>
        <v>0</v>
      </c>
      <c r="AR268" s="170">
        <f t="shared" si="554"/>
        <v>0</v>
      </c>
      <c r="AS268" s="171">
        <f t="shared" si="555"/>
        <v>0</v>
      </c>
      <c r="AT268" s="169">
        <f t="shared" si="555"/>
        <v>0</v>
      </c>
      <c r="AU268" s="170">
        <f t="shared" si="556"/>
        <v>0</v>
      </c>
      <c r="AV268" s="171">
        <f t="shared" si="557"/>
        <v>0</v>
      </c>
      <c r="AW268" s="169">
        <f t="shared" si="557"/>
        <v>0</v>
      </c>
      <c r="AX268" s="170">
        <f t="shared" si="558"/>
        <v>0</v>
      </c>
      <c r="AY268" s="169">
        <f t="shared" si="559"/>
        <v>0</v>
      </c>
      <c r="AZ268" s="169">
        <f t="shared" si="559"/>
        <v>0</v>
      </c>
      <c r="BA268" s="170">
        <f t="shared" si="560"/>
        <v>0</v>
      </c>
      <c r="BB268" s="171">
        <f t="shared" si="561"/>
        <v>0</v>
      </c>
      <c r="BC268" s="169">
        <f t="shared" si="561"/>
        <v>0</v>
      </c>
      <c r="BD268" s="170">
        <f t="shared" si="562"/>
        <v>0</v>
      </c>
      <c r="BE268" s="171">
        <f t="shared" si="527"/>
        <v>0</v>
      </c>
      <c r="BF268" s="171">
        <f t="shared" si="527"/>
        <v>0</v>
      </c>
      <c r="BG268" s="168">
        <f t="shared" ref="BG268" si="573">IF(BG204=0,0,BG35/BG204*30)</f>
        <v>0</v>
      </c>
    </row>
    <row r="269" spans="1:59" ht="13.5" hidden="1" customHeight="1" outlineLevel="1" x14ac:dyDescent="0.25">
      <c r="A269" s="82"/>
      <c r="B269" s="84" t="s">
        <v>59</v>
      </c>
      <c r="C269" s="74" t="s">
        <v>89</v>
      </c>
      <c r="D269" s="168">
        <f t="shared" si="529"/>
        <v>0</v>
      </c>
      <c r="E269" s="168">
        <f t="shared" si="529"/>
        <v>0</v>
      </c>
      <c r="F269" s="171">
        <f t="shared" si="529"/>
        <v>0</v>
      </c>
      <c r="G269" s="169">
        <f t="shared" si="529"/>
        <v>0</v>
      </c>
      <c r="H269" s="170">
        <f t="shared" si="530"/>
        <v>0</v>
      </c>
      <c r="I269" s="171">
        <f t="shared" si="531"/>
        <v>0</v>
      </c>
      <c r="J269" s="169">
        <f t="shared" si="531"/>
        <v>0</v>
      </c>
      <c r="K269" s="170">
        <f t="shared" si="532"/>
        <v>0</v>
      </c>
      <c r="L269" s="171">
        <f t="shared" si="533"/>
        <v>0</v>
      </c>
      <c r="M269" s="169">
        <f t="shared" si="533"/>
        <v>0</v>
      </c>
      <c r="N269" s="170">
        <f t="shared" si="534"/>
        <v>0</v>
      </c>
      <c r="O269" s="171">
        <f t="shared" si="535"/>
        <v>0</v>
      </c>
      <c r="P269" s="169">
        <f t="shared" si="535"/>
        <v>0</v>
      </c>
      <c r="Q269" s="170">
        <f t="shared" si="536"/>
        <v>0</v>
      </c>
      <c r="R269" s="171">
        <f t="shared" si="537"/>
        <v>0</v>
      </c>
      <c r="S269" s="169">
        <f t="shared" si="537"/>
        <v>0</v>
      </c>
      <c r="T269" s="170">
        <f t="shared" si="538"/>
        <v>0</v>
      </c>
      <c r="U269" s="171">
        <f t="shared" si="539"/>
        <v>0</v>
      </c>
      <c r="V269" s="169">
        <f t="shared" si="539"/>
        <v>0</v>
      </c>
      <c r="W269" s="170">
        <f t="shared" si="540"/>
        <v>0</v>
      </c>
      <c r="X269" s="171">
        <f t="shared" si="541"/>
        <v>0</v>
      </c>
      <c r="Y269" s="169">
        <f t="shared" si="541"/>
        <v>0</v>
      </c>
      <c r="Z269" s="170">
        <f t="shared" si="542"/>
        <v>0</v>
      </c>
      <c r="AA269" s="171">
        <f t="shared" si="543"/>
        <v>0</v>
      </c>
      <c r="AB269" s="169">
        <f t="shared" si="543"/>
        <v>0</v>
      </c>
      <c r="AC269" s="170">
        <f t="shared" si="544"/>
        <v>0</v>
      </c>
      <c r="AD269" s="171">
        <f t="shared" si="545"/>
        <v>0</v>
      </c>
      <c r="AE269" s="169">
        <f t="shared" si="545"/>
        <v>0</v>
      </c>
      <c r="AF269" s="170">
        <f t="shared" si="546"/>
        <v>0</v>
      </c>
      <c r="AG269" s="171">
        <f t="shared" si="547"/>
        <v>0</v>
      </c>
      <c r="AH269" s="169">
        <f t="shared" si="547"/>
        <v>0</v>
      </c>
      <c r="AI269" s="170">
        <f t="shared" si="548"/>
        <v>0</v>
      </c>
      <c r="AJ269" s="171">
        <f t="shared" si="549"/>
        <v>0</v>
      </c>
      <c r="AK269" s="169">
        <f t="shared" si="549"/>
        <v>0</v>
      </c>
      <c r="AL269" s="170">
        <f t="shared" si="550"/>
        <v>0</v>
      </c>
      <c r="AM269" s="171">
        <f t="shared" si="551"/>
        <v>0</v>
      </c>
      <c r="AN269" s="169">
        <f t="shared" si="551"/>
        <v>0</v>
      </c>
      <c r="AO269" s="170">
        <f t="shared" si="552"/>
        <v>0</v>
      </c>
      <c r="AP269" s="171">
        <f t="shared" si="553"/>
        <v>0</v>
      </c>
      <c r="AQ269" s="169">
        <f t="shared" si="553"/>
        <v>0</v>
      </c>
      <c r="AR269" s="170">
        <f t="shared" si="554"/>
        <v>0</v>
      </c>
      <c r="AS269" s="171">
        <f t="shared" si="555"/>
        <v>0</v>
      </c>
      <c r="AT269" s="169">
        <f t="shared" si="555"/>
        <v>0</v>
      </c>
      <c r="AU269" s="170">
        <f t="shared" si="556"/>
        <v>0</v>
      </c>
      <c r="AV269" s="171">
        <f t="shared" si="557"/>
        <v>0</v>
      </c>
      <c r="AW269" s="169">
        <f t="shared" si="557"/>
        <v>0</v>
      </c>
      <c r="AX269" s="170">
        <f t="shared" si="558"/>
        <v>0</v>
      </c>
      <c r="AY269" s="169">
        <f t="shared" si="559"/>
        <v>0</v>
      </c>
      <c r="AZ269" s="169">
        <f t="shared" si="559"/>
        <v>0</v>
      </c>
      <c r="BA269" s="170">
        <f t="shared" si="560"/>
        <v>0</v>
      </c>
      <c r="BB269" s="171">
        <f t="shared" si="561"/>
        <v>0</v>
      </c>
      <c r="BC269" s="169">
        <f t="shared" si="561"/>
        <v>0</v>
      </c>
      <c r="BD269" s="170">
        <f t="shared" si="562"/>
        <v>0</v>
      </c>
      <c r="BE269" s="171">
        <f t="shared" si="527"/>
        <v>0</v>
      </c>
      <c r="BF269" s="171">
        <f t="shared" si="527"/>
        <v>0</v>
      </c>
      <c r="BG269" s="168">
        <f t="shared" ref="BG269" si="574">IF(BG205=0,0,BG36/BG205*30)</f>
        <v>0</v>
      </c>
    </row>
    <row r="270" spans="1:59" ht="13.5" hidden="1" customHeight="1" outlineLevel="1" x14ac:dyDescent="0.25">
      <c r="A270" s="82"/>
      <c r="B270" s="99" t="s">
        <v>60</v>
      </c>
      <c r="C270" s="74" t="s">
        <v>89</v>
      </c>
      <c r="D270" s="168">
        <f t="shared" si="529"/>
        <v>0</v>
      </c>
      <c r="E270" s="168">
        <f t="shared" si="529"/>
        <v>0</v>
      </c>
      <c r="F270" s="171">
        <f t="shared" si="529"/>
        <v>0</v>
      </c>
      <c r="G270" s="169">
        <f t="shared" si="529"/>
        <v>0</v>
      </c>
      <c r="H270" s="170">
        <f t="shared" si="530"/>
        <v>0</v>
      </c>
      <c r="I270" s="171">
        <f t="shared" si="531"/>
        <v>0</v>
      </c>
      <c r="J270" s="169">
        <f t="shared" si="531"/>
        <v>0</v>
      </c>
      <c r="K270" s="170">
        <f t="shared" si="532"/>
        <v>0</v>
      </c>
      <c r="L270" s="171">
        <f t="shared" si="533"/>
        <v>0</v>
      </c>
      <c r="M270" s="169">
        <f t="shared" si="533"/>
        <v>0</v>
      </c>
      <c r="N270" s="170">
        <f t="shared" si="534"/>
        <v>0</v>
      </c>
      <c r="O270" s="171">
        <f t="shared" si="535"/>
        <v>0</v>
      </c>
      <c r="P270" s="169">
        <f t="shared" si="535"/>
        <v>0</v>
      </c>
      <c r="Q270" s="170">
        <f t="shared" si="536"/>
        <v>0</v>
      </c>
      <c r="R270" s="171">
        <f t="shared" si="537"/>
        <v>0</v>
      </c>
      <c r="S270" s="169">
        <f t="shared" si="537"/>
        <v>0</v>
      </c>
      <c r="T270" s="170">
        <f t="shared" si="538"/>
        <v>0</v>
      </c>
      <c r="U270" s="171">
        <f t="shared" si="539"/>
        <v>0</v>
      </c>
      <c r="V270" s="169">
        <f t="shared" si="539"/>
        <v>0</v>
      </c>
      <c r="W270" s="170">
        <f t="shared" si="540"/>
        <v>0</v>
      </c>
      <c r="X270" s="171">
        <f t="shared" si="541"/>
        <v>0</v>
      </c>
      <c r="Y270" s="169">
        <f t="shared" si="541"/>
        <v>0</v>
      </c>
      <c r="Z270" s="170">
        <f t="shared" si="542"/>
        <v>0</v>
      </c>
      <c r="AA270" s="171">
        <f t="shared" si="543"/>
        <v>0</v>
      </c>
      <c r="AB270" s="169">
        <f t="shared" si="543"/>
        <v>0</v>
      </c>
      <c r="AC270" s="170">
        <f t="shared" si="544"/>
        <v>0</v>
      </c>
      <c r="AD270" s="171">
        <f t="shared" si="545"/>
        <v>0</v>
      </c>
      <c r="AE270" s="169">
        <f t="shared" si="545"/>
        <v>0</v>
      </c>
      <c r="AF270" s="170">
        <f t="shared" si="546"/>
        <v>0</v>
      </c>
      <c r="AG270" s="171">
        <f t="shared" si="547"/>
        <v>0</v>
      </c>
      <c r="AH270" s="169">
        <f t="shared" si="547"/>
        <v>0</v>
      </c>
      <c r="AI270" s="170">
        <f t="shared" si="548"/>
        <v>0</v>
      </c>
      <c r="AJ270" s="171">
        <f t="shared" si="549"/>
        <v>0</v>
      </c>
      <c r="AK270" s="169">
        <f t="shared" si="549"/>
        <v>0</v>
      </c>
      <c r="AL270" s="170">
        <f t="shared" si="550"/>
        <v>0</v>
      </c>
      <c r="AM270" s="171">
        <f t="shared" si="551"/>
        <v>0</v>
      </c>
      <c r="AN270" s="169">
        <f t="shared" si="551"/>
        <v>0</v>
      </c>
      <c r="AO270" s="170">
        <f t="shared" si="552"/>
        <v>0</v>
      </c>
      <c r="AP270" s="171">
        <f t="shared" si="553"/>
        <v>0</v>
      </c>
      <c r="AQ270" s="169">
        <f t="shared" si="553"/>
        <v>0</v>
      </c>
      <c r="AR270" s="170">
        <f t="shared" si="554"/>
        <v>0</v>
      </c>
      <c r="AS270" s="171">
        <f t="shared" si="555"/>
        <v>0</v>
      </c>
      <c r="AT270" s="169">
        <f t="shared" si="555"/>
        <v>0</v>
      </c>
      <c r="AU270" s="170">
        <f t="shared" si="556"/>
        <v>0</v>
      </c>
      <c r="AV270" s="171">
        <f t="shared" si="557"/>
        <v>0</v>
      </c>
      <c r="AW270" s="169">
        <f t="shared" si="557"/>
        <v>0</v>
      </c>
      <c r="AX270" s="170">
        <f t="shared" si="558"/>
        <v>0</v>
      </c>
      <c r="AY270" s="169">
        <f t="shared" si="559"/>
        <v>0</v>
      </c>
      <c r="AZ270" s="169">
        <f t="shared" si="559"/>
        <v>0</v>
      </c>
      <c r="BA270" s="170">
        <f t="shared" si="560"/>
        <v>0</v>
      </c>
      <c r="BB270" s="171">
        <f t="shared" si="561"/>
        <v>0</v>
      </c>
      <c r="BC270" s="169">
        <f t="shared" si="561"/>
        <v>0</v>
      </c>
      <c r="BD270" s="170">
        <f t="shared" si="562"/>
        <v>0</v>
      </c>
      <c r="BE270" s="171">
        <f t="shared" si="527"/>
        <v>0</v>
      </c>
      <c r="BF270" s="171">
        <f t="shared" si="527"/>
        <v>0</v>
      </c>
      <c r="BG270" s="168">
        <f t="shared" ref="BG270" si="575">IF(BG206=0,0,BG37/BG206*30)</f>
        <v>0</v>
      </c>
    </row>
    <row r="271" spans="1:59" ht="13.5" hidden="1" customHeight="1" outlineLevel="1" x14ac:dyDescent="0.25">
      <c r="A271" s="82"/>
      <c r="B271" s="84" t="s">
        <v>61</v>
      </c>
      <c r="C271" s="74" t="s">
        <v>89</v>
      </c>
      <c r="D271" s="168">
        <f t="shared" si="529"/>
        <v>0</v>
      </c>
      <c r="E271" s="168">
        <f t="shared" si="529"/>
        <v>0</v>
      </c>
      <c r="F271" s="171">
        <f t="shared" si="529"/>
        <v>0</v>
      </c>
      <c r="G271" s="169">
        <f t="shared" si="529"/>
        <v>0</v>
      </c>
      <c r="H271" s="170">
        <f t="shared" si="530"/>
        <v>0</v>
      </c>
      <c r="I271" s="171">
        <f t="shared" si="531"/>
        <v>0</v>
      </c>
      <c r="J271" s="169">
        <f t="shared" si="531"/>
        <v>0</v>
      </c>
      <c r="K271" s="170">
        <f t="shared" si="532"/>
        <v>0</v>
      </c>
      <c r="L271" s="171">
        <f t="shared" si="533"/>
        <v>0</v>
      </c>
      <c r="M271" s="169">
        <f t="shared" si="533"/>
        <v>0</v>
      </c>
      <c r="N271" s="170">
        <f t="shared" si="534"/>
        <v>0</v>
      </c>
      <c r="O271" s="171">
        <f t="shared" si="535"/>
        <v>0</v>
      </c>
      <c r="P271" s="169">
        <f t="shared" si="535"/>
        <v>0</v>
      </c>
      <c r="Q271" s="170">
        <f t="shared" si="536"/>
        <v>0</v>
      </c>
      <c r="R271" s="171">
        <f t="shared" si="537"/>
        <v>0</v>
      </c>
      <c r="S271" s="169">
        <f t="shared" si="537"/>
        <v>0</v>
      </c>
      <c r="T271" s="170">
        <f t="shared" si="538"/>
        <v>0</v>
      </c>
      <c r="U271" s="171">
        <f t="shared" si="539"/>
        <v>0</v>
      </c>
      <c r="V271" s="169">
        <f t="shared" si="539"/>
        <v>0</v>
      </c>
      <c r="W271" s="170">
        <f t="shared" si="540"/>
        <v>0</v>
      </c>
      <c r="X271" s="171">
        <f t="shared" si="541"/>
        <v>0</v>
      </c>
      <c r="Y271" s="169">
        <f t="shared" si="541"/>
        <v>0</v>
      </c>
      <c r="Z271" s="170">
        <f t="shared" si="542"/>
        <v>0</v>
      </c>
      <c r="AA271" s="171">
        <f t="shared" si="543"/>
        <v>0</v>
      </c>
      <c r="AB271" s="169">
        <f t="shared" si="543"/>
        <v>0</v>
      </c>
      <c r="AC271" s="170">
        <f t="shared" si="544"/>
        <v>0</v>
      </c>
      <c r="AD271" s="171">
        <f t="shared" si="545"/>
        <v>0</v>
      </c>
      <c r="AE271" s="169">
        <f t="shared" si="545"/>
        <v>0</v>
      </c>
      <c r="AF271" s="170">
        <f t="shared" si="546"/>
        <v>0</v>
      </c>
      <c r="AG271" s="171">
        <f t="shared" si="547"/>
        <v>0</v>
      </c>
      <c r="AH271" s="169">
        <f t="shared" si="547"/>
        <v>0</v>
      </c>
      <c r="AI271" s="170">
        <f t="shared" si="548"/>
        <v>0</v>
      </c>
      <c r="AJ271" s="171">
        <f t="shared" si="549"/>
        <v>0</v>
      </c>
      <c r="AK271" s="169">
        <f t="shared" si="549"/>
        <v>0</v>
      </c>
      <c r="AL271" s="170">
        <f t="shared" si="550"/>
        <v>0</v>
      </c>
      <c r="AM271" s="171">
        <f t="shared" si="551"/>
        <v>0</v>
      </c>
      <c r="AN271" s="169">
        <f t="shared" si="551"/>
        <v>0</v>
      </c>
      <c r="AO271" s="170">
        <f t="shared" si="552"/>
        <v>0</v>
      </c>
      <c r="AP271" s="171">
        <f t="shared" si="553"/>
        <v>0</v>
      </c>
      <c r="AQ271" s="169">
        <f t="shared" si="553"/>
        <v>0</v>
      </c>
      <c r="AR271" s="170">
        <f t="shared" si="554"/>
        <v>0</v>
      </c>
      <c r="AS271" s="171">
        <f t="shared" si="555"/>
        <v>0</v>
      </c>
      <c r="AT271" s="169">
        <f t="shared" si="555"/>
        <v>0</v>
      </c>
      <c r="AU271" s="170">
        <f t="shared" si="556"/>
        <v>0</v>
      </c>
      <c r="AV271" s="171">
        <f t="shared" si="557"/>
        <v>0</v>
      </c>
      <c r="AW271" s="169">
        <f t="shared" si="557"/>
        <v>0</v>
      </c>
      <c r="AX271" s="170">
        <f t="shared" si="558"/>
        <v>0</v>
      </c>
      <c r="AY271" s="169">
        <f t="shared" si="559"/>
        <v>0</v>
      </c>
      <c r="AZ271" s="169">
        <f t="shared" si="559"/>
        <v>0</v>
      </c>
      <c r="BA271" s="170">
        <f t="shared" si="560"/>
        <v>0</v>
      </c>
      <c r="BB271" s="171">
        <f t="shared" si="561"/>
        <v>0</v>
      </c>
      <c r="BC271" s="169">
        <f t="shared" si="561"/>
        <v>0</v>
      </c>
      <c r="BD271" s="170">
        <f t="shared" si="562"/>
        <v>0</v>
      </c>
      <c r="BE271" s="171">
        <f t="shared" si="527"/>
        <v>0</v>
      </c>
      <c r="BF271" s="171">
        <f t="shared" si="527"/>
        <v>0</v>
      </c>
      <c r="BG271" s="168">
        <f t="shared" ref="BG271" si="576">IF(BG207=0,0,BG38/BG207*30)</f>
        <v>0</v>
      </c>
    </row>
    <row r="272" spans="1:59" s="210" customFormat="1" ht="13.5" customHeight="1" collapsed="1" thickBot="1" x14ac:dyDescent="0.3">
      <c r="A272" s="85"/>
      <c r="B272" s="95" t="s">
        <v>62</v>
      </c>
      <c r="C272" s="88" t="s">
        <v>89</v>
      </c>
      <c r="D272" s="164">
        <f t="shared" si="529"/>
        <v>0</v>
      </c>
      <c r="E272" s="164">
        <f t="shared" si="529"/>
        <v>0</v>
      </c>
      <c r="F272" s="167">
        <f t="shared" si="529"/>
        <v>0</v>
      </c>
      <c r="G272" s="165">
        <f t="shared" si="529"/>
        <v>0</v>
      </c>
      <c r="H272" s="166">
        <f t="shared" si="530"/>
        <v>0</v>
      </c>
      <c r="I272" s="167">
        <f t="shared" si="531"/>
        <v>0</v>
      </c>
      <c r="J272" s="165">
        <f t="shared" si="531"/>
        <v>0</v>
      </c>
      <c r="K272" s="166">
        <f t="shared" si="532"/>
        <v>0</v>
      </c>
      <c r="L272" s="167">
        <f t="shared" si="533"/>
        <v>0</v>
      </c>
      <c r="M272" s="165">
        <f t="shared" si="533"/>
        <v>0</v>
      </c>
      <c r="N272" s="166">
        <f t="shared" si="534"/>
        <v>0</v>
      </c>
      <c r="O272" s="167">
        <f t="shared" si="535"/>
        <v>0</v>
      </c>
      <c r="P272" s="165">
        <f t="shared" si="535"/>
        <v>0</v>
      </c>
      <c r="Q272" s="166">
        <f t="shared" si="536"/>
        <v>0</v>
      </c>
      <c r="R272" s="167">
        <f t="shared" si="537"/>
        <v>0</v>
      </c>
      <c r="S272" s="165">
        <f t="shared" si="537"/>
        <v>0</v>
      </c>
      <c r="T272" s="166">
        <f t="shared" si="538"/>
        <v>0</v>
      </c>
      <c r="U272" s="167">
        <f t="shared" si="539"/>
        <v>0</v>
      </c>
      <c r="V272" s="165">
        <f t="shared" si="539"/>
        <v>0</v>
      </c>
      <c r="W272" s="166">
        <f t="shared" si="540"/>
        <v>0</v>
      </c>
      <c r="X272" s="167">
        <f t="shared" si="541"/>
        <v>0</v>
      </c>
      <c r="Y272" s="165">
        <f t="shared" si="541"/>
        <v>0</v>
      </c>
      <c r="Z272" s="166">
        <f t="shared" si="542"/>
        <v>0</v>
      </c>
      <c r="AA272" s="167">
        <f t="shared" si="543"/>
        <v>0</v>
      </c>
      <c r="AB272" s="165">
        <f t="shared" si="543"/>
        <v>0</v>
      </c>
      <c r="AC272" s="166">
        <f t="shared" si="544"/>
        <v>0</v>
      </c>
      <c r="AD272" s="167">
        <f t="shared" si="545"/>
        <v>0</v>
      </c>
      <c r="AE272" s="165">
        <f t="shared" si="545"/>
        <v>0</v>
      </c>
      <c r="AF272" s="166">
        <f t="shared" si="546"/>
        <v>0</v>
      </c>
      <c r="AG272" s="167">
        <f t="shared" si="547"/>
        <v>0</v>
      </c>
      <c r="AH272" s="165">
        <f t="shared" si="547"/>
        <v>0</v>
      </c>
      <c r="AI272" s="166">
        <f t="shared" si="548"/>
        <v>0</v>
      </c>
      <c r="AJ272" s="167">
        <f t="shared" si="549"/>
        <v>0</v>
      </c>
      <c r="AK272" s="165">
        <f t="shared" si="549"/>
        <v>0</v>
      </c>
      <c r="AL272" s="166">
        <f t="shared" si="550"/>
        <v>0</v>
      </c>
      <c r="AM272" s="167">
        <f t="shared" si="551"/>
        <v>0</v>
      </c>
      <c r="AN272" s="165">
        <f t="shared" si="551"/>
        <v>0</v>
      </c>
      <c r="AO272" s="166">
        <f t="shared" si="552"/>
        <v>0</v>
      </c>
      <c r="AP272" s="167">
        <f t="shared" si="553"/>
        <v>0</v>
      </c>
      <c r="AQ272" s="165">
        <f t="shared" si="553"/>
        <v>0</v>
      </c>
      <c r="AR272" s="166">
        <f t="shared" si="554"/>
        <v>0</v>
      </c>
      <c r="AS272" s="167">
        <f t="shared" si="555"/>
        <v>0</v>
      </c>
      <c r="AT272" s="165">
        <f t="shared" si="555"/>
        <v>0</v>
      </c>
      <c r="AU272" s="166">
        <f t="shared" si="556"/>
        <v>0</v>
      </c>
      <c r="AV272" s="167">
        <f t="shared" si="557"/>
        <v>0</v>
      </c>
      <c r="AW272" s="165">
        <f t="shared" si="557"/>
        <v>0</v>
      </c>
      <c r="AX272" s="166">
        <f t="shared" si="558"/>
        <v>0</v>
      </c>
      <c r="AY272" s="165">
        <f t="shared" si="559"/>
        <v>0</v>
      </c>
      <c r="AZ272" s="165">
        <f t="shared" si="559"/>
        <v>0</v>
      </c>
      <c r="BA272" s="166">
        <f t="shared" si="560"/>
        <v>0</v>
      </c>
      <c r="BB272" s="167">
        <f t="shared" si="561"/>
        <v>0</v>
      </c>
      <c r="BC272" s="165">
        <f t="shared" si="561"/>
        <v>0</v>
      </c>
      <c r="BD272" s="166">
        <f t="shared" si="562"/>
        <v>0</v>
      </c>
      <c r="BE272" s="167">
        <f t="shared" ref="BE272:BF273" si="577">IF(BE208=0,0,BE39/BE208*30)</f>
        <v>0</v>
      </c>
      <c r="BF272" s="167">
        <f t="shared" si="577"/>
        <v>0</v>
      </c>
      <c r="BG272" s="164">
        <f t="shared" ref="BG272" si="578">IF(BG208=0,0,BG39/BG208*30)</f>
        <v>0</v>
      </c>
    </row>
    <row r="273" spans="1:59" ht="13.5" hidden="1" customHeight="1" outlineLevel="1" thickBot="1" x14ac:dyDescent="0.3">
      <c r="A273" s="11"/>
      <c r="B273" s="84" t="s">
        <v>63</v>
      </c>
      <c r="C273" s="73" t="s">
        <v>89</v>
      </c>
      <c r="D273" s="4">
        <f t="shared" si="529"/>
        <v>0</v>
      </c>
      <c r="E273" s="4">
        <f t="shared" si="529"/>
        <v>0</v>
      </c>
      <c r="F273" s="7">
        <f t="shared" si="529"/>
        <v>0</v>
      </c>
      <c r="G273" s="6">
        <f t="shared" si="529"/>
        <v>0</v>
      </c>
      <c r="H273" s="5">
        <f t="shared" si="530"/>
        <v>0</v>
      </c>
      <c r="I273" s="7">
        <f t="shared" si="531"/>
        <v>0</v>
      </c>
      <c r="J273" s="6">
        <f t="shared" si="531"/>
        <v>0</v>
      </c>
      <c r="K273" s="5">
        <f t="shared" si="532"/>
        <v>0</v>
      </c>
      <c r="L273" s="7">
        <f t="shared" si="533"/>
        <v>0</v>
      </c>
      <c r="M273" s="6">
        <f t="shared" si="533"/>
        <v>0</v>
      </c>
      <c r="N273" s="5">
        <f t="shared" si="534"/>
        <v>0</v>
      </c>
      <c r="O273" s="7">
        <f t="shared" si="535"/>
        <v>0</v>
      </c>
      <c r="P273" s="6">
        <f t="shared" si="535"/>
        <v>0</v>
      </c>
      <c r="Q273" s="5">
        <f t="shared" si="536"/>
        <v>0</v>
      </c>
      <c r="R273" s="7">
        <f t="shared" si="537"/>
        <v>0</v>
      </c>
      <c r="S273" s="6">
        <f t="shared" si="537"/>
        <v>0</v>
      </c>
      <c r="T273" s="5">
        <f t="shared" si="538"/>
        <v>0</v>
      </c>
      <c r="U273" s="7">
        <f t="shared" si="539"/>
        <v>0</v>
      </c>
      <c r="V273" s="6">
        <f t="shared" si="539"/>
        <v>0</v>
      </c>
      <c r="W273" s="5">
        <f t="shared" si="540"/>
        <v>0</v>
      </c>
      <c r="X273" s="7">
        <f t="shared" si="541"/>
        <v>0</v>
      </c>
      <c r="Y273" s="6">
        <f t="shared" si="541"/>
        <v>0</v>
      </c>
      <c r="Z273" s="5">
        <f t="shared" si="542"/>
        <v>0</v>
      </c>
      <c r="AA273" s="7">
        <f t="shared" si="543"/>
        <v>0</v>
      </c>
      <c r="AB273" s="6">
        <f t="shared" si="543"/>
        <v>0</v>
      </c>
      <c r="AC273" s="5">
        <f t="shared" si="544"/>
        <v>0</v>
      </c>
      <c r="AD273" s="7">
        <f t="shared" si="545"/>
        <v>0</v>
      </c>
      <c r="AE273" s="6">
        <f t="shared" si="545"/>
        <v>0</v>
      </c>
      <c r="AF273" s="5">
        <f t="shared" si="546"/>
        <v>0</v>
      </c>
      <c r="AG273" s="7">
        <f t="shared" si="547"/>
        <v>0</v>
      </c>
      <c r="AH273" s="6">
        <f t="shared" si="547"/>
        <v>0</v>
      </c>
      <c r="AI273" s="5">
        <f t="shared" si="548"/>
        <v>0</v>
      </c>
      <c r="AJ273" s="7">
        <f t="shared" si="549"/>
        <v>0</v>
      </c>
      <c r="AK273" s="6">
        <f t="shared" si="549"/>
        <v>0</v>
      </c>
      <c r="AL273" s="5">
        <f t="shared" si="550"/>
        <v>0</v>
      </c>
      <c r="AM273" s="7">
        <f t="shared" si="551"/>
        <v>0</v>
      </c>
      <c r="AN273" s="6">
        <f t="shared" si="551"/>
        <v>0</v>
      </c>
      <c r="AO273" s="5">
        <f t="shared" si="552"/>
        <v>0</v>
      </c>
      <c r="AP273" s="7">
        <f t="shared" si="553"/>
        <v>0</v>
      </c>
      <c r="AQ273" s="6">
        <f t="shared" si="553"/>
        <v>0</v>
      </c>
      <c r="AR273" s="5">
        <f t="shared" si="554"/>
        <v>0</v>
      </c>
      <c r="AS273" s="7">
        <f t="shared" si="555"/>
        <v>0</v>
      </c>
      <c r="AT273" s="6">
        <f t="shared" si="555"/>
        <v>0</v>
      </c>
      <c r="AU273" s="5">
        <f t="shared" si="556"/>
        <v>0</v>
      </c>
      <c r="AV273" s="7">
        <f t="shared" si="557"/>
        <v>0</v>
      </c>
      <c r="AW273" s="6">
        <f t="shared" si="557"/>
        <v>0</v>
      </c>
      <c r="AX273" s="5">
        <f t="shared" si="558"/>
        <v>0</v>
      </c>
      <c r="AY273" s="6">
        <f t="shared" si="559"/>
        <v>0</v>
      </c>
      <c r="AZ273" s="6">
        <f t="shared" si="559"/>
        <v>0</v>
      </c>
      <c r="BA273" s="5">
        <f t="shared" si="560"/>
        <v>0</v>
      </c>
      <c r="BB273" s="7">
        <f t="shared" si="561"/>
        <v>0</v>
      </c>
      <c r="BC273" s="6">
        <f t="shared" si="561"/>
        <v>0</v>
      </c>
      <c r="BD273" s="5">
        <f t="shared" si="562"/>
        <v>0</v>
      </c>
      <c r="BE273" s="7">
        <f t="shared" si="577"/>
        <v>0</v>
      </c>
      <c r="BF273" s="7">
        <f t="shared" si="577"/>
        <v>0</v>
      </c>
      <c r="BG273" s="4">
        <f t="shared" ref="BG273" si="579">IF(BG209=0,0,BG40/BG209*30)</f>
        <v>0</v>
      </c>
    </row>
    <row r="274" spans="1:59" s="210" customFormat="1" ht="13.5" customHeight="1" collapsed="1" x14ac:dyDescent="0.25">
      <c r="A274" s="106" t="s">
        <v>90</v>
      </c>
      <c r="B274" s="105" t="s">
        <v>91</v>
      </c>
      <c r="C274" s="104" t="s">
        <v>84</v>
      </c>
      <c r="D274" s="192">
        <f>D275+D285+D304</f>
        <v>0</v>
      </c>
      <c r="E274" s="192">
        <f>E275+E285+E304</f>
        <v>0</v>
      </c>
      <c r="F274" s="195">
        <f>F275+F285+F304</f>
        <v>0</v>
      </c>
      <c r="G274" s="193">
        <f>G275+G285+G304</f>
        <v>0</v>
      </c>
      <c r="H274" s="194">
        <f t="shared" ref="H274:H289" si="580">G274-F274</f>
        <v>0</v>
      </c>
      <c r="I274" s="195">
        <f>I275+I285+I304</f>
        <v>0</v>
      </c>
      <c r="J274" s="193">
        <f>J275+J285+J304</f>
        <v>0</v>
      </c>
      <c r="K274" s="194">
        <f t="shared" ref="K274:K289" si="581">J274-I274</f>
        <v>0</v>
      </c>
      <c r="L274" s="195">
        <f>L275+L285+L304</f>
        <v>0</v>
      </c>
      <c r="M274" s="193">
        <f>M275+M285+M304</f>
        <v>0</v>
      </c>
      <c r="N274" s="194">
        <f t="shared" ref="N274:N289" si="582">M274-L274</f>
        <v>0</v>
      </c>
      <c r="O274" s="195">
        <f>O275+O285+O304</f>
        <v>0</v>
      </c>
      <c r="P274" s="193">
        <f>P275+P285+P304</f>
        <v>0</v>
      </c>
      <c r="Q274" s="194">
        <f t="shared" ref="Q274:Q289" si="583">P274-O274</f>
        <v>0</v>
      </c>
      <c r="R274" s="195">
        <f>R275+R285+R304</f>
        <v>0</v>
      </c>
      <c r="S274" s="193">
        <f>S275+S285+S304</f>
        <v>0</v>
      </c>
      <c r="T274" s="194">
        <f t="shared" ref="T274:T289" si="584">S274-R274</f>
        <v>0</v>
      </c>
      <c r="U274" s="195">
        <f>U275+U285+U304</f>
        <v>0</v>
      </c>
      <c r="V274" s="193">
        <f>V275+V285+V304</f>
        <v>0</v>
      </c>
      <c r="W274" s="194">
        <f t="shared" ref="W274:W289" si="585">V274-U274</f>
        <v>0</v>
      </c>
      <c r="X274" s="195">
        <f>X275+X285+X304</f>
        <v>0</v>
      </c>
      <c r="Y274" s="193">
        <f>Y275+Y285+Y304</f>
        <v>0</v>
      </c>
      <c r="Z274" s="194">
        <f t="shared" ref="Z274:Z289" si="586">Y274-X274</f>
        <v>0</v>
      </c>
      <c r="AA274" s="195">
        <f>AA275+AA285+AA304</f>
        <v>0</v>
      </c>
      <c r="AB274" s="193">
        <f>AB275+AB285+AB304</f>
        <v>0</v>
      </c>
      <c r="AC274" s="194">
        <f t="shared" ref="AC274:AC289" si="587">AB274-AA274</f>
        <v>0</v>
      </c>
      <c r="AD274" s="195">
        <f>AD275+AD285+AD304</f>
        <v>0</v>
      </c>
      <c r="AE274" s="193">
        <f>AE275+AE285+AE304</f>
        <v>0</v>
      </c>
      <c r="AF274" s="194">
        <f t="shared" ref="AF274:AF289" si="588">AE274-AD274</f>
        <v>0</v>
      </c>
      <c r="AG274" s="195">
        <f>AG275+AG285+AG304</f>
        <v>0</v>
      </c>
      <c r="AH274" s="193">
        <f>AH275+AH285+AH304</f>
        <v>0</v>
      </c>
      <c r="AI274" s="194">
        <f t="shared" ref="AI274:AI289" si="589">AH274-AG274</f>
        <v>0</v>
      </c>
      <c r="AJ274" s="195">
        <f>AJ275+AJ285+AJ304</f>
        <v>0</v>
      </c>
      <c r="AK274" s="193">
        <f>AK275+AK285+AK304</f>
        <v>0</v>
      </c>
      <c r="AL274" s="194">
        <f t="shared" ref="AL274:AL289" si="590">AK274-AJ274</f>
        <v>0</v>
      </c>
      <c r="AM274" s="195">
        <f>AM275+AM285+AM304</f>
        <v>0</v>
      </c>
      <c r="AN274" s="193">
        <f>AN275+AN285+AN304</f>
        <v>0</v>
      </c>
      <c r="AO274" s="194">
        <f t="shared" ref="AO274:AO289" si="591">AN274-AM274</f>
        <v>0</v>
      </c>
      <c r="AP274" s="195">
        <f>AP275+AP285+AP304</f>
        <v>0</v>
      </c>
      <c r="AQ274" s="193">
        <f>AQ275+AQ285+AQ304</f>
        <v>0</v>
      </c>
      <c r="AR274" s="194">
        <f t="shared" ref="AR274:AR289" si="592">AQ274-AP274</f>
        <v>0</v>
      </c>
      <c r="AS274" s="195">
        <f>AS275+AS285+AS304</f>
        <v>0</v>
      </c>
      <c r="AT274" s="193">
        <f>AT275+AT285+AT304</f>
        <v>0</v>
      </c>
      <c r="AU274" s="194">
        <f t="shared" ref="AU274:AU289" si="593">AT274-AS274</f>
        <v>0</v>
      </c>
      <c r="AV274" s="195">
        <f>AV275+AV285+AV304</f>
        <v>0</v>
      </c>
      <c r="AW274" s="193">
        <f>AW275+AW285+AW304</f>
        <v>0</v>
      </c>
      <c r="AX274" s="194">
        <f t="shared" ref="AX274:AX289" si="594">AW274-AV274</f>
        <v>0</v>
      </c>
      <c r="AY274" s="193">
        <f>AY275+AY285+AY304</f>
        <v>0</v>
      </c>
      <c r="AZ274" s="193">
        <f>AZ275+AZ285+AZ304</f>
        <v>0</v>
      </c>
      <c r="BA274" s="194">
        <f t="shared" ref="BA274:BA289" si="595">AZ274-AY274</f>
        <v>0</v>
      </c>
      <c r="BB274" s="195">
        <f>BB275+BB285+BB304</f>
        <v>0</v>
      </c>
      <c r="BC274" s="193">
        <f>BC275+BC285+BC304</f>
        <v>0</v>
      </c>
      <c r="BD274" s="194">
        <f t="shared" ref="BD274:BD289" si="596">BC274-BB274</f>
        <v>0</v>
      </c>
      <c r="BE274" s="195">
        <f t="shared" ref="BE274:BF274" si="597">BE275+BE285+BE304</f>
        <v>0</v>
      </c>
      <c r="BF274" s="195">
        <f t="shared" si="597"/>
        <v>0</v>
      </c>
      <c r="BG274" s="192">
        <f t="shared" ref="BG274" si="598">BG275+BG285+BG304</f>
        <v>0</v>
      </c>
    </row>
    <row r="275" spans="1:59" s="210" customFormat="1" ht="13.5" customHeight="1" x14ac:dyDescent="0.25">
      <c r="A275" s="103"/>
      <c r="B275" s="102" t="s">
        <v>33</v>
      </c>
      <c r="C275" s="101" t="s">
        <v>84</v>
      </c>
      <c r="D275" s="188">
        <f>SUM(D276:D284)</f>
        <v>0</v>
      </c>
      <c r="E275" s="188">
        <f>SUM(E276:E284)</f>
        <v>0</v>
      </c>
      <c r="F275" s="191">
        <f>SUM(F276:F284)</f>
        <v>0</v>
      </c>
      <c r="G275" s="189">
        <f>SUM(G276:G284)</f>
        <v>0</v>
      </c>
      <c r="H275" s="190">
        <f t="shared" si="580"/>
        <v>0</v>
      </c>
      <c r="I275" s="191">
        <f>SUM(I276:I284)</f>
        <v>0</v>
      </c>
      <c r="J275" s="189">
        <f>SUM(J276:J284)</f>
        <v>0</v>
      </c>
      <c r="K275" s="190">
        <f t="shared" si="581"/>
        <v>0</v>
      </c>
      <c r="L275" s="191">
        <f>SUM(L276:L284)</f>
        <v>0</v>
      </c>
      <c r="M275" s="189">
        <f>SUM(M276:M284)</f>
        <v>0</v>
      </c>
      <c r="N275" s="190">
        <f t="shared" si="582"/>
        <v>0</v>
      </c>
      <c r="O275" s="191">
        <f>SUM(O276:O284)</f>
        <v>0</v>
      </c>
      <c r="P275" s="189">
        <f>SUM(P276:P284)</f>
        <v>0</v>
      </c>
      <c r="Q275" s="190">
        <f t="shared" si="583"/>
        <v>0</v>
      </c>
      <c r="R275" s="191">
        <f>SUM(R276:R284)</f>
        <v>0</v>
      </c>
      <c r="S275" s="189">
        <f>SUM(S276:S284)</f>
        <v>0</v>
      </c>
      <c r="T275" s="190">
        <f t="shared" si="584"/>
        <v>0</v>
      </c>
      <c r="U275" s="191">
        <f>SUM(U276:U284)</f>
        <v>0</v>
      </c>
      <c r="V275" s="189">
        <f>SUM(V276:V284)</f>
        <v>0</v>
      </c>
      <c r="W275" s="190">
        <f t="shared" si="585"/>
        <v>0</v>
      </c>
      <c r="X275" s="191">
        <f>SUM(X276:X284)</f>
        <v>0</v>
      </c>
      <c r="Y275" s="189">
        <f>SUM(Y276:Y284)</f>
        <v>0</v>
      </c>
      <c r="Z275" s="190">
        <f t="shared" si="586"/>
        <v>0</v>
      </c>
      <c r="AA275" s="191">
        <f>SUM(AA276:AA284)</f>
        <v>0</v>
      </c>
      <c r="AB275" s="189">
        <f>SUM(AB276:AB284)</f>
        <v>0</v>
      </c>
      <c r="AC275" s="190">
        <f t="shared" si="587"/>
        <v>0</v>
      </c>
      <c r="AD275" s="191">
        <f>SUM(AD276:AD284)</f>
        <v>0</v>
      </c>
      <c r="AE275" s="189">
        <f>SUM(AE276:AE284)</f>
        <v>0</v>
      </c>
      <c r="AF275" s="190">
        <f t="shared" si="588"/>
        <v>0</v>
      </c>
      <c r="AG275" s="191">
        <f>SUM(AG276:AG284)</f>
        <v>0</v>
      </c>
      <c r="AH275" s="189">
        <f>SUM(AH276:AH284)</f>
        <v>0</v>
      </c>
      <c r="AI275" s="190">
        <f t="shared" si="589"/>
        <v>0</v>
      </c>
      <c r="AJ275" s="191">
        <f>SUM(AJ276:AJ284)</f>
        <v>0</v>
      </c>
      <c r="AK275" s="189">
        <f>SUM(AK276:AK284)</f>
        <v>0</v>
      </c>
      <c r="AL275" s="190">
        <f t="shared" si="590"/>
        <v>0</v>
      </c>
      <c r="AM275" s="191">
        <f>SUM(AM276:AM284)</f>
        <v>0</v>
      </c>
      <c r="AN275" s="189">
        <f>SUM(AN276:AN284)</f>
        <v>0</v>
      </c>
      <c r="AO275" s="190">
        <f t="shared" si="591"/>
        <v>0</v>
      </c>
      <c r="AP275" s="191">
        <f>SUM(AP276:AP284)</f>
        <v>0</v>
      </c>
      <c r="AQ275" s="189">
        <f>SUM(AQ276:AQ284)</f>
        <v>0</v>
      </c>
      <c r="AR275" s="190">
        <f t="shared" si="592"/>
        <v>0</v>
      </c>
      <c r="AS275" s="191">
        <f>SUM(AS276:AS284)</f>
        <v>0</v>
      </c>
      <c r="AT275" s="189">
        <f>SUM(AT276:AT284)</f>
        <v>0</v>
      </c>
      <c r="AU275" s="190">
        <f t="shared" si="593"/>
        <v>0</v>
      </c>
      <c r="AV275" s="191">
        <f>SUM(AV276:AV284)</f>
        <v>0</v>
      </c>
      <c r="AW275" s="189">
        <f>SUM(AW276:AW284)</f>
        <v>0</v>
      </c>
      <c r="AX275" s="190">
        <f t="shared" si="594"/>
        <v>0</v>
      </c>
      <c r="AY275" s="189">
        <f>SUM(AY276:AY284)</f>
        <v>0</v>
      </c>
      <c r="AZ275" s="189">
        <f>SUM(AZ276:AZ284)</f>
        <v>0</v>
      </c>
      <c r="BA275" s="190">
        <f t="shared" si="595"/>
        <v>0</v>
      </c>
      <c r="BB275" s="191">
        <f>SUM(BB276:BB284)</f>
        <v>0</v>
      </c>
      <c r="BC275" s="189">
        <f>SUM(BC276:BC284)</f>
        <v>0</v>
      </c>
      <c r="BD275" s="190">
        <f t="shared" si="596"/>
        <v>0</v>
      </c>
      <c r="BE275" s="191">
        <f t="shared" ref="BE275:BF275" si="599">SUM(BE276:BE284)</f>
        <v>0</v>
      </c>
      <c r="BF275" s="191">
        <f t="shared" si="599"/>
        <v>0</v>
      </c>
      <c r="BG275" s="188">
        <f t="shared" ref="BG275" si="600">SUM(BG276:BG284)</f>
        <v>0</v>
      </c>
    </row>
    <row r="276" spans="1:59" ht="13.5" hidden="1" customHeight="1" outlineLevel="1" x14ac:dyDescent="0.25">
      <c r="A276" s="100"/>
      <c r="B276" s="84" t="s">
        <v>34</v>
      </c>
      <c r="C276" s="83" t="s">
        <v>84</v>
      </c>
      <c r="D276" s="20"/>
      <c r="E276" s="20"/>
      <c r="F276" s="24"/>
      <c r="G276" s="23"/>
      <c r="H276" s="22">
        <f t="shared" si="580"/>
        <v>0</v>
      </c>
      <c r="I276" s="24"/>
      <c r="J276" s="23"/>
      <c r="K276" s="22">
        <f t="shared" si="581"/>
        <v>0</v>
      </c>
      <c r="L276" s="24"/>
      <c r="M276" s="23"/>
      <c r="N276" s="22">
        <f t="shared" si="582"/>
        <v>0</v>
      </c>
      <c r="O276" s="24">
        <f t="shared" ref="O276:P284" si="601">SUM(F276,I276,L276)</f>
        <v>0</v>
      </c>
      <c r="P276" s="23">
        <f t="shared" si="601"/>
        <v>0</v>
      </c>
      <c r="Q276" s="22">
        <f t="shared" si="583"/>
        <v>0</v>
      </c>
      <c r="R276" s="24"/>
      <c r="S276" s="23"/>
      <c r="T276" s="22">
        <f t="shared" si="584"/>
        <v>0</v>
      </c>
      <c r="U276" s="24"/>
      <c r="V276" s="23"/>
      <c r="W276" s="22">
        <f t="shared" si="585"/>
        <v>0</v>
      </c>
      <c r="X276" s="24"/>
      <c r="Y276" s="23"/>
      <c r="Z276" s="22">
        <f t="shared" si="586"/>
        <v>0</v>
      </c>
      <c r="AA276" s="24">
        <f t="shared" ref="AA276:AB284" si="602">SUM(R276,U276,X276)</f>
        <v>0</v>
      </c>
      <c r="AB276" s="23">
        <f t="shared" si="602"/>
        <v>0</v>
      </c>
      <c r="AC276" s="22">
        <f t="shared" si="587"/>
        <v>0</v>
      </c>
      <c r="AD276" s="24"/>
      <c r="AE276" s="23"/>
      <c r="AF276" s="22">
        <f t="shared" si="588"/>
        <v>0</v>
      </c>
      <c r="AG276" s="24"/>
      <c r="AH276" s="23"/>
      <c r="AI276" s="22">
        <f t="shared" si="589"/>
        <v>0</v>
      </c>
      <c r="AJ276" s="24"/>
      <c r="AK276" s="23"/>
      <c r="AL276" s="22">
        <f t="shared" si="590"/>
        <v>0</v>
      </c>
      <c r="AM276" s="24">
        <f t="shared" ref="AM276:AN284" si="603">SUM(AD276,AG276,AJ276)</f>
        <v>0</v>
      </c>
      <c r="AN276" s="23">
        <f t="shared" si="603"/>
        <v>0</v>
      </c>
      <c r="AO276" s="22">
        <f t="shared" si="591"/>
        <v>0</v>
      </c>
      <c r="AP276" s="24"/>
      <c r="AQ276" s="23"/>
      <c r="AR276" s="22">
        <f t="shared" si="592"/>
        <v>0</v>
      </c>
      <c r="AS276" s="24"/>
      <c r="AT276" s="23"/>
      <c r="AU276" s="22">
        <f t="shared" si="593"/>
        <v>0</v>
      </c>
      <c r="AV276" s="24"/>
      <c r="AW276" s="23"/>
      <c r="AX276" s="22">
        <f t="shared" si="594"/>
        <v>0</v>
      </c>
      <c r="AY276" s="23">
        <f t="shared" ref="AY276:AZ284" si="604">SUM(AP276,AS276,AV276)</f>
        <v>0</v>
      </c>
      <c r="AZ276" s="23">
        <f t="shared" si="604"/>
        <v>0</v>
      </c>
      <c r="BA276" s="22">
        <f t="shared" si="595"/>
        <v>0</v>
      </c>
      <c r="BB276" s="24">
        <f t="shared" ref="BB276:BC284" si="605">SUM(F276,I276,L276,R276,U276,X276,AD276,AG276,AJ276,AP276,AS276,AV276)</f>
        <v>0</v>
      </c>
      <c r="BC276" s="23">
        <f t="shared" si="605"/>
        <v>0</v>
      </c>
      <c r="BD276" s="22">
        <f t="shared" si="596"/>
        <v>0</v>
      </c>
      <c r="BE276" s="24"/>
      <c r="BF276" s="24"/>
      <c r="BG276" s="20">
        <f>BB276+BE276+BF276</f>
        <v>0</v>
      </c>
    </row>
    <row r="277" spans="1:59" ht="13.5" hidden="1" customHeight="1" outlineLevel="1" x14ac:dyDescent="0.25">
      <c r="A277" s="100"/>
      <c r="B277" s="84" t="s">
        <v>35</v>
      </c>
      <c r="C277" s="83" t="s">
        <v>84</v>
      </c>
      <c r="D277" s="20"/>
      <c r="E277" s="20"/>
      <c r="F277" s="24"/>
      <c r="G277" s="23"/>
      <c r="H277" s="22">
        <f t="shared" si="580"/>
        <v>0</v>
      </c>
      <c r="I277" s="24"/>
      <c r="J277" s="23"/>
      <c r="K277" s="22">
        <f t="shared" si="581"/>
        <v>0</v>
      </c>
      <c r="L277" s="24"/>
      <c r="M277" s="23"/>
      <c r="N277" s="22">
        <f t="shared" si="582"/>
        <v>0</v>
      </c>
      <c r="O277" s="24">
        <f t="shared" si="601"/>
        <v>0</v>
      </c>
      <c r="P277" s="23">
        <f t="shared" si="601"/>
        <v>0</v>
      </c>
      <c r="Q277" s="22">
        <f t="shared" si="583"/>
        <v>0</v>
      </c>
      <c r="R277" s="24"/>
      <c r="S277" s="23"/>
      <c r="T277" s="22">
        <f t="shared" si="584"/>
        <v>0</v>
      </c>
      <c r="U277" s="24"/>
      <c r="V277" s="23"/>
      <c r="W277" s="22">
        <f t="shared" si="585"/>
        <v>0</v>
      </c>
      <c r="X277" s="24"/>
      <c r="Y277" s="23"/>
      <c r="Z277" s="22">
        <f t="shared" si="586"/>
        <v>0</v>
      </c>
      <c r="AA277" s="24">
        <f t="shared" si="602"/>
        <v>0</v>
      </c>
      <c r="AB277" s="23">
        <f t="shared" si="602"/>
        <v>0</v>
      </c>
      <c r="AC277" s="22">
        <f t="shared" si="587"/>
        <v>0</v>
      </c>
      <c r="AD277" s="24"/>
      <c r="AE277" s="23"/>
      <c r="AF277" s="22">
        <f t="shared" si="588"/>
        <v>0</v>
      </c>
      <c r="AG277" s="24"/>
      <c r="AH277" s="23"/>
      <c r="AI277" s="22">
        <f t="shared" si="589"/>
        <v>0</v>
      </c>
      <c r="AJ277" s="24"/>
      <c r="AK277" s="23"/>
      <c r="AL277" s="22">
        <f t="shared" si="590"/>
        <v>0</v>
      </c>
      <c r="AM277" s="24">
        <f t="shared" si="603"/>
        <v>0</v>
      </c>
      <c r="AN277" s="23">
        <f t="shared" si="603"/>
        <v>0</v>
      </c>
      <c r="AO277" s="22">
        <f t="shared" si="591"/>
        <v>0</v>
      </c>
      <c r="AP277" s="24"/>
      <c r="AQ277" s="23"/>
      <c r="AR277" s="22">
        <f t="shared" si="592"/>
        <v>0</v>
      </c>
      <c r="AS277" s="24"/>
      <c r="AT277" s="23"/>
      <c r="AU277" s="22">
        <f t="shared" si="593"/>
        <v>0</v>
      </c>
      <c r="AV277" s="24"/>
      <c r="AW277" s="23"/>
      <c r="AX277" s="22">
        <f t="shared" si="594"/>
        <v>0</v>
      </c>
      <c r="AY277" s="23">
        <f t="shared" si="604"/>
        <v>0</v>
      </c>
      <c r="AZ277" s="23">
        <f t="shared" si="604"/>
        <v>0</v>
      </c>
      <c r="BA277" s="22">
        <f t="shared" si="595"/>
        <v>0</v>
      </c>
      <c r="BB277" s="24">
        <f t="shared" si="605"/>
        <v>0</v>
      </c>
      <c r="BC277" s="23">
        <f t="shared" si="605"/>
        <v>0</v>
      </c>
      <c r="BD277" s="22">
        <f t="shared" si="596"/>
        <v>0</v>
      </c>
      <c r="BE277" s="24"/>
      <c r="BF277" s="24"/>
      <c r="BG277" s="20">
        <f t="shared" ref="BG277:BG284" si="606">BB277+BE277+BF277</f>
        <v>0</v>
      </c>
    </row>
    <row r="278" spans="1:59" ht="13.5" hidden="1" customHeight="1" outlineLevel="1" x14ac:dyDescent="0.25">
      <c r="A278" s="100"/>
      <c r="B278" s="84" t="s">
        <v>36</v>
      </c>
      <c r="C278" s="83" t="s">
        <v>84</v>
      </c>
      <c r="D278" s="20"/>
      <c r="E278" s="20"/>
      <c r="F278" s="24"/>
      <c r="G278" s="23"/>
      <c r="H278" s="22">
        <f t="shared" si="580"/>
        <v>0</v>
      </c>
      <c r="I278" s="24"/>
      <c r="J278" s="23"/>
      <c r="K278" s="22">
        <f t="shared" si="581"/>
        <v>0</v>
      </c>
      <c r="L278" s="24"/>
      <c r="M278" s="23"/>
      <c r="N278" s="22">
        <f t="shared" si="582"/>
        <v>0</v>
      </c>
      <c r="O278" s="24">
        <f t="shared" si="601"/>
        <v>0</v>
      </c>
      <c r="P278" s="23">
        <f t="shared" si="601"/>
        <v>0</v>
      </c>
      <c r="Q278" s="22">
        <f t="shared" si="583"/>
        <v>0</v>
      </c>
      <c r="R278" s="24"/>
      <c r="S278" s="23"/>
      <c r="T278" s="22">
        <f t="shared" si="584"/>
        <v>0</v>
      </c>
      <c r="U278" s="24"/>
      <c r="V278" s="23"/>
      <c r="W278" s="22">
        <f t="shared" si="585"/>
        <v>0</v>
      </c>
      <c r="X278" s="24"/>
      <c r="Y278" s="23"/>
      <c r="Z278" s="22">
        <f t="shared" si="586"/>
        <v>0</v>
      </c>
      <c r="AA278" s="24">
        <f t="shared" si="602"/>
        <v>0</v>
      </c>
      <c r="AB278" s="23">
        <f t="shared" si="602"/>
        <v>0</v>
      </c>
      <c r="AC278" s="22">
        <f t="shared" si="587"/>
        <v>0</v>
      </c>
      <c r="AD278" s="24"/>
      <c r="AE278" s="23"/>
      <c r="AF278" s="22">
        <f t="shared" si="588"/>
        <v>0</v>
      </c>
      <c r="AG278" s="24"/>
      <c r="AH278" s="23"/>
      <c r="AI278" s="22">
        <f t="shared" si="589"/>
        <v>0</v>
      </c>
      <c r="AJ278" s="24"/>
      <c r="AK278" s="23"/>
      <c r="AL278" s="22">
        <f t="shared" si="590"/>
        <v>0</v>
      </c>
      <c r="AM278" s="24">
        <f t="shared" si="603"/>
        <v>0</v>
      </c>
      <c r="AN278" s="23">
        <f t="shared" si="603"/>
        <v>0</v>
      </c>
      <c r="AO278" s="22">
        <f t="shared" si="591"/>
        <v>0</v>
      </c>
      <c r="AP278" s="24"/>
      <c r="AQ278" s="23"/>
      <c r="AR278" s="22">
        <f t="shared" si="592"/>
        <v>0</v>
      </c>
      <c r="AS278" s="24"/>
      <c r="AT278" s="23"/>
      <c r="AU278" s="22">
        <f t="shared" si="593"/>
        <v>0</v>
      </c>
      <c r="AV278" s="24"/>
      <c r="AW278" s="23"/>
      <c r="AX278" s="22">
        <f t="shared" si="594"/>
        <v>0</v>
      </c>
      <c r="AY278" s="23">
        <f t="shared" si="604"/>
        <v>0</v>
      </c>
      <c r="AZ278" s="23">
        <f t="shared" si="604"/>
        <v>0</v>
      </c>
      <c r="BA278" s="22">
        <f t="shared" si="595"/>
        <v>0</v>
      </c>
      <c r="BB278" s="24">
        <f t="shared" si="605"/>
        <v>0</v>
      </c>
      <c r="BC278" s="23">
        <f t="shared" si="605"/>
        <v>0</v>
      </c>
      <c r="BD278" s="22">
        <f t="shared" si="596"/>
        <v>0</v>
      </c>
      <c r="BE278" s="24"/>
      <c r="BF278" s="24"/>
      <c r="BG278" s="20">
        <f t="shared" si="606"/>
        <v>0</v>
      </c>
    </row>
    <row r="279" spans="1:59" ht="13.5" hidden="1" customHeight="1" outlineLevel="1" x14ac:dyDescent="0.25">
      <c r="A279" s="100"/>
      <c r="B279" s="84" t="s">
        <v>37</v>
      </c>
      <c r="C279" s="83" t="s">
        <v>84</v>
      </c>
      <c r="D279" s="20"/>
      <c r="E279" s="20"/>
      <c r="F279" s="24"/>
      <c r="G279" s="23"/>
      <c r="H279" s="22">
        <f t="shared" si="580"/>
        <v>0</v>
      </c>
      <c r="I279" s="24"/>
      <c r="J279" s="23"/>
      <c r="K279" s="22">
        <f t="shared" si="581"/>
        <v>0</v>
      </c>
      <c r="L279" s="24"/>
      <c r="M279" s="23"/>
      <c r="N279" s="22">
        <f t="shared" si="582"/>
        <v>0</v>
      </c>
      <c r="O279" s="24">
        <f t="shared" si="601"/>
        <v>0</v>
      </c>
      <c r="P279" s="23">
        <f t="shared" si="601"/>
        <v>0</v>
      </c>
      <c r="Q279" s="22">
        <f t="shared" si="583"/>
        <v>0</v>
      </c>
      <c r="R279" s="24"/>
      <c r="S279" s="23"/>
      <c r="T279" s="22">
        <f t="shared" si="584"/>
        <v>0</v>
      </c>
      <c r="U279" s="24"/>
      <c r="V279" s="23"/>
      <c r="W279" s="22">
        <f t="shared" si="585"/>
        <v>0</v>
      </c>
      <c r="X279" s="24"/>
      <c r="Y279" s="23"/>
      <c r="Z279" s="22">
        <f t="shared" si="586"/>
        <v>0</v>
      </c>
      <c r="AA279" s="24">
        <f t="shared" si="602"/>
        <v>0</v>
      </c>
      <c r="AB279" s="23">
        <f t="shared" si="602"/>
        <v>0</v>
      </c>
      <c r="AC279" s="22">
        <f t="shared" si="587"/>
        <v>0</v>
      </c>
      <c r="AD279" s="24"/>
      <c r="AE279" s="23"/>
      <c r="AF279" s="22">
        <f t="shared" si="588"/>
        <v>0</v>
      </c>
      <c r="AG279" s="24"/>
      <c r="AH279" s="23"/>
      <c r="AI279" s="22">
        <f t="shared" si="589"/>
        <v>0</v>
      </c>
      <c r="AJ279" s="24"/>
      <c r="AK279" s="23"/>
      <c r="AL279" s="22">
        <f t="shared" si="590"/>
        <v>0</v>
      </c>
      <c r="AM279" s="24">
        <f t="shared" si="603"/>
        <v>0</v>
      </c>
      <c r="AN279" s="23">
        <f t="shared" si="603"/>
        <v>0</v>
      </c>
      <c r="AO279" s="22">
        <f t="shared" si="591"/>
        <v>0</v>
      </c>
      <c r="AP279" s="24"/>
      <c r="AQ279" s="23"/>
      <c r="AR279" s="22">
        <f t="shared" si="592"/>
        <v>0</v>
      </c>
      <c r="AS279" s="24"/>
      <c r="AT279" s="23"/>
      <c r="AU279" s="22">
        <f t="shared" si="593"/>
        <v>0</v>
      </c>
      <c r="AV279" s="24"/>
      <c r="AW279" s="23"/>
      <c r="AX279" s="22">
        <f t="shared" si="594"/>
        <v>0</v>
      </c>
      <c r="AY279" s="23">
        <f t="shared" si="604"/>
        <v>0</v>
      </c>
      <c r="AZ279" s="23">
        <f t="shared" si="604"/>
        <v>0</v>
      </c>
      <c r="BA279" s="22">
        <f t="shared" si="595"/>
        <v>0</v>
      </c>
      <c r="BB279" s="24">
        <f t="shared" si="605"/>
        <v>0</v>
      </c>
      <c r="BC279" s="23">
        <f t="shared" si="605"/>
        <v>0</v>
      </c>
      <c r="BD279" s="22">
        <f t="shared" si="596"/>
        <v>0</v>
      </c>
      <c r="BE279" s="24"/>
      <c r="BF279" s="24"/>
      <c r="BG279" s="20">
        <f t="shared" si="606"/>
        <v>0</v>
      </c>
    </row>
    <row r="280" spans="1:59" ht="13.5" hidden="1" customHeight="1" outlineLevel="1" x14ac:dyDescent="0.25">
      <c r="A280" s="100"/>
      <c r="B280" s="84" t="s">
        <v>38</v>
      </c>
      <c r="C280" s="83" t="s">
        <v>84</v>
      </c>
      <c r="D280" s="20"/>
      <c r="E280" s="20"/>
      <c r="F280" s="24"/>
      <c r="G280" s="23"/>
      <c r="H280" s="22">
        <f t="shared" si="580"/>
        <v>0</v>
      </c>
      <c r="I280" s="24"/>
      <c r="J280" s="23"/>
      <c r="K280" s="22">
        <f t="shared" si="581"/>
        <v>0</v>
      </c>
      <c r="L280" s="24"/>
      <c r="M280" s="23"/>
      <c r="N280" s="22">
        <f t="shared" si="582"/>
        <v>0</v>
      </c>
      <c r="O280" s="24">
        <f t="shared" si="601"/>
        <v>0</v>
      </c>
      <c r="P280" s="23">
        <f t="shared" si="601"/>
        <v>0</v>
      </c>
      <c r="Q280" s="22">
        <f t="shared" si="583"/>
        <v>0</v>
      </c>
      <c r="R280" s="24"/>
      <c r="S280" s="23"/>
      <c r="T280" s="22">
        <f t="shared" si="584"/>
        <v>0</v>
      </c>
      <c r="U280" s="24"/>
      <c r="V280" s="23"/>
      <c r="W280" s="22">
        <f t="shared" si="585"/>
        <v>0</v>
      </c>
      <c r="X280" s="24"/>
      <c r="Y280" s="23"/>
      <c r="Z280" s="22">
        <f t="shared" si="586"/>
        <v>0</v>
      </c>
      <c r="AA280" s="24">
        <f t="shared" si="602"/>
        <v>0</v>
      </c>
      <c r="AB280" s="23">
        <f t="shared" si="602"/>
        <v>0</v>
      </c>
      <c r="AC280" s="22">
        <f t="shared" si="587"/>
        <v>0</v>
      </c>
      <c r="AD280" s="24"/>
      <c r="AE280" s="23"/>
      <c r="AF280" s="22">
        <f t="shared" si="588"/>
        <v>0</v>
      </c>
      <c r="AG280" s="24"/>
      <c r="AH280" s="23"/>
      <c r="AI280" s="22">
        <f t="shared" si="589"/>
        <v>0</v>
      </c>
      <c r="AJ280" s="24"/>
      <c r="AK280" s="23"/>
      <c r="AL280" s="22">
        <f t="shared" si="590"/>
        <v>0</v>
      </c>
      <c r="AM280" s="24">
        <f t="shared" si="603"/>
        <v>0</v>
      </c>
      <c r="AN280" s="23">
        <f t="shared" si="603"/>
        <v>0</v>
      </c>
      <c r="AO280" s="22">
        <f t="shared" si="591"/>
        <v>0</v>
      </c>
      <c r="AP280" s="24"/>
      <c r="AQ280" s="23"/>
      <c r="AR280" s="22">
        <f t="shared" si="592"/>
        <v>0</v>
      </c>
      <c r="AS280" s="24"/>
      <c r="AT280" s="23"/>
      <c r="AU280" s="22">
        <f t="shared" si="593"/>
        <v>0</v>
      </c>
      <c r="AV280" s="24"/>
      <c r="AW280" s="23"/>
      <c r="AX280" s="22">
        <f t="shared" si="594"/>
        <v>0</v>
      </c>
      <c r="AY280" s="23">
        <f t="shared" si="604"/>
        <v>0</v>
      </c>
      <c r="AZ280" s="23">
        <f t="shared" si="604"/>
        <v>0</v>
      </c>
      <c r="BA280" s="22">
        <f t="shared" si="595"/>
        <v>0</v>
      </c>
      <c r="BB280" s="24">
        <f t="shared" si="605"/>
        <v>0</v>
      </c>
      <c r="BC280" s="23">
        <f t="shared" si="605"/>
        <v>0</v>
      </c>
      <c r="BD280" s="22">
        <f t="shared" si="596"/>
        <v>0</v>
      </c>
      <c r="BE280" s="24"/>
      <c r="BF280" s="24"/>
      <c r="BG280" s="20">
        <f t="shared" si="606"/>
        <v>0</v>
      </c>
    </row>
    <row r="281" spans="1:59" ht="13.5" hidden="1" customHeight="1" outlineLevel="1" x14ac:dyDescent="0.25">
      <c r="A281" s="100"/>
      <c r="B281" s="84" t="s">
        <v>39</v>
      </c>
      <c r="C281" s="83" t="s">
        <v>84</v>
      </c>
      <c r="D281" s="20"/>
      <c r="E281" s="20"/>
      <c r="F281" s="24"/>
      <c r="G281" s="23"/>
      <c r="H281" s="22">
        <f t="shared" si="580"/>
        <v>0</v>
      </c>
      <c r="I281" s="24"/>
      <c r="J281" s="23"/>
      <c r="K281" s="22">
        <f t="shared" si="581"/>
        <v>0</v>
      </c>
      <c r="L281" s="24"/>
      <c r="M281" s="23"/>
      <c r="N281" s="22">
        <f t="shared" si="582"/>
        <v>0</v>
      </c>
      <c r="O281" s="24">
        <f t="shared" si="601"/>
        <v>0</v>
      </c>
      <c r="P281" s="23">
        <f t="shared" si="601"/>
        <v>0</v>
      </c>
      <c r="Q281" s="22">
        <f t="shared" si="583"/>
        <v>0</v>
      </c>
      <c r="R281" s="24"/>
      <c r="S281" s="23"/>
      <c r="T281" s="22">
        <f t="shared" si="584"/>
        <v>0</v>
      </c>
      <c r="U281" s="24"/>
      <c r="V281" s="23"/>
      <c r="W281" s="22">
        <f t="shared" si="585"/>
        <v>0</v>
      </c>
      <c r="X281" s="24"/>
      <c r="Y281" s="23"/>
      <c r="Z281" s="22">
        <f t="shared" si="586"/>
        <v>0</v>
      </c>
      <c r="AA281" s="24">
        <f t="shared" si="602"/>
        <v>0</v>
      </c>
      <c r="AB281" s="23">
        <f t="shared" si="602"/>
        <v>0</v>
      </c>
      <c r="AC281" s="22">
        <f t="shared" si="587"/>
        <v>0</v>
      </c>
      <c r="AD281" s="24"/>
      <c r="AE281" s="23"/>
      <c r="AF281" s="22">
        <f t="shared" si="588"/>
        <v>0</v>
      </c>
      <c r="AG281" s="24"/>
      <c r="AH281" s="23"/>
      <c r="AI281" s="22">
        <f t="shared" si="589"/>
        <v>0</v>
      </c>
      <c r="AJ281" s="24"/>
      <c r="AK281" s="23"/>
      <c r="AL281" s="22">
        <f t="shared" si="590"/>
        <v>0</v>
      </c>
      <c r="AM281" s="24">
        <f t="shared" si="603"/>
        <v>0</v>
      </c>
      <c r="AN281" s="23">
        <f t="shared" si="603"/>
        <v>0</v>
      </c>
      <c r="AO281" s="22">
        <f t="shared" si="591"/>
        <v>0</v>
      </c>
      <c r="AP281" s="24"/>
      <c r="AQ281" s="23"/>
      <c r="AR281" s="22">
        <f t="shared" si="592"/>
        <v>0</v>
      </c>
      <c r="AS281" s="24"/>
      <c r="AT281" s="23"/>
      <c r="AU281" s="22">
        <f t="shared" si="593"/>
        <v>0</v>
      </c>
      <c r="AV281" s="24"/>
      <c r="AW281" s="23"/>
      <c r="AX281" s="22">
        <f t="shared" si="594"/>
        <v>0</v>
      </c>
      <c r="AY281" s="23">
        <f t="shared" si="604"/>
        <v>0</v>
      </c>
      <c r="AZ281" s="23">
        <f t="shared" si="604"/>
        <v>0</v>
      </c>
      <c r="BA281" s="22">
        <f t="shared" si="595"/>
        <v>0</v>
      </c>
      <c r="BB281" s="24">
        <f t="shared" si="605"/>
        <v>0</v>
      </c>
      <c r="BC281" s="23">
        <f t="shared" si="605"/>
        <v>0</v>
      </c>
      <c r="BD281" s="22">
        <f t="shared" si="596"/>
        <v>0</v>
      </c>
      <c r="BE281" s="24"/>
      <c r="BF281" s="24"/>
      <c r="BG281" s="20">
        <f t="shared" si="606"/>
        <v>0</v>
      </c>
    </row>
    <row r="282" spans="1:59" ht="13.5" hidden="1" customHeight="1" outlineLevel="1" x14ac:dyDescent="0.25">
      <c r="A282" s="100"/>
      <c r="B282" s="84" t="s">
        <v>40</v>
      </c>
      <c r="C282" s="83" t="s">
        <v>84</v>
      </c>
      <c r="D282" s="20"/>
      <c r="E282" s="20"/>
      <c r="F282" s="24"/>
      <c r="G282" s="23"/>
      <c r="H282" s="22">
        <f t="shared" si="580"/>
        <v>0</v>
      </c>
      <c r="I282" s="24"/>
      <c r="J282" s="23"/>
      <c r="K282" s="22">
        <f t="shared" si="581"/>
        <v>0</v>
      </c>
      <c r="L282" s="24"/>
      <c r="M282" s="23"/>
      <c r="N282" s="22">
        <f t="shared" si="582"/>
        <v>0</v>
      </c>
      <c r="O282" s="24">
        <f t="shared" si="601"/>
        <v>0</v>
      </c>
      <c r="P282" s="23">
        <f t="shared" si="601"/>
        <v>0</v>
      </c>
      <c r="Q282" s="22">
        <f t="shared" si="583"/>
        <v>0</v>
      </c>
      <c r="R282" s="24"/>
      <c r="S282" s="23"/>
      <c r="T282" s="22">
        <f t="shared" si="584"/>
        <v>0</v>
      </c>
      <c r="U282" s="24"/>
      <c r="V282" s="23"/>
      <c r="W282" s="22">
        <f t="shared" si="585"/>
        <v>0</v>
      </c>
      <c r="X282" s="24"/>
      <c r="Y282" s="23"/>
      <c r="Z282" s="22">
        <f t="shared" si="586"/>
        <v>0</v>
      </c>
      <c r="AA282" s="24">
        <f t="shared" si="602"/>
        <v>0</v>
      </c>
      <c r="AB282" s="23">
        <f t="shared" si="602"/>
        <v>0</v>
      </c>
      <c r="AC282" s="22">
        <f t="shared" si="587"/>
        <v>0</v>
      </c>
      <c r="AD282" s="24"/>
      <c r="AE282" s="23"/>
      <c r="AF282" s="22">
        <f t="shared" si="588"/>
        <v>0</v>
      </c>
      <c r="AG282" s="24"/>
      <c r="AH282" s="23"/>
      <c r="AI282" s="22">
        <f t="shared" si="589"/>
        <v>0</v>
      </c>
      <c r="AJ282" s="24"/>
      <c r="AK282" s="23"/>
      <c r="AL282" s="22">
        <f t="shared" si="590"/>
        <v>0</v>
      </c>
      <c r="AM282" s="24">
        <f t="shared" si="603"/>
        <v>0</v>
      </c>
      <c r="AN282" s="23">
        <f t="shared" si="603"/>
        <v>0</v>
      </c>
      <c r="AO282" s="22">
        <f t="shared" si="591"/>
        <v>0</v>
      </c>
      <c r="AP282" s="24"/>
      <c r="AQ282" s="23"/>
      <c r="AR282" s="22">
        <f t="shared" si="592"/>
        <v>0</v>
      </c>
      <c r="AS282" s="24"/>
      <c r="AT282" s="23"/>
      <c r="AU282" s="22">
        <f t="shared" si="593"/>
        <v>0</v>
      </c>
      <c r="AV282" s="24"/>
      <c r="AW282" s="23"/>
      <c r="AX282" s="22">
        <f t="shared" si="594"/>
        <v>0</v>
      </c>
      <c r="AY282" s="23">
        <f t="shared" si="604"/>
        <v>0</v>
      </c>
      <c r="AZ282" s="23">
        <f t="shared" si="604"/>
        <v>0</v>
      </c>
      <c r="BA282" s="22">
        <f t="shared" si="595"/>
        <v>0</v>
      </c>
      <c r="BB282" s="24">
        <f t="shared" si="605"/>
        <v>0</v>
      </c>
      <c r="BC282" s="23">
        <f t="shared" si="605"/>
        <v>0</v>
      </c>
      <c r="BD282" s="22">
        <f t="shared" si="596"/>
        <v>0</v>
      </c>
      <c r="BE282" s="24"/>
      <c r="BF282" s="24"/>
      <c r="BG282" s="20">
        <f t="shared" si="606"/>
        <v>0</v>
      </c>
    </row>
    <row r="283" spans="1:59" ht="13.5" hidden="1" customHeight="1" outlineLevel="1" x14ac:dyDescent="0.25">
      <c r="A283" s="100"/>
      <c r="B283" s="84" t="s">
        <v>41</v>
      </c>
      <c r="C283" s="83" t="s">
        <v>84</v>
      </c>
      <c r="D283" s="20"/>
      <c r="E283" s="20"/>
      <c r="F283" s="24"/>
      <c r="G283" s="23"/>
      <c r="H283" s="22">
        <f t="shared" si="580"/>
        <v>0</v>
      </c>
      <c r="I283" s="24"/>
      <c r="J283" s="23"/>
      <c r="K283" s="22">
        <f t="shared" si="581"/>
        <v>0</v>
      </c>
      <c r="L283" s="24"/>
      <c r="M283" s="23"/>
      <c r="N283" s="22">
        <f t="shared" si="582"/>
        <v>0</v>
      </c>
      <c r="O283" s="24">
        <f t="shared" si="601"/>
        <v>0</v>
      </c>
      <c r="P283" s="23">
        <f t="shared" si="601"/>
        <v>0</v>
      </c>
      <c r="Q283" s="22">
        <f t="shared" si="583"/>
        <v>0</v>
      </c>
      <c r="R283" s="24"/>
      <c r="S283" s="23"/>
      <c r="T283" s="22">
        <f t="shared" si="584"/>
        <v>0</v>
      </c>
      <c r="U283" s="24"/>
      <c r="V283" s="23"/>
      <c r="W283" s="22">
        <f t="shared" si="585"/>
        <v>0</v>
      </c>
      <c r="X283" s="24"/>
      <c r="Y283" s="23"/>
      <c r="Z283" s="22">
        <f t="shared" si="586"/>
        <v>0</v>
      </c>
      <c r="AA283" s="24">
        <f t="shared" si="602"/>
        <v>0</v>
      </c>
      <c r="AB283" s="23">
        <f t="shared" si="602"/>
        <v>0</v>
      </c>
      <c r="AC283" s="22">
        <f t="shared" si="587"/>
        <v>0</v>
      </c>
      <c r="AD283" s="24"/>
      <c r="AE283" s="23"/>
      <c r="AF283" s="22">
        <f t="shared" si="588"/>
        <v>0</v>
      </c>
      <c r="AG283" s="24"/>
      <c r="AH283" s="23"/>
      <c r="AI283" s="22">
        <f t="shared" si="589"/>
        <v>0</v>
      </c>
      <c r="AJ283" s="24"/>
      <c r="AK283" s="23"/>
      <c r="AL283" s="22">
        <f t="shared" si="590"/>
        <v>0</v>
      </c>
      <c r="AM283" s="24">
        <f t="shared" si="603"/>
        <v>0</v>
      </c>
      <c r="AN283" s="23">
        <f t="shared" si="603"/>
        <v>0</v>
      </c>
      <c r="AO283" s="22">
        <f t="shared" si="591"/>
        <v>0</v>
      </c>
      <c r="AP283" s="24"/>
      <c r="AQ283" s="23"/>
      <c r="AR283" s="22">
        <f t="shared" si="592"/>
        <v>0</v>
      </c>
      <c r="AS283" s="24"/>
      <c r="AT283" s="23"/>
      <c r="AU283" s="22">
        <f t="shared" si="593"/>
        <v>0</v>
      </c>
      <c r="AV283" s="24"/>
      <c r="AW283" s="23"/>
      <c r="AX283" s="22">
        <f t="shared" si="594"/>
        <v>0</v>
      </c>
      <c r="AY283" s="23">
        <f t="shared" si="604"/>
        <v>0</v>
      </c>
      <c r="AZ283" s="23">
        <f t="shared" si="604"/>
        <v>0</v>
      </c>
      <c r="BA283" s="22">
        <f t="shared" si="595"/>
        <v>0</v>
      </c>
      <c r="BB283" s="24">
        <f t="shared" si="605"/>
        <v>0</v>
      </c>
      <c r="BC283" s="23">
        <f t="shared" si="605"/>
        <v>0</v>
      </c>
      <c r="BD283" s="22">
        <f t="shared" si="596"/>
        <v>0</v>
      </c>
      <c r="BE283" s="24"/>
      <c r="BF283" s="24"/>
      <c r="BG283" s="20">
        <f t="shared" si="606"/>
        <v>0</v>
      </c>
    </row>
    <row r="284" spans="1:59" ht="13.5" hidden="1" customHeight="1" outlineLevel="1" x14ac:dyDescent="0.25">
      <c r="A284" s="28"/>
      <c r="B284" s="84" t="s">
        <v>42</v>
      </c>
      <c r="C284" s="83" t="s">
        <v>84</v>
      </c>
      <c r="D284" s="20"/>
      <c r="E284" s="20"/>
      <c r="F284" s="24"/>
      <c r="G284" s="23"/>
      <c r="H284" s="22">
        <f t="shared" si="580"/>
        <v>0</v>
      </c>
      <c r="I284" s="24"/>
      <c r="J284" s="23"/>
      <c r="K284" s="22">
        <f t="shared" si="581"/>
        <v>0</v>
      </c>
      <c r="L284" s="24"/>
      <c r="M284" s="23"/>
      <c r="N284" s="22">
        <f t="shared" si="582"/>
        <v>0</v>
      </c>
      <c r="O284" s="24">
        <f t="shared" si="601"/>
        <v>0</v>
      </c>
      <c r="P284" s="23">
        <f t="shared" si="601"/>
        <v>0</v>
      </c>
      <c r="Q284" s="22">
        <f t="shared" si="583"/>
        <v>0</v>
      </c>
      <c r="R284" s="24"/>
      <c r="S284" s="23"/>
      <c r="T284" s="22">
        <f t="shared" si="584"/>
        <v>0</v>
      </c>
      <c r="U284" s="24"/>
      <c r="V284" s="23"/>
      <c r="W284" s="22">
        <f t="shared" si="585"/>
        <v>0</v>
      </c>
      <c r="X284" s="24"/>
      <c r="Y284" s="23"/>
      <c r="Z284" s="22">
        <f t="shared" si="586"/>
        <v>0</v>
      </c>
      <c r="AA284" s="24">
        <f t="shared" si="602"/>
        <v>0</v>
      </c>
      <c r="AB284" s="23">
        <f t="shared" si="602"/>
        <v>0</v>
      </c>
      <c r="AC284" s="22">
        <f t="shared" si="587"/>
        <v>0</v>
      </c>
      <c r="AD284" s="24"/>
      <c r="AE284" s="23"/>
      <c r="AF284" s="22">
        <f t="shared" si="588"/>
        <v>0</v>
      </c>
      <c r="AG284" s="24"/>
      <c r="AH284" s="23"/>
      <c r="AI284" s="22">
        <f t="shared" si="589"/>
        <v>0</v>
      </c>
      <c r="AJ284" s="24"/>
      <c r="AK284" s="23"/>
      <c r="AL284" s="22">
        <f t="shared" si="590"/>
        <v>0</v>
      </c>
      <c r="AM284" s="24">
        <f t="shared" si="603"/>
        <v>0</v>
      </c>
      <c r="AN284" s="23">
        <f t="shared" si="603"/>
        <v>0</v>
      </c>
      <c r="AO284" s="22">
        <f t="shared" si="591"/>
        <v>0</v>
      </c>
      <c r="AP284" s="24"/>
      <c r="AQ284" s="23"/>
      <c r="AR284" s="22">
        <f t="shared" si="592"/>
        <v>0</v>
      </c>
      <c r="AS284" s="24"/>
      <c r="AT284" s="23"/>
      <c r="AU284" s="22">
        <f t="shared" si="593"/>
        <v>0</v>
      </c>
      <c r="AV284" s="24"/>
      <c r="AW284" s="23"/>
      <c r="AX284" s="22">
        <f t="shared" si="594"/>
        <v>0</v>
      </c>
      <c r="AY284" s="23">
        <f t="shared" si="604"/>
        <v>0</v>
      </c>
      <c r="AZ284" s="23">
        <f t="shared" si="604"/>
        <v>0</v>
      </c>
      <c r="BA284" s="22">
        <f t="shared" si="595"/>
        <v>0</v>
      </c>
      <c r="BB284" s="24">
        <f t="shared" si="605"/>
        <v>0</v>
      </c>
      <c r="BC284" s="23">
        <f t="shared" si="605"/>
        <v>0</v>
      </c>
      <c r="BD284" s="22">
        <f t="shared" si="596"/>
        <v>0</v>
      </c>
      <c r="BE284" s="24"/>
      <c r="BF284" s="24"/>
      <c r="BG284" s="20">
        <f t="shared" si="606"/>
        <v>0</v>
      </c>
    </row>
    <row r="285" spans="1:59" s="210" customFormat="1" ht="13.5" customHeight="1" collapsed="1" x14ac:dyDescent="0.25">
      <c r="A285" s="103"/>
      <c r="B285" s="102" t="s">
        <v>43</v>
      </c>
      <c r="C285" s="101" t="s">
        <v>84</v>
      </c>
      <c r="D285" s="188">
        <f>SUM(D286:D303)</f>
        <v>0</v>
      </c>
      <c r="E285" s="188">
        <f>SUM(E286:E303)</f>
        <v>0</v>
      </c>
      <c r="F285" s="191">
        <f>SUM(F286:F303)</f>
        <v>0</v>
      </c>
      <c r="G285" s="189">
        <f>SUM(G286:G303)</f>
        <v>0</v>
      </c>
      <c r="H285" s="190">
        <f t="shared" si="580"/>
        <v>0</v>
      </c>
      <c r="I285" s="191">
        <f>SUM(I286:I303)</f>
        <v>0</v>
      </c>
      <c r="J285" s="189">
        <f>SUM(J286:J303)</f>
        <v>0</v>
      </c>
      <c r="K285" s="190">
        <f t="shared" si="581"/>
        <v>0</v>
      </c>
      <c r="L285" s="191">
        <f>SUM(L286:L303)</f>
        <v>0</v>
      </c>
      <c r="M285" s="189">
        <f>SUM(M286:M303)</f>
        <v>0</v>
      </c>
      <c r="N285" s="190">
        <f t="shared" si="582"/>
        <v>0</v>
      </c>
      <c r="O285" s="191">
        <f>SUM(O286:O303)</f>
        <v>0</v>
      </c>
      <c r="P285" s="189">
        <f>SUM(P286:P303)</f>
        <v>0</v>
      </c>
      <c r="Q285" s="190">
        <f t="shared" si="583"/>
        <v>0</v>
      </c>
      <c r="R285" s="191">
        <f>SUM(R286:R303)</f>
        <v>0</v>
      </c>
      <c r="S285" s="189">
        <f>SUM(S286:S303)</f>
        <v>0</v>
      </c>
      <c r="T285" s="190">
        <f t="shared" si="584"/>
        <v>0</v>
      </c>
      <c r="U285" s="191">
        <f>SUM(U286:U303)</f>
        <v>0</v>
      </c>
      <c r="V285" s="189">
        <f>SUM(V286:V303)</f>
        <v>0</v>
      </c>
      <c r="W285" s="190">
        <f t="shared" si="585"/>
        <v>0</v>
      </c>
      <c r="X285" s="191">
        <f>SUM(X286:X303)</f>
        <v>0</v>
      </c>
      <c r="Y285" s="189">
        <f>SUM(Y286:Y303)</f>
        <v>0</v>
      </c>
      <c r="Z285" s="190">
        <f t="shared" si="586"/>
        <v>0</v>
      </c>
      <c r="AA285" s="191">
        <f>SUM(AA286:AA303)</f>
        <v>0</v>
      </c>
      <c r="AB285" s="189">
        <f>SUM(AB286:AB303)</f>
        <v>0</v>
      </c>
      <c r="AC285" s="190">
        <f t="shared" si="587"/>
        <v>0</v>
      </c>
      <c r="AD285" s="191">
        <f>SUM(AD286:AD303)</f>
        <v>0</v>
      </c>
      <c r="AE285" s="189">
        <f>SUM(AE286:AE303)</f>
        <v>0</v>
      </c>
      <c r="AF285" s="190">
        <f t="shared" si="588"/>
        <v>0</v>
      </c>
      <c r="AG285" s="191">
        <f>SUM(AG286:AG303)</f>
        <v>0</v>
      </c>
      <c r="AH285" s="189">
        <f>SUM(AH286:AH303)</f>
        <v>0</v>
      </c>
      <c r="AI285" s="190">
        <f t="shared" si="589"/>
        <v>0</v>
      </c>
      <c r="AJ285" s="191">
        <f>SUM(AJ286:AJ303)</f>
        <v>0</v>
      </c>
      <c r="AK285" s="189">
        <f>SUM(AK286:AK303)</f>
        <v>0</v>
      </c>
      <c r="AL285" s="190">
        <f t="shared" si="590"/>
        <v>0</v>
      </c>
      <c r="AM285" s="191">
        <f>SUM(AM286:AM303)</f>
        <v>0</v>
      </c>
      <c r="AN285" s="189">
        <f>SUM(AN286:AN303)</f>
        <v>0</v>
      </c>
      <c r="AO285" s="190">
        <f t="shared" si="591"/>
        <v>0</v>
      </c>
      <c r="AP285" s="191">
        <f>SUM(AP286:AP303)</f>
        <v>0</v>
      </c>
      <c r="AQ285" s="189">
        <f>SUM(AQ286:AQ303)</f>
        <v>0</v>
      </c>
      <c r="AR285" s="190">
        <f t="shared" si="592"/>
        <v>0</v>
      </c>
      <c r="AS285" s="191">
        <f>SUM(AS286:AS303)</f>
        <v>0</v>
      </c>
      <c r="AT285" s="189">
        <f>SUM(AT286:AT303)</f>
        <v>0</v>
      </c>
      <c r="AU285" s="190">
        <f t="shared" si="593"/>
        <v>0</v>
      </c>
      <c r="AV285" s="191">
        <f>SUM(AV286:AV303)</f>
        <v>0</v>
      </c>
      <c r="AW285" s="189">
        <f>SUM(AW286:AW303)</f>
        <v>0</v>
      </c>
      <c r="AX285" s="190">
        <f t="shared" si="594"/>
        <v>0</v>
      </c>
      <c r="AY285" s="189">
        <f>SUM(AY286:AY303)</f>
        <v>0</v>
      </c>
      <c r="AZ285" s="189">
        <f>SUM(AZ286:AZ303)</f>
        <v>0</v>
      </c>
      <c r="BA285" s="190">
        <f t="shared" si="595"/>
        <v>0</v>
      </c>
      <c r="BB285" s="191">
        <f>SUM(BB286:BB303)</f>
        <v>0</v>
      </c>
      <c r="BC285" s="189">
        <f>SUM(BC286:BC303)</f>
        <v>0</v>
      </c>
      <c r="BD285" s="190">
        <f t="shared" si="596"/>
        <v>0</v>
      </c>
      <c r="BE285" s="191">
        <f t="shared" ref="BE285:BF285" si="607">SUM(BE286:BE303)</f>
        <v>0</v>
      </c>
      <c r="BF285" s="191">
        <f t="shared" si="607"/>
        <v>0</v>
      </c>
      <c r="BG285" s="188">
        <f t="shared" ref="BG285" si="608">SUM(BG286:BG303)</f>
        <v>0</v>
      </c>
    </row>
    <row r="286" spans="1:59" ht="13.5" hidden="1" customHeight="1" outlineLevel="1" x14ac:dyDescent="0.25">
      <c r="A286" s="28"/>
      <c r="B286" s="84" t="s">
        <v>44</v>
      </c>
      <c r="C286" s="75" t="s">
        <v>84</v>
      </c>
      <c r="D286" s="20"/>
      <c r="E286" s="20"/>
      <c r="F286" s="24"/>
      <c r="G286" s="23"/>
      <c r="H286" s="22">
        <f t="shared" si="580"/>
        <v>0</v>
      </c>
      <c r="I286" s="24"/>
      <c r="J286" s="23"/>
      <c r="K286" s="22">
        <f t="shared" si="581"/>
        <v>0</v>
      </c>
      <c r="L286" s="24"/>
      <c r="M286" s="23"/>
      <c r="N286" s="22">
        <f t="shared" si="582"/>
        <v>0</v>
      </c>
      <c r="O286" s="24">
        <f t="shared" ref="O286:P301" si="609">SUM(F286,I286,L286)</f>
        <v>0</v>
      </c>
      <c r="P286" s="23">
        <f t="shared" si="609"/>
        <v>0</v>
      </c>
      <c r="Q286" s="22">
        <f t="shared" si="583"/>
        <v>0</v>
      </c>
      <c r="R286" s="24"/>
      <c r="S286" s="23"/>
      <c r="T286" s="22">
        <f t="shared" si="584"/>
        <v>0</v>
      </c>
      <c r="U286" s="24"/>
      <c r="V286" s="23"/>
      <c r="W286" s="22">
        <f t="shared" si="585"/>
        <v>0</v>
      </c>
      <c r="X286" s="24"/>
      <c r="Y286" s="23"/>
      <c r="Z286" s="22">
        <f t="shared" si="586"/>
        <v>0</v>
      </c>
      <c r="AA286" s="24">
        <f t="shared" ref="AA286:AB301" si="610">SUM(R286,U286,X286)</f>
        <v>0</v>
      </c>
      <c r="AB286" s="23">
        <f t="shared" si="610"/>
        <v>0</v>
      </c>
      <c r="AC286" s="22">
        <f t="shared" si="587"/>
        <v>0</v>
      </c>
      <c r="AD286" s="24"/>
      <c r="AE286" s="23"/>
      <c r="AF286" s="22">
        <f t="shared" si="588"/>
        <v>0</v>
      </c>
      <c r="AG286" s="24"/>
      <c r="AH286" s="23"/>
      <c r="AI286" s="22">
        <f t="shared" si="589"/>
        <v>0</v>
      </c>
      <c r="AJ286" s="24"/>
      <c r="AK286" s="23"/>
      <c r="AL286" s="22">
        <f t="shared" si="590"/>
        <v>0</v>
      </c>
      <c r="AM286" s="24">
        <f t="shared" ref="AM286:AN301" si="611">SUM(AD286,AG286,AJ286)</f>
        <v>0</v>
      </c>
      <c r="AN286" s="23">
        <f t="shared" si="611"/>
        <v>0</v>
      </c>
      <c r="AO286" s="22">
        <f t="shared" si="591"/>
        <v>0</v>
      </c>
      <c r="AP286" s="24"/>
      <c r="AQ286" s="23"/>
      <c r="AR286" s="22">
        <f t="shared" si="592"/>
        <v>0</v>
      </c>
      <c r="AS286" s="24"/>
      <c r="AT286" s="23"/>
      <c r="AU286" s="22">
        <f t="shared" si="593"/>
        <v>0</v>
      </c>
      <c r="AV286" s="24"/>
      <c r="AW286" s="23"/>
      <c r="AX286" s="22">
        <f t="shared" si="594"/>
        <v>0</v>
      </c>
      <c r="AY286" s="23">
        <f t="shared" ref="AY286:AZ301" si="612">SUM(AP286,AS286,AV286)</f>
        <v>0</v>
      </c>
      <c r="AZ286" s="23">
        <f t="shared" si="612"/>
        <v>0</v>
      </c>
      <c r="BA286" s="22">
        <f t="shared" si="595"/>
        <v>0</v>
      </c>
      <c r="BB286" s="24">
        <f t="shared" ref="BB286:BC301" si="613">SUM(F286,I286,L286,R286,U286,X286,AD286,AG286,AJ286,AP286,AS286,AV286)</f>
        <v>0</v>
      </c>
      <c r="BC286" s="23">
        <f t="shared" si="613"/>
        <v>0</v>
      </c>
      <c r="BD286" s="22">
        <f t="shared" si="596"/>
        <v>0</v>
      </c>
      <c r="BE286" s="24"/>
      <c r="BF286" s="24"/>
      <c r="BG286" s="20">
        <f>BB286+BE286+BF286</f>
        <v>0</v>
      </c>
    </row>
    <row r="287" spans="1:59" ht="13.5" hidden="1" customHeight="1" outlineLevel="1" x14ac:dyDescent="0.25">
      <c r="A287" s="28"/>
      <c r="B287" s="84" t="s">
        <v>45</v>
      </c>
      <c r="C287" s="75" t="s">
        <v>84</v>
      </c>
      <c r="D287" s="20"/>
      <c r="E287" s="20"/>
      <c r="F287" s="24"/>
      <c r="G287" s="23"/>
      <c r="H287" s="22">
        <f t="shared" si="580"/>
        <v>0</v>
      </c>
      <c r="I287" s="24"/>
      <c r="J287" s="23"/>
      <c r="K287" s="22">
        <f t="shared" si="581"/>
        <v>0</v>
      </c>
      <c r="L287" s="24"/>
      <c r="M287" s="23"/>
      <c r="N287" s="22">
        <f t="shared" si="582"/>
        <v>0</v>
      </c>
      <c r="O287" s="24">
        <f t="shared" si="609"/>
        <v>0</v>
      </c>
      <c r="P287" s="23">
        <f t="shared" si="609"/>
        <v>0</v>
      </c>
      <c r="Q287" s="22">
        <f t="shared" si="583"/>
        <v>0</v>
      </c>
      <c r="R287" s="24"/>
      <c r="S287" s="23"/>
      <c r="T287" s="22">
        <f t="shared" si="584"/>
        <v>0</v>
      </c>
      <c r="U287" s="24"/>
      <c r="V287" s="23"/>
      <c r="W287" s="22">
        <f t="shared" si="585"/>
        <v>0</v>
      </c>
      <c r="X287" s="24"/>
      <c r="Y287" s="23"/>
      <c r="Z287" s="22">
        <f t="shared" si="586"/>
        <v>0</v>
      </c>
      <c r="AA287" s="24">
        <f t="shared" si="610"/>
        <v>0</v>
      </c>
      <c r="AB287" s="23">
        <f t="shared" si="610"/>
        <v>0</v>
      </c>
      <c r="AC287" s="22">
        <f t="shared" si="587"/>
        <v>0</v>
      </c>
      <c r="AD287" s="24"/>
      <c r="AE287" s="23"/>
      <c r="AF287" s="22">
        <f t="shared" si="588"/>
        <v>0</v>
      </c>
      <c r="AG287" s="24"/>
      <c r="AH287" s="23"/>
      <c r="AI287" s="22">
        <f t="shared" si="589"/>
        <v>0</v>
      </c>
      <c r="AJ287" s="24"/>
      <c r="AK287" s="23"/>
      <c r="AL287" s="22">
        <f t="shared" si="590"/>
        <v>0</v>
      </c>
      <c r="AM287" s="24">
        <f t="shared" si="611"/>
        <v>0</v>
      </c>
      <c r="AN287" s="23">
        <f t="shared" si="611"/>
        <v>0</v>
      </c>
      <c r="AO287" s="22">
        <f t="shared" si="591"/>
        <v>0</v>
      </c>
      <c r="AP287" s="24"/>
      <c r="AQ287" s="23"/>
      <c r="AR287" s="22">
        <f t="shared" si="592"/>
        <v>0</v>
      </c>
      <c r="AS287" s="24"/>
      <c r="AT287" s="23"/>
      <c r="AU287" s="22">
        <f t="shared" si="593"/>
        <v>0</v>
      </c>
      <c r="AV287" s="24"/>
      <c r="AW287" s="23"/>
      <c r="AX287" s="22">
        <f t="shared" si="594"/>
        <v>0</v>
      </c>
      <c r="AY287" s="23">
        <f t="shared" si="612"/>
        <v>0</v>
      </c>
      <c r="AZ287" s="23">
        <f t="shared" si="612"/>
        <v>0</v>
      </c>
      <c r="BA287" s="22">
        <f t="shared" si="595"/>
        <v>0</v>
      </c>
      <c r="BB287" s="24">
        <f t="shared" si="613"/>
        <v>0</v>
      </c>
      <c r="BC287" s="23">
        <f t="shared" si="613"/>
        <v>0</v>
      </c>
      <c r="BD287" s="22">
        <f t="shared" si="596"/>
        <v>0</v>
      </c>
      <c r="BE287" s="24"/>
      <c r="BF287" s="24"/>
      <c r="BG287" s="20">
        <f t="shared" ref="BG287:BG303" si="614">BB287+BE287+BF287</f>
        <v>0</v>
      </c>
    </row>
    <row r="288" spans="1:59" ht="13.5" hidden="1" customHeight="1" outlineLevel="1" x14ac:dyDescent="0.25">
      <c r="A288" s="28"/>
      <c r="B288" s="84" t="s">
        <v>46</v>
      </c>
      <c r="C288" s="75" t="s">
        <v>84</v>
      </c>
      <c r="D288" s="20"/>
      <c r="E288" s="20"/>
      <c r="F288" s="24"/>
      <c r="G288" s="23"/>
      <c r="H288" s="22">
        <f t="shared" si="580"/>
        <v>0</v>
      </c>
      <c r="I288" s="24"/>
      <c r="J288" s="23"/>
      <c r="K288" s="22">
        <f t="shared" si="581"/>
        <v>0</v>
      </c>
      <c r="L288" s="24"/>
      <c r="M288" s="23"/>
      <c r="N288" s="22">
        <f t="shared" si="582"/>
        <v>0</v>
      </c>
      <c r="O288" s="24">
        <f t="shared" si="609"/>
        <v>0</v>
      </c>
      <c r="P288" s="23">
        <f t="shared" si="609"/>
        <v>0</v>
      </c>
      <c r="Q288" s="22">
        <f t="shared" si="583"/>
        <v>0</v>
      </c>
      <c r="R288" s="24"/>
      <c r="S288" s="23"/>
      <c r="T288" s="22">
        <f t="shared" si="584"/>
        <v>0</v>
      </c>
      <c r="U288" s="24"/>
      <c r="V288" s="23"/>
      <c r="W288" s="22">
        <f t="shared" si="585"/>
        <v>0</v>
      </c>
      <c r="X288" s="24"/>
      <c r="Y288" s="23"/>
      <c r="Z288" s="22">
        <f t="shared" si="586"/>
        <v>0</v>
      </c>
      <c r="AA288" s="24">
        <f t="shared" si="610"/>
        <v>0</v>
      </c>
      <c r="AB288" s="23">
        <f t="shared" si="610"/>
        <v>0</v>
      </c>
      <c r="AC288" s="22">
        <f t="shared" si="587"/>
        <v>0</v>
      </c>
      <c r="AD288" s="24"/>
      <c r="AE288" s="23"/>
      <c r="AF288" s="22">
        <f t="shared" si="588"/>
        <v>0</v>
      </c>
      <c r="AG288" s="24"/>
      <c r="AH288" s="23"/>
      <c r="AI288" s="22">
        <f t="shared" si="589"/>
        <v>0</v>
      </c>
      <c r="AJ288" s="24"/>
      <c r="AK288" s="23"/>
      <c r="AL288" s="22">
        <f t="shared" si="590"/>
        <v>0</v>
      </c>
      <c r="AM288" s="24">
        <f t="shared" si="611"/>
        <v>0</v>
      </c>
      <c r="AN288" s="23">
        <f t="shared" si="611"/>
        <v>0</v>
      </c>
      <c r="AO288" s="22">
        <f t="shared" si="591"/>
        <v>0</v>
      </c>
      <c r="AP288" s="24"/>
      <c r="AQ288" s="23"/>
      <c r="AR288" s="22">
        <f t="shared" si="592"/>
        <v>0</v>
      </c>
      <c r="AS288" s="24"/>
      <c r="AT288" s="23"/>
      <c r="AU288" s="22">
        <f t="shared" si="593"/>
        <v>0</v>
      </c>
      <c r="AV288" s="24"/>
      <c r="AW288" s="23"/>
      <c r="AX288" s="22">
        <f t="shared" si="594"/>
        <v>0</v>
      </c>
      <c r="AY288" s="23">
        <f t="shared" si="612"/>
        <v>0</v>
      </c>
      <c r="AZ288" s="23">
        <f t="shared" si="612"/>
        <v>0</v>
      </c>
      <c r="BA288" s="22">
        <f t="shared" si="595"/>
        <v>0</v>
      </c>
      <c r="BB288" s="24">
        <f t="shared" si="613"/>
        <v>0</v>
      </c>
      <c r="BC288" s="23">
        <f t="shared" si="613"/>
        <v>0</v>
      </c>
      <c r="BD288" s="22">
        <f t="shared" si="596"/>
        <v>0</v>
      </c>
      <c r="BE288" s="24"/>
      <c r="BF288" s="24"/>
      <c r="BG288" s="20">
        <f t="shared" si="614"/>
        <v>0</v>
      </c>
    </row>
    <row r="289" spans="1:59" ht="13.5" hidden="1" customHeight="1" outlineLevel="1" x14ac:dyDescent="0.25">
      <c r="A289" s="28"/>
      <c r="B289" s="84" t="s">
        <v>47</v>
      </c>
      <c r="C289" s="75" t="s">
        <v>84</v>
      </c>
      <c r="D289" s="20"/>
      <c r="E289" s="20"/>
      <c r="F289" s="24"/>
      <c r="G289" s="23"/>
      <c r="H289" s="22">
        <f t="shared" si="580"/>
        <v>0</v>
      </c>
      <c r="I289" s="24"/>
      <c r="J289" s="23"/>
      <c r="K289" s="22">
        <f t="shared" si="581"/>
        <v>0</v>
      </c>
      <c r="L289" s="24"/>
      <c r="M289" s="23"/>
      <c r="N289" s="22">
        <f t="shared" si="582"/>
        <v>0</v>
      </c>
      <c r="O289" s="24">
        <f t="shared" si="609"/>
        <v>0</v>
      </c>
      <c r="P289" s="23">
        <f t="shared" si="609"/>
        <v>0</v>
      </c>
      <c r="Q289" s="22">
        <f t="shared" si="583"/>
        <v>0</v>
      </c>
      <c r="R289" s="24"/>
      <c r="S289" s="23"/>
      <c r="T289" s="22">
        <f t="shared" si="584"/>
        <v>0</v>
      </c>
      <c r="U289" s="24"/>
      <c r="V289" s="23"/>
      <c r="W289" s="22">
        <f t="shared" si="585"/>
        <v>0</v>
      </c>
      <c r="X289" s="24"/>
      <c r="Y289" s="23"/>
      <c r="Z289" s="22">
        <f t="shared" si="586"/>
        <v>0</v>
      </c>
      <c r="AA289" s="24">
        <f t="shared" si="610"/>
        <v>0</v>
      </c>
      <c r="AB289" s="23">
        <f t="shared" si="610"/>
        <v>0</v>
      </c>
      <c r="AC289" s="22">
        <f t="shared" si="587"/>
        <v>0</v>
      </c>
      <c r="AD289" s="24"/>
      <c r="AE289" s="23"/>
      <c r="AF289" s="22">
        <f t="shared" si="588"/>
        <v>0</v>
      </c>
      <c r="AG289" s="24"/>
      <c r="AH289" s="23"/>
      <c r="AI289" s="22">
        <f t="shared" si="589"/>
        <v>0</v>
      </c>
      <c r="AJ289" s="24"/>
      <c r="AK289" s="23"/>
      <c r="AL289" s="22">
        <f t="shared" si="590"/>
        <v>0</v>
      </c>
      <c r="AM289" s="24">
        <f t="shared" si="611"/>
        <v>0</v>
      </c>
      <c r="AN289" s="23">
        <f t="shared" si="611"/>
        <v>0</v>
      </c>
      <c r="AO289" s="22">
        <f t="shared" si="591"/>
        <v>0</v>
      </c>
      <c r="AP289" s="24"/>
      <c r="AQ289" s="23"/>
      <c r="AR289" s="22">
        <f t="shared" si="592"/>
        <v>0</v>
      </c>
      <c r="AS289" s="24"/>
      <c r="AT289" s="23"/>
      <c r="AU289" s="22">
        <f t="shared" si="593"/>
        <v>0</v>
      </c>
      <c r="AV289" s="24"/>
      <c r="AW289" s="23"/>
      <c r="AX289" s="22">
        <f t="shared" si="594"/>
        <v>0</v>
      </c>
      <c r="AY289" s="23">
        <f t="shared" si="612"/>
        <v>0</v>
      </c>
      <c r="AZ289" s="23">
        <f t="shared" si="612"/>
        <v>0</v>
      </c>
      <c r="BA289" s="22">
        <f t="shared" si="595"/>
        <v>0</v>
      </c>
      <c r="BB289" s="24">
        <f t="shared" si="613"/>
        <v>0</v>
      </c>
      <c r="BC289" s="23">
        <f t="shared" si="613"/>
        <v>0</v>
      </c>
      <c r="BD289" s="22">
        <f t="shared" si="596"/>
        <v>0</v>
      </c>
      <c r="BE289" s="24"/>
      <c r="BF289" s="24"/>
      <c r="BG289" s="20">
        <f t="shared" si="614"/>
        <v>0</v>
      </c>
    </row>
    <row r="290" spans="1:59" ht="13.5" hidden="1" customHeight="1" outlineLevel="1" x14ac:dyDescent="0.25">
      <c r="A290" s="28"/>
      <c r="B290" s="84" t="s">
        <v>48</v>
      </c>
      <c r="C290" s="75" t="s">
        <v>84</v>
      </c>
      <c r="D290" s="20"/>
      <c r="E290" s="20"/>
      <c r="F290" s="24"/>
      <c r="G290" s="23"/>
      <c r="H290" s="22">
        <f t="shared" ref="H290:H305" si="615">G290-F290</f>
        <v>0</v>
      </c>
      <c r="I290" s="24"/>
      <c r="J290" s="23"/>
      <c r="K290" s="22">
        <f t="shared" ref="K290:K305" si="616">J290-I290</f>
        <v>0</v>
      </c>
      <c r="L290" s="24"/>
      <c r="M290" s="23"/>
      <c r="N290" s="22">
        <f t="shared" ref="N290:N305" si="617">M290-L290</f>
        <v>0</v>
      </c>
      <c r="O290" s="24">
        <f t="shared" si="609"/>
        <v>0</v>
      </c>
      <c r="P290" s="23">
        <f t="shared" si="609"/>
        <v>0</v>
      </c>
      <c r="Q290" s="22">
        <f t="shared" ref="Q290:Q305" si="618">P290-O290</f>
        <v>0</v>
      </c>
      <c r="R290" s="24"/>
      <c r="S290" s="23"/>
      <c r="T290" s="22">
        <f t="shared" ref="T290:T305" si="619">S290-R290</f>
        <v>0</v>
      </c>
      <c r="U290" s="24"/>
      <c r="V290" s="23"/>
      <c r="W290" s="22">
        <f t="shared" ref="W290:W305" si="620">V290-U290</f>
        <v>0</v>
      </c>
      <c r="X290" s="24"/>
      <c r="Y290" s="23"/>
      <c r="Z290" s="22">
        <f t="shared" ref="Z290:Z305" si="621">Y290-X290</f>
        <v>0</v>
      </c>
      <c r="AA290" s="24">
        <f t="shared" si="610"/>
        <v>0</v>
      </c>
      <c r="AB290" s="23">
        <f t="shared" si="610"/>
        <v>0</v>
      </c>
      <c r="AC290" s="22">
        <f t="shared" ref="AC290:AC305" si="622">AB290-AA290</f>
        <v>0</v>
      </c>
      <c r="AD290" s="24"/>
      <c r="AE290" s="23"/>
      <c r="AF290" s="22">
        <f t="shared" ref="AF290:AF305" si="623">AE290-AD290</f>
        <v>0</v>
      </c>
      <c r="AG290" s="24"/>
      <c r="AH290" s="23"/>
      <c r="AI290" s="22">
        <f t="shared" ref="AI290:AI305" si="624">AH290-AG290</f>
        <v>0</v>
      </c>
      <c r="AJ290" s="24"/>
      <c r="AK290" s="23"/>
      <c r="AL290" s="22">
        <f t="shared" ref="AL290:AL305" si="625">AK290-AJ290</f>
        <v>0</v>
      </c>
      <c r="AM290" s="24">
        <f t="shared" si="611"/>
        <v>0</v>
      </c>
      <c r="AN290" s="23">
        <f t="shared" si="611"/>
        <v>0</v>
      </c>
      <c r="AO290" s="22">
        <f t="shared" ref="AO290:AO305" si="626">AN290-AM290</f>
        <v>0</v>
      </c>
      <c r="AP290" s="24"/>
      <c r="AQ290" s="23"/>
      <c r="AR290" s="22">
        <f t="shared" ref="AR290:AR305" si="627">AQ290-AP290</f>
        <v>0</v>
      </c>
      <c r="AS290" s="24"/>
      <c r="AT290" s="23"/>
      <c r="AU290" s="22">
        <f t="shared" ref="AU290:AU305" si="628">AT290-AS290</f>
        <v>0</v>
      </c>
      <c r="AV290" s="24"/>
      <c r="AW290" s="23"/>
      <c r="AX290" s="22">
        <f t="shared" ref="AX290:AX305" si="629">AW290-AV290</f>
        <v>0</v>
      </c>
      <c r="AY290" s="23">
        <f t="shared" si="612"/>
        <v>0</v>
      </c>
      <c r="AZ290" s="23">
        <f t="shared" si="612"/>
        <v>0</v>
      </c>
      <c r="BA290" s="22">
        <f t="shared" ref="BA290:BA305" si="630">AZ290-AY290</f>
        <v>0</v>
      </c>
      <c r="BB290" s="24">
        <f t="shared" si="613"/>
        <v>0</v>
      </c>
      <c r="BC290" s="23">
        <f t="shared" si="613"/>
        <v>0</v>
      </c>
      <c r="BD290" s="22">
        <f t="shared" ref="BD290:BD305" si="631">BC290-BB290</f>
        <v>0</v>
      </c>
      <c r="BE290" s="24"/>
      <c r="BF290" s="24"/>
      <c r="BG290" s="20">
        <f t="shared" si="614"/>
        <v>0</v>
      </c>
    </row>
    <row r="291" spans="1:59" ht="13.5" hidden="1" customHeight="1" outlineLevel="1" x14ac:dyDescent="0.25">
      <c r="A291" s="28"/>
      <c r="B291" s="84" t="s">
        <v>49</v>
      </c>
      <c r="C291" s="75" t="s">
        <v>84</v>
      </c>
      <c r="D291" s="20"/>
      <c r="E291" s="20"/>
      <c r="F291" s="24"/>
      <c r="G291" s="23"/>
      <c r="H291" s="22">
        <f t="shared" si="615"/>
        <v>0</v>
      </c>
      <c r="I291" s="24"/>
      <c r="J291" s="23"/>
      <c r="K291" s="22">
        <f t="shared" si="616"/>
        <v>0</v>
      </c>
      <c r="L291" s="24"/>
      <c r="M291" s="23"/>
      <c r="N291" s="22">
        <f t="shared" si="617"/>
        <v>0</v>
      </c>
      <c r="O291" s="24">
        <f t="shared" si="609"/>
        <v>0</v>
      </c>
      <c r="P291" s="23">
        <f t="shared" si="609"/>
        <v>0</v>
      </c>
      <c r="Q291" s="22">
        <f t="shared" si="618"/>
        <v>0</v>
      </c>
      <c r="R291" s="24"/>
      <c r="S291" s="23"/>
      <c r="T291" s="22">
        <f t="shared" si="619"/>
        <v>0</v>
      </c>
      <c r="U291" s="24"/>
      <c r="V291" s="23"/>
      <c r="W291" s="22">
        <f t="shared" si="620"/>
        <v>0</v>
      </c>
      <c r="X291" s="24"/>
      <c r="Y291" s="23"/>
      <c r="Z291" s="22">
        <f t="shared" si="621"/>
        <v>0</v>
      </c>
      <c r="AA291" s="24">
        <f t="shared" si="610"/>
        <v>0</v>
      </c>
      <c r="AB291" s="23">
        <f t="shared" si="610"/>
        <v>0</v>
      </c>
      <c r="AC291" s="22">
        <f t="shared" si="622"/>
        <v>0</v>
      </c>
      <c r="AD291" s="24"/>
      <c r="AE291" s="23"/>
      <c r="AF291" s="22">
        <f t="shared" si="623"/>
        <v>0</v>
      </c>
      <c r="AG291" s="24"/>
      <c r="AH291" s="23"/>
      <c r="AI291" s="22">
        <f t="shared" si="624"/>
        <v>0</v>
      </c>
      <c r="AJ291" s="24"/>
      <c r="AK291" s="23"/>
      <c r="AL291" s="22">
        <f t="shared" si="625"/>
        <v>0</v>
      </c>
      <c r="AM291" s="24">
        <f t="shared" si="611"/>
        <v>0</v>
      </c>
      <c r="AN291" s="23">
        <f t="shared" si="611"/>
        <v>0</v>
      </c>
      <c r="AO291" s="22">
        <f t="shared" si="626"/>
        <v>0</v>
      </c>
      <c r="AP291" s="24"/>
      <c r="AQ291" s="23"/>
      <c r="AR291" s="22">
        <f t="shared" si="627"/>
        <v>0</v>
      </c>
      <c r="AS291" s="24"/>
      <c r="AT291" s="23"/>
      <c r="AU291" s="22">
        <f t="shared" si="628"/>
        <v>0</v>
      </c>
      <c r="AV291" s="24"/>
      <c r="AW291" s="23"/>
      <c r="AX291" s="22">
        <f t="shared" si="629"/>
        <v>0</v>
      </c>
      <c r="AY291" s="23">
        <f t="shared" si="612"/>
        <v>0</v>
      </c>
      <c r="AZ291" s="23">
        <f t="shared" si="612"/>
        <v>0</v>
      </c>
      <c r="BA291" s="22">
        <f t="shared" si="630"/>
        <v>0</v>
      </c>
      <c r="BB291" s="24">
        <f t="shared" si="613"/>
        <v>0</v>
      </c>
      <c r="BC291" s="23">
        <f t="shared" si="613"/>
        <v>0</v>
      </c>
      <c r="BD291" s="22">
        <f t="shared" si="631"/>
        <v>0</v>
      </c>
      <c r="BE291" s="24"/>
      <c r="BF291" s="24"/>
      <c r="BG291" s="20">
        <f t="shared" si="614"/>
        <v>0</v>
      </c>
    </row>
    <row r="292" spans="1:59" ht="13.5" hidden="1" customHeight="1" outlineLevel="1" x14ac:dyDescent="0.25">
      <c r="A292" s="28"/>
      <c r="B292" s="84" t="s">
        <v>50</v>
      </c>
      <c r="C292" s="75" t="s">
        <v>84</v>
      </c>
      <c r="D292" s="20"/>
      <c r="E292" s="20"/>
      <c r="F292" s="24"/>
      <c r="G292" s="23"/>
      <c r="H292" s="22">
        <f t="shared" si="615"/>
        <v>0</v>
      </c>
      <c r="I292" s="24"/>
      <c r="J292" s="23"/>
      <c r="K292" s="22">
        <f t="shared" si="616"/>
        <v>0</v>
      </c>
      <c r="L292" s="24"/>
      <c r="M292" s="23"/>
      <c r="N292" s="22">
        <f t="shared" si="617"/>
        <v>0</v>
      </c>
      <c r="O292" s="24">
        <f t="shared" si="609"/>
        <v>0</v>
      </c>
      <c r="P292" s="23">
        <f t="shared" si="609"/>
        <v>0</v>
      </c>
      <c r="Q292" s="22">
        <f t="shared" si="618"/>
        <v>0</v>
      </c>
      <c r="R292" s="24"/>
      <c r="S292" s="23"/>
      <c r="T292" s="22">
        <f t="shared" si="619"/>
        <v>0</v>
      </c>
      <c r="U292" s="24"/>
      <c r="V292" s="23"/>
      <c r="W292" s="22">
        <f t="shared" si="620"/>
        <v>0</v>
      </c>
      <c r="X292" s="24"/>
      <c r="Y292" s="23"/>
      <c r="Z292" s="22">
        <f t="shared" si="621"/>
        <v>0</v>
      </c>
      <c r="AA292" s="24">
        <f t="shared" si="610"/>
        <v>0</v>
      </c>
      <c r="AB292" s="23">
        <f t="shared" si="610"/>
        <v>0</v>
      </c>
      <c r="AC292" s="22">
        <f t="shared" si="622"/>
        <v>0</v>
      </c>
      <c r="AD292" s="24"/>
      <c r="AE292" s="23"/>
      <c r="AF292" s="22">
        <f t="shared" si="623"/>
        <v>0</v>
      </c>
      <c r="AG292" s="24"/>
      <c r="AH292" s="23"/>
      <c r="AI292" s="22">
        <f t="shared" si="624"/>
        <v>0</v>
      </c>
      <c r="AJ292" s="24"/>
      <c r="AK292" s="23"/>
      <c r="AL292" s="22">
        <f t="shared" si="625"/>
        <v>0</v>
      </c>
      <c r="AM292" s="24">
        <f t="shared" si="611"/>
        <v>0</v>
      </c>
      <c r="AN292" s="23">
        <f t="shared" si="611"/>
        <v>0</v>
      </c>
      <c r="AO292" s="22">
        <f t="shared" si="626"/>
        <v>0</v>
      </c>
      <c r="AP292" s="24"/>
      <c r="AQ292" s="23"/>
      <c r="AR292" s="22">
        <f t="shared" si="627"/>
        <v>0</v>
      </c>
      <c r="AS292" s="24"/>
      <c r="AT292" s="23"/>
      <c r="AU292" s="22">
        <f t="shared" si="628"/>
        <v>0</v>
      </c>
      <c r="AV292" s="24"/>
      <c r="AW292" s="23"/>
      <c r="AX292" s="22">
        <f t="shared" si="629"/>
        <v>0</v>
      </c>
      <c r="AY292" s="23">
        <f t="shared" si="612"/>
        <v>0</v>
      </c>
      <c r="AZ292" s="23">
        <f t="shared" si="612"/>
        <v>0</v>
      </c>
      <c r="BA292" s="22">
        <f t="shared" si="630"/>
        <v>0</v>
      </c>
      <c r="BB292" s="24">
        <f t="shared" si="613"/>
        <v>0</v>
      </c>
      <c r="BC292" s="23">
        <f t="shared" si="613"/>
        <v>0</v>
      </c>
      <c r="BD292" s="22">
        <f t="shared" si="631"/>
        <v>0</v>
      </c>
      <c r="BE292" s="24"/>
      <c r="BF292" s="24"/>
      <c r="BG292" s="20">
        <f t="shared" si="614"/>
        <v>0</v>
      </c>
    </row>
    <row r="293" spans="1:59" ht="13.5" hidden="1" customHeight="1" outlineLevel="1" x14ac:dyDescent="0.25">
      <c r="A293" s="28"/>
      <c r="B293" s="84" t="s">
        <v>51</v>
      </c>
      <c r="C293" s="75" t="s">
        <v>84</v>
      </c>
      <c r="D293" s="20"/>
      <c r="E293" s="20"/>
      <c r="F293" s="24"/>
      <c r="G293" s="23"/>
      <c r="H293" s="22">
        <f t="shared" si="615"/>
        <v>0</v>
      </c>
      <c r="I293" s="24"/>
      <c r="J293" s="23"/>
      <c r="K293" s="22">
        <f t="shared" si="616"/>
        <v>0</v>
      </c>
      <c r="L293" s="24"/>
      <c r="M293" s="23"/>
      <c r="N293" s="22">
        <f t="shared" si="617"/>
        <v>0</v>
      </c>
      <c r="O293" s="24">
        <f t="shared" si="609"/>
        <v>0</v>
      </c>
      <c r="P293" s="23">
        <f t="shared" si="609"/>
        <v>0</v>
      </c>
      <c r="Q293" s="22">
        <f t="shared" si="618"/>
        <v>0</v>
      </c>
      <c r="R293" s="24"/>
      <c r="S293" s="23"/>
      <c r="T293" s="22">
        <f t="shared" si="619"/>
        <v>0</v>
      </c>
      <c r="U293" s="24"/>
      <c r="V293" s="23"/>
      <c r="W293" s="22">
        <f t="shared" si="620"/>
        <v>0</v>
      </c>
      <c r="X293" s="24"/>
      <c r="Y293" s="23"/>
      <c r="Z293" s="22">
        <f t="shared" si="621"/>
        <v>0</v>
      </c>
      <c r="AA293" s="24">
        <f t="shared" si="610"/>
        <v>0</v>
      </c>
      <c r="AB293" s="23">
        <f t="shared" si="610"/>
        <v>0</v>
      </c>
      <c r="AC293" s="22">
        <f t="shared" si="622"/>
        <v>0</v>
      </c>
      <c r="AD293" s="24"/>
      <c r="AE293" s="23"/>
      <c r="AF293" s="22">
        <f t="shared" si="623"/>
        <v>0</v>
      </c>
      <c r="AG293" s="24"/>
      <c r="AH293" s="23"/>
      <c r="AI293" s="22">
        <f t="shared" si="624"/>
        <v>0</v>
      </c>
      <c r="AJ293" s="24"/>
      <c r="AK293" s="23"/>
      <c r="AL293" s="22">
        <f t="shared" si="625"/>
        <v>0</v>
      </c>
      <c r="AM293" s="24">
        <f t="shared" si="611"/>
        <v>0</v>
      </c>
      <c r="AN293" s="23">
        <f t="shared" si="611"/>
        <v>0</v>
      </c>
      <c r="AO293" s="22">
        <f t="shared" si="626"/>
        <v>0</v>
      </c>
      <c r="AP293" s="24"/>
      <c r="AQ293" s="23"/>
      <c r="AR293" s="22">
        <f t="shared" si="627"/>
        <v>0</v>
      </c>
      <c r="AS293" s="24"/>
      <c r="AT293" s="23"/>
      <c r="AU293" s="22">
        <f t="shared" si="628"/>
        <v>0</v>
      </c>
      <c r="AV293" s="24"/>
      <c r="AW293" s="23"/>
      <c r="AX293" s="22">
        <f t="shared" si="629"/>
        <v>0</v>
      </c>
      <c r="AY293" s="23">
        <f t="shared" si="612"/>
        <v>0</v>
      </c>
      <c r="AZ293" s="23">
        <f t="shared" si="612"/>
        <v>0</v>
      </c>
      <c r="BA293" s="22">
        <f t="shared" si="630"/>
        <v>0</v>
      </c>
      <c r="BB293" s="24">
        <f t="shared" si="613"/>
        <v>0</v>
      </c>
      <c r="BC293" s="23">
        <f t="shared" si="613"/>
        <v>0</v>
      </c>
      <c r="BD293" s="22">
        <f t="shared" si="631"/>
        <v>0</v>
      </c>
      <c r="BE293" s="24"/>
      <c r="BF293" s="24"/>
      <c r="BG293" s="20">
        <f t="shared" si="614"/>
        <v>0</v>
      </c>
    </row>
    <row r="294" spans="1:59" ht="13.5" hidden="1" customHeight="1" outlineLevel="1" x14ac:dyDescent="0.25">
      <c r="A294" s="28"/>
      <c r="B294" s="84" t="s">
        <v>52</v>
      </c>
      <c r="C294" s="75" t="s">
        <v>84</v>
      </c>
      <c r="D294" s="20"/>
      <c r="E294" s="20"/>
      <c r="F294" s="24"/>
      <c r="G294" s="23"/>
      <c r="H294" s="22">
        <f t="shared" si="615"/>
        <v>0</v>
      </c>
      <c r="I294" s="24"/>
      <c r="J294" s="23"/>
      <c r="K294" s="22">
        <f t="shared" si="616"/>
        <v>0</v>
      </c>
      <c r="L294" s="24"/>
      <c r="M294" s="23"/>
      <c r="N294" s="22">
        <f t="shared" si="617"/>
        <v>0</v>
      </c>
      <c r="O294" s="24">
        <f t="shared" si="609"/>
        <v>0</v>
      </c>
      <c r="P294" s="23">
        <f t="shared" si="609"/>
        <v>0</v>
      </c>
      <c r="Q294" s="22">
        <f t="shared" si="618"/>
        <v>0</v>
      </c>
      <c r="R294" s="24"/>
      <c r="S294" s="23"/>
      <c r="T294" s="22">
        <f t="shared" si="619"/>
        <v>0</v>
      </c>
      <c r="U294" s="24"/>
      <c r="V294" s="23"/>
      <c r="W294" s="22">
        <f t="shared" si="620"/>
        <v>0</v>
      </c>
      <c r="X294" s="24"/>
      <c r="Y294" s="23"/>
      <c r="Z294" s="22">
        <f t="shared" si="621"/>
        <v>0</v>
      </c>
      <c r="AA294" s="24">
        <f t="shared" si="610"/>
        <v>0</v>
      </c>
      <c r="AB294" s="23">
        <f t="shared" si="610"/>
        <v>0</v>
      </c>
      <c r="AC294" s="22">
        <f t="shared" si="622"/>
        <v>0</v>
      </c>
      <c r="AD294" s="24"/>
      <c r="AE294" s="23"/>
      <c r="AF294" s="22">
        <f t="shared" si="623"/>
        <v>0</v>
      </c>
      <c r="AG294" s="24"/>
      <c r="AH294" s="23"/>
      <c r="AI294" s="22">
        <f t="shared" si="624"/>
        <v>0</v>
      </c>
      <c r="AJ294" s="24"/>
      <c r="AK294" s="23"/>
      <c r="AL294" s="22">
        <f t="shared" si="625"/>
        <v>0</v>
      </c>
      <c r="AM294" s="24">
        <f t="shared" si="611"/>
        <v>0</v>
      </c>
      <c r="AN294" s="23">
        <f t="shared" si="611"/>
        <v>0</v>
      </c>
      <c r="AO294" s="22">
        <f t="shared" si="626"/>
        <v>0</v>
      </c>
      <c r="AP294" s="24"/>
      <c r="AQ294" s="23"/>
      <c r="AR294" s="22">
        <f t="shared" si="627"/>
        <v>0</v>
      </c>
      <c r="AS294" s="24"/>
      <c r="AT294" s="23"/>
      <c r="AU294" s="22">
        <f t="shared" si="628"/>
        <v>0</v>
      </c>
      <c r="AV294" s="24"/>
      <c r="AW294" s="23"/>
      <c r="AX294" s="22">
        <f t="shared" si="629"/>
        <v>0</v>
      </c>
      <c r="AY294" s="23">
        <f t="shared" si="612"/>
        <v>0</v>
      </c>
      <c r="AZ294" s="23">
        <f t="shared" si="612"/>
        <v>0</v>
      </c>
      <c r="BA294" s="22">
        <f t="shared" si="630"/>
        <v>0</v>
      </c>
      <c r="BB294" s="24">
        <f t="shared" si="613"/>
        <v>0</v>
      </c>
      <c r="BC294" s="23">
        <f t="shared" si="613"/>
        <v>0</v>
      </c>
      <c r="BD294" s="22">
        <f t="shared" si="631"/>
        <v>0</v>
      </c>
      <c r="BE294" s="24"/>
      <c r="BF294" s="24"/>
      <c r="BG294" s="20">
        <f t="shared" si="614"/>
        <v>0</v>
      </c>
    </row>
    <row r="295" spans="1:59" ht="13.5" hidden="1" customHeight="1" outlineLevel="1" x14ac:dyDescent="0.25">
      <c r="A295" s="28"/>
      <c r="B295" s="84" t="s">
        <v>53</v>
      </c>
      <c r="C295" s="75" t="s">
        <v>84</v>
      </c>
      <c r="D295" s="20"/>
      <c r="E295" s="20"/>
      <c r="F295" s="24"/>
      <c r="G295" s="23"/>
      <c r="H295" s="22">
        <f t="shared" si="615"/>
        <v>0</v>
      </c>
      <c r="I295" s="24"/>
      <c r="J295" s="23"/>
      <c r="K295" s="22">
        <f t="shared" si="616"/>
        <v>0</v>
      </c>
      <c r="L295" s="24"/>
      <c r="M295" s="23"/>
      <c r="N295" s="22">
        <f t="shared" si="617"/>
        <v>0</v>
      </c>
      <c r="O295" s="24">
        <f t="shared" si="609"/>
        <v>0</v>
      </c>
      <c r="P295" s="23">
        <f t="shared" si="609"/>
        <v>0</v>
      </c>
      <c r="Q295" s="22">
        <f t="shared" si="618"/>
        <v>0</v>
      </c>
      <c r="R295" s="24"/>
      <c r="S295" s="23"/>
      <c r="T295" s="22">
        <f t="shared" si="619"/>
        <v>0</v>
      </c>
      <c r="U295" s="24"/>
      <c r="V295" s="23"/>
      <c r="W295" s="22">
        <f t="shared" si="620"/>
        <v>0</v>
      </c>
      <c r="X295" s="24"/>
      <c r="Y295" s="23"/>
      <c r="Z295" s="22">
        <f t="shared" si="621"/>
        <v>0</v>
      </c>
      <c r="AA295" s="24">
        <f t="shared" si="610"/>
        <v>0</v>
      </c>
      <c r="AB295" s="23">
        <f t="shared" si="610"/>
        <v>0</v>
      </c>
      <c r="AC295" s="22">
        <f t="shared" si="622"/>
        <v>0</v>
      </c>
      <c r="AD295" s="24"/>
      <c r="AE295" s="23"/>
      <c r="AF295" s="22">
        <f t="shared" si="623"/>
        <v>0</v>
      </c>
      <c r="AG295" s="24"/>
      <c r="AH295" s="23"/>
      <c r="AI295" s="22">
        <f t="shared" si="624"/>
        <v>0</v>
      </c>
      <c r="AJ295" s="24"/>
      <c r="AK295" s="23"/>
      <c r="AL295" s="22">
        <f t="shared" si="625"/>
        <v>0</v>
      </c>
      <c r="AM295" s="24">
        <f t="shared" si="611"/>
        <v>0</v>
      </c>
      <c r="AN295" s="23">
        <f t="shared" si="611"/>
        <v>0</v>
      </c>
      <c r="AO295" s="22">
        <f t="shared" si="626"/>
        <v>0</v>
      </c>
      <c r="AP295" s="24"/>
      <c r="AQ295" s="23"/>
      <c r="AR295" s="22">
        <f t="shared" si="627"/>
        <v>0</v>
      </c>
      <c r="AS295" s="24"/>
      <c r="AT295" s="23"/>
      <c r="AU295" s="22">
        <f t="shared" si="628"/>
        <v>0</v>
      </c>
      <c r="AV295" s="24"/>
      <c r="AW295" s="23"/>
      <c r="AX295" s="22">
        <f t="shared" si="629"/>
        <v>0</v>
      </c>
      <c r="AY295" s="23">
        <f t="shared" si="612"/>
        <v>0</v>
      </c>
      <c r="AZ295" s="23">
        <f t="shared" si="612"/>
        <v>0</v>
      </c>
      <c r="BA295" s="22">
        <f t="shared" si="630"/>
        <v>0</v>
      </c>
      <c r="BB295" s="24">
        <f t="shared" si="613"/>
        <v>0</v>
      </c>
      <c r="BC295" s="23">
        <f t="shared" si="613"/>
        <v>0</v>
      </c>
      <c r="BD295" s="22">
        <f t="shared" si="631"/>
        <v>0</v>
      </c>
      <c r="BE295" s="24"/>
      <c r="BF295" s="24"/>
      <c r="BG295" s="20">
        <f t="shared" si="614"/>
        <v>0</v>
      </c>
    </row>
    <row r="296" spans="1:59" ht="13.5" hidden="1" customHeight="1" outlineLevel="1" x14ac:dyDescent="0.25">
      <c r="A296" s="28"/>
      <c r="B296" s="84" t="s">
        <v>54</v>
      </c>
      <c r="C296" s="75" t="s">
        <v>84</v>
      </c>
      <c r="D296" s="20"/>
      <c r="E296" s="20"/>
      <c r="F296" s="24"/>
      <c r="G296" s="23"/>
      <c r="H296" s="22">
        <f t="shared" si="615"/>
        <v>0</v>
      </c>
      <c r="I296" s="24"/>
      <c r="J296" s="23"/>
      <c r="K296" s="22">
        <f t="shared" si="616"/>
        <v>0</v>
      </c>
      <c r="L296" s="24"/>
      <c r="M296" s="23"/>
      <c r="N296" s="22">
        <f t="shared" si="617"/>
        <v>0</v>
      </c>
      <c r="O296" s="24">
        <f t="shared" si="609"/>
        <v>0</v>
      </c>
      <c r="P296" s="23">
        <f t="shared" si="609"/>
        <v>0</v>
      </c>
      <c r="Q296" s="22">
        <f t="shared" si="618"/>
        <v>0</v>
      </c>
      <c r="R296" s="24"/>
      <c r="S296" s="23"/>
      <c r="T296" s="22">
        <f t="shared" si="619"/>
        <v>0</v>
      </c>
      <c r="U296" s="24"/>
      <c r="V296" s="23"/>
      <c r="W296" s="22">
        <f t="shared" si="620"/>
        <v>0</v>
      </c>
      <c r="X296" s="24"/>
      <c r="Y296" s="23"/>
      <c r="Z296" s="22">
        <f t="shared" si="621"/>
        <v>0</v>
      </c>
      <c r="AA296" s="24">
        <f t="shared" si="610"/>
        <v>0</v>
      </c>
      <c r="AB296" s="23">
        <f t="shared" si="610"/>
        <v>0</v>
      </c>
      <c r="AC296" s="22">
        <f t="shared" si="622"/>
        <v>0</v>
      </c>
      <c r="AD296" s="24"/>
      <c r="AE296" s="23"/>
      <c r="AF296" s="22">
        <f t="shared" si="623"/>
        <v>0</v>
      </c>
      <c r="AG296" s="24"/>
      <c r="AH296" s="23"/>
      <c r="AI296" s="22">
        <f t="shared" si="624"/>
        <v>0</v>
      </c>
      <c r="AJ296" s="24"/>
      <c r="AK296" s="23"/>
      <c r="AL296" s="22">
        <f t="shared" si="625"/>
        <v>0</v>
      </c>
      <c r="AM296" s="24">
        <f t="shared" si="611"/>
        <v>0</v>
      </c>
      <c r="AN296" s="23">
        <f t="shared" si="611"/>
        <v>0</v>
      </c>
      <c r="AO296" s="22">
        <f t="shared" si="626"/>
        <v>0</v>
      </c>
      <c r="AP296" s="24"/>
      <c r="AQ296" s="23"/>
      <c r="AR296" s="22">
        <f t="shared" si="627"/>
        <v>0</v>
      </c>
      <c r="AS296" s="24"/>
      <c r="AT296" s="23"/>
      <c r="AU296" s="22">
        <f t="shared" si="628"/>
        <v>0</v>
      </c>
      <c r="AV296" s="24"/>
      <c r="AW296" s="23"/>
      <c r="AX296" s="22">
        <f t="shared" si="629"/>
        <v>0</v>
      </c>
      <c r="AY296" s="23">
        <f t="shared" si="612"/>
        <v>0</v>
      </c>
      <c r="AZ296" s="23">
        <f t="shared" si="612"/>
        <v>0</v>
      </c>
      <c r="BA296" s="22">
        <f t="shared" si="630"/>
        <v>0</v>
      </c>
      <c r="BB296" s="24">
        <f t="shared" si="613"/>
        <v>0</v>
      </c>
      <c r="BC296" s="23">
        <f t="shared" si="613"/>
        <v>0</v>
      </c>
      <c r="BD296" s="22">
        <f t="shared" si="631"/>
        <v>0</v>
      </c>
      <c r="BE296" s="24"/>
      <c r="BF296" s="24"/>
      <c r="BG296" s="20">
        <f t="shared" si="614"/>
        <v>0</v>
      </c>
    </row>
    <row r="297" spans="1:59" ht="13.5" hidden="1" customHeight="1" outlineLevel="1" x14ac:dyDescent="0.25">
      <c r="A297" s="82"/>
      <c r="B297" s="84" t="s">
        <v>55</v>
      </c>
      <c r="C297" s="74" t="s">
        <v>84</v>
      </c>
      <c r="D297" s="20"/>
      <c r="E297" s="20"/>
      <c r="F297" s="24"/>
      <c r="G297" s="23"/>
      <c r="H297" s="22">
        <f t="shared" si="615"/>
        <v>0</v>
      </c>
      <c r="I297" s="24"/>
      <c r="J297" s="23"/>
      <c r="K297" s="22">
        <f t="shared" si="616"/>
        <v>0</v>
      </c>
      <c r="L297" s="24"/>
      <c r="M297" s="23"/>
      <c r="N297" s="22">
        <f t="shared" si="617"/>
        <v>0</v>
      </c>
      <c r="O297" s="24">
        <f t="shared" si="609"/>
        <v>0</v>
      </c>
      <c r="P297" s="23">
        <f t="shared" si="609"/>
        <v>0</v>
      </c>
      <c r="Q297" s="22">
        <f t="shared" si="618"/>
        <v>0</v>
      </c>
      <c r="R297" s="24"/>
      <c r="S297" s="23"/>
      <c r="T297" s="22">
        <f t="shared" si="619"/>
        <v>0</v>
      </c>
      <c r="U297" s="24"/>
      <c r="V297" s="23"/>
      <c r="W297" s="22">
        <f t="shared" si="620"/>
        <v>0</v>
      </c>
      <c r="X297" s="24"/>
      <c r="Y297" s="23"/>
      <c r="Z297" s="22">
        <f t="shared" si="621"/>
        <v>0</v>
      </c>
      <c r="AA297" s="24">
        <f t="shared" si="610"/>
        <v>0</v>
      </c>
      <c r="AB297" s="23">
        <f t="shared" si="610"/>
        <v>0</v>
      </c>
      <c r="AC297" s="22">
        <f t="shared" si="622"/>
        <v>0</v>
      </c>
      <c r="AD297" s="24"/>
      <c r="AE297" s="23"/>
      <c r="AF297" s="22">
        <f t="shared" si="623"/>
        <v>0</v>
      </c>
      <c r="AG297" s="24"/>
      <c r="AH297" s="23"/>
      <c r="AI297" s="22">
        <f t="shared" si="624"/>
        <v>0</v>
      </c>
      <c r="AJ297" s="24"/>
      <c r="AK297" s="23"/>
      <c r="AL297" s="22">
        <f t="shared" si="625"/>
        <v>0</v>
      </c>
      <c r="AM297" s="24">
        <f t="shared" si="611"/>
        <v>0</v>
      </c>
      <c r="AN297" s="23">
        <f t="shared" si="611"/>
        <v>0</v>
      </c>
      <c r="AO297" s="22">
        <f t="shared" si="626"/>
        <v>0</v>
      </c>
      <c r="AP297" s="24"/>
      <c r="AQ297" s="23"/>
      <c r="AR297" s="22">
        <f t="shared" si="627"/>
        <v>0</v>
      </c>
      <c r="AS297" s="24"/>
      <c r="AT297" s="23"/>
      <c r="AU297" s="22">
        <f t="shared" si="628"/>
        <v>0</v>
      </c>
      <c r="AV297" s="24"/>
      <c r="AW297" s="23"/>
      <c r="AX297" s="22">
        <f t="shared" si="629"/>
        <v>0</v>
      </c>
      <c r="AY297" s="23">
        <f t="shared" si="612"/>
        <v>0</v>
      </c>
      <c r="AZ297" s="23">
        <f t="shared" si="612"/>
        <v>0</v>
      </c>
      <c r="BA297" s="22">
        <f t="shared" si="630"/>
        <v>0</v>
      </c>
      <c r="BB297" s="24">
        <f t="shared" si="613"/>
        <v>0</v>
      </c>
      <c r="BC297" s="23">
        <f t="shared" si="613"/>
        <v>0</v>
      </c>
      <c r="BD297" s="22">
        <f t="shared" si="631"/>
        <v>0</v>
      </c>
      <c r="BE297" s="24"/>
      <c r="BF297" s="24"/>
      <c r="BG297" s="20">
        <f t="shared" si="614"/>
        <v>0</v>
      </c>
    </row>
    <row r="298" spans="1:59" ht="13.5" hidden="1" customHeight="1" outlineLevel="1" x14ac:dyDescent="0.25">
      <c r="A298" s="82"/>
      <c r="B298" s="99" t="s">
        <v>56</v>
      </c>
      <c r="C298" s="74" t="s">
        <v>84</v>
      </c>
      <c r="D298" s="20"/>
      <c r="E298" s="20"/>
      <c r="F298" s="24"/>
      <c r="G298" s="23"/>
      <c r="H298" s="22">
        <f t="shared" si="615"/>
        <v>0</v>
      </c>
      <c r="I298" s="24"/>
      <c r="J298" s="23"/>
      <c r="K298" s="22">
        <f t="shared" si="616"/>
        <v>0</v>
      </c>
      <c r="L298" s="24"/>
      <c r="M298" s="23"/>
      <c r="N298" s="22">
        <f t="shared" si="617"/>
        <v>0</v>
      </c>
      <c r="O298" s="24">
        <f t="shared" si="609"/>
        <v>0</v>
      </c>
      <c r="P298" s="23">
        <f t="shared" si="609"/>
        <v>0</v>
      </c>
      <c r="Q298" s="22">
        <f t="shared" si="618"/>
        <v>0</v>
      </c>
      <c r="R298" s="24"/>
      <c r="S298" s="23"/>
      <c r="T298" s="22">
        <f t="shared" si="619"/>
        <v>0</v>
      </c>
      <c r="U298" s="24"/>
      <c r="V298" s="23"/>
      <c r="W298" s="22">
        <f t="shared" si="620"/>
        <v>0</v>
      </c>
      <c r="X298" s="24"/>
      <c r="Y298" s="23"/>
      <c r="Z298" s="22">
        <f t="shared" si="621"/>
        <v>0</v>
      </c>
      <c r="AA298" s="24">
        <f t="shared" si="610"/>
        <v>0</v>
      </c>
      <c r="AB298" s="23">
        <f t="shared" si="610"/>
        <v>0</v>
      </c>
      <c r="AC298" s="22">
        <f t="shared" si="622"/>
        <v>0</v>
      </c>
      <c r="AD298" s="24"/>
      <c r="AE298" s="23"/>
      <c r="AF298" s="22">
        <f t="shared" si="623"/>
        <v>0</v>
      </c>
      <c r="AG298" s="24"/>
      <c r="AH298" s="23"/>
      <c r="AI298" s="22">
        <f t="shared" si="624"/>
        <v>0</v>
      </c>
      <c r="AJ298" s="24"/>
      <c r="AK298" s="23"/>
      <c r="AL298" s="22">
        <f t="shared" si="625"/>
        <v>0</v>
      </c>
      <c r="AM298" s="24">
        <f t="shared" si="611"/>
        <v>0</v>
      </c>
      <c r="AN298" s="23">
        <f t="shared" si="611"/>
        <v>0</v>
      </c>
      <c r="AO298" s="22">
        <f t="shared" si="626"/>
        <v>0</v>
      </c>
      <c r="AP298" s="24"/>
      <c r="AQ298" s="23"/>
      <c r="AR298" s="22">
        <f t="shared" si="627"/>
        <v>0</v>
      </c>
      <c r="AS298" s="24"/>
      <c r="AT298" s="23"/>
      <c r="AU298" s="22">
        <f t="shared" si="628"/>
        <v>0</v>
      </c>
      <c r="AV298" s="24"/>
      <c r="AW298" s="23"/>
      <c r="AX298" s="22">
        <f t="shared" si="629"/>
        <v>0</v>
      </c>
      <c r="AY298" s="23">
        <f t="shared" si="612"/>
        <v>0</v>
      </c>
      <c r="AZ298" s="23">
        <f t="shared" si="612"/>
        <v>0</v>
      </c>
      <c r="BA298" s="22">
        <f t="shared" si="630"/>
        <v>0</v>
      </c>
      <c r="BB298" s="24">
        <f t="shared" si="613"/>
        <v>0</v>
      </c>
      <c r="BC298" s="23">
        <f t="shared" si="613"/>
        <v>0</v>
      </c>
      <c r="BD298" s="22">
        <f t="shared" si="631"/>
        <v>0</v>
      </c>
      <c r="BE298" s="24"/>
      <c r="BF298" s="24"/>
      <c r="BG298" s="20">
        <f t="shared" si="614"/>
        <v>0</v>
      </c>
    </row>
    <row r="299" spans="1:59" ht="13.5" hidden="1" customHeight="1" outlineLevel="1" x14ac:dyDescent="0.25">
      <c r="A299" s="82"/>
      <c r="B299" s="84" t="s">
        <v>57</v>
      </c>
      <c r="C299" s="74" t="s">
        <v>84</v>
      </c>
      <c r="D299" s="20"/>
      <c r="E299" s="20"/>
      <c r="F299" s="24"/>
      <c r="G299" s="23"/>
      <c r="H299" s="22">
        <f t="shared" si="615"/>
        <v>0</v>
      </c>
      <c r="I299" s="24"/>
      <c r="J299" s="23"/>
      <c r="K299" s="22">
        <f t="shared" si="616"/>
        <v>0</v>
      </c>
      <c r="L299" s="24"/>
      <c r="M299" s="23"/>
      <c r="N299" s="22">
        <f t="shared" si="617"/>
        <v>0</v>
      </c>
      <c r="O299" s="24">
        <f t="shared" si="609"/>
        <v>0</v>
      </c>
      <c r="P299" s="23">
        <f t="shared" si="609"/>
        <v>0</v>
      </c>
      <c r="Q299" s="22">
        <f t="shared" si="618"/>
        <v>0</v>
      </c>
      <c r="R299" s="24"/>
      <c r="S299" s="23"/>
      <c r="T299" s="22">
        <f t="shared" si="619"/>
        <v>0</v>
      </c>
      <c r="U299" s="24"/>
      <c r="V299" s="23"/>
      <c r="W299" s="22">
        <f t="shared" si="620"/>
        <v>0</v>
      </c>
      <c r="X299" s="24"/>
      <c r="Y299" s="23"/>
      <c r="Z299" s="22">
        <f t="shared" si="621"/>
        <v>0</v>
      </c>
      <c r="AA299" s="24">
        <f t="shared" si="610"/>
        <v>0</v>
      </c>
      <c r="AB299" s="23">
        <f t="shared" si="610"/>
        <v>0</v>
      </c>
      <c r="AC299" s="22">
        <f t="shared" si="622"/>
        <v>0</v>
      </c>
      <c r="AD299" s="24"/>
      <c r="AE299" s="23"/>
      <c r="AF299" s="22">
        <f t="shared" si="623"/>
        <v>0</v>
      </c>
      <c r="AG299" s="24"/>
      <c r="AH299" s="23"/>
      <c r="AI299" s="22">
        <f t="shared" si="624"/>
        <v>0</v>
      </c>
      <c r="AJ299" s="24"/>
      <c r="AK299" s="23"/>
      <c r="AL299" s="22">
        <f t="shared" si="625"/>
        <v>0</v>
      </c>
      <c r="AM299" s="24">
        <f t="shared" si="611"/>
        <v>0</v>
      </c>
      <c r="AN299" s="23">
        <f t="shared" si="611"/>
        <v>0</v>
      </c>
      <c r="AO299" s="22">
        <f t="shared" si="626"/>
        <v>0</v>
      </c>
      <c r="AP299" s="24"/>
      <c r="AQ299" s="23"/>
      <c r="AR299" s="22">
        <f t="shared" si="627"/>
        <v>0</v>
      </c>
      <c r="AS299" s="24"/>
      <c r="AT299" s="23"/>
      <c r="AU299" s="22">
        <f t="shared" si="628"/>
        <v>0</v>
      </c>
      <c r="AV299" s="24"/>
      <c r="AW299" s="23"/>
      <c r="AX299" s="22">
        <f t="shared" si="629"/>
        <v>0</v>
      </c>
      <c r="AY299" s="23">
        <f t="shared" si="612"/>
        <v>0</v>
      </c>
      <c r="AZ299" s="23">
        <f t="shared" si="612"/>
        <v>0</v>
      </c>
      <c r="BA299" s="22">
        <f t="shared" si="630"/>
        <v>0</v>
      </c>
      <c r="BB299" s="24">
        <f t="shared" si="613"/>
        <v>0</v>
      </c>
      <c r="BC299" s="23">
        <f t="shared" si="613"/>
        <v>0</v>
      </c>
      <c r="BD299" s="22">
        <f t="shared" si="631"/>
        <v>0</v>
      </c>
      <c r="BE299" s="24"/>
      <c r="BF299" s="24"/>
      <c r="BG299" s="20">
        <f t="shared" si="614"/>
        <v>0</v>
      </c>
    </row>
    <row r="300" spans="1:59" ht="13.5" hidden="1" customHeight="1" outlineLevel="1" x14ac:dyDescent="0.25">
      <c r="A300" s="82"/>
      <c r="B300" s="99" t="s">
        <v>58</v>
      </c>
      <c r="C300" s="74" t="s">
        <v>84</v>
      </c>
      <c r="D300" s="157"/>
      <c r="E300" s="157"/>
      <c r="F300" s="115"/>
      <c r="G300" s="107"/>
      <c r="H300" s="108">
        <f t="shared" si="615"/>
        <v>0</v>
      </c>
      <c r="I300" s="115"/>
      <c r="J300" s="107"/>
      <c r="K300" s="108">
        <f t="shared" si="616"/>
        <v>0</v>
      </c>
      <c r="L300" s="115"/>
      <c r="M300" s="107"/>
      <c r="N300" s="108">
        <f t="shared" si="617"/>
        <v>0</v>
      </c>
      <c r="O300" s="115">
        <f t="shared" si="609"/>
        <v>0</v>
      </c>
      <c r="P300" s="107">
        <f t="shared" si="609"/>
        <v>0</v>
      </c>
      <c r="Q300" s="108">
        <f t="shared" si="618"/>
        <v>0</v>
      </c>
      <c r="R300" s="115"/>
      <c r="S300" s="107"/>
      <c r="T300" s="108">
        <f t="shared" si="619"/>
        <v>0</v>
      </c>
      <c r="U300" s="115"/>
      <c r="V300" s="107"/>
      <c r="W300" s="108">
        <f t="shared" si="620"/>
        <v>0</v>
      </c>
      <c r="X300" s="115"/>
      <c r="Y300" s="107"/>
      <c r="Z300" s="108">
        <f t="shared" si="621"/>
        <v>0</v>
      </c>
      <c r="AA300" s="115">
        <f t="shared" si="610"/>
        <v>0</v>
      </c>
      <c r="AB300" s="107">
        <f t="shared" si="610"/>
        <v>0</v>
      </c>
      <c r="AC300" s="108">
        <f t="shared" si="622"/>
        <v>0</v>
      </c>
      <c r="AD300" s="115"/>
      <c r="AE300" s="107"/>
      <c r="AF300" s="108">
        <f t="shared" si="623"/>
        <v>0</v>
      </c>
      <c r="AG300" s="115"/>
      <c r="AH300" s="107"/>
      <c r="AI300" s="108">
        <f t="shared" si="624"/>
        <v>0</v>
      </c>
      <c r="AJ300" s="115"/>
      <c r="AK300" s="107"/>
      <c r="AL300" s="108">
        <f t="shared" si="625"/>
        <v>0</v>
      </c>
      <c r="AM300" s="115">
        <f t="shared" si="611"/>
        <v>0</v>
      </c>
      <c r="AN300" s="107">
        <f t="shared" si="611"/>
        <v>0</v>
      </c>
      <c r="AO300" s="108">
        <f t="shared" si="626"/>
        <v>0</v>
      </c>
      <c r="AP300" s="115"/>
      <c r="AQ300" s="107"/>
      <c r="AR300" s="108">
        <f t="shared" si="627"/>
        <v>0</v>
      </c>
      <c r="AS300" s="115"/>
      <c r="AT300" s="107"/>
      <c r="AU300" s="108">
        <f t="shared" si="628"/>
        <v>0</v>
      </c>
      <c r="AV300" s="115"/>
      <c r="AW300" s="107"/>
      <c r="AX300" s="108">
        <f t="shared" si="629"/>
        <v>0</v>
      </c>
      <c r="AY300" s="107">
        <f t="shared" si="612"/>
        <v>0</v>
      </c>
      <c r="AZ300" s="107">
        <f t="shared" si="612"/>
        <v>0</v>
      </c>
      <c r="BA300" s="108">
        <f t="shared" si="630"/>
        <v>0</v>
      </c>
      <c r="BB300" s="115">
        <f t="shared" si="613"/>
        <v>0</v>
      </c>
      <c r="BC300" s="107">
        <f t="shared" si="613"/>
        <v>0</v>
      </c>
      <c r="BD300" s="108">
        <f t="shared" si="631"/>
        <v>0</v>
      </c>
      <c r="BE300" s="115"/>
      <c r="BF300" s="115"/>
      <c r="BG300" s="20">
        <f t="shared" si="614"/>
        <v>0</v>
      </c>
    </row>
    <row r="301" spans="1:59" ht="13.5" hidden="1" customHeight="1" outlineLevel="1" x14ac:dyDescent="0.25">
      <c r="A301" s="82"/>
      <c r="B301" s="84" t="s">
        <v>59</v>
      </c>
      <c r="C301" s="74" t="s">
        <v>84</v>
      </c>
      <c r="D301" s="157"/>
      <c r="E301" s="157"/>
      <c r="F301" s="115"/>
      <c r="G301" s="107"/>
      <c r="H301" s="108">
        <f t="shared" si="615"/>
        <v>0</v>
      </c>
      <c r="I301" s="115"/>
      <c r="J301" s="107"/>
      <c r="K301" s="108">
        <f t="shared" si="616"/>
        <v>0</v>
      </c>
      <c r="L301" s="115"/>
      <c r="M301" s="107"/>
      <c r="N301" s="108">
        <f t="shared" si="617"/>
        <v>0</v>
      </c>
      <c r="O301" s="115">
        <f t="shared" si="609"/>
        <v>0</v>
      </c>
      <c r="P301" s="107">
        <f t="shared" si="609"/>
        <v>0</v>
      </c>
      <c r="Q301" s="108">
        <f t="shared" si="618"/>
        <v>0</v>
      </c>
      <c r="R301" s="115"/>
      <c r="S301" s="107"/>
      <c r="T301" s="108">
        <f t="shared" si="619"/>
        <v>0</v>
      </c>
      <c r="U301" s="115"/>
      <c r="V301" s="107"/>
      <c r="W301" s="108">
        <f t="shared" si="620"/>
        <v>0</v>
      </c>
      <c r="X301" s="115"/>
      <c r="Y301" s="107"/>
      <c r="Z301" s="108">
        <f t="shared" si="621"/>
        <v>0</v>
      </c>
      <c r="AA301" s="115">
        <f t="shared" si="610"/>
        <v>0</v>
      </c>
      <c r="AB301" s="107">
        <f t="shared" si="610"/>
        <v>0</v>
      </c>
      <c r="AC301" s="108">
        <f t="shared" si="622"/>
        <v>0</v>
      </c>
      <c r="AD301" s="115"/>
      <c r="AE301" s="107"/>
      <c r="AF301" s="108">
        <f t="shared" si="623"/>
        <v>0</v>
      </c>
      <c r="AG301" s="115"/>
      <c r="AH301" s="107"/>
      <c r="AI301" s="108">
        <f t="shared" si="624"/>
        <v>0</v>
      </c>
      <c r="AJ301" s="115"/>
      <c r="AK301" s="107"/>
      <c r="AL301" s="108">
        <f t="shared" si="625"/>
        <v>0</v>
      </c>
      <c r="AM301" s="115">
        <f t="shared" si="611"/>
        <v>0</v>
      </c>
      <c r="AN301" s="107">
        <f t="shared" si="611"/>
        <v>0</v>
      </c>
      <c r="AO301" s="108">
        <f t="shared" si="626"/>
        <v>0</v>
      </c>
      <c r="AP301" s="115"/>
      <c r="AQ301" s="107"/>
      <c r="AR301" s="108">
        <f t="shared" si="627"/>
        <v>0</v>
      </c>
      <c r="AS301" s="115"/>
      <c r="AT301" s="107"/>
      <c r="AU301" s="108">
        <f t="shared" si="628"/>
        <v>0</v>
      </c>
      <c r="AV301" s="115"/>
      <c r="AW301" s="107"/>
      <c r="AX301" s="108">
        <f t="shared" si="629"/>
        <v>0</v>
      </c>
      <c r="AY301" s="107">
        <f t="shared" si="612"/>
        <v>0</v>
      </c>
      <c r="AZ301" s="107">
        <f t="shared" si="612"/>
        <v>0</v>
      </c>
      <c r="BA301" s="108">
        <f t="shared" si="630"/>
        <v>0</v>
      </c>
      <c r="BB301" s="115">
        <f t="shared" si="613"/>
        <v>0</v>
      </c>
      <c r="BC301" s="107">
        <f t="shared" si="613"/>
        <v>0</v>
      </c>
      <c r="BD301" s="108">
        <f t="shared" si="631"/>
        <v>0</v>
      </c>
      <c r="BE301" s="115"/>
      <c r="BF301" s="115"/>
      <c r="BG301" s="20">
        <f t="shared" si="614"/>
        <v>0</v>
      </c>
    </row>
    <row r="302" spans="1:59" ht="13.5" hidden="1" customHeight="1" outlineLevel="1" x14ac:dyDescent="0.25">
      <c r="A302" s="82"/>
      <c r="B302" s="99" t="s">
        <v>60</v>
      </c>
      <c r="C302" s="74" t="s">
        <v>84</v>
      </c>
      <c r="D302" s="157"/>
      <c r="E302" s="157"/>
      <c r="F302" s="115"/>
      <c r="G302" s="107"/>
      <c r="H302" s="108">
        <f t="shared" si="615"/>
        <v>0</v>
      </c>
      <c r="I302" s="115"/>
      <c r="J302" s="107"/>
      <c r="K302" s="108">
        <f t="shared" si="616"/>
        <v>0</v>
      </c>
      <c r="L302" s="115"/>
      <c r="M302" s="107"/>
      <c r="N302" s="108">
        <f t="shared" si="617"/>
        <v>0</v>
      </c>
      <c r="O302" s="115">
        <f>SUM(F302,I302,L302)</f>
        <v>0</v>
      </c>
      <c r="P302" s="107">
        <f>SUM(G302,J302,M302)</f>
        <v>0</v>
      </c>
      <c r="Q302" s="108">
        <f t="shared" si="618"/>
        <v>0</v>
      </c>
      <c r="R302" s="115"/>
      <c r="S302" s="107"/>
      <c r="T302" s="108">
        <f t="shared" si="619"/>
        <v>0</v>
      </c>
      <c r="U302" s="115"/>
      <c r="V302" s="107"/>
      <c r="W302" s="108">
        <f t="shared" si="620"/>
        <v>0</v>
      </c>
      <c r="X302" s="115"/>
      <c r="Y302" s="107"/>
      <c r="Z302" s="108">
        <f t="shared" si="621"/>
        <v>0</v>
      </c>
      <c r="AA302" s="115">
        <f>SUM(R302,U302,X302)</f>
        <v>0</v>
      </c>
      <c r="AB302" s="107">
        <f>SUM(S302,V302,Y302)</f>
        <v>0</v>
      </c>
      <c r="AC302" s="108">
        <f t="shared" si="622"/>
        <v>0</v>
      </c>
      <c r="AD302" s="115"/>
      <c r="AE302" s="107"/>
      <c r="AF302" s="108">
        <f t="shared" si="623"/>
        <v>0</v>
      </c>
      <c r="AG302" s="115"/>
      <c r="AH302" s="107"/>
      <c r="AI302" s="108">
        <f t="shared" si="624"/>
        <v>0</v>
      </c>
      <c r="AJ302" s="115"/>
      <c r="AK302" s="107"/>
      <c r="AL302" s="108">
        <f t="shared" si="625"/>
        <v>0</v>
      </c>
      <c r="AM302" s="115">
        <f>SUM(AD302,AG302,AJ302)</f>
        <v>0</v>
      </c>
      <c r="AN302" s="107">
        <f>SUM(AE302,AH302,AK302)</f>
        <v>0</v>
      </c>
      <c r="AO302" s="108">
        <f t="shared" si="626"/>
        <v>0</v>
      </c>
      <c r="AP302" s="115"/>
      <c r="AQ302" s="107"/>
      <c r="AR302" s="108">
        <f t="shared" si="627"/>
        <v>0</v>
      </c>
      <c r="AS302" s="115"/>
      <c r="AT302" s="107"/>
      <c r="AU302" s="108">
        <f t="shared" si="628"/>
        <v>0</v>
      </c>
      <c r="AV302" s="115"/>
      <c r="AW302" s="107"/>
      <c r="AX302" s="108">
        <f t="shared" si="629"/>
        <v>0</v>
      </c>
      <c r="AY302" s="107">
        <f>SUM(AP302,AS302,AV302)</f>
        <v>0</v>
      </c>
      <c r="AZ302" s="107">
        <f>SUM(AQ302,AT302,AW302)</f>
        <v>0</v>
      </c>
      <c r="BA302" s="108">
        <f t="shared" si="630"/>
        <v>0</v>
      </c>
      <c r="BB302" s="115">
        <f>SUM(F302,I302,L302,R302,U302,X302,AD302,AG302,AJ302,AP302,AS302,AV302)</f>
        <v>0</v>
      </c>
      <c r="BC302" s="107">
        <f>SUM(G302,J302,M302,S302,V302,Y302,AE302,AH302,AK302,AQ302,AT302,AW302)</f>
        <v>0</v>
      </c>
      <c r="BD302" s="108">
        <f t="shared" si="631"/>
        <v>0</v>
      </c>
      <c r="BE302" s="115"/>
      <c r="BF302" s="115"/>
      <c r="BG302" s="20">
        <f t="shared" si="614"/>
        <v>0</v>
      </c>
    </row>
    <row r="303" spans="1:59" ht="13.5" hidden="1" customHeight="1" outlineLevel="1" x14ac:dyDescent="0.25">
      <c r="A303" s="82"/>
      <c r="B303" s="84" t="s">
        <v>61</v>
      </c>
      <c r="C303" s="74" t="s">
        <v>84</v>
      </c>
      <c r="D303" s="157"/>
      <c r="E303" s="157"/>
      <c r="F303" s="115"/>
      <c r="G303" s="107"/>
      <c r="H303" s="108">
        <f t="shared" si="615"/>
        <v>0</v>
      </c>
      <c r="I303" s="115"/>
      <c r="J303" s="107"/>
      <c r="K303" s="108">
        <f t="shared" si="616"/>
        <v>0</v>
      </c>
      <c r="L303" s="115"/>
      <c r="M303" s="107"/>
      <c r="N303" s="108">
        <f t="shared" si="617"/>
        <v>0</v>
      </c>
      <c r="O303" s="115">
        <f>SUM(F303,I303,L303)</f>
        <v>0</v>
      </c>
      <c r="P303" s="107">
        <f>SUM(G303,J303,M303)</f>
        <v>0</v>
      </c>
      <c r="Q303" s="108">
        <f t="shared" si="618"/>
        <v>0</v>
      </c>
      <c r="R303" s="115"/>
      <c r="S303" s="107"/>
      <c r="T303" s="108">
        <f t="shared" si="619"/>
        <v>0</v>
      </c>
      <c r="U303" s="115"/>
      <c r="V303" s="107"/>
      <c r="W303" s="108">
        <f t="shared" si="620"/>
        <v>0</v>
      </c>
      <c r="X303" s="115"/>
      <c r="Y303" s="107"/>
      <c r="Z303" s="108">
        <f t="shared" si="621"/>
        <v>0</v>
      </c>
      <c r="AA303" s="115">
        <f>SUM(R303,U303,X303)</f>
        <v>0</v>
      </c>
      <c r="AB303" s="107">
        <f>SUM(S303,V303,Y303)</f>
        <v>0</v>
      </c>
      <c r="AC303" s="108">
        <f t="shared" si="622"/>
        <v>0</v>
      </c>
      <c r="AD303" s="115"/>
      <c r="AE303" s="107"/>
      <c r="AF303" s="108">
        <f t="shared" si="623"/>
        <v>0</v>
      </c>
      <c r="AG303" s="115"/>
      <c r="AH303" s="107"/>
      <c r="AI303" s="108">
        <f t="shared" si="624"/>
        <v>0</v>
      </c>
      <c r="AJ303" s="115"/>
      <c r="AK303" s="107"/>
      <c r="AL303" s="108">
        <f t="shared" si="625"/>
        <v>0</v>
      </c>
      <c r="AM303" s="115">
        <f>SUM(AD303,AG303,AJ303)</f>
        <v>0</v>
      </c>
      <c r="AN303" s="107">
        <f>SUM(AE303,AH303,AK303)</f>
        <v>0</v>
      </c>
      <c r="AO303" s="108">
        <f t="shared" si="626"/>
        <v>0</v>
      </c>
      <c r="AP303" s="115"/>
      <c r="AQ303" s="107"/>
      <c r="AR303" s="108">
        <f t="shared" si="627"/>
        <v>0</v>
      </c>
      <c r="AS303" s="115"/>
      <c r="AT303" s="107"/>
      <c r="AU303" s="108">
        <f t="shared" si="628"/>
        <v>0</v>
      </c>
      <c r="AV303" s="115"/>
      <c r="AW303" s="107"/>
      <c r="AX303" s="108">
        <f t="shared" si="629"/>
        <v>0</v>
      </c>
      <c r="AY303" s="107">
        <f>SUM(AP303,AS303,AV303)</f>
        <v>0</v>
      </c>
      <c r="AZ303" s="107">
        <f>SUM(AQ303,AT303,AW303)</f>
        <v>0</v>
      </c>
      <c r="BA303" s="108">
        <f t="shared" si="630"/>
        <v>0</v>
      </c>
      <c r="BB303" s="115">
        <f>SUM(F303,I303,L303,R303,U303,X303,AD303,AG303,AJ303,AP303,AS303,AV303)</f>
        <v>0</v>
      </c>
      <c r="BC303" s="107">
        <f>SUM(G303,J303,M303,S303,V303,Y303,AE303,AH303,AK303,AQ303,AT303,AW303)</f>
        <v>0</v>
      </c>
      <c r="BD303" s="108">
        <f t="shared" si="631"/>
        <v>0</v>
      </c>
      <c r="BE303" s="115"/>
      <c r="BF303" s="115"/>
      <c r="BG303" s="20">
        <f t="shared" si="614"/>
        <v>0</v>
      </c>
    </row>
    <row r="304" spans="1:59" s="210" customFormat="1" ht="13.5" customHeight="1" collapsed="1" thickBot="1" x14ac:dyDescent="0.3">
      <c r="A304" s="85"/>
      <c r="B304" s="95" t="s">
        <v>62</v>
      </c>
      <c r="C304" s="88" t="s">
        <v>84</v>
      </c>
      <c r="D304" s="93">
        <f>SUM(D305)</f>
        <v>0</v>
      </c>
      <c r="E304" s="93">
        <f>SUM(E305)</f>
        <v>0</v>
      </c>
      <c r="F304" s="187">
        <f>SUM(F305)</f>
        <v>0</v>
      </c>
      <c r="G304" s="92">
        <f>SUM(G305)</f>
        <v>0</v>
      </c>
      <c r="H304" s="91">
        <f t="shared" si="615"/>
        <v>0</v>
      </c>
      <c r="I304" s="187">
        <f>SUM(I305)</f>
        <v>0</v>
      </c>
      <c r="J304" s="92">
        <f>SUM(J305)</f>
        <v>0</v>
      </c>
      <c r="K304" s="91">
        <f t="shared" si="616"/>
        <v>0</v>
      </c>
      <c r="L304" s="187">
        <f>SUM(L305)</f>
        <v>0</v>
      </c>
      <c r="M304" s="92">
        <f>SUM(M305)</f>
        <v>0</v>
      </c>
      <c r="N304" s="91">
        <f t="shared" si="617"/>
        <v>0</v>
      </c>
      <c r="O304" s="187">
        <f>SUM(O305)</f>
        <v>0</v>
      </c>
      <c r="P304" s="92">
        <f>SUM(P305)</f>
        <v>0</v>
      </c>
      <c r="Q304" s="91">
        <f t="shared" si="618"/>
        <v>0</v>
      </c>
      <c r="R304" s="187">
        <f>SUM(R305)</f>
        <v>0</v>
      </c>
      <c r="S304" s="92">
        <f>SUM(S305)</f>
        <v>0</v>
      </c>
      <c r="T304" s="91">
        <f t="shared" si="619"/>
        <v>0</v>
      </c>
      <c r="U304" s="187">
        <f>SUM(U305)</f>
        <v>0</v>
      </c>
      <c r="V304" s="92">
        <f>SUM(V305)</f>
        <v>0</v>
      </c>
      <c r="W304" s="91">
        <f t="shared" si="620"/>
        <v>0</v>
      </c>
      <c r="X304" s="187">
        <f>SUM(X305)</f>
        <v>0</v>
      </c>
      <c r="Y304" s="92">
        <f>SUM(Y305)</f>
        <v>0</v>
      </c>
      <c r="Z304" s="91">
        <f t="shared" si="621"/>
        <v>0</v>
      </c>
      <c r="AA304" s="187">
        <f>SUM(AA305)</f>
        <v>0</v>
      </c>
      <c r="AB304" s="92">
        <f>SUM(AB305)</f>
        <v>0</v>
      </c>
      <c r="AC304" s="91">
        <f t="shared" si="622"/>
        <v>0</v>
      </c>
      <c r="AD304" s="187">
        <f>SUM(AD305)</f>
        <v>0</v>
      </c>
      <c r="AE304" s="92">
        <f>SUM(AE305)</f>
        <v>0</v>
      </c>
      <c r="AF304" s="91">
        <f t="shared" si="623"/>
        <v>0</v>
      </c>
      <c r="AG304" s="187">
        <f>SUM(AG305)</f>
        <v>0</v>
      </c>
      <c r="AH304" s="92">
        <f>SUM(AH305)</f>
        <v>0</v>
      </c>
      <c r="AI304" s="91">
        <f t="shared" si="624"/>
        <v>0</v>
      </c>
      <c r="AJ304" s="187">
        <f>SUM(AJ305)</f>
        <v>0</v>
      </c>
      <c r="AK304" s="92">
        <f>SUM(AK305)</f>
        <v>0</v>
      </c>
      <c r="AL304" s="91">
        <f t="shared" si="625"/>
        <v>0</v>
      </c>
      <c r="AM304" s="187">
        <f>SUM(AM305)</f>
        <v>0</v>
      </c>
      <c r="AN304" s="92">
        <f>SUM(AN305)</f>
        <v>0</v>
      </c>
      <c r="AO304" s="91">
        <f t="shared" si="626"/>
        <v>0</v>
      </c>
      <c r="AP304" s="187">
        <f>SUM(AP305)</f>
        <v>0</v>
      </c>
      <c r="AQ304" s="92">
        <f>SUM(AQ305)</f>
        <v>0</v>
      </c>
      <c r="AR304" s="91">
        <f t="shared" si="627"/>
        <v>0</v>
      </c>
      <c r="AS304" s="187">
        <f>SUM(AS305)</f>
        <v>0</v>
      </c>
      <c r="AT304" s="92">
        <f>SUM(AT305)</f>
        <v>0</v>
      </c>
      <c r="AU304" s="91">
        <f t="shared" si="628"/>
        <v>0</v>
      </c>
      <c r="AV304" s="187">
        <f>SUM(AV305)</f>
        <v>0</v>
      </c>
      <c r="AW304" s="92">
        <f>SUM(AW305)</f>
        <v>0</v>
      </c>
      <c r="AX304" s="91">
        <f t="shared" si="629"/>
        <v>0</v>
      </c>
      <c r="AY304" s="92">
        <f>SUM(AY305)</f>
        <v>0</v>
      </c>
      <c r="AZ304" s="92">
        <f>SUM(AZ305)</f>
        <v>0</v>
      </c>
      <c r="BA304" s="91">
        <f t="shared" si="630"/>
        <v>0</v>
      </c>
      <c r="BB304" s="187">
        <f>SUM(BB305)</f>
        <v>0</v>
      </c>
      <c r="BC304" s="92">
        <f>SUM(BC305)</f>
        <v>0</v>
      </c>
      <c r="BD304" s="91">
        <f t="shared" si="631"/>
        <v>0</v>
      </c>
      <c r="BE304" s="187">
        <f t="shared" ref="BE304:BG304" si="632">SUM(BE305)</f>
        <v>0</v>
      </c>
      <c r="BF304" s="187">
        <f t="shared" si="632"/>
        <v>0</v>
      </c>
      <c r="BG304" s="93">
        <f t="shared" si="632"/>
        <v>0</v>
      </c>
    </row>
    <row r="305" spans="1:59" ht="13.5" hidden="1" customHeight="1" outlineLevel="1" thickBot="1" x14ac:dyDescent="0.3">
      <c r="A305" s="11"/>
      <c r="B305" s="84" t="s">
        <v>63</v>
      </c>
      <c r="C305" s="73" t="s">
        <v>84</v>
      </c>
      <c r="D305" s="20"/>
      <c r="E305" s="20"/>
      <c r="F305" s="24"/>
      <c r="G305" s="23"/>
      <c r="H305" s="22">
        <f t="shared" si="615"/>
        <v>0</v>
      </c>
      <c r="I305" s="24"/>
      <c r="J305" s="23"/>
      <c r="K305" s="22">
        <f t="shared" si="616"/>
        <v>0</v>
      </c>
      <c r="L305" s="24"/>
      <c r="M305" s="23"/>
      <c r="N305" s="22">
        <f t="shared" si="617"/>
        <v>0</v>
      </c>
      <c r="O305" s="24">
        <f>SUM(F305,I305,L305)</f>
        <v>0</v>
      </c>
      <c r="P305" s="23">
        <f>SUM(G305,J305,M305)</f>
        <v>0</v>
      </c>
      <c r="Q305" s="22">
        <f t="shared" si="618"/>
        <v>0</v>
      </c>
      <c r="R305" s="24"/>
      <c r="S305" s="23"/>
      <c r="T305" s="22">
        <f t="shared" si="619"/>
        <v>0</v>
      </c>
      <c r="U305" s="24"/>
      <c r="V305" s="23"/>
      <c r="W305" s="22">
        <f t="shared" si="620"/>
        <v>0</v>
      </c>
      <c r="X305" s="24"/>
      <c r="Y305" s="23"/>
      <c r="Z305" s="22">
        <f t="shared" si="621"/>
        <v>0</v>
      </c>
      <c r="AA305" s="24">
        <f>SUM(R305,U305,X305)</f>
        <v>0</v>
      </c>
      <c r="AB305" s="23">
        <f>SUM(S305,V305,Y305)</f>
        <v>0</v>
      </c>
      <c r="AC305" s="22">
        <f t="shared" si="622"/>
        <v>0</v>
      </c>
      <c r="AD305" s="24"/>
      <c r="AE305" s="23"/>
      <c r="AF305" s="22">
        <f t="shared" si="623"/>
        <v>0</v>
      </c>
      <c r="AG305" s="24"/>
      <c r="AH305" s="23"/>
      <c r="AI305" s="22">
        <f t="shared" si="624"/>
        <v>0</v>
      </c>
      <c r="AJ305" s="24"/>
      <c r="AK305" s="23"/>
      <c r="AL305" s="22">
        <f t="shared" si="625"/>
        <v>0</v>
      </c>
      <c r="AM305" s="24">
        <f>SUM(AD305,AG305,AJ305)</f>
        <v>0</v>
      </c>
      <c r="AN305" s="23">
        <f>SUM(AE305,AH305,AK305)</f>
        <v>0</v>
      </c>
      <c r="AO305" s="22">
        <f t="shared" si="626"/>
        <v>0</v>
      </c>
      <c r="AP305" s="24"/>
      <c r="AQ305" s="23"/>
      <c r="AR305" s="22">
        <f t="shared" si="627"/>
        <v>0</v>
      </c>
      <c r="AS305" s="24"/>
      <c r="AT305" s="23"/>
      <c r="AU305" s="22">
        <f t="shared" si="628"/>
        <v>0</v>
      </c>
      <c r="AV305" s="24"/>
      <c r="AW305" s="23"/>
      <c r="AX305" s="22">
        <f t="shared" si="629"/>
        <v>0</v>
      </c>
      <c r="AY305" s="23">
        <f>SUM(AP305,AS305,AV305)</f>
        <v>0</v>
      </c>
      <c r="AZ305" s="23">
        <f>SUM(AQ305,AT305,AW305)</f>
        <v>0</v>
      </c>
      <c r="BA305" s="22">
        <f t="shared" si="630"/>
        <v>0</v>
      </c>
      <c r="BB305" s="24">
        <f>SUM(F305,I305,L305,R305,U305,X305,AD305,AG305,AJ305,AP305,AS305,AV305)</f>
        <v>0</v>
      </c>
      <c r="BC305" s="23">
        <f>SUM(G305,J305,M305,S305,V305,Y305,AE305,AH305,AK305,AQ305,AT305,AW305)</f>
        <v>0</v>
      </c>
      <c r="BD305" s="22">
        <f t="shared" si="631"/>
        <v>0</v>
      </c>
      <c r="BE305" s="24"/>
      <c r="BF305" s="24"/>
      <c r="BG305" s="20">
        <f>BB305+BE305+BF305</f>
        <v>0</v>
      </c>
    </row>
    <row r="306" spans="1:59" s="210" customFormat="1" ht="13.5" customHeight="1" collapsed="1" x14ac:dyDescent="0.25">
      <c r="A306" s="106" t="s">
        <v>92</v>
      </c>
      <c r="B306" s="105" t="s">
        <v>93</v>
      </c>
      <c r="C306" s="104" t="s">
        <v>84</v>
      </c>
      <c r="D306" s="192">
        <f t="shared" ref="D306:G321" si="633">IF(D73=0,0,D274/D73)</f>
        <v>0</v>
      </c>
      <c r="E306" s="192">
        <f t="shared" si="633"/>
        <v>0</v>
      </c>
      <c r="F306" s="195">
        <f t="shared" si="633"/>
        <v>0</v>
      </c>
      <c r="G306" s="193">
        <f t="shared" si="633"/>
        <v>0</v>
      </c>
      <c r="H306" s="194">
        <f t="shared" ref="H306:H321" si="634">G306-F306</f>
        <v>0</v>
      </c>
      <c r="I306" s="195">
        <f t="shared" ref="I306:J321" si="635">IF(I73=0,0,I274/I73)</f>
        <v>0</v>
      </c>
      <c r="J306" s="193">
        <f t="shared" si="635"/>
        <v>0</v>
      </c>
      <c r="K306" s="194">
        <f t="shared" ref="K306:K321" si="636">J306-I306</f>
        <v>0</v>
      </c>
      <c r="L306" s="195">
        <f t="shared" ref="L306:M321" si="637">IF(L73=0,0,L274/L73)</f>
        <v>0</v>
      </c>
      <c r="M306" s="193">
        <f t="shared" si="637"/>
        <v>0</v>
      </c>
      <c r="N306" s="194">
        <f t="shared" ref="N306:N321" si="638">M306-L306</f>
        <v>0</v>
      </c>
      <c r="O306" s="195">
        <f t="shared" ref="O306:P321" si="639">IF(O73=0,0,O274/O73)</f>
        <v>0</v>
      </c>
      <c r="P306" s="193">
        <f t="shared" si="639"/>
        <v>0</v>
      </c>
      <c r="Q306" s="194">
        <f t="shared" ref="Q306:Q321" si="640">P306-O306</f>
        <v>0</v>
      </c>
      <c r="R306" s="195">
        <f t="shared" ref="R306:S321" si="641">IF(R73=0,0,R274/R73)</f>
        <v>0</v>
      </c>
      <c r="S306" s="193">
        <f t="shared" si="641"/>
        <v>0</v>
      </c>
      <c r="T306" s="194">
        <f t="shared" ref="T306:T321" si="642">S306-R306</f>
        <v>0</v>
      </c>
      <c r="U306" s="195">
        <f t="shared" ref="U306:V321" si="643">IF(U73=0,0,U274/U73)</f>
        <v>0</v>
      </c>
      <c r="V306" s="193">
        <f t="shared" si="643"/>
        <v>0</v>
      </c>
      <c r="W306" s="194">
        <f t="shared" ref="W306:W321" si="644">V306-U306</f>
        <v>0</v>
      </c>
      <c r="X306" s="195">
        <f t="shared" ref="X306:Y321" si="645">IF(X73=0,0,X274/X73)</f>
        <v>0</v>
      </c>
      <c r="Y306" s="193">
        <f t="shared" si="645"/>
        <v>0</v>
      </c>
      <c r="Z306" s="194">
        <f t="shared" ref="Z306:Z321" si="646">Y306-X306</f>
        <v>0</v>
      </c>
      <c r="AA306" s="195">
        <f t="shared" ref="AA306:AB321" si="647">IF(AA73=0,0,AA274/AA73)</f>
        <v>0</v>
      </c>
      <c r="AB306" s="193">
        <f t="shared" si="647"/>
        <v>0</v>
      </c>
      <c r="AC306" s="194">
        <f t="shared" ref="AC306:AC321" si="648">AB306-AA306</f>
        <v>0</v>
      </c>
      <c r="AD306" s="195">
        <f t="shared" ref="AD306:AE321" si="649">IF(AD73=0,0,AD274/AD73)</f>
        <v>0</v>
      </c>
      <c r="AE306" s="193">
        <f t="shared" si="649"/>
        <v>0</v>
      </c>
      <c r="AF306" s="194">
        <f t="shared" ref="AF306:AF321" si="650">AE306-AD306</f>
        <v>0</v>
      </c>
      <c r="AG306" s="195">
        <f t="shared" ref="AG306:AH321" si="651">IF(AG73=0,0,AG274/AG73)</f>
        <v>0</v>
      </c>
      <c r="AH306" s="193">
        <f t="shared" si="651"/>
        <v>0</v>
      </c>
      <c r="AI306" s="194">
        <f t="shared" ref="AI306:AI321" si="652">AH306-AG306</f>
        <v>0</v>
      </c>
      <c r="AJ306" s="195">
        <f t="shared" ref="AJ306:AK321" si="653">IF(AJ73=0,0,AJ274/AJ73)</f>
        <v>0</v>
      </c>
      <c r="AK306" s="193">
        <f t="shared" si="653"/>
        <v>0</v>
      </c>
      <c r="AL306" s="194">
        <f t="shared" ref="AL306:AL321" si="654">AK306-AJ306</f>
        <v>0</v>
      </c>
      <c r="AM306" s="195">
        <f t="shared" ref="AM306:AN321" si="655">IF(AM73=0,0,AM274/AM73)</f>
        <v>0</v>
      </c>
      <c r="AN306" s="193">
        <f t="shared" si="655"/>
        <v>0</v>
      </c>
      <c r="AO306" s="194">
        <f t="shared" ref="AO306:AO321" si="656">AN306-AM306</f>
        <v>0</v>
      </c>
      <c r="AP306" s="195">
        <f t="shared" ref="AP306:AQ321" si="657">IF(AP73=0,0,AP274/AP73)</f>
        <v>0</v>
      </c>
      <c r="AQ306" s="193">
        <f t="shared" si="657"/>
        <v>0</v>
      </c>
      <c r="AR306" s="194">
        <f t="shared" ref="AR306:AR321" si="658">AQ306-AP306</f>
        <v>0</v>
      </c>
      <c r="AS306" s="195">
        <f t="shared" ref="AS306:AT321" si="659">IF(AS73=0,0,AS274/AS73)</f>
        <v>0</v>
      </c>
      <c r="AT306" s="193">
        <f t="shared" si="659"/>
        <v>0</v>
      </c>
      <c r="AU306" s="194">
        <f t="shared" ref="AU306:AU321" si="660">AT306-AS306</f>
        <v>0</v>
      </c>
      <c r="AV306" s="195">
        <f t="shared" ref="AV306:AW321" si="661">IF(AV73=0,0,AV274/AV73)</f>
        <v>0</v>
      </c>
      <c r="AW306" s="193">
        <f t="shared" si="661"/>
        <v>0</v>
      </c>
      <c r="AX306" s="194">
        <f t="shared" ref="AX306:AX321" si="662">AW306-AV306</f>
        <v>0</v>
      </c>
      <c r="AY306" s="193">
        <f t="shared" ref="AY306:AZ321" si="663">IF(AY73=0,0,AY274/AY73)</f>
        <v>0</v>
      </c>
      <c r="AZ306" s="193">
        <f t="shared" si="663"/>
        <v>0</v>
      </c>
      <c r="BA306" s="194">
        <f t="shared" ref="BA306:BA321" si="664">AZ306-AY306</f>
        <v>0</v>
      </c>
      <c r="BB306" s="195">
        <f t="shared" ref="BB306:BC321" si="665">IF(BB73=0,0,BB274/BB73)</f>
        <v>0</v>
      </c>
      <c r="BC306" s="193">
        <f t="shared" si="665"/>
        <v>0</v>
      </c>
      <c r="BD306" s="194">
        <f t="shared" ref="BD306:BD321" si="666">BC306-BB306</f>
        <v>0</v>
      </c>
      <c r="BE306" s="195">
        <f t="shared" ref="BE306:BF320" si="667">IF(BE73=0,0,BE274/BE73)</f>
        <v>0</v>
      </c>
      <c r="BF306" s="195">
        <f t="shared" si="667"/>
        <v>0</v>
      </c>
      <c r="BG306" s="192">
        <f t="shared" ref="BG306" si="668">IF(BG73=0,0,BG274/BG73)</f>
        <v>0</v>
      </c>
    </row>
    <row r="307" spans="1:59" s="210" customFormat="1" ht="13.5" customHeight="1" x14ac:dyDescent="0.25">
      <c r="A307" s="103"/>
      <c r="B307" s="102" t="s">
        <v>33</v>
      </c>
      <c r="C307" s="101" t="s">
        <v>84</v>
      </c>
      <c r="D307" s="188">
        <f t="shared" si="633"/>
        <v>0</v>
      </c>
      <c r="E307" s="188">
        <f t="shared" si="633"/>
        <v>0</v>
      </c>
      <c r="F307" s="191">
        <f t="shared" si="633"/>
        <v>0</v>
      </c>
      <c r="G307" s="189">
        <f t="shared" si="633"/>
        <v>0</v>
      </c>
      <c r="H307" s="190">
        <f t="shared" si="634"/>
        <v>0</v>
      </c>
      <c r="I307" s="191">
        <f t="shared" si="635"/>
        <v>0</v>
      </c>
      <c r="J307" s="189">
        <f t="shared" si="635"/>
        <v>0</v>
      </c>
      <c r="K307" s="190">
        <f t="shared" si="636"/>
        <v>0</v>
      </c>
      <c r="L307" s="191">
        <f t="shared" si="637"/>
        <v>0</v>
      </c>
      <c r="M307" s="189">
        <f t="shared" si="637"/>
        <v>0</v>
      </c>
      <c r="N307" s="190">
        <f t="shared" si="638"/>
        <v>0</v>
      </c>
      <c r="O307" s="191">
        <f t="shared" si="639"/>
        <v>0</v>
      </c>
      <c r="P307" s="189">
        <f t="shared" si="639"/>
        <v>0</v>
      </c>
      <c r="Q307" s="190">
        <f t="shared" si="640"/>
        <v>0</v>
      </c>
      <c r="R307" s="191">
        <f t="shared" si="641"/>
        <v>0</v>
      </c>
      <c r="S307" s="189">
        <f t="shared" si="641"/>
        <v>0</v>
      </c>
      <c r="T307" s="190">
        <f t="shared" si="642"/>
        <v>0</v>
      </c>
      <c r="U307" s="191">
        <f t="shared" si="643"/>
        <v>0</v>
      </c>
      <c r="V307" s="189">
        <f t="shared" si="643"/>
        <v>0</v>
      </c>
      <c r="W307" s="190">
        <f t="shared" si="644"/>
        <v>0</v>
      </c>
      <c r="X307" s="191">
        <f t="shared" si="645"/>
        <v>0</v>
      </c>
      <c r="Y307" s="189">
        <f t="shared" si="645"/>
        <v>0</v>
      </c>
      <c r="Z307" s="190">
        <f t="shared" si="646"/>
        <v>0</v>
      </c>
      <c r="AA307" s="191">
        <f t="shared" si="647"/>
        <v>0</v>
      </c>
      <c r="AB307" s="189">
        <f t="shared" si="647"/>
        <v>0</v>
      </c>
      <c r="AC307" s="190">
        <f t="shared" si="648"/>
        <v>0</v>
      </c>
      <c r="AD307" s="191">
        <f t="shared" si="649"/>
        <v>0</v>
      </c>
      <c r="AE307" s="189">
        <f t="shared" si="649"/>
        <v>0</v>
      </c>
      <c r="AF307" s="190">
        <f t="shared" si="650"/>
        <v>0</v>
      </c>
      <c r="AG307" s="191">
        <f t="shared" si="651"/>
        <v>0</v>
      </c>
      <c r="AH307" s="189">
        <f t="shared" si="651"/>
        <v>0</v>
      </c>
      <c r="AI307" s="190">
        <f t="shared" si="652"/>
        <v>0</v>
      </c>
      <c r="AJ307" s="191">
        <f t="shared" si="653"/>
        <v>0</v>
      </c>
      <c r="AK307" s="189">
        <f t="shared" si="653"/>
        <v>0</v>
      </c>
      <c r="AL307" s="190">
        <f t="shared" si="654"/>
        <v>0</v>
      </c>
      <c r="AM307" s="191">
        <f t="shared" si="655"/>
        <v>0</v>
      </c>
      <c r="AN307" s="189">
        <f t="shared" si="655"/>
        <v>0</v>
      </c>
      <c r="AO307" s="190">
        <f t="shared" si="656"/>
        <v>0</v>
      </c>
      <c r="AP307" s="191">
        <f t="shared" si="657"/>
        <v>0</v>
      </c>
      <c r="AQ307" s="189">
        <f t="shared" si="657"/>
        <v>0</v>
      </c>
      <c r="AR307" s="190">
        <f t="shared" si="658"/>
        <v>0</v>
      </c>
      <c r="AS307" s="191">
        <f t="shared" si="659"/>
        <v>0</v>
      </c>
      <c r="AT307" s="189">
        <f t="shared" si="659"/>
        <v>0</v>
      </c>
      <c r="AU307" s="190">
        <f t="shared" si="660"/>
        <v>0</v>
      </c>
      <c r="AV307" s="191">
        <f t="shared" si="661"/>
        <v>0</v>
      </c>
      <c r="AW307" s="189">
        <f t="shared" si="661"/>
        <v>0</v>
      </c>
      <c r="AX307" s="190">
        <f t="shared" si="662"/>
        <v>0</v>
      </c>
      <c r="AY307" s="189">
        <f t="shared" si="663"/>
        <v>0</v>
      </c>
      <c r="AZ307" s="189">
        <f t="shared" si="663"/>
        <v>0</v>
      </c>
      <c r="BA307" s="190">
        <f t="shared" si="664"/>
        <v>0</v>
      </c>
      <c r="BB307" s="191">
        <f t="shared" si="665"/>
        <v>0</v>
      </c>
      <c r="BC307" s="189">
        <f t="shared" si="665"/>
        <v>0</v>
      </c>
      <c r="BD307" s="190">
        <f t="shared" si="666"/>
        <v>0</v>
      </c>
      <c r="BE307" s="191">
        <f t="shared" si="667"/>
        <v>0</v>
      </c>
      <c r="BF307" s="191">
        <f t="shared" si="667"/>
        <v>0</v>
      </c>
      <c r="BG307" s="188">
        <f t="shared" ref="BG307" si="669">IF(BG74=0,0,BG275/BG74)</f>
        <v>0</v>
      </c>
    </row>
    <row r="308" spans="1:59" ht="13.5" hidden="1" customHeight="1" outlineLevel="1" x14ac:dyDescent="0.25">
      <c r="A308" s="100"/>
      <c r="B308" s="84" t="s">
        <v>34</v>
      </c>
      <c r="C308" s="83" t="s">
        <v>84</v>
      </c>
      <c r="D308" s="20">
        <f t="shared" si="633"/>
        <v>0</v>
      </c>
      <c r="E308" s="20">
        <f t="shared" si="633"/>
        <v>0</v>
      </c>
      <c r="F308" s="24">
        <f t="shared" si="633"/>
        <v>0</v>
      </c>
      <c r="G308" s="23">
        <f t="shared" si="633"/>
        <v>0</v>
      </c>
      <c r="H308" s="22">
        <f t="shared" si="634"/>
        <v>0</v>
      </c>
      <c r="I308" s="24">
        <f t="shared" si="635"/>
        <v>0</v>
      </c>
      <c r="J308" s="23">
        <f t="shared" si="635"/>
        <v>0</v>
      </c>
      <c r="K308" s="22">
        <f t="shared" si="636"/>
        <v>0</v>
      </c>
      <c r="L308" s="24">
        <f t="shared" si="637"/>
        <v>0</v>
      </c>
      <c r="M308" s="23">
        <f t="shared" si="637"/>
        <v>0</v>
      </c>
      <c r="N308" s="22">
        <f t="shared" si="638"/>
        <v>0</v>
      </c>
      <c r="O308" s="24">
        <f t="shared" si="639"/>
        <v>0</v>
      </c>
      <c r="P308" s="23">
        <f t="shared" si="639"/>
        <v>0</v>
      </c>
      <c r="Q308" s="22">
        <f t="shared" si="640"/>
        <v>0</v>
      </c>
      <c r="R308" s="24">
        <f t="shared" si="641"/>
        <v>0</v>
      </c>
      <c r="S308" s="23">
        <f t="shared" si="641"/>
        <v>0</v>
      </c>
      <c r="T308" s="22">
        <f t="shared" si="642"/>
        <v>0</v>
      </c>
      <c r="U308" s="24">
        <f t="shared" si="643"/>
        <v>0</v>
      </c>
      <c r="V308" s="23">
        <f t="shared" si="643"/>
        <v>0</v>
      </c>
      <c r="W308" s="22">
        <f t="shared" si="644"/>
        <v>0</v>
      </c>
      <c r="X308" s="24">
        <f t="shared" si="645"/>
        <v>0</v>
      </c>
      <c r="Y308" s="23">
        <f t="shared" si="645"/>
        <v>0</v>
      </c>
      <c r="Z308" s="22">
        <f t="shared" si="646"/>
        <v>0</v>
      </c>
      <c r="AA308" s="24">
        <f t="shared" si="647"/>
        <v>0</v>
      </c>
      <c r="AB308" s="23">
        <f t="shared" si="647"/>
        <v>0</v>
      </c>
      <c r="AC308" s="22">
        <f t="shared" si="648"/>
        <v>0</v>
      </c>
      <c r="AD308" s="24">
        <f t="shared" si="649"/>
        <v>0</v>
      </c>
      <c r="AE308" s="23">
        <f t="shared" si="649"/>
        <v>0</v>
      </c>
      <c r="AF308" s="22">
        <f t="shared" si="650"/>
        <v>0</v>
      </c>
      <c r="AG308" s="24">
        <f t="shared" si="651"/>
        <v>0</v>
      </c>
      <c r="AH308" s="23">
        <f t="shared" si="651"/>
        <v>0</v>
      </c>
      <c r="AI308" s="22">
        <f t="shared" si="652"/>
        <v>0</v>
      </c>
      <c r="AJ308" s="24">
        <f t="shared" si="653"/>
        <v>0</v>
      </c>
      <c r="AK308" s="23">
        <f t="shared" si="653"/>
        <v>0</v>
      </c>
      <c r="AL308" s="22">
        <f t="shared" si="654"/>
        <v>0</v>
      </c>
      <c r="AM308" s="24">
        <f t="shared" si="655"/>
        <v>0</v>
      </c>
      <c r="AN308" s="23">
        <f t="shared" si="655"/>
        <v>0</v>
      </c>
      <c r="AO308" s="22">
        <f t="shared" si="656"/>
        <v>0</v>
      </c>
      <c r="AP308" s="24">
        <f t="shared" si="657"/>
        <v>0</v>
      </c>
      <c r="AQ308" s="23">
        <f t="shared" si="657"/>
        <v>0</v>
      </c>
      <c r="AR308" s="22">
        <f t="shared" si="658"/>
        <v>0</v>
      </c>
      <c r="AS308" s="24">
        <f t="shared" si="659"/>
        <v>0</v>
      </c>
      <c r="AT308" s="23">
        <f t="shared" si="659"/>
        <v>0</v>
      </c>
      <c r="AU308" s="22">
        <f t="shared" si="660"/>
        <v>0</v>
      </c>
      <c r="AV308" s="24">
        <f t="shared" si="661"/>
        <v>0</v>
      </c>
      <c r="AW308" s="23">
        <f t="shared" si="661"/>
        <v>0</v>
      </c>
      <c r="AX308" s="22">
        <f t="shared" si="662"/>
        <v>0</v>
      </c>
      <c r="AY308" s="23">
        <f t="shared" si="663"/>
        <v>0</v>
      </c>
      <c r="AZ308" s="23">
        <f t="shared" si="663"/>
        <v>0</v>
      </c>
      <c r="BA308" s="22">
        <f t="shared" si="664"/>
        <v>0</v>
      </c>
      <c r="BB308" s="24">
        <f t="shared" si="665"/>
        <v>0</v>
      </c>
      <c r="BC308" s="23">
        <f t="shared" si="665"/>
        <v>0</v>
      </c>
      <c r="BD308" s="22">
        <f t="shared" si="666"/>
        <v>0</v>
      </c>
      <c r="BE308" s="24">
        <f t="shared" si="667"/>
        <v>0</v>
      </c>
      <c r="BF308" s="24">
        <f t="shared" si="667"/>
        <v>0</v>
      </c>
      <c r="BG308" s="20">
        <f t="shared" ref="BG308" si="670">IF(BG75=0,0,BG276/BG75)</f>
        <v>0</v>
      </c>
    </row>
    <row r="309" spans="1:59" ht="13.5" hidden="1" customHeight="1" outlineLevel="1" x14ac:dyDescent="0.25">
      <c r="A309" s="100"/>
      <c r="B309" s="84" t="s">
        <v>35</v>
      </c>
      <c r="C309" s="83" t="s">
        <v>84</v>
      </c>
      <c r="D309" s="20">
        <f t="shared" si="633"/>
        <v>0</v>
      </c>
      <c r="E309" s="20">
        <f t="shared" si="633"/>
        <v>0</v>
      </c>
      <c r="F309" s="24">
        <f t="shared" si="633"/>
        <v>0</v>
      </c>
      <c r="G309" s="23">
        <f t="shared" si="633"/>
        <v>0</v>
      </c>
      <c r="H309" s="22">
        <f t="shared" si="634"/>
        <v>0</v>
      </c>
      <c r="I309" s="24">
        <f t="shared" si="635"/>
        <v>0</v>
      </c>
      <c r="J309" s="23">
        <f t="shared" si="635"/>
        <v>0</v>
      </c>
      <c r="K309" s="22">
        <f t="shared" si="636"/>
        <v>0</v>
      </c>
      <c r="L309" s="24">
        <f t="shared" si="637"/>
        <v>0</v>
      </c>
      <c r="M309" s="23">
        <f t="shared" si="637"/>
        <v>0</v>
      </c>
      <c r="N309" s="22">
        <f t="shared" si="638"/>
        <v>0</v>
      </c>
      <c r="O309" s="24">
        <f t="shared" si="639"/>
        <v>0</v>
      </c>
      <c r="P309" s="23">
        <f t="shared" si="639"/>
        <v>0</v>
      </c>
      <c r="Q309" s="22">
        <f t="shared" si="640"/>
        <v>0</v>
      </c>
      <c r="R309" s="24">
        <f t="shared" si="641"/>
        <v>0</v>
      </c>
      <c r="S309" s="23">
        <f t="shared" si="641"/>
        <v>0</v>
      </c>
      <c r="T309" s="22">
        <f t="shared" si="642"/>
        <v>0</v>
      </c>
      <c r="U309" s="24">
        <f t="shared" si="643"/>
        <v>0</v>
      </c>
      <c r="V309" s="23">
        <f t="shared" si="643"/>
        <v>0</v>
      </c>
      <c r="W309" s="22">
        <f t="shared" si="644"/>
        <v>0</v>
      </c>
      <c r="X309" s="24">
        <f t="shared" si="645"/>
        <v>0</v>
      </c>
      <c r="Y309" s="23">
        <f t="shared" si="645"/>
        <v>0</v>
      </c>
      <c r="Z309" s="22">
        <f t="shared" si="646"/>
        <v>0</v>
      </c>
      <c r="AA309" s="24">
        <f t="shared" si="647"/>
        <v>0</v>
      </c>
      <c r="AB309" s="23">
        <f t="shared" si="647"/>
        <v>0</v>
      </c>
      <c r="AC309" s="22">
        <f t="shared" si="648"/>
        <v>0</v>
      </c>
      <c r="AD309" s="24">
        <f t="shared" si="649"/>
        <v>0</v>
      </c>
      <c r="AE309" s="23">
        <f t="shared" si="649"/>
        <v>0</v>
      </c>
      <c r="AF309" s="22">
        <f t="shared" si="650"/>
        <v>0</v>
      </c>
      <c r="AG309" s="24">
        <f t="shared" si="651"/>
        <v>0</v>
      </c>
      <c r="AH309" s="23">
        <f t="shared" si="651"/>
        <v>0</v>
      </c>
      <c r="AI309" s="22">
        <f t="shared" si="652"/>
        <v>0</v>
      </c>
      <c r="AJ309" s="24">
        <f t="shared" si="653"/>
        <v>0</v>
      </c>
      <c r="AK309" s="23">
        <f t="shared" si="653"/>
        <v>0</v>
      </c>
      <c r="AL309" s="22">
        <f t="shared" si="654"/>
        <v>0</v>
      </c>
      <c r="AM309" s="24">
        <f t="shared" si="655"/>
        <v>0</v>
      </c>
      <c r="AN309" s="23">
        <f t="shared" si="655"/>
        <v>0</v>
      </c>
      <c r="AO309" s="22">
        <f t="shared" si="656"/>
        <v>0</v>
      </c>
      <c r="AP309" s="24">
        <f t="shared" si="657"/>
        <v>0</v>
      </c>
      <c r="AQ309" s="23">
        <f t="shared" si="657"/>
        <v>0</v>
      </c>
      <c r="AR309" s="22">
        <f t="shared" si="658"/>
        <v>0</v>
      </c>
      <c r="AS309" s="24">
        <f t="shared" si="659"/>
        <v>0</v>
      </c>
      <c r="AT309" s="23">
        <f t="shared" si="659"/>
        <v>0</v>
      </c>
      <c r="AU309" s="22">
        <f t="shared" si="660"/>
        <v>0</v>
      </c>
      <c r="AV309" s="24">
        <f t="shared" si="661"/>
        <v>0</v>
      </c>
      <c r="AW309" s="23">
        <f t="shared" si="661"/>
        <v>0</v>
      </c>
      <c r="AX309" s="22">
        <f t="shared" si="662"/>
        <v>0</v>
      </c>
      <c r="AY309" s="23">
        <f t="shared" si="663"/>
        <v>0</v>
      </c>
      <c r="AZ309" s="23">
        <f t="shared" si="663"/>
        <v>0</v>
      </c>
      <c r="BA309" s="22">
        <f t="shared" si="664"/>
        <v>0</v>
      </c>
      <c r="BB309" s="24">
        <f t="shared" si="665"/>
        <v>0</v>
      </c>
      <c r="BC309" s="23">
        <f t="shared" si="665"/>
        <v>0</v>
      </c>
      <c r="BD309" s="22">
        <f t="shared" si="666"/>
        <v>0</v>
      </c>
      <c r="BE309" s="24">
        <f t="shared" si="667"/>
        <v>0</v>
      </c>
      <c r="BF309" s="24">
        <f t="shared" si="667"/>
        <v>0</v>
      </c>
      <c r="BG309" s="20">
        <f t="shared" ref="BG309" si="671">IF(BG76=0,0,BG277/BG76)</f>
        <v>0</v>
      </c>
    </row>
    <row r="310" spans="1:59" ht="13.5" hidden="1" customHeight="1" outlineLevel="1" x14ac:dyDescent="0.25">
      <c r="A310" s="100"/>
      <c r="B310" s="84" t="s">
        <v>36</v>
      </c>
      <c r="C310" s="83" t="s">
        <v>84</v>
      </c>
      <c r="D310" s="20">
        <f t="shared" si="633"/>
        <v>0</v>
      </c>
      <c r="E310" s="20">
        <f t="shared" si="633"/>
        <v>0</v>
      </c>
      <c r="F310" s="24">
        <f t="shared" si="633"/>
        <v>0</v>
      </c>
      <c r="G310" s="23">
        <f t="shared" si="633"/>
        <v>0</v>
      </c>
      <c r="H310" s="22">
        <f t="shared" si="634"/>
        <v>0</v>
      </c>
      <c r="I310" s="24">
        <f t="shared" si="635"/>
        <v>0</v>
      </c>
      <c r="J310" s="23">
        <f t="shared" si="635"/>
        <v>0</v>
      </c>
      <c r="K310" s="22">
        <f t="shared" si="636"/>
        <v>0</v>
      </c>
      <c r="L310" s="24">
        <f t="shared" si="637"/>
        <v>0</v>
      </c>
      <c r="M310" s="23">
        <f t="shared" si="637"/>
        <v>0</v>
      </c>
      <c r="N310" s="22">
        <f t="shared" si="638"/>
        <v>0</v>
      </c>
      <c r="O310" s="24">
        <f t="shared" si="639"/>
        <v>0</v>
      </c>
      <c r="P310" s="23">
        <f t="shared" si="639"/>
        <v>0</v>
      </c>
      <c r="Q310" s="22">
        <f t="shared" si="640"/>
        <v>0</v>
      </c>
      <c r="R310" s="24">
        <f t="shared" si="641"/>
        <v>0</v>
      </c>
      <c r="S310" s="23">
        <f t="shared" si="641"/>
        <v>0</v>
      </c>
      <c r="T310" s="22">
        <f t="shared" si="642"/>
        <v>0</v>
      </c>
      <c r="U310" s="24">
        <f t="shared" si="643"/>
        <v>0</v>
      </c>
      <c r="V310" s="23">
        <f t="shared" si="643"/>
        <v>0</v>
      </c>
      <c r="W310" s="22">
        <f t="shared" si="644"/>
        <v>0</v>
      </c>
      <c r="X310" s="24">
        <f t="shared" si="645"/>
        <v>0</v>
      </c>
      <c r="Y310" s="23">
        <f t="shared" si="645"/>
        <v>0</v>
      </c>
      <c r="Z310" s="22">
        <f t="shared" si="646"/>
        <v>0</v>
      </c>
      <c r="AA310" s="24">
        <f t="shared" si="647"/>
        <v>0</v>
      </c>
      <c r="AB310" s="23">
        <f t="shared" si="647"/>
        <v>0</v>
      </c>
      <c r="AC310" s="22">
        <f t="shared" si="648"/>
        <v>0</v>
      </c>
      <c r="AD310" s="24">
        <f t="shared" si="649"/>
        <v>0</v>
      </c>
      <c r="AE310" s="23">
        <f t="shared" si="649"/>
        <v>0</v>
      </c>
      <c r="AF310" s="22">
        <f t="shared" si="650"/>
        <v>0</v>
      </c>
      <c r="AG310" s="24">
        <f t="shared" si="651"/>
        <v>0</v>
      </c>
      <c r="AH310" s="23">
        <f t="shared" si="651"/>
        <v>0</v>
      </c>
      <c r="AI310" s="22">
        <f t="shared" si="652"/>
        <v>0</v>
      </c>
      <c r="AJ310" s="24">
        <f t="shared" si="653"/>
        <v>0</v>
      </c>
      <c r="AK310" s="23">
        <f t="shared" si="653"/>
        <v>0</v>
      </c>
      <c r="AL310" s="22">
        <f t="shared" si="654"/>
        <v>0</v>
      </c>
      <c r="AM310" s="24">
        <f t="shared" si="655"/>
        <v>0</v>
      </c>
      <c r="AN310" s="23">
        <f t="shared" si="655"/>
        <v>0</v>
      </c>
      <c r="AO310" s="22">
        <f t="shared" si="656"/>
        <v>0</v>
      </c>
      <c r="AP310" s="24">
        <f t="shared" si="657"/>
        <v>0</v>
      </c>
      <c r="AQ310" s="23">
        <f t="shared" si="657"/>
        <v>0</v>
      </c>
      <c r="AR310" s="22">
        <f t="shared" si="658"/>
        <v>0</v>
      </c>
      <c r="AS310" s="24">
        <f t="shared" si="659"/>
        <v>0</v>
      </c>
      <c r="AT310" s="23">
        <f t="shared" si="659"/>
        <v>0</v>
      </c>
      <c r="AU310" s="22">
        <f t="shared" si="660"/>
        <v>0</v>
      </c>
      <c r="AV310" s="24">
        <f t="shared" si="661"/>
        <v>0</v>
      </c>
      <c r="AW310" s="23">
        <f t="shared" si="661"/>
        <v>0</v>
      </c>
      <c r="AX310" s="22">
        <f t="shared" si="662"/>
        <v>0</v>
      </c>
      <c r="AY310" s="23">
        <f t="shared" si="663"/>
        <v>0</v>
      </c>
      <c r="AZ310" s="23">
        <f t="shared" si="663"/>
        <v>0</v>
      </c>
      <c r="BA310" s="22">
        <f t="shared" si="664"/>
        <v>0</v>
      </c>
      <c r="BB310" s="24">
        <f t="shared" si="665"/>
        <v>0</v>
      </c>
      <c r="BC310" s="23">
        <f t="shared" si="665"/>
        <v>0</v>
      </c>
      <c r="BD310" s="22">
        <f t="shared" si="666"/>
        <v>0</v>
      </c>
      <c r="BE310" s="24">
        <f t="shared" si="667"/>
        <v>0</v>
      </c>
      <c r="BF310" s="24">
        <f t="shared" si="667"/>
        <v>0</v>
      </c>
      <c r="BG310" s="20">
        <f t="shared" ref="BG310" si="672">IF(BG77=0,0,BG278/BG77)</f>
        <v>0</v>
      </c>
    </row>
    <row r="311" spans="1:59" ht="13.5" hidden="1" customHeight="1" outlineLevel="1" x14ac:dyDescent="0.25">
      <c r="A311" s="100"/>
      <c r="B311" s="84" t="s">
        <v>37</v>
      </c>
      <c r="C311" s="83" t="s">
        <v>84</v>
      </c>
      <c r="D311" s="20">
        <f t="shared" si="633"/>
        <v>0</v>
      </c>
      <c r="E311" s="20">
        <f t="shared" si="633"/>
        <v>0</v>
      </c>
      <c r="F311" s="24">
        <f t="shared" si="633"/>
        <v>0</v>
      </c>
      <c r="G311" s="23">
        <f t="shared" si="633"/>
        <v>0</v>
      </c>
      <c r="H311" s="22">
        <f t="shared" si="634"/>
        <v>0</v>
      </c>
      <c r="I311" s="24">
        <f t="shared" si="635"/>
        <v>0</v>
      </c>
      <c r="J311" s="23">
        <f t="shared" si="635"/>
        <v>0</v>
      </c>
      <c r="K311" s="22">
        <f t="shared" si="636"/>
        <v>0</v>
      </c>
      <c r="L311" s="24">
        <f t="shared" si="637"/>
        <v>0</v>
      </c>
      <c r="M311" s="23">
        <f t="shared" si="637"/>
        <v>0</v>
      </c>
      <c r="N311" s="22">
        <f t="shared" si="638"/>
        <v>0</v>
      </c>
      <c r="O311" s="24">
        <f t="shared" si="639"/>
        <v>0</v>
      </c>
      <c r="P311" s="23">
        <f t="shared" si="639"/>
        <v>0</v>
      </c>
      <c r="Q311" s="22">
        <f t="shared" si="640"/>
        <v>0</v>
      </c>
      <c r="R311" s="24">
        <f t="shared" si="641"/>
        <v>0</v>
      </c>
      <c r="S311" s="23">
        <f t="shared" si="641"/>
        <v>0</v>
      </c>
      <c r="T311" s="22">
        <f t="shared" si="642"/>
        <v>0</v>
      </c>
      <c r="U311" s="24">
        <f t="shared" si="643"/>
        <v>0</v>
      </c>
      <c r="V311" s="23">
        <f t="shared" si="643"/>
        <v>0</v>
      </c>
      <c r="W311" s="22">
        <f t="shared" si="644"/>
        <v>0</v>
      </c>
      <c r="X311" s="24">
        <f t="shared" si="645"/>
        <v>0</v>
      </c>
      <c r="Y311" s="23">
        <f t="shared" si="645"/>
        <v>0</v>
      </c>
      <c r="Z311" s="22">
        <f t="shared" si="646"/>
        <v>0</v>
      </c>
      <c r="AA311" s="24">
        <f t="shared" si="647"/>
        <v>0</v>
      </c>
      <c r="AB311" s="23">
        <f t="shared" si="647"/>
        <v>0</v>
      </c>
      <c r="AC311" s="22">
        <f t="shared" si="648"/>
        <v>0</v>
      </c>
      <c r="AD311" s="24">
        <f t="shared" si="649"/>
        <v>0</v>
      </c>
      <c r="AE311" s="23">
        <f t="shared" si="649"/>
        <v>0</v>
      </c>
      <c r="AF311" s="22">
        <f t="shared" si="650"/>
        <v>0</v>
      </c>
      <c r="AG311" s="24">
        <f t="shared" si="651"/>
        <v>0</v>
      </c>
      <c r="AH311" s="23">
        <f t="shared" si="651"/>
        <v>0</v>
      </c>
      <c r="AI311" s="22">
        <f t="shared" si="652"/>
        <v>0</v>
      </c>
      <c r="AJ311" s="24">
        <f t="shared" si="653"/>
        <v>0</v>
      </c>
      <c r="AK311" s="23">
        <f t="shared" si="653"/>
        <v>0</v>
      </c>
      <c r="AL311" s="22">
        <f t="shared" si="654"/>
        <v>0</v>
      </c>
      <c r="AM311" s="24">
        <f t="shared" si="655"/>
        <v>0</v>
      </c>
      <c r="AN311" s="23">
        <f t="shared" si="655"/>
        <v>0</v>
      </c>
      <c r="AO311" s="22">
        <f t="shared" si="656"/>
        <v>0</v>
      </c>
      <c r="AP311" s="24">
        <f t="shared" si="657"/>
        <v>0</v>
      </c>
      <c r="AQ311" s="23">
        <f t="shared" si="657"/>
        <v>0</v>
      </c>
      <c r="AR311" s="22">
        <f t="shared" si="658"/>
        <v>0</v>
      </c>
      <c r="AS311" s="24">
        <f t="shared" si="659"/>
        <v>0</v>
      </c>
      <c r="AT311" s="23">
        <f t="shared" si="659"/>
        <v>0</v>
      </c>
      <c r="AU311" s="22">
        <f t="shared" si="660"/>
        <v>0</v>
      </c>
      <c r="AV311" s="24">
        <f t="shared" si="661"/>
        <v>0</v>
      </c>
      <c r="AW311" s="23">
        <f t="shared" si="661"/>
        <v>0</v>
      </c>
      <c r="AX311" s="22">
        <f t="shared" si="662"/>
        <v>0</v>
      </c>
      <c r="AY311" s="23">
        <f t="shared" si="663"/>
        <v>0</v>
      </c>
      <c r="AZ311" s="23">
        <f t="shared" si="663"/>
        <v>0</v>
      </c>
      <c r="BA311" s="22">
        <f t="shared" si="664"/>
        <v>0</v>
      </c>
      <c r="BB311" s="24">
        <f t="shared" si="665"/>
        <v>0</v>
      </c>
      <c r="BC311" s="23">
        <f t="shared" si="665"/>
        <v>0</v>
      </c>
      <c r="BD311" s="22">
        <f t="shared" si="666"/>
        <v>0</v>
      </c>
      <c r="BE311" s="24">
        <f t="shared" si="667"/>
        <v>0</v>
      </c>
      <c r="BF311" s="24">
        <f t="shared" si="667"/>
        <v>0</v>
      </c>
      <c r="BG311" s="20">
        <f t="shared" ref="BG311" si="673">IF(BG78=0,0,BG279/BG78)</f>
        <v>0</v>
      </c>
    </row>
    <row r="312" spans="1:59" ht="13.5" hidden="1" customHeight="1" outlineLevel="1" x14ac:dyDescent="0.25">
      <c r="A312" s="100"/>
      <c r="B312" s="84" t="s">
        <v>38</v>
      </c>
      <c r="C312" s="83" t="s">
        <v>84</v>
      </c>
      <c r="D312" s="20">
        <f t="shared" si="633"/>
        <v>0</v>
      </c>
      <c r="E312" s="20">
        <f t="shared" si="633"/>
        <v>0</v>
      </c>
      <c r="F312" s="24">
        <f t="shared" si="633"/>
        <v>0</v>
      </c>
      <c r="G312" s="23">
        <f t="shared" si="633"/>
        <v>0</v>
      </c>
      <c r="H312" s="22">
        <f t="shared" si="634"/>
        <v>0</v>
      </c>
      <c r="I312" s="24">
        <f t="shared" si="635"/>
        <v>0</v>
      </c>
      <c r="J312" s="23">
        <f t="shared" si="635"/>
        <v>0</v>
      </c>
      <c r="K312" s="22">
        <f t="shared" si="636"/>
        <v>0</v>
      </c>
      <c r="L312" s="24">
        <f t="shared" si="637"/>
        <v>0</v>
      </c>
      <c r="M312" s="23">
        <f t="shared" si="637"/>
        <v>0</v>
      </c>
      <c r="N312" s="22">
        <f t="shared" si="638"/>
        <v>0</v>
      </c>
      <c r="O312" s="24">
        <f t="shared" si="639"/>
        <v>0</v>
      </c>
      <c r="P312" s="23">
        <f t="shared" si="639"/>
        <v>0</v>
      </c>
      <c r="Q312" s="22">
        <f t="shared" si="640"/>
        <v>0</v>
      </c>
      <c r="R312" s="24">
        <f t="shared" si="641"/>
        <v>0</v>
      </c>
      <c r="S312" s="23">
        <f t="shared" si="641"/>
        <v>0</v>
      </c>
      <c r="T312" s="22">
        <f t="shared" si="642"/>
        <v>0</v>
      </c>
      <c r="U312" s="24">
        <f t="shared" si="643"/>
        <v>0</v>
      </c>
      <c r="V312" s="23">
        <f t="shared" si="643"/>
        <v>0</v>
      </c>
      <c r="W312" s="22">
        <f t="shared" si="644"/>
        <v>0</v>
      </c>
      <c r="X312" s="24">
        <f t="shared" si="645"/>
        <v>0</v>
      </c>
      <c r="Y312" s="23">
        <f t="shared" si="645"/>
        <v>0</v>
      </c>
      <c r="Z312" s="22">
        <f t="shared" si="646"/>
        <v>0</v>
      </c>
      <c r="AA312" s="24">
        <f t="shared" si="647"/>
        <v>0</v>
      </c>
      <c r="AB312" s="23">
        <f t="shared" si="647"/>
        <v>0</v>
      </c>
      <c r="AC312" s="22">
        <f t="shared" si="648"/>
        <v>0</v>
      </c>
      <c r="AD312" s="24">
        <f t="shared" si="649"/>
        <v>0</v>
      </c>
      <c r="AE312" s="23">
        <f t="shared" si="649"/>
        <v>0</v>
      </c>
      <c r="AF312" s="22">
        <f t="shared" si="650"/>
        <v>0</v>
      </c>
      <c r="AG312" s="24">
        <f t="shared" si="651"/>
        <v>0</v>
      </c>
      <c r="AH312" s="23">
        <f t="shared" si="651"/>
        <v>0</v>
      </c>
      <c r="AI312" s="22">
        <f t="shared" si="652"/>
        <v>0</v>
      </c>
      <c r="AJ312" s="24">
        <f t="shared" si="653"/>
        <v>0</v>
      </c>
      <c r="AK312" s="23">
        <f t="shared" si="653"/>
        <v>0</v>
      </c>
      <c r="AL312" s="22">
        <f t="shared" si="654"/>
        <v>0</v>
      </c>
      <c r="AM312" s="24">
        <f t="shared" si="655"/>
        <v>0</v>
      </c>
      <c r="AN312" s="23">
        <f t="shared" si="655"/>
        <v>0</v>
      </c>
      <c r="AO312" s="22">
        <f t="shared" si="656"/>
        <v>0</v>
      </c>
      <c r="AP312" s="24">
        <f t="shared" si="657"/>
        <v>0</v>
      </c>
      <c r="AQ312" s="23">
        <f t="shared" si="657"/>
        <v>0</v>
      </c>
      <c r="AR312" s="22">
        <f t="shared" si="658"/>
        <v>0</v>
      </c>
      <c r="AS312" s="24">
        <f t="shared" si="659"/>
        <v>0</v>
      </c>
      <c r="AT312" s="23">
        <f t="shared" si="659"/>
        <v>0</v>
      </c>
      <c r="AU312" s="22">
        <f t="shared" si="660"/>
        <v>0</v>
      </c>
      <c r="AV312" s="24">
        <f t="shared" si="661"/>
        <v>0</v>
      </c>
      <c r="AW312" s="23">
        <f t="shared" si="661"/>
        <v>0</v>
      </c>
      <c r="AX312" s="22">
        <f t="shared" si="662"/>
        <v>0</v>
      </c>
      <c r="AY312" s="23">
        <f t="shared" si="663"/>
        <v>0</v>
      </c>
      <c r="AZ312" s="23">
        <f t="shared" si="663"/>
        <v>0</v>
      </c>
      <c r="BA312" s="22">
        <f t="shared" si="664"/>
        <v>0</v>
      </c>
      <c r="BB312" s="24">
        <f t="shared" si="665"/>
        <v>0</v>
      </c>
      <c r="BC312" s="23">
        <f t="shared" si="665"/>
        <v>0</v>
      </c>
      <c r="BD312" s="22">
        <f t="shared" si="666"/>
        <v>0</v>
      </c>
      <c r="BE312" s="24">
        <f t="shared" si="667"/>
        <v>0</v>
      </c>
      <c r="BF312" s="24">
        <f t="shared" si="667"/>
        <v>0</v>
      </c>
      <c r="BG312" s="20">
        <f t="shared" ref="BG312" si="674">IF(BG79=0,0,BG280/BG79)</f>
        <v>0</v>
      </c>
    </row>
    <row r="313" spans="1:59" ht="13.5" hidden="1" customHeight="1" outlineLevel="1" x14ac:dyDescent="0.25">
      <c r="A313" s="100"/>
      <c r="B313" s="84" t="s">
        <v>39</v>
      </c>
      <c r="C313" s="83" t="s">
        <v>84</v>
      </c>
      <c r="D313" s="20">
        <f t="shared" si="633"/>
        <v>0</v>
      </c>
      <c r="E313" s="20">
        <f t="shared" si="633"/>
        <v>0</v>
      </c>
      <c r="F313" s="24">
        <f t="shared" si="633"/>
        <v>0</v>
      </c>
      <c r="G313" s="23">
        <f t="shared" si="633"/>
        <v>0</v>
      </c>
      <c r="H313" s="22">
        <f t="shared" si="634"/>
        <v>0</v>
      </c>
      <c r="I313" s="24">
        <f t="shared" si="635"/>
        <v>0</v>
      </c>
      <c r="J313" s="23">
        <f t="shared" si="635"/>
        <v>0</v>
      </c>
      <c r="K313" s="22">
        <f t="shared" si="636"/>
        <v>0</v>
      </c>
      <c r="L313" s="24">
        <f t="shared" si="637"/>
        <v>0</v>
      </c>
      <c r="M313" s="23">
        <f t="shared" si="637"/>
        <v>0</v>
      </c>
      <c r="N313" s="22">
        <f t="shared" si="638"/>
        <v>0</v>
      </c>
      <c r="O313" s="24">
        <f t="shared" si="639"/>
        <v>0</v>
      </c>
      <c r="P313" s="23">
        <f t="shared" si="639"/>
        <v>0</v>
      </c>
      <c r="Q313" s="22">
        <f t="shared" si="640"/>
        <v>0</v>
      </c>
      <c r="R313" s="24">
        <f t="shared" si="641"/>
        <v>0</v>
      </c>
      <c r="S313" s="23">
        <f t="shared" si="641"/>
        <v>0</v>
      </c>
      <c r="T313" s="22">
        <f t="shared" si="642"/>
        <v>0</v>
      </c>
      <c r="U313" s="24">
        <f t="shared" si="643"/>
        <v>0</v>
      </c>
      <c r="V313" s="23">
        <f t="shared" si="643"/>
        <v>0</v>
      </c>
      <c r="W313" s="22">
        <f t="shared" si="644"/>
        <v>0</v>
      </c>
      <c r="X313" s="24">
        <f t="shared" si="645"/>
        <v>0</v>
      </c>
      <c r="Y313" s="23">
        <f t="shared" si="645"/>
        <v>0</v>
      </c>
      <c r="Z313" s="22">
        <f t="shared" si="646"/>
        <v>0</v>
      </c>
      <c r="AA313" s="24">
        <f t="shared" si="647"/>
        <v>0</v>
      </c>
      <c r="AB313" s="23">
        <f t="shared" si="647"/>
        <v>0</v>
      </c>
      <c r="AC313" s="22">
        <f t="shared" si="648"/>
        <v>0</v>
      </c>
      <c r="AD313" s="24">
        <f t="shared" si="649"/>
        <v>0</v>
      </c>
      <c r="AE313" s="23">
        <f t="shared" si="649"/>
        <v>0</v>
      </c>
      <c r="AF313" s="22">
        <f t="shared" si="650"/>
        <v>0</v>
      </c>
      <c r="AG313" s="24">
        <f t="shared" si="651"/>
        <v>0</v>
      </c>
      <c r="AH313" s="23">
        <f t="shared" si="651"/>
        <v>0</v>
      </c>
      <c r="AI313" s="22">
        <f t="shared" si="652"/>
        <v>0</v>
      </c>
      <c r="AJ313" s="24">
        <f t="shared" si="653"/>
        <v>0</v>
      </c>
      <c r="AK313" s="23">
        <f t="shared" si="653"/>
        <v>0</v>
      </c>
      <c r="AL313" s="22">
        <f t="shared" si="654"/>
        <v>0</v>
      </c>
      <c r="AM313" s="24">
        <f t="shared" si="655"/>
        <v>0</v>
      </c>
      <c r="AN313" s="23">
        <f t="shared" si="655"/>
        <v>0</v>
      </c>
      <c r="AO313" s="22">
        <f t="shared" si="656"/>
        <v>0</v>
      </c>
      <c r="AP313" s="24">
        <f t="shared" si="657"/>
        <v>0</v>
      </c>
      <c r="AQ313" s="23">
        <f t="shared" si="657"/>
        <v>0</v>
      </c>
      <c r="AR313" s="22">
        <f t="shared" si="658"/>
        <v>0</v>
      </c>
      <c r="AS313" s="24">
        <f t="shared" si="659"/>
        <v>0</v>
      </c>
      <c r="AT313" s="23">
        <f t="shared" si="659"/>
        <v>0</v>
      </c>
      <c r="AU313" s="22">
        <f t="shared" si="660"/>
        <v>0</v>
      </c>
      <c r="AV313" s="24">
        <f t="shared" si="661"/>
        <v>0</v>
      </c>
      <c r="AW313" s="23">
        <f t="shared" si="661"/>
        <v>0</v>
      </c>
      <c r="AX313" s="22">
        <f t="shared" si="662"/>
        <v>0</v>
      </c>
      <c r="AY313" s="23">
        <f t="shared" si="663"/>
        <v>0</v>
      </c>
      <c r="AZ313" s="23">
        <f t="shared" si="663"/>
        <v>0</v>
      </c>
      <c r="BA313" s="22">
        <f t="shared" si="664"/>
        <v>0</v>
      </c>
      <c r="BB313" s="24">
        <f t="shared" si="665"/>
        <v>0</v>
      </c>
      <c r="BC313" s="23">
        <f t="shared" si="665"/>
        <v>0</v>
      </c>
      <c r="BD313" s="22">
        <f t="shared" si="666"/>
        <v>0</v>
      </c>
      <c r="BE313" s="24">
        <f t="shared" si="667"/>
        <v>0</v>
      </c>
      <c r="BF313" s="24">
        <f t="shared" si="667"/>
        <v>0</v>
      </c>
      <c r="BG313" s="20">
        <f t="shared" ref="BG313" si="675">IF(BG80=0,0,BG281/BG80)</f>
        <v>0</v>
      </c>
    </row>
    <row r="314" spans="1:59" ht="13.5" hidden="1" customHeight="1" outlineLevel="1" x14ac:dyDescent="0.25">
      <c r="A314" s="100"/>
      <c r="B314" s="84" t="s">
        <v>40</v>
      </c>
      <c r="C314" s="83" t="s">
        <v>84</v>
      </c>
      <c r="D314" s="20">
        <f t="shared" si="633"/>
        <v>0</v>
      </c>
      <c r="E314" s="20">
        <f t="shared" si="633"/>
        <v>0</v>
      </c>
      <c r="F314" s="24">
        <f t="shared" si="633"/>
        <v>0</v>
      </c>
      <c r="G314" s="23">
        <f t="shared" si="633"/>
        <v>0</v>
      </c>
      <c r="H314" s="22">
        <f t="shared" si="634"/>
        <v>0</v>
      </c>
      <c r="I314" s="24">
        <f t="shared" si="635"/>
        <v>0</v>
      </c>
      <c r="J314" s="23">
        <f t="shared" si="635"/>
        <v>0</v>
      </c>
      <c r="K314" s="22">
        <f t="shared" si="636"/>
        <v>0</v>
      </c>
      <c r="L314" s="24">
        <f t="shared" si="637"/>
        <v>0</v>
      </c>
      <c r="M314" s="23">
        <f t="shared" si="637"/>
        <v>0</v>
      </c>
      <c r="N314" s="22">
        <f t="shared" si="638"/>
        <v>0</v>
      </c>
      <c r="O314" s="24">
        <f t="shared" si="639"/>
        <v>0</v>
      </c>
      <c r="P314" s="23">
        <f t="shared" si="639"/>
        <v>0</v>
      </c>
      <c r="Q314" s="22">
        <f t="shared" si="640"/>
        <v>0</v>
      </c>
      <c r="R314" s="24">
        <f t="shared" si="641"/>
        <v>0</v>
      </c>
      <c r="S314" s="23">
        <f t="shared" si="641"/>
        <v>0</v>
      </c>
      <c r="T314" s="22">
        <f t="shared" si="642"/>
        <v>0</v>
      </c>
      <c r="U314" s="24">
        <f t="shared" si="643"/>
        <v>0</v>
      </c>
      <c r="V314" s="23">
        <f t="shared" si="643"/>
        <v>0</v>
      </c>
      <c r="W314" s="22">
        <f t="shared" si="644"/>
        <v>0</v>
      </c>
      <c r="X314" s="24">
        <f t="shared" si="645"/>
        <v>0</v>
      </c>
      <c r="Y314" s="23">
        <f t="shared" si="645"/>
        <v>0</v>
      </c>
      <c r="Z314" s="22">
        <f t="shared" si="646"/>
        <v>0</v>
      </c>
      <c r="AA314" s="24">
        <f t="shared" si="647"/>
        <v>0</v>
      </c>
      <c r="AB314" s="23">
        <f t="shared" si="647"/>
        <v>0</v>
      </c>
      <c r="AC314" s="22">
        <f t="shared" si="648"/>
        <v>0</v>
      </c>
      <c r="AD314" s="24">
        <f t="shared" si="649"/>
        <v>0</v>
      </c>
      <c r="AE314" s="23">
        <f t="shared" si="649"/>
        <v>0</v>
      </c>
      <c r="AF314" s="22">
        <f t="shared" si="650"/>
        <v>0</v>
      </c>
      <c r="AG314" s="24">
        <f t="shared" si="651"/>
        <v>0</v>
      </c>
      <c r="AH314" s="23">
        <f t="shared" si="651"/>
        <v>0</v>
      </c>
      <c r="AI314" s="22">
        <f t="shared" si="652"/>
        <v>0</v>
      </c>
      <c r="AJ314" s="24">
        <f t="shared" si="653"/>
        <v>0</v>
      </c>
      <c r="AK314" s="23">
        <f t="shared" si="653"/>
        <v>0</v>
      </c>
      <c r="AL314" s="22">
        <f t="shared" si="654"/>
        <v>0</v>
      </c>
      <c r="AM314" s="24">
        <f t="shared" si="655"/>
        <v>0</v>
      </c>
      <c r="AN314" s="23">
        <f t="shared" si="655"/>
        <v>0</v>
      </c>
      <c r="AO314" s="22">
        <f t="shared" si="656"/>
        <v>0</v>
      </c>
      <c r="AP314" s="24">
        <f t="shared" si="657"/>
        <v>0</v>
      </c>
      <c r="AQ314" s="23">
        <f t="shared" si="657"/>
        <v>0</v>
      </c>
      <c r="AR314" s="22">
        <f t="shared" si="658"/>
        <v>0</v>
      </c>
      <c r="AS314" s="24">
        <f t="shared" si="659"/>
        <v>0</v>
      </c>
      <c r="AT314" s="23">
        <f t="shared" si="659"/>
        <v>0</v>
      </c>
      <c r="AU314" s="22">
        <f t="shared" si="660"/>
        <v>0</v>
      </c>
      <c r="AV314" s="24">
        <f t="shared" si="661"/>
        <v>0</v>
      </c>
      <c r="AW314" s="23">
        <f t="shared" si="661"/>
        <v>0</v>
      </c>
      <c r="AX314" s="22">
        <f t="shared" si="662"/>
        <v>0</v>
      </c>
      <c r="AY314" s="23">
        <f t="shared" si="663"/>
        <v>0</v>
      </c>
      <c r="AZ314" s="23">
        <f t="shared" si="663"/>
        <v>0</v>
      </c>
      <c r="BA314" s="22">
        <f t="shared" si="664"/>
        <v>0</v>
      </c>
      <c r="BB314" s="24">
        <f t="shared" si="665"/>
        <v>0</v>
      </c>
      <c r="BC314" s="23">
        <f t="shared" si="665"/>
        <v>0</v>
      </c>
      <c r="BD314" s="22">
        <f t="shared" si="666"/>
        <v>0</v>
      </c>
      <c r="BE314" s="24">
        <f t="shared" si="667"/>
        <v>0</v>
      </c>
      <c r="BF314" s="24">
        <f t="shared" si="667"/>
        <v>0</v>
      </c>
      <c r="BG314" s="20">
        <f t="shared" ref="BG314" si="676">IF(BG81=0,0,BG282/BG81)</f>
        <v>0</v>
      </c>
    </row>
    <row r="315" spans="1:59" ht="13.5" hidden="1" customHeight="1" outlineLevel="1" x14ac:dyDescent="0.25">
      <c r="A315" s="100"/>
      <c r="B315" s="84" t="s">
        <v>41</v>
      </c>
      <c r="C315" s="83" t="s">
        <v>84</v>
      </c>
      <c r="D315" s="20">
        <f t="shared" si="633"/>
        <v>0</v>
      </c>
      <c r="E315" s="20">
        <f t="shared" si="633"/>
        <v>0</v>
      </c>
      <c r="F315" s="24">
        <f t="shared" si="633"/>
        <v>0</v>
      </c>
      <c r="G315" s="23">
        <f t="shared" si="633"/>
        <v>0</v>
      </c>
      <c r="H315" s="22">
        <f t="shared" si="634"/>
        <v>0</v>
      </c>
      <c r="I315" s="24">
        <f t="shared" si="635"/>
        <v>0</v>
      </c>
      <c r="J315" s="23">
        <f t="shared" si="635"/>
        <v>0</v>
      </c>
      <c r="K315" s="22">
        <f t="shared" si="636"/>
        <v>0</v>
      </c>
      <c r="L315" s="24">
        <f t="shared" si="637"/>
        <v>0</v>
      </c>
      <c r="M315" s="23">
        <f t="shared" si="637"/>
        <v>0</v>
      </c>
      <c r="N315" s="22">
        <f t="shared" si="638"/>
        <v>0</v>
      </c>
      <c r="O315" s="24">
        <f t="shared" si="639"/>
        <v>0</v>
      </c>
      <c r="P315" s="23">
        <f t="shared" si="639"/>
        <v>0</v>
      </c>
      <c r="Q315" s="22">
        <f t="shared" si="640"/>
        <v>0</v>
      </c>
      <c r="R315" s="24">
        <f t="shared" si="641"/>
        <v>0</v>
      </c>
      <c r="S315" s="23">
        <f t="shared" si="641"/>
        <v>0</v>
      </c>
      <c r="T315" s="22">
        <f t="shared" si="642"/>
        <v>0</v>
      </c>
      <c r="U315" s="24">
        <f t="shared" si="643"/>
        <v>0</v>
      </c>
      <c r="V315" s="23">
        <f t="shared" si="643"/>
        <v>0</v>
      </c>
      <c r="W315" s="22">
        <f t="shared" si="644"/>
        <v>0</v>
      </c>
      <c r="X315" s="24">
        <f t="shared" si="645"/>
        <v>0</v>
      </c>
      <c r="Y315" s="23">
        <f t="shared" si="645"/>
        <v>0</v>
      </c>
      <c r="Z315" s="22">
        <f t="shared" si="646"/>
        <v>0</v>
      </c>
      <c r="AA315" s="24">
        <f t="shared" si="647"/>
        <v>0</v>
      </c>
      <c r="AB315" s="23">
        <f t="shared" si="647"/>
        <v>0</v>
      </c>
      <c r="AC315" s="22">
        <f t="shared" si="648"/>
        <v>0</v>
      </c>
      <c r="AD315" s="24">
        <f t="shared" si="649"/>
        <v>0</v>
      </c>
      <c r="AE315" s="23">
        <f t="shared" si="649"/>
        <v>0</v>
      </c>
      <c r="AF315" s="22">
        <f t="shared" si="650"/>
        <v>0</v>
      </c>
      <c r="AG315" s="24">
        <f t="shared" si="651"/>
        <v>0</v>
      </c>
      <c r="AH315" s="23">
        <f t="shared" si="651"/>
        <v>0</v>
      </c>
      <c r="AI315" s="22">
        <f t="shared" si="652"/>
        <v>0</v>
      </c>
      <c r="AJ315" s="24">
        <f t="shared" si="653"/>
        <v>0</v>
      </c>
      <c r="AK315" s="23">
        <f t="shared" si="653"/>
        <v>0</v>
      </c>
      <c r="AL315" s="22">
        <f t="shared" si="654"/>
        <v>0</v>
      </c>
      <c r="AM315" s="24">
        <f t="shared" si="655"/>
        <v>0</v>
      </c>
      <c r="AN315" s="23">
        <f t="shared" si="655"/>
        <v>0</v>
      </c>
      <c r="AO315" s="22">
        <f t="shared" si="656"/>
        <v>0</v>
      </c>
      <c r="AP315" s="24">
        <f t="shared" si="657"/>
        <v>0</v>
      </c>
      <c r="AQ315" s="23">
        <f t="shared" si="657"/>
        <v>0</v>
      </c>
      <c r="AR315" s="22">
        <f t="shared" si="658"/>
        <v>0</v>
      </c>
      <c r="AS315" s="24">
        <f t="shared" si="659"/>
        <v>0</v>
      </c>
      <c r="AT315" s="23">
        <f t="shared" si="659"/>
        <v>0</v>
      </c>
      <c r="AU315" s="22">
        <f t="shared" si="660"/>
        <v>0</v>
      </c>
      <c r="AV315" s="24">
        <f t="shared" si="661"/>
        <v>0</v>
      </c>
      <c r="AW315" s="23">
        <f t="shared" si="661"/>
        <v>0</v>
      </c>
      <c r="AX315" s="22">
        <f t="shared" si="662"/>
        <v>0</v>
      </c>
      <c r="AY315" s="23">
        <f t="shared" si="663"/>
        <v>0</v>
      </c>
      <c r="AZ315" s="23">
        <f t="shared" si="663"/>
        <v>0</v>
      </c>
      <c r="BA315" s="22">
        <f t="shared" si="664"/>
        <v>0</v>
      </c>
      <c r="BB315" s="24">
        <f t="shared" si="665"/>
        <v>0</v>
      </c>
      <c r="BC315" s="23">
        <f t="shared" si="665"/>
        <v>0</v>
      </c>
      <c r="BD315" s="22">
        <f t="shared" si="666"/>
        <v>0</v>
      </c>
      <c r="BE315" s="24">
        <f t="shared" si="667"/>
        <v>0</v>
      </c>
      <c r="BF315" s="24">
        <f t="shared" si="667"/>
        <v>0</v>
      </c>
      <c r="BG315" s="20">
        <f t="shared" ref="BG315" si="677">IF(BG82=0,0,BG283/BG82)</f>
        <v>0</v>
      </c>
    </row>
    <row r="316" spans="1:59" ht="13.5" hidden="1" customHeight="1" outlineLevel="1" x14ac:dyDescent="0.25">
      <c r="A316" s="28"/>
      <c r="B316" s="84" t="s">
        <v>42</v>
      </c>
      <c r="C316" s="83" t="s">
        <v>84</v>
      </c>
      <c r="D316" s="20">
        <f t="shared" si="633"/>
        <v>0</v>
      </c>
      <c r="E316" s="20">
        <f t="shared" si="633"/>
        <v>0</v>
      </c>
      <c r="F316" s="24">
        <f t="shared" si="633"/>
        <v>0</v>
      </c>
      <c r="G316" s="23">
        <f t="shared" si="633"/>
        <v>0</v>
      </c>
      <c r="H316" s="22">
        <f t="shared" si="634"/>
        <v>0</v>
      </c>
      <c r="I316" s="24">
        <f t="shared" si="635"/>
        <v>0</v>
      </c>
      <c r="J316" s="23">
        <f t="shared" si="635"/>
        <v>0</v>
      </c>
      <c r="K316" s="22">
        <f t="shared" si="636"/>
        <v>0</v>
      </c>
      <c r="L316" s="24">
        <f t="shared" si="637"/>
        <v>0</v>
      </c>
      <c r="M316" s="23">
        <f t="shared" si="637"/>
        <v>0</v>
      </c>
      <c r="N316" s="22">
        <f t="shared" si="638"/>
        <v>0</v>
      </c>
      <c r="O316" s="24">
        <f t="shared" si="639"/>
        <v>0</v>
      </c>
      <c r="P316" s="23">
        <f t="shared" si="639"/>
        <v>0</v>
      </c>
      <c r="Q316" s="22">
        <f t="shared" si="640"/>
        <v>0</v>
      </c>
      <c r="R316" s="24">
        <f t="shared" si="641"/>
        <v>0</v>
      </c>
      <c r="S316" s="23">
        <f t="shared" si="641"/>
        <v>0</v>
      </c>
      <c r="T316" s="22">
        <f t="shared" si="642"/>
        <v>0</v>
      </c>
      <c r="U316" s="24">
        <f t="shared" si="643"/>
        <v>0</v>
      </c>
      <c r="V316" s="23">
        <f t="shared" si="643"/>
        <v>0</v>
      </c>
      <c r="W316" s="22">
        <f t="shared" si="644"/>
        <v>0</v>
      </c>
      <c r="X316" s="24">
        <f t="shared" si="645"/>
        <v>0</v>
      </c>
      <c r="Y316" s="23">
        <f t="shared" si="645"/>
        <v>0</v>
      </c>
      <c r="Z316" s="22">
        <f t="shared" si="646"/>
        <v>0</v>
      </c>
      <c r="AA316" s="24">
        <f t="shared" si="647"/>
        <v>0</v>
      </c>
      <c r="AB316" s="23">
        <f t="shared" si="647"/>
        <v>0</v>
      </c>
      <c r="AC316" s="22">
        <f t="shared" si="648"/>
        <v>0</v>
      </c>
      <c r="AD316" s="24">
        <f t="shared" si="649"/>
        <v>0</v>
      </c>
      <c r="AE316" s="23">
        <f t="shared" si="649"/>
        <v>0</v>
      </c>
      <c r="AF316" s="22">
        <f t="shared" si="650"/>
        <v>0</v>
      </c>
      <c r="AG316" s="24">
        <f t="shared" si="651"/>
        <v>0</v>
      </c>
      <c r="AH316" s="23">
        <f t="shared" si="651"/>
        <v>0</v>
      </c>
      <c r="AI316" s="22">
        <f t="shared" si="652"/>
        <v>0</v>
      </c>
      <c r="AJ316" s="24">
        <f t="shared" si="653"/>
        <v>0</v>
      </c>
      <c r="AK316" s="23">
        <f t="shared" si="653"/>
        <v>0</v>
      </c>
      <c r="AL316" s="22">
        <f t="shared" si="654"/>
        <v>0</v>
      </c>
      <c r="AM316" s="24">
        <f t="shared" si="655"/>
        <v>0</v>
      </c>
      <c r="AN316" s="23">
        <f t="shared" si="655"/>
        <v>0</v>
      </c>
      <c r="AO316" s="22">
        <f t="shared" si="656"/>
        <v>0</v>
      </c>
      <c r="AP316" s="24">
        <f t="shared" si="657"/>
        <v>0</v>
      </c>
      <c r="AQ316" s="23">
        <f t="shared" si="657"/>
        <v>0</v>
      </c>
      <c r="AR316" s="22">
        <f t="shared" si="658"/>
        <v>0</v>
      </c>
      <c r="AS316" s="24">
        <f t="shared" si="659"/>
        <v>0</v>
      </c>
      <c r="AT316" s="23">
        <f t="shared" si="659"/>
        <v>0</v>
      </c>
      <c r="AU316" s="22">
        <f t="shared" si="660"/>
        <v>0</v>
      </c>
      <c r="AV316" s="24">
        <f t="shared" si="661"/>
        <v>0</v>
      </c>
      <c r="AW316" s="23">
        <f t="shared" si="661"/>
        <v>0</v>
      </c>
      <c r="AX316" s="22">
        <f t="shared" si="662"/>
        <v>0</v>
      </c>
      <c r="AY316" s="23">
        <f t="shared" si="663"/>
        <v>0</v>
      </c>
      <c r="AZ316" s="23">
        <f t="shared" si="663"/>
        <v>0</v>
      </c>
      <c r="BA316" s="22">
        <f t="shared" si="664"/>
        <v>0</v>
      </c>
      <c r="BB316" s="24">
        <f t="shared" si="665"/>
        <v>0</v>
      </c>
      <c r="BC316" s="23">
        <f t="shared" si="665"/>
        <v>0</v>
      </c>
      <c r="BD316" s="22">
        <f t="shared" si="666"/>
        <v>0</v>
      </c>
      <c r="BE316" s="24">
        <f t="shared" si="667"/>
        <v>0</v>
      </c>
      <c r="BF316" s="24">
        <f t="shared" si="667"/>
        <v>0</v>
      </c>
      <c r="BG316" s="20">
        <f t="shared" ref="BG316" si="678">IF(BG83=0,0,BG284/BG83)</f>
        <v>0</v>
      </c>
    </row>
    <row r="317" spans="1:59" s="210" customFormat="1" ht="13.5" customHeight="1" collapsed="1" x14ac:dyDescent="0.25">
      <c r="A317" s="103"/>
      <c r="B317" s="102" t="s">
        <v>43</v>
      </c>
      <c r="C317" s="101" t="s">
        <v>84</v>
      </c>
      <c r="D317" s="188">
        <f t="shared" si="633"/>
        <v>0</v>
      </c>
      <c r="E317" s="188">
        <f t="shared" si="633"/>
        <v>0</v>
      </c>
      <c r="F317" s="191">
        <f t="shared" si="633"/>
        <v>0</v>
      </c>
      <c r="G317" s="189">
        <f t="shared" si="633"/>
        <v>0</v>
      </c>
      <c r="H317" s="190">
        <f t="shared" si="634"/>
        <v>0</v>
      </c>
      <c r="I317" s="191">
        <f t="shared" si="635"/>
        <v>0</v>
      </c>
      <c r="J317" s="189">
        <f t="shared" si="635"/>
        <v>0</v>
      </c>
      <c r="K317" s="190">
        <f t="shared" si="636"/>
        <v>0</v>
      </c>
      <c r="L317" s="191">
        <f t="shared" si="637"/>
        <v>0</v>
      </c>
      <c r="M317" s="189">
        <f t="shared" si="637"/>
        <v>0</v>
      </c>
      <c r="N317" s="190">
        <f t="shared" si="638"/>
        <v>0</v>
      </c>
      <c r="O317" s="191">
        <f t="shared" si="639"/>
        <v>0</v>
      </c>
      <c r="P317" s="189">
        <f t="shared" si="639"/>
        <v>0</v>
      </c>
      <c r="Q317" s="190">
        <f t="shared" si="640"/>
        <v>0</v>
      </c>
      <c r="R317" s="191">
        <f t="shared" si="641"/>
        <v>0</v>
      </c>
      <c r="S317" s="189">
        <f t="shared" si="641"/>
        <v>0</v>
      </c>
      <c r="T317" s="190">
        <f t="shared" si="642"/>
        <v>0</v>
      </c>
      <c r="U317" s="191">
        <f t="shared" si="643"/>
        <v>0</v>
      </c>
      <c r="V317" s="189">
        <f t="shared" si="643"/>
        <v>0</v>
      </c>
      <c r="W317" s="190">
        <f t="shared" si="644"/>
        <v>0</v>
      </c>
      <c r="X317" s="191">
        <f t="shared" si="645"/>
        <v>0</v>
      </c>
      <c r="Y317" s="189">
        <f t="shared" si="645"/>
        <v>0</v>
      </c>
      <c r="Z317" s="190">
        <f t="shared" si="646"/>
        <v>0</v>
      </c>
      <c r="AA317" s="191">
        <f t="shared" si="647"/>
        <v>0</v>
      </c>
      <c r="AB317" s="189">
        <f t="shared" si="647"/>
        <v>0</v>
      </c>
      <c r="AC317" s="190">
        <f t="shared" si="648"/>
        <v>0</v>
      </c>
      <c r="AD317" s="191">
        <f t="shared" si="649"/>
        <v>0</v>
      </c>
      <c r="AE317" s="189">
        <f t="shared" si="649"/>
        <v>0</v>
      </c>
      <c r="AF317" s="190">
        <f t="shared" si="650"/>
        <v>0</v>
      </c>
      <c r="AG317" s="191">
        <f t="shared" si="651"/>
        <v>0</v>
      </c>
      <c r="AH317" s="189">
        <f t="shared" si="651"/>
        <v>0</v>
      </c>
      <c r="AI317" s="190">
        <f t="shared" si="652"/>
        <v>0</v>
      </c>
      <c r="AJ317" s="191">
        <f t="shared" si="653"/>
        <v>0</v>
      </c>
      <c r="AK317" s="189">
        <f t="shared" si="653"/>
        <v>0</v>
      </c>
      <c r="AL317" s="190">
        <f t="shared" si="654"/>
        <v>0</v>
      </c>
      <c r="AM317" s="191">
        <f t="shared" si="655"/>
        <v>0</v>
      </c>
      <c r="AN317" s="189">
        <f t="shared" si="655"/>
        <v>0</v>
      </c>
      <c r="AO317" s="190">
        <f t="shared" si="656"/>
        <v>0</v>
      </c>
      <c r="AP317" s="191">
        <f t="shared" si="657"/>
        <v>0</v>
      </c>
      <c r="AQ317" s="189">
        <f t="shared" si="657"/>
        <v>0</v>
      </c>
      <c r="AR317" s="190">
        <f t="shared" si="658"/>
        <v>0</v>
      </c>
      <c r="AS317" s="191">
        <f t="shared" si="659"/>
        <v>0</v>
      </c>
      <c r="AT317" s="189">
        <f t="shared" si="659"/>
        <v>0</v>
      </c>
      <c r="AU317" s="190">
        <f t="shared" si="660"/>
        <v>0</v>
      </c>
      <c r="AV317" s="191">
        <f t="shared" si="661"/>
        <v>0</v>
      </c>
      <c r="AW317" s="189">
        <f t="shared" si="661"/>
        <v>0</v>
      </c>
      <c r="AX317" s="190">
        <f t="shared" si="662"/>
        <v>0</v>
      </c>
      <c r="AY317" s="189">
        <f t="shared" si="663"/>
        <v>0</v>
      </c>
      <c r="AZ317" s="189">
        <f t="shared" si="663"/>
        <v>0</v>
      </c>
      <c r="BA317" s="190">
        <f t="shared" si="664"/>
        <v>0</v>
      </c>
      <c r="BB317" s="191">
        <f t="shared" si="665"/>
        <v>0</v>
      </c>
      <c r="BC317" s="189">
        <f t="shared" si="665"/>
        <v>0</v>
      </c>
      <c r="BD317" s="190">
        <f t="shared" si="666"/>
        <v>0</v>
      </c>
      <c r="BE317" s="191">
        <f t="shared" si="667"/>
        <v>0</v>
      </c>
      <c r="BF317" s="191">
        <f t="shared" si="667"/>
        <v>0</v>
      </c>
      <c r="BG317" s="188">
        <f t="shared" ref="BG317" si="679">IF(BG84=0,0,BG285/BG84)</f>
        <v>0</v>
      </c>
    </row>
    <row r="318" spans="1:59" ht="13.5" hidden="1" customHeight="1" outlineLevel="1" x14ac:dyDescent="0.25">
      <c r="A318" s="28"/>
      <c r="B318" s="84" t="s">
        <v>44</v>
      </c>
      <c r="C318" s="83" t="s">
        <v>84</v>
      </c>
      <c r="D318" s="20">
        <f t="shared" si="633"/>
        <v>0</v>
      </c>
      <c r="E318" s="20">
        <f t="shared" si="633"/>
        <v>0</v>
      </c>
      <c r="F318" s="24">
        <f t="shared" si="633"/>
        <v>0</v>
      </c>
      <c r="G318" s="23">
        <f t="shared" si="633"/>
        <v>0</v>
      </c>
      <c r="H318" s="22">
        <f t="shared" si="634"/>
        <v>0</v>
      </c>
      <c r="I318" s="24">
        <f t="shared" si="635"/>
        <v>0</v>
      </c>
      <c r="J318" s="23">
        <f t="shared" si="635"/>
        <v>0</v>
      </c>
      <c r="K318" s="22">
        <f t="shared" si="636"/>
        <v>0</v>
      </c>
      <c r="L318" s="24">
        <f t="shared" si="637"/>
        <v>0</v>
      </c>
      <c r="M318" s="23">
        <f t="shared" si="637"/>
        <v>0</v>
      </c>
      <c r="N318" s="22">
        <f t="shared" si="638"/>
        <v>0</v>
      </c>
      <c r="O318" s="24">
        <f t="shared" si="639"/>
        <v>0</v>
      </c>
      <c r="P318" s="23">
        <f t="shared" si="639"/>
        <v>0</v>
      </c>
      <c r="Q318" s="22">
        <f t="shared" si="640"/>
        <v>0</v>
      </c>
      <c r="R318" s="24">
        <f t="shared" si="641"/>
        <v>0</v>
      </c>
      <c r="S318" s="23">
        <f t="shared" si="641"/>
        <v>0</v>
      </c>
      <c r="T318" s="22">
        <f t="shared" si="642"/>
        <v>0</v>
      </c>
      <c r="U318" s="24">
        <f t="shared" si="643"/>
        <v>0</v>
      </c>
      <c r="V318" s="23">
        <f t="shared" si="643"/>
        <v>0</v>
      </c>
      <c r="W318" s="22">
        <f t="shared" si="644"/>
        <v>0</v>
      </c>
      <c r="X318" s="24">
        <f t="shared" si="645"/>
        <v>0</v>
      </c>
      <c r="Y318" s="23">
        <f t="shared" si="645"/>
        <v>0</v>
      </c>
      <c r="Z318" s="22">
        <f t="shared" si="646"/>
        <v>0</v>
      </c>
      <c r="AA318" s="24">
        <f t="shared" si="647"/>
        <v>0</v>
      </c>
      <c r="AB318" s="23">
        <f t="shared" si="647"/>
        <v>0</v>
      </c>
      <c r="AC318" s="22">
        <f t="shared" si="648"/>
        <v>0</v>
      </c>
      <c r="AD318" s="24">
        <f t="shared" si="649"/>
        <v>0</v>
      </c>
      <c r="AE318" s="23">
        <f t="shared" si="649"/>
        <v>0</v>
      </c>
      <c r="AF318" s="22">
        <f t="shared" si="650"/>
        <v>0</v>
      </c>
      <c r="AG318" s="24">
        <f t="shared" si="651"/>
        <v>0</v>
      </c>
      <c r="AH318" s="23">
        <f t="shared" si="651"/>
        <v>0</v>
      </c>
      <c r="AI318" s="22">
        <f t="shared" si="652"/>
        <v>0</v>
      </c>
      <c r="AJ318" s="24">
        <f t="shared" si="653"/>
        <v>0</v>
      </c>
      <c r="AK318" s="23">
        <f t="shared" si="653"/>
        <v>0</v>
      </c>
      <c r="AL318" s="22">
        <f t="shared" si="654"/>
        <v>0</v>
      </c>
      <c r="AM318" s="24">
        <f t="shared" si="655"/>
        <v>0</v>
      </c>
      <c r="AN318" s="23">
        <f t="shared" si="655"/>
        <v>0</v>
      </c>
      <c r="AO318" s="22">
        <f t="shared" si="656"/>
        <v>0</v>
      </c>
      <c r="AP318" s="24">
        <f t="shared" si="657"/>
        <v>0</v>
      </c>
      <c r="AQ318" s="23">
        <f t="shared" si="657"/>
        <v>0</v>
      </c>
      <c r="AR318" s="22">
        <f t="shared" si="658"/>
        <v>0</v>
      </c>
      <c r="AS318" s="24">
        <f t="shared" si="659"/>
        <v>0</v>
      </c>
      <c r="AT318" s="23">
        <f t="shared" si="659"/>
        <v>0</v>
      </c>
      <c r="AU318" s="22">
        <f t="shared" si="660"/>
        <v>0</v>
      </c>
      <c r="AV318" s="24">
        <f t="shared" si="661"/>
        <v>0</v>
      </c>
      <c r="AW318" s="23">
        <f t="shared" si="661"/>
        <v>0</v>
      </c>
      <c r="AX318" s="22">
        <f t="shared" si="662"/>
        <v>0</v>
      </c>
      <c r="AY318" s="23">
        <f t="shared" si="663"/>
        <v>0</v>
      </c>
      <c r="AZ318" s="23">
        <f t="shared" si="663"/>
        <v>0</v>
      </c>
      <c r="BA318" s="22">
        <f t="shared" si="664"/>
        <v>0</v>
      </c>
      <c r="BB318" s="24">
        <f t="shared" si="665"/>
        <v>0</v>
      </c>
      <c r="BC318" s="23">
        <f t="shared" si="665"/>
        <v>0</v>
      </c>
      <c r="BD318" s="22">
        <f t="shared" si="666"/>
        <v>0</v>
      </c>
      <c r="BE318" s="24">
        <f t="shared" si="667"/>
        <v>0</v>
      </c>
      <c r="BF318" s="24">
        <f t="shared" si="667"/>
        <v>0</v>
      </c>
      <c r="BG318" s="20">
        <f t="shared" ref="BG318" si="680">IF(BG85=0,0,BG286/BG85)</f>
        <v>0</v>
      </c>
    </row>
    <row r="319" spans="1:59" ht="13.5" hidden="1" customHeight="1" outlineLevel="1" x14ac:dyDescent="0.25">
      <c r="A319" s="28"/>
      <c r="B319" s="84" t="s">
        <v>45</v>
      </c>
      <c r="C319" s="83" t="s">
        <v>84</v>
      </c>
      <c r="D319" s="20">
        <f t="shared" si="633"/>
        <v>0</v>
      </c>
      <c r="E319" s="20">
        <f t="shared" si="633"/>
        <v>0</v>
      </c>
      <c r="F319" s="24">
        <f t="shared" si="633"/>
        <v>0</v>
      </c>
      <c r="G319" s="23">
        <f t="shared" si="633"/>
        <v>0</v>
      </c>
      <c r="H319" s="22">
        <f t="shared" si="634"/>
        <v>0</v>
      </c>
      <c r="I319" s="24">
        <f t="shared" si="635"/>
        <v>0</v>
      </c>
      <c r="J319" s="23">
        <f t="shared" si="635"/>
        <v>0</v>
      </c>
      <c r="K319" s="22">
        <f t="shared" si="636"/>
        <v>0</v>
      </c>
      <c r="L319" s="24">
        <f t="shared" si="637"/>
        <v>0</v>
      </c>
      <c r="M319" s="23">
        <f t="shared" si="637"/>
        <v>0</v>
      </c>
      <c r="N319" s="22">
        <f t="shared" si="638"/>
        <v>0</v>
      </c>
      <c r="O319" s="24">
        <f t="shared" si="639"/>
        <v>0</v>
      </c>
      <c r="P319" s="23">
        <f t="shared" si="639"/>
        <v>0</v>
      </c>
      <c r="Q319" s="22">
        <f t="shared" si="640"/>
        <v>0</v>
      </c>
      <c r="R319" s="24">
        <f t="shared" si="641"/>
        <v>0</v>
      </c>
      <c r="S319" s="23">
        <f t="shared" si="641"/>
        <v>0</v>
      </c>
      <c r="T319" s="22">
        <f t="shared" si="642"/>
        <v>0</v>
      </c>
      <c r="U319" s="24">
        <f t="shared" si="643"/>
        <v>0</v>
      </c>
      <c r="V319" s="23">
        <f t="shared" si="643"/>
        <v>0</v>
      </c>
      <c r="W319" s="22">
        <f t="shared" si="644"/>
        <v>0</v>
      </c>
      <c r="X319" s="24">
        <f t="shared" si="645"/>
        <v>0</v>
      </c>
      <c r="Y319" s="23">
        <f t="shared" si="645"/>
        <v>0</v>
      </c>
      <c r="Z319" s="22">
        <f t="shared" si="646"/>
        <v>0</v>
      </c>
      <c r="AA319" s="24">
        <f t="shared" si="647"/>
        <v>0</v>
      </c>
      <c r="AB319" s="23">
        <f t="shared" si="647"/>
        <v>0</v>
      </c>
      <c r="AC319" s="22">
        <f t="shared" si="648"/>
        <v>0</v>
      </c>
      <c r="AD319" s="24">
        <f t="shared" si="649"/>
        <v>0</v>
      </c>
      <c r="AE319" s="23">
        <f t="shared" si="649"/>
        <v>0</v>
      </c>
      <c r="AF319" s="22">
        <f t="shared" si="650"/>
        <v>0</v>
      </c>
      <c r="AG319" s="24">
        <f t="shared" si="651"/>
        <v>0</v>
      </c>
      <c r="AH319" s="23">
        <f t="shared" si="651"/>
        <v>0</v>
      </c>
      <c r="AI319" s="22">
        <f t="shared" si="652"/>
        <v>0</v>
      </c>
      <c r="AJ319" s="24">
        <f t="shared" si="653"/>
        <v>0</v>
      </c>
      <c r="AK319" s="23">
        <f t="shared" si="653"/>
        <v>0</v>
      </c>
      <c r="AL319" s="22">
        <f t="shared" si="654"/>
        <v>0</v>
      </c>
      <c r="AM319" s="24">
        <f t="shared" si="655"/>
        <v>0</v>
      </c>
      <c r="AN319" s="23">
        <f t="shared" si="655"/>
        <v>0</v>
      </c>
      <c r="AO319" s="22">
        <f t="shared" si="656"/>
        <v>0</v>
      </c>
      <c r="AP319" s="24">
        <f t="shared" si="657"/>
        <v>0</v>
      </c>
      <c r="AQ319" s="23">
        <f t="shared" si="657"/>
        <v>0</v>
      </c>
      <c r="AR319" s="22">
        <f t="shared" si="658"/>
        <v>0</v>
      </c>
      <c r="AS319" s="24">
        <f t="shared" si="659"/>
        <v>0</v>
      </c>
      <c r="AT319" s="23">
        <f t="shared" si="659"/>
        <v>0</v>
      </c>
      <c r="AU319" s="22">
        <f t="shared" si="660"/>
        <v>0</v>
      </c>
      <c r="AV319" s="24">
        <f t="shared" si="661"/>
        <v>0</v>
      </c>
      <c r="AW319" s="23">
        <f t="shared" si="661"/>
        <v>0</v>
      </c>
      <c r="AX319" s="22">
        <f t="shared" si="662"/>
        <v>0</v>
      </c>
      <c r="AY319" s="23">
        <f t="shared" si="663"/>
        <v>0</v>
      </c>
      <c r="AZ319" s="23">
        <f t="shared" si="663"/>
        <v>0</v>
      </c>
      <c r="BA319" s="22">
        <f t="shared" si="664"/>
        <v>0</v>
      </c>
      <c r="BB319" s="24">
        <f t="shared" si="665"/>
        <v>0</v>
      </c>
      <c r="BC319" s="23">
        <f t="shared" si="665"/>
        <v>0</v>
      </c>
      <c r="BD319" s="22">
        <f t="shared" si="666"/>
        <v>0</v>
      </c>
      <c r="BE319" s="24">
        <f t="shared" si="667"/>
        <v>0</v>
      </c>
      <c r="BF319" s="24">
        <f t="shared" si="667"/>
        <v>0</v>
      </c>
      <c r="BG319" s="20">
        <f t="shared" ref="BG319" si="681">IF(BG86=0,0,BG287/BG86)</f>
        <v>0</v>
      </c>
    </row>
    <row r="320" spans="1:59" ht="13.5" hidden="1" customHeight="1" outlineLevel="1" x14ac:dyDescent="0.25">
      <c r="A320" s="28"/>
      <c r="B320" s="84" t="s">
        <v>46</v>
      </c>
      <c r="C320" s="83" t="s">
        <v>84</v>
      </c>
      <c r="D320" s="20">
        <f t="shared" si="633"/>
        <v>0</v>
      </c>
      <c r="E320" s="20">
        <f t="shared" si="633"/>
        <v>0</v>
      </c>
      <c r="F320" s="24">
        <f t="shared" si="633"/>
        <v>0</v>
      </c>
      <c r="G320" s="23">
        <f t="shared" si="633"/>
        <v>0</v>
      </c>
      <c r="H320" s="22">
        <f t="shared" si="634"/>
        <v>0</v>
      </c>
      <c r="I320" s="24">
        <f t="shared" si="635"/>
        <v>0</v>
      </c>
      <c r="J320" s="23">
        <f t="shared" si="635"/>
        <v>0</v>
      </c>
      <c r="K320" s="22">
        <f t="shared" si="636"/>
        <v>0</v>
      </c>
      <c r="L320" s="24">
        <f t="shared" si="637"/>
        <v>0</v>
      </c>
      <c r="M320" s="23">
        <f t="shared" si="637"/>
        <v>0</v>
      </c>
      <c r="N320" s="22">
        <f t="shared" si="638"/>
        <v>0</v>
      </c>
      <c r="O320" s="24">
        <f t="shared" si="639"/>
        <v>0</v>
      </c>
      <c r="P320" s="23">
        <f t="shared" si="639"/>
        <v>0</v>
      </c>
      <c r="Q320" s="22">
        <f t="shared" si="640"/>
        <v>0</v>
      </c>
      <c r="R320" s="24">
        <f t="shared" si="641"/>
        <v>0</v>
      </c>
      <c r="S320" s="23">
        <f t="shared" si="641"/>
        <v>0</v>
      </c>
      <c r="T320" s="22">
        <f t="shared" si="642"/>
        <v>0</v>
      </c>
      <c r="U320" s="24">
        <f t="shared" si="643"/>
        <v>0</v>
      </c>
      <c r="V320" s="23">
        <f t="shared" si="643"/>
        <v>0</v>
      </c>
      <c r="W320" s="22">
        <f t="shared" si="644"/>
        <v>0</v>
      </c>
      <c r="X320" s="24">
        <f t="shared" si="645"/>
        <v>0</v>
      </c>
      <c r="Y320" s="23">
        <f t="shared" si="645"/>
        <v>0</v>
      </c>
      <c r="Z320" s="22">
        <f t="shared" si="646"/>
        <v>0</v>
      </c>
      <c r="AA320" s="24">
        <f t="shared" si="647"/>
        <v>0</v>
      </c>
      <c r="AB320" s="23">
        <f t="shared" si="647"/>
        <v>0</v>
      </c>
      <c r="AC320" s="22">
        <f t="shared" si="648"/>
        <v>0</v>
      </c>
      <c r="AD320" s="24">
        <f t="shared" si="649"/>
        <v>0</v>
      </c>
      <c r="AE320" s="23">
        <f t="shared" si="649"/>
        <v>0</v>
      </c>
      <c r="AF320" s="22">
        <f t="shared" si="650"/>
        <v>0</v>
      </c>
      <c r="AG320" s="24">
        <f t="shared" si="651"/>
        <v>0</v>
      </c>
      <c r="AH320" s="23">
        <f t="shared" si="651"/>
        <v>0</v>
      </c>
      <c r="AI320" s="22">
        <f t="shared" si="652"/>
        <v>0</v>
      </c>
      <c r="AJ320" s="24">
        <f t="shared" si="653"/>
        <v>0</v>
      </c>
      <c r="AK320" s="23">
        <f t="shared" si="653"/>
        <v>0</v>
      </c>
      <c r="AL320" s="22">
        <f t="shared" si="654"/>
        <v>0</v>
      </c>
      <c r="AM320" s="24">
        <f t="shared" si="655"/>
        <v>0</v>
      </c>
      <c r="AN320" s="23">
        <f t="shared" si="655"/>
        <v>0</v>
      </c>
      <c r="AO320" s="22">
        <f t="shared" si="656"/>
        <v>0</v>
      </c>
      <c r="AP320" s="24">
        <f t="shared" si="657"/>
        <v>0</v>
      </c>
      <c r="AQ320" s="23">
        <f t="shared" si="657"/>
        <v>0</v>
      </c>
      <c r="AR320" s="22">
        <f t="shared" si="658"/>
        <v>0</v>
      </c>
      <c r="AS320" s="24">
        <f t="shared" si="659"/>
        <v>0</v>
      </c>
      <c r="AT320" s="23">
        <f t="shared" si="659"/>
        <v>0</v>
      </c>
      <c r="AU320" s="22">
        <f t="shared" si="660"/>
        <v>0</v>
      </c>
      <c r="AV320" s="24">
        <f t="shared" si="661"/>
        <v>0</v>
      </c>
      <c r="AW320" s="23">
        <f t="shared" si="661"/>
        <v>0</v>
      </c>
      <c r="AX320" s="22">
        <f t="shared" si="662"/>
        <v>0</v>
      </c>
      <c r="AY320" s="23">
        <f t="shared" si="663"/>
        <v>0</v>
      </c>
      <c r="AZ320" s="23">
        <f t="shared" si="663"/>
        <v>0</v>
      </c>
      <c r="BA320" s="22">
        <f t="shared" si="664"/>
        <v>0</v>
      </c>
      <c r="BB320" s="24">
        <f t="shared" si="665"/>
        <v>0</v>
      </c>
      <c r="BC320" s="23">
        <f t="shared" si="665"/>
        <v>0</v>
      </c>
      <c r="BD320" s="22">
        <f t="shared" si="666"/>
        <v>0</v>
      </c>
      <c r="BE320" s="24">
        <f t="shared" si="667"/>
        <v>0</v>
      </c>
      <c r="BF320" s="24">
        <f t="shared" si="667"/>
        <v>0</v>
      </c>
      <c r="BG320" s="20">
        <f t="shared" ref="BG320" si="682">IF(BG87=0,0,BG288/BG87)</f>
        <v>0</v>
      </c>
    </row>
    <row r="321" spans="1:59" ht="13.5" hidden="1" customHeight="1" outlineLevel="1" x14ac:dyDescent="0.25">
      <c r="A321" s="28"/>
      <c r="B321" s="84" t="s">
        <v>47</v>
      </c>
      <c r="C321" s="83" t="s">
        <v>84</v>
      </c>
      <c r="D321" s="20">
        <f t="shared" si="633"/>
        <v>0</v>
      </c>
      <c r="E321" s="20">
        <f t="shared" si="633"/>
        <v>0</v>
      </c>
      <c r="F321" s="24">
        <f t="shared" si="633"/>
        <v>0</v>
      </c>
      <c r="G321" s="23">
        <f t="shared" si="633"/>
        <v>0</v>
      </c>
      <c r="H321" s="22">
        <f t="shared" si="634"/>
        <v>0</v>
      </c>
      <c r="I321" s="24">
        <f t="shared" si="635"/>
        <v>0</v>
      </c>
      <c r="J321" s="23">
        <f t="shared" si="635"/>
        <v>0</v>
      </c>
      <c r="K321" s="22">
        <f t="shared" si="636"/>
        <v>0</v>
      </c>
      <c r="L321" s="24">
        <f t="shared" si="637"/>
        <v>0</v>
      </c>
      <c r="M321" s="23">
        <f t="shared" si="637"/>
        <v>0</v>
      </c>
      <c r="N321" s="22">
        <f t="shared" si="638"/>
        <v>0</v>
      </c>
      <c r="O321" s="24">
        <f t="shared" si="639"/>
        <v>0</v>
      </c>
      <c r="P321" s="23">
        <f t="shared" si="639"/>
        <v>0</v>
      </c>
      <c r="Q321" s="22">
        <f t="shared" si="640"/>
        <v>0</v>
      </c>
      <c r="R321" s="24">
        <f t="shared" si="641"/>
        <v>0</v>
      </c>
      <c r="S321" s="23">
        <f t="shared" si="641"/>
        <v>0</v>
      </c>
      <c r="T321" s="22">
        <f t="shared" si="642"/>
        <v>0</v>
      </c>
      <c r="U321" s="24">
        <f t="shared" si="643"/>
        <v>0</v>
      </c>
      <c r="V321" s="23">
        <f t="shared" si="643"/>
        <v>0</v>
      </c>
      <c r="W321" s="22">
        <f t="shared" si="644"/>
        <v>0</v>
      </c>
      <c r="X321" s="24">
        <f t="shared" si="645"/>
        <v>0</v>
      </c>
      <c r="Y321" s="23">
        <f t="shared" si="645"/>
        <v>0</v>
      </c>
      <c r="Z321" s="22">
        <f t="shared" si="646"/>
        <v>0</v>
      </c>
      <c r="AA321" s="24">
        <f t="shared" si="647"/>
        <v>0</v>
      </c>
      <c r="AB321" s="23">
        <f t="shared" si="647"/>
        <v>0</v>
      </c>
      <c r="AC321" s="22">
        <f t="shared" si="648"/>
        <v>0</v>
      </c>
      <c r="AD321" s="24">
        <f t="shared" si="649"/>
        <v>0</v>
      </c>
      <c r="AE321" s="23">
        <f t="shared" si="649"/>
        <v>0</v>
      </c>
      <c r="AF321" s="22">
        <f t="shared" si="650"/>
        <v>0</v>
      </c>
      <c r="AG321" s="24">
        <f t="shared" si="651"/>
        <v>0</v>
      </c>
      <c r="AH321" s="23">
        <f t="shared" si="651"/>
        <v>0</v>
      </c>
      <c r="AI321" s="22">
        <f t="shared" si="652"/>
        <v>0</v>
      </c>
      <c r="AJ321" s="24">
        <f t="shared" si="653"/>
        <v>0</v>
      </c>
      <c r="AK321" s="23">
        <f t="shared" si="653"/>
        <v>0</v>
      </c>
      <c r="AL321" s="22">
        <f t="shared" si="654"/>
        <v>0</v>
      </c>
      <c r="AM321" s="24">
        <f t="shared" si="655"/>
        <v>0</v>
      </c>
      <c r="AN321" s="23">
        <f t="shared" si="655"/>
        <v>0</v>
      </c>
      <c r="AO321" s="22">
        <f t="shared" si="656"/>
        <v>0</v>
      </c>
      <c r="AP321" s="24">
        <f t="shared" si="657"/>
        <v>0</v>
      </c>
      <c r="AQ321" s="23">
        <f t="shared" si="657"/>
        <v>0</v>
      </c>
      <c r="AR321" s="22">
        <f t="shared" si="658"/>
        <v>0</v>
      </c>
      <c r="AS321" s="24">
        <f t="shared" si="659"/>
        <v>0</v>
      </c>
      <c r="AT321" s="23">
        <f t="shared" si="659"/>
        <v>0</v>
      </c>
      <c r="AU321" s="22">
        <f t="shared" si="660"/>
        <v>0</v>
      </c>
      <c r="AV321" s="24">
        <f t="shared" si="661"/>
        <v>0</v>
      </c>
      <c r="AW321" s="23">
        <f t="shared" si="661"/>
        <v>0</v>
      </c>
      <c r="AX321" s="22">
        <f t="shared" si="662"/>
        <v>0</v>
      </c>
      <c r="AY321" s="23">
        <f t="shared" si="663"/>
        <v>0</v>
      </c>
      <c r="AZ321" s="23">
        <f t="shared" si="663"/>
        <v>0</v>
      </c>
      <c r="BA321" s="22">
        <f t="shared" si="664"/>
        <v>0</v>
      </c>
      <c r="BB321" s="24">
        <f t="shared" si="665"/>
        <v>0</v>
      </c>
      <c r="BC321" s="23">
        <f t="shared" si="665"/>
        <v>0</v>
      </c>
      <c r="BD321" s="22">
        <f t="shared" si="666"/>
        <v>0</v>
      </c>
      <c r="BE321" s="24">
        <f t="shared" ref="BE321:BF335" si="683">IF(BE88=0,0,BE289/BE88)</f>
        <v>0</v>
      </c>
      <c r="BF321" s="24">
        <f t="shared" si="683"/>
        <v>0</v>
      </c>
      <c r="BG321" s="20">
        <f t="shared" ref="BG321" si="684">IF(BG88=0,0,BG289/BG88)</f>
        <v>0</v>
      </c>
    </row>
    <row r="322" spans="1:59" ht="13.5" hidden="1" customHeight="1" outlineLevel="1" x14ac:dyDescent="0.25">
      <c r="A322" s="28"/>
      <c r="B322" s="84" t="s">
        <v>48</v>
      </c>
      <c r="C322" s="83" t="s">
        <v>84</v>
      </c>
      <c r="D322" s="20">
        <f t="shared" ref="D322:G337" si="685">IF(D89=0,0,D290/D89)</f>
        <v>0</v>
      </c>
      <c r="E322" s="20">
        <f t="shared" si="685"/>
        <v>0</v>
      </c>
      <c r="F322" s="24">
        <f t="shared" si="685"/>
        <v>0</v>
      </c>
      <c r="G322" s="23">
        <f t="shared" si="685"/>
        <v>0</v>
      </c>
      <c r="H322" s="22">
        <f t="shared" ref="H322:H337" si="686">G322-F322</f>
        <v>0</v>
      </c>
      <c r="I322" s="24">
        <f t="shared" ref="I322:J337" si="687">IF(I89=0,0,I290/I89)</f>
        <v>0</v>
      </c>
      <c r="J322" s="23">
        <f t="shared" si="687"/>
        <v>0</v>
      </c>
      <c r="K322" s="22">
        <f t="shared" ref="K322:K337" si="688">J322-I322</f>
        <v>0</v>
      </c>
      <c r="L322" s="24">
        <f t="shared" ref="L322:M337" si="689">IF(L89=0,0,L290/L89)</f>
        <v>0</v>
      </c>
      <c r="M322" s="23">
        <f t="shared" si="689"/>
        <v>0</v>
      </c>
      <c r="N322" s="22">
        <f t="shared" ref="N322:N337" si="690">M322-L322</f>
        <v>0</v>
      </c>
      <c r="O322" s="24">
        <f t="shared" ref="O322:P337" si="691">IF(O89=0,0,O290/O89)</f>
        <v>0</v>
      </c>
      <c r="P322" s="23">
        <f t="shared" si="691"/>
        <v>0</v>
      </c>
      <c r="Q322" s="22">
        <f t="shared" ref="Q322:Q337" si="692">P322-O322</f>
        <v>0</v>
      </c>
      <c r="R322" s="24">
        <f t="shared" ref="R322:S337" si="693">IF(R89=0,0,R290/R89)</f>
        <v>0</v>
      </c>
      <c r="S322" s="23">
        <f t="shared" si="693"/>
        <v>0</v>
      </c>
      <c r="T322" s="22">
        <f t="shared" ref="T322:T337" si="694">S322-R322</f>
        <v>0</v>
      </c>
      <c r="U322" s="24">
        <f t="shared" ref="U322:V337" si="695">IF(U89=0,0,U290/U89)</f>
        <v>0</v>
      </c>
      <c r="V322" s="23">
        <f t="shared" si="695"/>
        <v>0</v>
      </c>
      <c r="W322" s="22">
        <f t="shared" ref="W322:W337" si="696">V322-U322</f>
        <v>0</v>
      </c>
      <c r="X322" s="24">
        <f t="shared" ref="X322:Y337" si="697">IF(X89=0,0,X290/X89)</f>
        <v>0</v>
      </c>
      <c r="Y322" s="23">
        <f t="shared" si="697"/>
        <v>0</v>
      </c>
      <c r="Z322" s="22">
        <f t="shared" ref="Z322:Z337" si="698">Y322-X322</f>
        <v>0</v>
      </c>
      <c r="AA322" s="24">
        <f t="shared" ref="AA322:AB337" si="699">IF(AA89=0,0,AA290/AA89)</f>
        <v>0</v>
      </c>
      <c r="AB322" s="23">
        <f t="shared" si="699"/>
        <v>0</v>
      </c>
      <c r="AC322" s="22">
        <f t="shared" ref="AC322:AC337" si="700">AB322-AA322</f>
        <v>0</v>
      </c>
      <c r="AD322" s="24">
        <f t="shared" ref="AD322:AE337" si="701">IF(AD89=0,0,AD290/AD89)</f>
        <v>0</v>
      </c>
      <c r="AE322" s="23">
        <f t="shared" si="701"/>
        <v>0</v>
      </c>
      <c r="AF322" s="22">
        <f t="shared" ref="AF322:AF337" si="702">AE322-AD322</f>
        <v>0</v>
      </c>
      <c r="AG322" s="24">
        <f t="shared" ref="AG322:AH337" si="703">IF(AG89=0,0,AG290/AG89)</f>
        <v>0</v>
      </c>
      <c r="AH322" s="23">
        <f t="shared" si="703"/>
        <v>0</v>
      </c>
      <c r="AI322" s="22">
        <f t="shared" ref="AI322:AI337" si="704">AH322-AG322</f>
        <v>0</v>
      </c>
      <c r="AJ322" s="24">
        <f t="shared" ref="AJ322:AK337" si="705">IF(AJ89=0,0,AJ290/AJ89)</f>
        <v>0</v>
      </c>
      <c r="AK322" s="23">
        <f t="shared" si="705"/>
        <v>0</v>
      </c>
      <c r="AL322" s="22">
        <f t="shared" ref="AL322:AL337" si="706">AK322-AJ322</f>
        <v>0</v>
      </c>
      <c r="AM322" s="24">
        <f t="shared" ref="AM322:AN337" si="707">IF(AM89=0,0,AM290/AM89)</f>
        <v>0</v>
      </c>
      <c r="AN322" s="23">
        <f t="shared" si="707"/>
        <v>0</v>
      </c>
      <c r="AO322" s="22">
        <f t="shared" ref="AO322:AO337" si="708">AN322-AM322</f>
        <v>0</v>
      </c>
      <c r="AP322" s="24">
        <f t="shared" ref="AP322:AQ337" si="709">IF(AP89=0,0,AP290/AP89)</f>
        <v>0</v>
      </c>
      <c r="AQ322" s="23">
        <f t="shared" si="709"/>
        <v>0</v>
      </c>
      <c r="AR322" s="22">
        <f t="shared" ref="AR322:AR337" si="710">AQ322-AP322</f>
        <v>0</v>
      </c>
      <c r="AS322" s="24">
        <f t="shared" ref="AS322:AT337" si="711">IF(AS89=0,0,AS290/AS89)</f>
        <v>0</v>
      </c>
      <c r="AT322" s="23">
        <f t="shared" si="711"/>
        <v>0</v>
      </c>
      <c r="AU322" s="22">
        <f t="shared" ref="AU322:AU337" si="712">AT322-AS322</f>
        <v>0</v>
      </c>
      <c r="AV322" s="24">
        <f t="shared" ref="AV322:AW337" si="713">IF(AV89=0,0,AV290/AV89)</f>
        <v>0</v>
      </c>
      <c r="AW322" s="23">
        <f t="shared" si="713"/>
        <v>0</v>
      </c>
      <c r="AX322" s="22">
        <f t="shared" ref="AX322:AX337" si="714">AW322-AV322</f>
        <v>0</v>
      </c>
      <c r="AY322" s="23">
        <f t="shared" ref="AY322:AZ337" si="715">IF(AY89=0,0,AY290/AY89)</f>
        <v>0</v>
      </c>
      <c r="AZ322" s="23">
        <f t="shared" si="715"/>
        <v>0</v>
      </c>
      <c r="BA322" s="22">
        <f t="shared" ref="BA322:BA337" si="716">AZ322-AY322</f>
        <v>0</v>
      </c>
      <c r="BB322" s="24">
        <f t="shared" ref="BB322:BC337" si="717">IF(BB89=0,0,BB290/BB89)</f>
        <v>0</v>
      </c>
      <c r="BC322" s="23">
        <f t="shared" si="717"/>
        <v>0</v>
      </c>
      <c r="BD322" s="22">
        <f t="shared" ref="BD322:BD337" si="718">BC322-BB322</f>
        <v>0</v>
      </c>
      <c r="BE322" s="24">
        <f t="shared" si="683"/>
        <v>0</v>
      </c>
      <c r="BF322" s="24">
        <f t="shared" si="683"/>
        <v>0</v>
      </c>
      <c r="BG322" s="20">
        <f t="shared" ref="BG322" si="719">IF(BG89=0,0,BG290/BG89)</f>
        <v>0</v>
      </c>
    </row>
    <row r="323" spans="1:59" ht="13.5" hidden="1" customHeight="1" outlineLevel="1" x14ac:dyDescent="0.25">
      <c r="A323" s="28"/>
      <c r="B323" s="84" t="s">
        <v>49</v>
      </c>
      <c r="C323" s="83" t="s">
        <v>84</v>
      </c>
      <c r="D323" s="20">
        <f t="shared" si="685"/>
        <v>0</v>
      </c>
      <c r="E323" s="20">
        <f t="shared" si="685"/>
        <v>0</v>
      </c>
      <c r="F323" s="24">
        <f t="shared" si="685"/>
        <v>0</v>
      </c>
      <c r="G323" s="23">
        <f t="shared" si="685"/>
        <v>0</v>
      </c>
      <c r="H323" s="22">
        <f t="shared" si="686"/>
        <v>0</v>
      </c>
      <c r="I323" s="24">
        <f t="shared" si="687"/>
        <v>0</v>
      </c>
      <c r="J323" s="23">
        <f t="shared" si="687"/>
        <v>0</v>
      </c>
      <c r="K323" s="22">
        <f t="shared" si="688"/>
        <v>0</v>
      </c>
      <c r="L323" s="24">
        <f t="shared" si="689"/>
        <v>0</v>
      </c>
      <c r="M323" s="23">
        <f t="shared" si="689"/>
        <v>0</v>
      </c>
      <c r="N323" s="22">
        <f t="shared" si="690"/>
        <v>0</v>
      </c>
      <c r="O323" s="24">
        <f t="shared" si="691"/>
        <v>0</v>
      </c>
      <c r="P323" s="23">
        <f t="shared" si="691"/>
        <v>0</v>
      </c>
      <c r="Q323" s="22">
        <f t="shared" si="692"/>
        <v>0</v>
      </c>
      <c r="R323" s="24">
        <f t="shared" si="693"/>
        <v>0</v>
      </c>
      <c r="S323" s="23">
        <f t="shared" si="693"/>
        <v>0</v>
      </c>
      <c r="T323" s="22">
        <f t="shared" si="694"/>
        <v>0</v>
      </c>
      <c r="U323" s="24">
        <f t="shared" si="695"/>
        <v>0</v>
      </c>
      <c r="V323" s="23">
        <f t="shared" si="695"/>
        <v>0</v>
      </c>
      <c r="W323" s="22">
        <f t="shared" si="696"/>
        <v>0</v>
      </c>
      <c r="X323" s="24">
        <f t="shared" si="697"/>
        <v>0</v>
      </c>
      <c r="Y323" s="23">
        <f t="shared" si="697"/>
        <v>0</v>
      </c>
      <c r="Z323" s="22">
        <f t="shared" si="698"/>
        <v>0</v>
      </c>
      <c r="AA323" s="24">
        <f t="shared" si="699"/>
        <v>0</v>
      </c>
      <c r="AB323" s="23">
        <f t="shared" si="699"/>
        <v>0</v>
      </c>
      <c r="AC323" s="22">
        <f t="shared" si="700"/>
        <v>0</v>
      </c>
      <c r="AD323" s="24">
        <f t="shared" si="701"/>
        <v>0</v>
      </c>
      <c r="AE323" s="23">
        <f t="shared" si="701"/>
        <v>0</v>
      </c>
      <c r="AF323" s="22">
        <f t="shared" si="702"/>
        <v>0</v>
      </c>
      <c r="AG323" s="24">
        <f t="shared" si="703"/>
        <v>0</v>
      </c>
      <c r="AH323" s="23">
        <f t="shared" si="703"/>
        <v>0</v>
      </c>
      <c r="AI323" s="22">
        <f t="shared" si="704"/>
        <v>0</v>
      </c>
      <c r="AJ323" s="24">
        <f t="shared" si="705"/>
        <v>0</v>
      </c>
      <c r="AK323" s="23">
        <f t="shared" si="705"/>
        <v>0</v>
      </c>
      <c r="AL323" s="22">
        <f t="shared" si="706"/>
        <v>0</v>
      </c>
      <c r="AM323" s="24">
        <f t="shared" si="707"/>
        <v>0</v>
      </c>
      <c r="AN323" s="23">
        <f t="shared" si="707"/>
        <v>0</v>
      </c>
      <c r="AO323" s="22">
        <f t="shared" si="708"/>
        <v>0</v>
      </c>
      <c r="AP323" s="24">
        <f t="shared" si="709"/>
        <v>0</v>
      </c>
      <c r="AQ323" s="23">
        <f t="shared" si="709"/>
        <v>0</v>
      </c>
      <c r="AR323" s="22">
        <f t="shared" si="710"/>
        <v>0</v>
      </c>
      <c r="AS323" s="24">
        <f t="shared" si="711"/>
        <v>0</v>
      </c>
      <c r="AT323" s="23">
        <f t="shared" si="711"/>
        <v>0</v>
      </c>
      <c r="AU323" s="22">
        <f t="shared" si="712"/>
        <v>0</v>
      </c>
      <c r="AV323" s="24">
        <f t="shared" si="713"/>
        <v>0</v>
      </c>
      <c r="AW323" s="23">
        <f t="shared" si="713"/>
        <v>0</v>
      </c>
      <c r="AX323" s="22">
        <f t="shared" si="714"/>
        <v>0</v>
      </c>
      <c r="AY323" s="23">
        <f t="shared" si="715"/>
        <v>0</v>
      </c>
      <c r="AZ323" s="23">
        <f t="shared" si="715"/>
        <v>0</v>
      </c>
      <c r="BA323" s="22">
        <f t="shared" si="716"/>
        <v>0</v>
      </c>
      <c r="BB323" s="24">
        <f t="shared" si="717"/>
        <v>0</v>
      </c>
      <c r="BC323" s="23">
        <f t="shared" si="717"/>
        <v>0</v>
      </c>
      <c r="BD323" s="22">
        <f t="shared" si="718"/>
        <v>0</v>
      </c>
      <c r="BE323" s="24">
        <f t="shared" si="683"/>
        <v>0</v>
      </c>
      <c r="BF323" s="24">
        <f t="shared" si="683"/>
        <v>0</v>
      </c>
      <c r="BG323" s="20">
        <f t="shared" ref="BG323" si="720">IF(BG90=0,0,BG291/BG90)</f>
        <v>0</v>
      </c>
    </row>
    <row r="324" spans="1:59" ht="13.5" hidden="1" customHeight="1" outlineLevel="1" x14ac:dyDescent="0.25">
      <c r="A324" s="28"/>
      <c r="B324" s="84" t="s">
        <v>50</v>
      </c>
      <c r="C324" s="83" t="s">
        <v>84</v>
      </c>
      <c r="D324" s="20">
        <f t="shared" si="685"/>
        <v>0</v>
      </c>
      <c r="E324" s="20">
        <f t="shared" si="685"/>
        <v>0</v>
      </c>
      <c r="F324" s="24">
        <f t="shared" si="685"/>
        <v>0</v>
      </c>
      <c r="G324" s="23">
        <f t="shared" si="685"/>
        <v>0</v>
      </c>
      <c r="H324" s="22">
        <f t="shared" si="686"/>
        <v>0</v>
      </c>
      <c r="I324" s="24">
        <f t="shared" si="687"/>
        <v>0</v>
      </c>
      <c r="J324" s="23">
        <f t="shared" si="687"/>
        <v>0</v>
      </c>
      <c r="K324" s="22">
        <f t="shared" si="688"/>
        <v>0</v>
      </c>
      <c r="L324" s="24">
        <f t="shared" si="689"/>
        <v>0</v>
      </c>
      <c r="M324" s="23">
        <f t="shared" si="689"/>
        <v>0</v>
      </c>
      <c r="N324" s="22">
        <f t="shared" si="690"/>
        <v>0</v>
      </c>
      <c r="O324" s="24">
        <f t="shared" si="691"/>
        <v>0</v>
      </c>
      <c r="P324" s="23">
        <f t="shared" si="691"/>
        <v>0</v>
      </c>
      <c r="Q324" s="22">
        <f t="shared" si="692"/>
        <v>0</v>
      </c>
      <c r="R324" s="24">
        <f t="shared" si="693"/>
        <v>0</v>
      </c>
      <c r="S324" s="23">
        <f t="shared" si="693"/>
        <v>0</v>
      </c>
      <c r="T324" s="22">
        <f t="shared" si="694"/>
        <v>0</v>
      </c>
      <c r="U324" s="24">
        <f t="shared" si="695"/>
        <v>0</v>
      </c>
      <c r="V324" s="23">
        <f t="shared" si="695"/>
        <v>0</v>
      </c>
      <c r="W324" s="22">
        <f t="shared" si="696"/>
        <v>0</v>
      </c>
      <c r="X324" s="24">
        <f t="shared" si="697"/>
        <v>0</v>
      </c>
      <c r="Y324" s="23">
        <f t="shared" si="697"/>
        <v>0</v>
      </c>
      <c r="Z324" s="22">
        <f t="shared" si="698"/>
        <v>0</v>
      </c>
      <c r="AA324" s="24">
        <f t="shared" si="699"/>
        <v>0</v>
      </c>
      <c r="AB324" s="23">
        <f t="shared" si="699"/>
        <v>0</v>
      </c>
      <c r="AC324" s="22">
        <f t="shared" si="700"/>
        <v>0</v>
      </c>
      <c r="AD324" s="24">
        <f t="shared" si="701"/>
        <v>0</v>
      </c>
      <c r="AE324" s="23">
        <f t="shared" si="701"/>
        <v>0</v>
      </c>
      <c r="AF324" s="22">
        <f t="shared" si="702"/>
        <v>0</v>
      </c>
      <c r="AG324" s="24">
        <f t="shared" si="703"/>
        <v>0</v>
      </c>
      <c r="AH324" s="23">
        <f t="shared" si="703"/>
        <v>0</v>
      </c>
      <c r="AI324" s="22">
        <f t="shared" si="704"/>
        <v>0</v>
      </c>
      <c r="AJ324" s="24">
        <f t="shared" si="705"/>
        <v>0</v>
      </c>
      <c r="AK324" s="23">
        <f t="shared" si="705"/>
        <v>0</v>
      </c>
      <c r="AL324" s="22">
        <f t="shared" si="706"/>
        <v>0</v>
      </c>
      <c r="AM324" s="24">
        <f t="shared" si="707"/>
        <v>0</v>
      </c>
      <c r="AN324" s="23">
        <f t="shared" si="707"/>
        <v>0</v>
      </c>
      <c r="AO324" s="22">
        <f t="shared" si="708"/>
        <v>0</v>
      </c>
      <c r="AP324" s="24">
        <f t="shared" si="709"/>
        <v>0</v>
      </c>
      <c r="AQ324" s="23">
        <f t="shared" si="709"/>
        <v>0</v>
      </c>
      <c r="AR324" s="22">
        <f t="shared" si="710"/>
        <v>0</v>
      </c>
      <c r="AS324" s="24">
        <f t="shared" si="711"/>
        <v>0</v>
      </c>
      <c r="AT324" s="23">
        <f t="shared" si="711"/>
        <v>0</v>
      </c>
      <c r="AU324" s="22">
        <f t="shared" si="712"/>
        <v>0</v>
      </c>
      <c r="AV324" s="24">
        <f t="shared" si="713"/>
        <v>0</v>
      </c>
      <c r="AW324" s="23">
        <f t="shared" si="713"/>
        <v>0</v>
      </c>
      <c r="AX324" s="22">
        <f t="shared" si="714"/>
        <v>0</v>
      </c>
      <c r="AY324" s="23">
        <f t="shared" si="715"/>
        <v>0</v>
      </c>
      <c r="AZ324" s="23">
        <f t="shared" si="715"/>
        <v>0</v>
      </c>
      <c r="BA324" s="22">
        <f t="shared" si="716"/>
        <v>0</v>
      </c>
      <c r="BB324" s="24">
        <f t="shared" si="717"/>
        <v>0</v>
      </c>
      <c r="BC324" s="23">
        <f t="shared" si="717"/>
        <v>0</v>
      </c>
      <c r="BD324" s="22">
        <f t="shared" si="718"/>
        <v>0</v>
      </c>
      <c r="BE324" s="24">
        <f t="shared" si="683"/>
        <v>0</v>
      </c>
      <c r="BF324" s="24">
        <f t="shared" si="683"/>
        <v>0</v>
      </c>
      <c r="BG324" s="20">
        <f t="shared" ref="BG324" si="721">IF(BG91=0,0,BG292/BG91)</f>
        <v>0</v>
      </c>
    </row>
    <row r="325" spans="1:59" ht="13.5" hidden="1" customHeight="1" outlineLevel="1" x14ac:dyDescent="0.25">
      <c r="A325" s="28"/>
      <c r="B325" s="84" t="s">
        <v>51</v>
      </c>
      <c r="C325" s="83" t="s">
        <v>84</v>
      </c>
      <c r="D325" s="20">
        <f t="shared" si="685"/>
        <v>0</v>
      </c>
      <c r="E325" s="20">
        <f t="shared" si="685"/>
        <v>0</v>
      </c>
      <c r="F325" s="24">
        <f t="shared" si="685"/>
        <v>0</v>
      </c>
      <c r="G325" s="23">
        <f t="shared" si="685"/>
        <v>0</v>
      </c>
      <c r="H325" s="22">
        <f t="shared" si="686"/>
        <v>0</v>
      </c>
      <c r="I325" s="24">
        <f t="shared" si="687"/>
        <v>0</v>
      </c>
      <c r="J325" s="23">
        <f t="shared" si="687"/>
        <v>0</v>
      </c>
      <c r="K325" s="22">
        <f t="shared" si="688"/>
        <v>0</v>
      </c>
      <c r="L325" s="24">
        <f t="shared" si="689"/>
        <v>0</v>
      </c>
      <c r="M325" s="23">
        <f t="shared" si="689"/>
        <v>0</v>
      </c>
      <c r="N325" s="22">
        <f t="shared" si="690"/>
        <v>0</v>
      </c>
      <c r="O325" s="24">
        <f t="shared" si="691"/>
        <v>0</v>
      </c>
      <c r="P325" s="23">
        <f t="shared" si="691"/>
        <v>0</v>
      </c>
      <c r="Q325" s="22">
        <f t="shared" si="692"/>
        <v>0</v>
      </c>
      <c r="R325" s="24">
        <f t="shared" si="693"/>
        <v>0</v>
      </c>
      <c r="S325" s="23">
        <f t="shared" si="693"/>
        <v>0</v>
      </c>
      <c r="T325" s="22">
        <f t="shared" si="694"/>
        <v>0</v>
      </c>
      <c r="U325" s="24">
        <f t="shared" si="695"/>
        <v>0</v>
      </c>
      <c r="V325" s="23">
        <f t="shared" si="695"/>
        <v>0</v>
      </c>
      <c r="W325" s="22">
        <f t="shared" si="696"/>
        <v>0</v>
      </c>
      <c r="X325" s="24">
        <f t="shared" si="697"/>
        <v>0</v>
      </c>
      <c r="Y325" s="23">
        <f t="shared" si="697"/>
        <v>0</v>
      </c>
      <c r="Z325" s="22">
        <f t="shared" si="698"/>
        <v>0</v>
      </c>
      <c r="AA325" s="24">
        <f t="shared" si="699"/>
        <v>0</v>
      </c>
      <c r="AB325" s="23">
        <f t="shared" si="699"/>
        <v>0</v>
      </c>
      <c r="AC325" s="22">
        <f t="shared" si="700"/>
        <v>0</v>
      </c>
      <c r="AD325" s="24">
        <f t="shared" si="701"/>
        <v>0</v>
      </c>
      <c r="AE325" s="23">
        <f t="shared" si="701"/>
        <v>0</v>
      </c>
      <c r="AF325" s="22">
        <f t="shared" si="702"/>
        <v>0</v>
      </c>
      <c r="AG325" s="24">
        <f t="shared" si="703"/>
        <v>0</v>
      </c>
      <c r="AH325" s="23">
        <f t="shared" si="703"/>
        <v>0</v>
      </c>
      <c r="AI325" s="22">
        <f t="shared" si="704"/>
        <v>0</v>
      </c>
      <c r="AJ325" s="24">
        <f t="shared" si="705"/>
        <v>0</v>
      </c>
      <c r="AK325" s="23">
        <f t="shared" si="705"/>
        <v>0</v>
      </c>
      <c r="AL325" s="22">
        <f t="shared" si="706"/>
        <v>0</v>
      </c>
      <c r="AM325" s="24">
        <f t="shared" si="707"/>
        <v>0</v>
      </c>
      <c r="AN325" s="23">
        <f t="shared" si="707"/>
        <v>0</v>
      </c>
      <c r="AO325" s="22">
        <f t="shared" si="708"/>
        <v>0</v>
      </c>
      <c r="AP325" s="24">
        <f t="shared" si="709"/>
        <v>0</v>
      </c>
      <c r="AQ325" s="23">
        <f t="shared" si="709"/>
        <v>0</v>
      </c>
      <c r="AR325" s="22">
        <f t="shared" si="710"/>
        <v>0</v>
      </c>
      <c r="AS325" s="24">
        <f t="shared" si="711"/>
        <v>0</v>
      </c>
      <c r="AT325" s="23">
        <f t="shared" si="711"/>
        <v>0</v>
      </c>
      <c r="AU325" s="22">
        <f t="shared" si="712"/>
        <v>0</v>
      </c>
      <c r="AV325" s="24">
        <f t="shared" si="713"/>
        <v>0</v>
      </c>
      <c r="AW325" s="23">
        <f t="shared" si="713"/>
        <v>0</v>
      </c>
      <c r="AX325" s="22">
        <f t="shared" si="714"/>
        <v>0</v>
      </c>
      <c r="AY325" s="23">
        <f t="shared" si="715"/>
        <v>0</v>
      </c>
      <c r="AZ325" s="23">
        <f t="shared" si="715"/>
        <v>0</v>
      </c>
      <c r="BA325" s="22">
        <f t="shared" si="716"/>
        <v>0</v>
      </c>
      <c r="BB325" s="24">
        <f t="shared" si="717"/>
        <v>0</v>
      </c>
      <c r="BC325" s="23">
        <f t="shared" si="717"/>
        <v>0</v>
      </c>
      <c r="BD325" s="22">
        <f t="shared" si="718"/>
        <v>0</v>
      </c>
      <c r="BE325" s="24">
        <f t="shared" si="683"/>
        <v>0</v>
      </c>
      <c r="BF325" s="24">
        <f t="shared" si="683"/>
        <v>0</v>
      </c>
      <c r="BG325" s="20">
        <f t="shared" ref="BG325" si="722">IF(BG92=0,0,BG293/BG92)</f>
        <v>0</v>
      </c>
    </row>
    <row r="326" spans="1:59" ht="13.5" hidden="1" customHeight="1" outlineLevel="1" x14ac:dyDescent="0.25">
      <c r="A326" s="28"/>
      <c r="B326" s="84" t="s">
        <v>52</v>
      </c>
      <c r="C326" s="83" t="s">
        <v>84</v>
      </c>
      <c r="D326" s="20">
        <f t="shared" si="685"/>
        <v>0</v>
      </c>
      <c r="E326" s="20">
        <f t="shared" si="685"/>
        <v>0</v>
      </c>
      <c r="F326" s="24">
        <f t="shared" si="685"/>
        <v>0</v>
      </c>
      <c r="G326" s="23">
        <f t="shared" si="685"/>
        <v>0</v>
      </c>
      <c r="H326" s="22">
        <f t="shared" si="686"/>
        <v>0</v>
      </c>
      <c r="I326" s="24">
        <f t="shared" si="687"/>
        <v>0</v>
      </c>
      <c r="J326" s="23">
        <f t="shared" si="687"/>
        <v>0</v>
      </c>
      <c r="K326" s="22">
        <f t="shared" si="688"/>
        <v>0</v>
      </c>
      <c r="L326" s="24">
        <f t="shared" si="689"/>
        <v>0</v>
      </c>
      <c r="M326" s="23">
        <f t="shared" si="689"/>
        <v>0</v>
      </c>
      <c r="N326" s="22">
        <f t="shared" si="690"/>
        <v>0</v>
      </c>
      <c r="O326" s="24">
        <f t="shared" si="691"/>
        <v>0</v>
      </c>
      <c r="P326" s="23">
        <f t="shared" si="691"/>
        <v>0</v>
      </c>
      <c r="Q326" s="22">
        <f t="shared" si="692"/>
        <v>0</v>
      </c>
      <c r="R326" s="24">
        <f t="shared" si="693"/>
        <v>0</v>
      </c>
      <c r="S326" s="23">
        <f t="shared" si="693"/>
        <v>0</v>
      </c>
      <c r="T326" s="22">
        <f t="shared" si="694"/>
        <v>0</v>
      </c>
      <c r="U326" s="24">
        <f t="shared" si="695"/>
        <v>0</v>
      </c>
      <c r="V326" s="23">
        <f t="shared" si="695"/>
        <v>0</v>
      </c>
      <c r="W326" s="22">
        <f t="shared" si="696"/>
        <v>0</v>
      </c>
      <c r="X326" s="24">
        <f t="shared" si="697"/>
        <v>0</v>
      </c>
      <c r="Y326" s="23">
        <f t="shared" si="697"/>
        <v>0</v>
      </c>
      <c r="Z326" s="22">
        <f t="shared" si="698"/>
        <v>0</v>
      </c>
      <c r="AA326" s="24">
        <f t="shared" si="699"/>
        <v>0</v>
      </c>
      <c r="AB326" s="23">
        <f t="shared" si="699"/>
        <v>0</v>
      </c>
      <c r="AC326" s="22">
        <f t="shared" si="700"/>
        <v>0</v>
      </c>
      <c r="AD326" s="24">
        <f t="shared" si="701"/>
        <v>0</v>
      </c>
      <c r="AE326" s="23">
        <f t="shared" si="701"/>
        <v>0</v>
      </c>
      <c r="AF326" s="22">
        <f t="shared" si="702"/>
        <v>0</v>
      </c>
      <c r="AG326" s="24">
        <f t="shared" si="703"/>
        <v>0</v>
      </c>
      <c r="AH326" s="23">
        <f t="shared" si="703"/>
        <v>0</v>
      </c>
      <c r="AI326" s="22">
        <f t="shared" si="704"/>
        <v>0</v>
      </c>
      <c r="AJ326" s="24">
        <f t="shared" si="705"/>
        <v>0</v>
      </c>
      <c r="AK326" s="23">
        <f t="shared" si="705"/>
        <v>0</v>
      </c>
      <c r="AL326" s="22">
        <f t="shared" si="706"/>
        <v>0</v>
      </c>
      <c r="AM326" s="24">
        <f t="shared" si="707"/>
        <v>0</v>
      </c>
      <c r="AN326" s="23">
        <f t="shared" si="707"/>
        <v>0</v>
      </c>
      <c r="AO326" s="22">
        <f t="shared" si="708"/>
        <v>0</v>
      </c>
      <c r="AP326" s="24">
        <f t="shared" si="709"/>
        <v>0</v>
      </c>
      <c r="AQ326" s="23">
        <f t="shared" si="709"/>
        <v>0</v>
      </c>
      <c r="AR326" s="22">
        <f t="shared" si="710"/>
        <v>0</v>
      </c>
      <c r="AS326" s="24">
        <f t="shared" si="711"/>
        <v>0</v>
      </c>
      <c r="AT326" s="23">
        <f t="shared" si="711"/>
        <v>0</v>
      </c>
      <c r="AU326" s="22">
        <f t="shared" si="712"/>
        <v>0</v>
      </c>
      <c r="AV326" s="24">
        <f t="shared" si="713"/>
        <v>0</v>
      </c>
      <c r="AW326" s="23">
        <f t="shared" si="713"/>
        <v>0</v>
      </c>
      <c r="AX326" s="22">
        <f t="shared" si="714"/>
        <v>0</v>
      </c>
      <c r="AY326" s="23">
        <f t="shared" si="715"/>
        <v>0</v>
      </c>
      <c r="AZ326" s="23">
        <f t="shared" si="715"/>
        <v>0</v>
      </c>
      <c r="BA326" s="22">
        <f t="shared" si="716"/>
        <v>0</v>
      </c>
      <c r="BB326" s="24">
        <f t="shared" si="717"/>
        <v>0</v>
      </c>
      <c r="BC326" s="23">
        <f t="shared" si="717"/>
        <v>0</v>
      </c>
      <c r="BD326" s="22">
        <f t="shared" si="718"/>
        <v>0</v>
      </c>
      <c r="BE326" s="24">
        <f t="shared" si="683"/>
        <v>0</v>
      </c>
      <c r="BF326" s="24">
        <f t="shared" si="683"/>
        <v>0</v>
      </c>
      <c r="BG326" s="20">
        <f t="shared" ref="BG326" si="723">IF(BG93=0,0,BG294/BG93)</f>
        <v>0</v>
      </c>
    </row>
    <row r="327" spans="1:59" ht="13.5" hidden="1" customHeight="1" outlineLevel="1" x14ac:dyDescent="0.25">
      <c r="A327" s="28"/>
      <c r="B327" s="84" t="s">
        <v>53</v>
      </c>
      <c r="C327" s="83" t="s">
        <v>84</v>
      </c>
      <c r="D327" s="20">
        <f t="shared" si="685"/>
        <v>0</v>
      </c>
      <c r="E327" s="20">
        <f t="shared" si="685"/>
        <v>0</v>
      </c>
      <c r="F327" s="24">
        <f t="shared" si="685"/>
        <v>0</v>
      </c>
      <c r="G327" s="23">
        <f t="shared" si="685"/>
        <v>0</v>
      </c>
      <c r="H327" s="22">
        <f t="shared" si="686"/>
        <v>0</v>
      </c>
      <c r="I327" s="24">
        <f t="shared" si="687"/>
        <v>0</v>
      </c>
      <c r="J327" s="23">
        <f t="shared" si="687"/>
        <v>0</v>
      </c>
      <c r="K327" s="22">
        <f t="shared" si="688"/>
        <v>0</v>
      </c>
      <c r="L327" s="24">
        <f t="shared" si="689"/>
        <v>0</v>
      </c>
      <c r="M327" s="23">
        <f t="shared" si="689"/>
        <v>0</v>
      </c>
      <c r="N327" s="22">
        <f t="shared" si="690"/>
        <v>0</v>
      </c>
      <c r="O327" s="24">
        <f t="shared" si="691"/>
        <v>0</v>
      </c>
      <c r="P327" s="23">
        <f t="shared" si="691"/>
        <v>0</v>
      </c>
      <c r="Q327" s="22">
        <f t="shared" si="692"/>
        <v>0</v>
      </c>
      <c r="R327" s="24">
        <f t="shared" si="693"/>
        <v>0</v>
      </c>
      <c r="S327" s="23">
        <f t="shared" si="693"/>
        <v>0</v>
      </c>
      <c r="T327" s="22">
        <f t="shared" si="694"/>
        <v>0</v>
      </c>
      <c r="U327" s="24">
        <f t="shared" si="695"/>
        <v>0</v>
      </c>
      <c r="V327" s="23">
        <f t="shared" si="695"/>
        <v>0</v>
      </c>
      <c r="W327" s="22">
        <f t="shared" si="696"/>
        <v>0</v>
      </c>
      <c r="X327" s="24">
        <f t="shared" si="697"/>
        <v>0</v>
      </c>
      <c r="Y327" s="23">
        <f t="shared" si="697"/>
        <v>0</v>
      </c>
      <c r="Z327" s="22">
        <f t="shared" si="698"/>
        <v>0</v>
      </c>
      <c r="AA327" s="24">
        <f t="shared" si="699"/>
        <v>0</v>
      </c>
      <c r="AB327" s="23">
        <f t="shared" si="699"/>
        <v>0</v>
      </c>
      <c r="AC327" s="22">
        <f t="shared" si="700"/>
        <v>0</v>
      </c>
      <c r="AD327" s="24">
        <f t="shared" si="701"/>
        <v>0</v>
      </c>
      <c r="AE327" s="23">
        <f t="shared" si="701"/>
        <v>0</v>
      </c>
      <c r="AF327" s="22">
        <f t="shared" si="702"/>
        <v>0</v>
      </c>
      <c r="AG327" s="24">
        <f t="shared" si="703"/>
        <v>0</v>
      </c>
      <c r="AH327" s="23">
        <f t="shared" si="703"/>
        <v>0</v>
      </c>
      <c r="AI327" s="22">
        <f t="shared" si="704"/>
        <v>0</v>
      </c>
      <c r="AJ327" s="24">
        <f t="shared" si="705"/>
        <v>0</v>
      </c>
      <c r="AK327" s="23">
        <f t="shared" si="705"/>
        <v>0</v>
      </c>
      <c r="AL327" s="22">
        <f t="shared" si="706"/>
        <v>0</v>
      </c>
      <c r="AM327" s="24">
        <f t="shared" si="707"/>
        <v>0</v>
      </c>
      <c r="AN327" s="23">
        <f t="shared" si="707"/>
        <v>0</v>
      </c>
      <c r="AO327" s="22">
        <f t="shared" si="708"/>
        <v>0</v>
      </c>
      <c r="AP327" s="24">
        <f t="shared" si="709"/>
        <v>0</v>
      </c>
      <c r="AQ327" s="23">
        <f t="shared" si="709"/>
        <v>0</v>
      </c>
      <c r="AR327" s="22">
        <f t="shared" si="710"/>
        <v>0</v>
      </c>
      <c r="AS327" s="24">
        <f t="shared" si="711"/>
        <v>0</v>
      </c>
      <c r="AT327" s="23">
        <f t="shared" si="711"/>
        <v>0</v>
      </c>
      <c r="AU327" s="22">
        <f t="shared" si="712"/>
        <v>0</v>
      </c>
      <c r="AV327" s="24">
        <f t="shared" si="713"/>
        <v>0</v>
      </c>
      <c r="AW327" s="23">
        <f t="shared" si="713"/>
        <v>0</v>
      </c>
      <c r="AX327" s="22">
        <f t="shared" si="714"/>
        <v>0</v>
      </c>
      <c r="AY327" s="23">
        <f t="shared" si="715"/>
        <v>0</v>
      </c>
      <c r="AZ327" s="23">
        <f t="shared" si="715"/>
        <v>0</v>
      </c>
      <c r="BA327" s="22">
        <f t="shared" si="716"/>
        <v>0</v>
      </c>
      <c r="BB327" s="24">
        <f t="shared" si="717"/>
        <v>0</v>
      </c>
      <c r="BC327" s="23">
        <f t="shared" si="717"/>
        <v>0</v>
      </c>
      <c r="BD327" s="22">
        <f t="shared" si="718"/>
        <v>0</v>
      </c>
      <c r="BE327" s="24">
        <f t="shared" si="683"/>
        <v>0</v>
      </c>
      <c r="BF327" s="24">
        <f t="shared" si="683"/>
        <v>0</v>
      </c>
      <c r="BG327" s="20">
        <f t="shared" ref="BG327" si="724">IF(BG94=0,0,BG295/BG94)</f>
        <v>0</v>
      </c>
    </row>
    <row r="328" spans="1:59" ht="13.5" hidden="1" customHeight="1" outlineLevel="1" x14ac:dyDescent="0.25">
      <c r="A328" s="28"/>
      <c r="B328" s="84" t="s">
        <v>54</v>
      </c>
      <c r="C328" s="83" t="s">
        <v>84</v>
      </c>
      <c r="D328" s="20">
        <f t="shared" si="685"/>
        <v>0</v>
      </c>
      <c r="E328" s="20">
        <f t="shared" si="685"/>
        <v>0</v>
      </c>
      <c r="F328" s="24">
        <f t="shared" si="685"/>
        <v>0</v>
      </c>
      <c r="G328" s="23">
        <f t="shared" si="685"/>
        <v>0</v>
      </c>
      <c r="H328" s="22">
        <f t="shared" si="686"/>
        <v>0</v>
      </c>
      <c r="I328" s="24">
        <f t="shared" si="687"/>
        <v>0</v>
      </c>
      <c r="J328" s="23">
        <f t="shared" si="687"/>
        <v>0</v>
      </c>
      <c r="K328" s="22">
        <f t="shared" si="688"/>
        <v>0</v>
      </c>
      <c r="L328" s="24">
        <f t="shared" si="689"/>
        <v>0</v>
      </c>
      <c r="M328" s="23">
        <f t="shared" si="689"/>
        <v>0</v>
      </c>
      <c r="N328" s="22">
        <f t="shared" si="690"/>
        <v>0</v>
      </c>
      <c r="O328" s="24">
        <f t="shared" si="691"/>
        <v>0</v>
      </c>
      <c r="P328" s="23">
        <f t="shared" si="691"/>
        <v>0</v>
      </c>
      <c r="Q328" s="22">
        <f t="shared" si="692"/>
        <v>0</v>
      </c>
      <c r="R328" s="24">
        <f t="shared" si="693"/>
        <v>0</v>
      </c>
      <c r="S328" s="23">
        <f t="shared" si="693"/>
        <v>0</v>
      </c>
      <c r="T328" s="22">
        <f t="shared" si="694"/>
        <v>0</v>
      </c>
      <c r="U328" s="24">
        <f t="shared" si="695"/>
        <v>0</v>
      </c>
      <c r="V328" s="23">
        <f t="shared" si="695"/>
        <v>0</v>
      </c>
      <c r="W328" s="22">
        <f t="shared" si="696"/>
        <v>0</v>
      </c>
      <c r="X328" s="24">
        <f t="shared" si="697"/>
        <v>0</v>
      </c>
      <c r="Y328" s="23">
        <f t="shared" si="697"/>
        <v>0</v>
      </c>
      <c r="Z328" s="22">
        <f t="shared" si="698"/>
        <v>0</v>
      </c>
      <c r="AA328" s="24">
        <f t="shared" si="699"/>
        <v>0</v>
      </c>
      <c r="AB328" s="23">
        <f t="shared" si="699"/>
        <v>0</v>
      </c>
      <c r="AC328" s="22">
        <f t="shared" si="700"/>
        <v>0</v>
      </c>
      <c r="AD328" s="24">
        <f t="shared" si="701"/>
        <v>0</v>
      </c>
      <c r="AE328" s="23">
        <f t="shared" si="701"/>
        <v>0</v>
      </c>
      <c r="AF328" s="22">
        <f t="shared" si="702"/>
        <v>0</v>
      </c>
      <c r="AG328" s="24">
        <f t="shared" si="703"/>
        <v>0</v>
      </c>
      <c r="AH328" s="23">
        <f t="shared" si="703"/>
        <v>0</v>
      </c>
      <c r="AI328" s="22">
        <f t="shared" si="704"/>
        <v>0</v>
      </c>
      <c r="AJ328" s="24">
        <f t="shared" si="705"/>
        <v>0</v>
      </c>
      <c r="AK328" s="23">
        <f t="shared" si="705"/>
        <v>0</v>
      </c>
      <c r="AL328" s="22">
        <f t="shared" si="706"/>
        <v>0</v>
      </c>
      <c r="AM328" s="24">
        <f t="shared" si="707"/>
        <v>0</v>
      </c>
      <c r="AN328" s="23">
        <f t="shared" si="707"/>
        <v>0</v>
      </c>
      <c r="AO328" s="22">
        <f t="shared" si="708"/>
        <v>0</v>
      </c>
      <c r="AP328" s="24">
        <f t="shared" si="709"/>
        <v>0</v>
      </c>
      <c r="AQ328" s="23">
        <f t="shared" si="709"/>
        <v>0</v>
      </c>
      <c r="AR328" s="22">
        <f t="shared" si="710"/>
        <v>0</v>
      </c>
      <c r="AS328" s="24">
        <f t="shared" si="711"/>
        <v>0</v>
      </c>
      <c r="AT328" s="23">
        <f t="shared" si="711"/>
        <v>0</v>
      </c>
      <c r="AU328" s="22">
        <f t="shared" si="712"/>
        <v>0</v>
      </c>
      <c r="AV328" s="24">
        <f t="shared" si="713"/>
        <v>0</v>
      </c>
      <c r="AW328" s="23">
        <f t="shared" si="713"/>
        <v>0</v>
      </c>
      <c r="AX328" s="22">
        <f t="shared" si="714"/>
        <v>0</v>
      </c>
      <c r="AY328" s="23">
        <f t="shared" si="715"/>
        <v>0</v>
      </c>
      <c r="AZ328" s="23">
        <f t="shared" si="715"/>
        <v>0</v>
      </c>
      <c r="BA328" s="22">
        <f t="shared" si="716"/>
        <v>0</v>
      </c>
      <c r="BB328" s="24">
        <f t="shared" si="717"/>
        <v>0</v>
      </c>
      <c r="BC328" s="23">
        <f t="shared" si="717"/>
        <v>0</v>
      </c>
      <c r="BD328" s="22">
        <f t="shared" si="718"/>
        <v>0</v>
      </c>
      <c r="BE328" s="24">
        <f t="shared" si="683"/>
        <v>0</v>
      </c>
      <c r="BF328" s="24">
        <f t="shared" si="683"/>
        <v>0</v>
      </c>
      <c r="BG328" s="20">
        <f t="shared" ref="BG328" si="725">IF(BG95=0,0,BG296/BG95)</f>
        <v>0</v>
      </c>
    </row>
    <row r="329" spans="1:59" ht="13.5" hidden="1" customHeight="1" outlineLevel="1" x14ac:dyDescent="0.25">
      <c r="A329" s="82"/>
      <c r="B329" s="84" t="s">
        <v>55</v>
      </c>
      <c r="C329" s="80" t="s">
        <v>84</v>
      </c>
      <c r="D329" s="168">
        <f t="shared" si="685"/>
        <v>0</v>
      </c>
      <c r="E329" s="168">
        <f t="shared" si="685"/>
        <v>0</v>
      </c>
      <c r="F329" s="171">
        <f t="shared" si="685"/>
        <v>0</v>
      </c>
      <c r="G329" s="169">
        <f t="shared" si="685"/>
        <v>0</v>
      </c>
      <c r="H329" s="170">
        <f t="shared" si="686"/>
        <v>0</v>
      </c>
      <c r="I329" s="171">
        <f t="shared" si="687"/>
        <v>0</v>
      </c>
      <c r="J329" s="169">
        <f t="shared" si="687"/>
        <v>0</v>
      </c>
      <c r="K329" s="170">
        <f t="shared" si="688"/>
        <v>0</v>
      </c>
      <c r="L329" s="171">
        <f t="shared" si="689"/>
        <v>0</v>
      </c>
      <c r="M329" s="169">
        <f t="shared" si="689"/>
        <v>0</v>
      </c>
      <c r="N329" s="170">
        <f t="shared" si="690"/>
        <v>0</v>
      </c>
      <c r="O329" s="171">
        <f t="shared" si="691"/>
        <v>0</v>
      </c>
      <c r="P329" s="169">
        <f t="shared" si="691"/>
        <v>0</v>
      </c>
      <c r="Q329" s="170">
        <f t="shared" si="692"/>
        <v>0</v>
      </c>
      <c r="R329" s="171">
        <f t="shared" si="693"/>
        <v>0</v>
      </c>
      <c r="S329" s="169">
        <f t="shared" si="693"/>
        <v>0</v>
      </c>
      <c r="T329" s="170">
        <f t="shared" si="694"/>
        <v>0</v>
      </c>
      <c r="U329" s="171">
        <f t="shared" si="695"/>
        <v>0</v>
      </c>
      <c r="V329" s="169">
        <f t="shared" si="695"/>
        <v>0</v>
      </c>
      <c r="W329" s="170">
        <f t="shared" si="696"/>
        <v>0</v>
      </c>
      <c r="X329" s="171">
        <f t="shared" si="697"/>
        <v>0</v>
      </c>
      <c r="Y329" s="169">
        <f t="shared" si="697"/>
        <v>0</v>
      </c>
      <c r="Z329" s="170">
        <f t="shared" si="698"/>
        <v>0</v>
      </c>
      <c r="AA329" s="171">
        <f t="shared" si="699"/>
        <v>0</v>
      </c>
      <c r="AB329" s="169">
        <f t="shared" si="699"/>
        <v>0</v>
      </c>
      <c r="AC329" s="170">
        <f t="shared" si="700"/>
        <v>0</v>
      </c>
      <c r="AD329" s="171">
        <f t="shared" si="701"/>
        <v>0</v>
      </c>
      <c r="AE329" s="169">
        <f t="shared" si="701"/>
        <v>0</v>
      </c>
      <c r="AF329" s="170">
        <f t="shared" si="702"/>
        <v>0</v>
      </c>
      <c r="AG329" s="171">
        <f t="shared" si="703"/>
        <v>0</v>
      </c>
      <c r="AH329" s="169">
        <f t="shared" si="703"/>
        <v>0</v>
      </c>
      <c r="AI329" s="170">
        <f t="shared" si="704"/>
        <v>0</v>
      </c>
      <c r="AJ329" s="171">
        <f t="shared" si="705"/>
        <v>0</v>
      </c>
      <c r="AK329" s="169">
        <f t="shared" si="705"/>
        <v>0</v>
      </c>
      <c r="AL329" s="170">
        <f t="shared" si="706"/>
        <v>0</v>
      </c>
      <c r="AM329" s="171">
        <f t="shared" si="707"/>
        <v>0</v>
      </c>
      <c r="AN329" s="169">
        <f t="shared" si="707"/>
        <v>0</v>
      </c>
      <c r="AO329" s="170">
        <f t="shared" si="708"/>
        <v>0</v>
      </c>
      <c r="AP329" s="171">
        <f t="shared" si="709"/>
        <v>0</v>
      </c>
      <c r="AQ329" s="169">
        <f t="shared" si="709"/>
        <v>0</v>
      </c>
      <c r="AR329" s="170">
        <f t="shared" si="710"/>
        <v>0</v>
      </c>
      <c r="AS329" s="171">
        <f t="shared" si="711"/>
        <v>0</v>
      </c>
      <c r="AT329" s="169">
        <f t="shared" si="711"/>
        <v>0</v>
      </c>
      <c r="AU329" s="170">
        <f t="shared" si="712"/>
        <v>0</v>
      </c>
      <c r="AV329" s="171">
        <f t="shared" si="713"/>
        <v>0</v>
      </c>
      <c r="AW329" s="169">
        <f t="shared" si="713"/>
        <v>0</v>
      </c>
      <c r="AX329" s="170">
        <f t="shared" si="714"/>
        <v>0</v>
      </c>
      <c r="AY329" s="169">
        <f t="shared" si="715"/>
        <v>0</v>
      </c>
      <c r="AZ329" s="169">
        <f t="shared" si="715"/>
        <v>0</v>
      </c>
      <c r="BA329" s="170">
        <f t="shared" si="716"/>
        <v>0</v>
      </c>
      <c r="BB329" s="171">
        <f t="shared" si="717"/>
        <v>0</v>
      </c>
      <c r="BC329" s="169">
        <f t="shared" si="717"/>
        <v>0</v>
      </c>
      <c r="BD329" s="170">
        <f t="shared" si="718"/>
        <v>0</v>
      </c>
      <c r="BE329" s="171">
        <f t="shared" si="683"/>
        <v>0</v>
      </c>
      <c r="BF329" s="171">
        <f t="shared" si="683"/>
        <v>0</v>
      </c>
      <c r="BG329" s="168">
        <f t="shared" ref="BG329" si="726">IF(BG96=0,0,BG297/BG96)</f>
        <v>0</v>
      </c>
    </row>
    <row r="330" spans="1:59" ht="13.5" hidden="1" customHeight="1" outlineLevel="1" x14ac:dyDescent="0.25">
      <c r="A330" s="82"/>
      <c r="B330" s="99" t="s">
        <v>56</v>
      </c>
      <c r="C330" s="80" t="s">
        <v>84</v>
      </c>
      <c r="D330" s="168">
        <f t="shared" si="685"/>
        <v>0</v>
      </c>
      <c r="E330" s="168">
        <f t="shared" si="685"/>
        <v>0</v>
      </c>
      <c r="F330" s="171">
        <f t="shared" si="685"/>
        <v>0</v>
      </c>
      <c r="G330" s="169">
        <f t="shared" si="685"/>
        <v>0</v>
      </c>
      <c r="H330" s="170">
        <f t="shared" si="686"/>
        <v>0</v>
      </c>
      <c r="I330" s="171">
        <f t="shared" si="687"/>
        <v>0</v>
      </c>
      <c r="J330" s="169">
        <f t="shared" si="687"/>
        <v>0</v>
      </c>
      <c r="K330" s="170">
        <f t="shared" si="688"/>
        <v>0</v>
      </c>
      <c r="L330" s="171">
        <f t="shared" si="689"/>
        <v>0</v>
      </c>
      <c r="M330" s="169">
        <f t="shared" si="689"/>
        <v>0</v>
      </c>
      <c r="N330" s="170">
        <f t="shared" si="690"/>
        <v>0</v>
      </c>
      <c r="O330" s="171">
        <f t="shared" si="691"/>
        <v>0</v>
      </c>
      <c r="P330" s="169">
        <f t="shared" si="691"/>
        <v>0</v>
      </c>
      <c r="Q330" s="170">
        <f t="shared" si="692"/>
        <v>0</v>
      </c>
      <c r="R330" s="171">
        <f t="shared" si="693"/>
        <v>0</v>
      </c>
      <c r="S330" s="169">
        <f t="shared" si="693"/>
        <v>0</v>
      </c>
      <c r="T330" s="170">
        <f t="shared" si="694"/>
        <v>0</v>
      </c>
      <c r="U330" s="171">
        <f t="shared" si="695"/>
        <v>0</v>
      </c>
      <c r="V330" s="169">
        <f t="shared" si="695"/>
        <v>0</v>
      </c>
      <c r="W330" s="170">
        <f t="shared" si="696"/>
        <v>0</v>
      </c>
      <c r="X330" s="171">
        <f t="shared" si="697"/>
        <v>0</v>
      </c>
      <c r="Y330" s="169">
        <f t="shared" si="697"/>
        <v>0</v>
      </c>
      <c r="Z330" s="170">
        <f t="shared" si="698"/>
        <v>0</v>
      </c>
      <c r="AA330" s="171">
        <f t="shared" si="699"/>
        <v>0</v>
      </c>
      <c r="AB330" s="169">
        <f t="shared" si="699"/>
        <v>0</v>
      </c>
      <c r="AC330" s="170">
        <f t="shared" si="700"/>
        <v>0</v>
      </c>
      <c r="AD330" s="171">
        <f t="shared" si="701"/>
        <v>0</v>
      </c>
      <c r="AE330" s="169">
        <f t="shared" si="701"/>
        <v>0</v>
      </c>
      <c r="AF330" s="170">
        <f t="shared" si="702"/>
        <v>0</v>
      </c>
      <c r="AG330" s="171">
        <f t="shared" si="703"/>
        <v>0</v>
      </c>
      <c r="AH330" s="169">
        <f t="shared" si="703"/>
        <v>0</v>
      </c>
      <c r="AI330" s="170">
        <f t="shared" si="704"/>
        <v>0</v>
      </c>
      <c r="AJ330" s="171">
        <f t="shared" si="705"/>
        <v>0</v>
      </c>
      <c r="AK330" s="169">
        <f t="shared" si="705"/>
        <v>0</v>
      </c>
      <c r="AL330" s="170">
        <f t="shared" si="706"/>
        <v>0</v>
      </c>
      <c r="AM330" s="171">
        <f t="shared" si="707"/>
        <v>0</v>
      </c>
      <c r="AN330" s="169">
        <f t="shared" si="707"/>
        <v>0</v>
      </c>
      <c r="AO330" s="170">
        <f t="shared" si="708"/>
        <v>0</v>
      </c>
      <c r="AP330" s="171">
        <f t="shared" si="709"/>
        <v>0</v>
      </c>
      <c r="AQ330" s="169">
        <f t="shared" si="709"/>
        <v>0</v>
      </c>
      <c r="AR330" s="170">
        <f t="shared" si="710"/>
        <v>0</v>
      </c>
      <c r="AS330" s="171">
        <f t="shared" si="711"/>
        <v>0</v>
      </c>
      <c r="AT330" s="169">
        <f t="shared" si="711"/>
        <v>0</v>
      </c>
      <c r="AU330" s="170">
        <f t="shared" si="712"/>
        <v>0</v>
      </c>
      <c r="AV330" s="171">
        <f t="shared" si="713"/>
        <v>0</v>
      </c>
      <c r="AW330" s="169">
        <f t="shared" si="713"/>
        <v>0</v>
      </c>
      <c r="AX330" s="170">
        <f t="shared" si="714"/>
        <v>0</v>
      </c>
      <c r="AY330" s="169">
        <f t="shared" si="715"/>
        <v>0</v>
      </c>
      <c r="AZ330" s="169">
        <f t="shared" si="715"/>
        <v>0</v>
      </c>
      <c r="BA330" s="170">
        <f t="shared" si="716"/>
        <v>0</v>
      </c>
      <c r="BB330" s="171">
        <f t="shared" si="717"/>
        <v>0</v>
      </c>
      <c r="BC330" s="169">
        <f t="shared" si="717"/>
        <v>0</v>
      </c>
      <c r="BD330" s="170">
        <f t="shared" si="718"/>
        <v>0</v>
      </c>
      <c r="BE330" s="171">
        <f t="shared" si="683"/>
        <v>0</v>
      </c>
      <c r="BF330" s="171">
        <f t="shared" si="683"/>
        <v>0</v>
      </c>
      <c r="BG330" s="168">
        <f t="shared" ref="BG330" si="727">IF(BG97=0,0,BG298/BG97)</f>
        <v>0</v>
      </c>
    </row>
    <row r="331" spans="1:59" ht="13.5" hidden="1" customHeight="1" outlineLevel="1" x14ac:dyDescent="0.25">
      <c r="A331" s="82"/>
      <c r="B331" s="84" t="s">
        <v>57</v>
      </c>
      <c r="C331" s="80" t="s">
        <v>84</v>
      </c>
      <c r="D331" s="168">
        <f t="shared" si="685"/>
        <v>0</v>
      </c>
      <c r="E331" s="168">
        <f t="shared" si="685"/>
        <v>0</v>
      </c>
      <c r="F331" s="171">
        <f t="shared" si="685"/>
        <v>0</v>
      </c>
      <c r="G331" s="169">
        <f t="shared" si="685"/>
        <v>0</v>
      </c>
      <c r="H331" s="170">
        <f t="shared" si="686"/>
        <v>0</v>
      </c>
      <c r="I331" s="171">
        <f t="shared" si="687"/>
        <v>0</v>
      </c>
      <c r="J331" s="169">
        <f t="shared" si="687"/>
        <v>0</v>
      </c>
      <c r="K331" s="170">
        <f t="shared" si="688"/>
        <v>0</v>
      </c>
      <c r="L331" s="171">
        <f t="shared" si="689"/>
        <v>0</v>
      </c>
      <c r="M331" s="169">
        <f t="shared" si="689"/>
        <v>0</v>
      </c>
      <c r="N331" s="170">
        <f t="shared" si="690"/>
        <v>0</v>
      </c>
      <c r="O331" s="171">
        <f t="shared" si="691"/>
        <v>0</v>
      </c>
      <c r="P331" s="169">
        <f t="shared" si="691"/>
        <v>0</v>
      </c>
      <c r="Q331" s="170">
        <f t="shared" si="692"/>
        <v>0</v>
      </c>
      <c r="R331" s="171">
        <f t="shared" si="693"/>
        <v>0</v>
      </c>
      <c r="S331" s="169">
        <f t="shared" si="693"/>
        <v>0</v>
      </c>
      <c r="T331" s="170">
        <f t="shared" si="694"/>
        <v>0</v>
      </c>
      <c r="U331" s="171">
        <f t="shared" si="695"/>
        <v>0</v>
      </c>
      <c r="V331" s="169">
        <f t="shared" si="695"/>
        <v>0</v>
      </c>
      <c r="W331" s="170">
        <f t="shared" si="696"/>
        <v>0</v>
      </c>
      <c r="X331" s="171">
        <f t="shared" si="697"/>
        <v>0</v>
      </c>
      <c r="Y331" s="169">
        <f t="shared" si="697"/>
        <v>0</v>
      </c>
      <c r="Z331" s="170">
        <f t="shared" si="698"/>
        <v>0</v>
      </c>
      <c r="AA331" s="171">
        <f t="shared" si="699"/>
        <v>0</v>
      </c>
      <c r="AB331" s="169">
        <f t="shared" si="699"/>
        <v>0</v>
      </c>
      <c r="AC331" s="170">
        <f t="shared" si="700"/>
        <v>0</v>
      </c>
      <c r="AD331" s="171">
        <f t="shared" si="701"/>
        <v>0</v>
      </c>
      <c r="AE331" s="169">
        <f t="shared" si="701"/>
        <v>0</v>
      </c>
      <c r="AF331" s="170">
        <f t="shared" si="702"/>
        <v>0</v>
      </c>
      <c r="AG331" s="171">
        <f t="shared" si="703"/>
        <v>0</v>
      </c>
      <c r="AH331" s="169">
        <f t="shared" si="703"/>
        <v>0</v>
      </c>
      <c r="AI331" s="170">
        <f t="shared" si="704"/>
        <v>0</v>
      </c>
      <c r="AJ331" s="171">
        <f t="shared" si="705"/>
        <v>0</v>
      </c>
      <c r="AK331" s="169">
        <f t="shared" si="705"/>
        <v>0</v>
      </c>
      <c r="AL331" s="170">
        <f t="shared" si="706"/>
        <v>0</v>
      </c>
      <c r="AM331" s="171">
        <f t="shared" si="707"/>
        <v>0</v>
      </c>
      <c r="AN331" s="169">
        <f t="shared" si="707"/>
        <v>0</v>
      </c>
      <c r="AO331" s="170">
        <f t="shared" si="708"/>
        <v>0</v>
      </c>
      <c r="AP331" s="171">
        <f t="shared" si="709"/>
        <v>0</v>
      </c>
      <c r="AQ331" s="169">
        <f t="shared" si="709"/>
        <v>0</v>
      </c>
      <c r="AR331" s="170">
        <f t="shared" si="710"/>
        <v>0</v>
      </c>
      <c r="AS331" s="171">
        <f t="shared" si="711"/>
        <v>0</v>
      </c>
      <c r="AT331" s="169">
        <f t="shared" si="711"/>
        <v>0</v>
      </c>
      <c r="AU331" s="170">
        <f t="shared" si="712"/>
        <v>0</v>
      </c>
      <c r="AV331" s="171">
        <f t="shared" si="713"/>
        <v>0</v>
      </c>
      <c r="AW331" s="169">
        <f t="shared" si="713"/>
        <v>0</v>
      </c>
      <c r="AX331" s="170">
        <f t="shared" si="714"/>
        <v>0</v>
      </c>
      <c r="AY331" s="169">
        <f t="shared" si="715"/>
        <v>0</v>
      </c>
      <c r="AZ331" s="169">
        <f t="shared" si="715"/>
        <v>0</v>
      </c>
      <c r="BA331" s="170">
        <f t="shared" si="716"/>
        <v>0</v>
      </c>
      <c r="BB331" s="171">
        <f t="shared" si="717"/>
        <v>0</v>
      </c>
      <c r="BC331" s="169">
        <f t="shared" si="717"/>
        <v>0</v>
      </c>
      <c r="BD331" s="170">
        <f t="shared" si="718"/>
        <v>0</v>
      </c>
      <c r="BE331" s="171">
        <f t="shared" si="683"/>
        <v>0</v>
      </c>
      <c r="BF331" s="171">
        <f t="shared" si="683"/>
        <v>0</v>
      </c>
      <c r="BG331" s="168">
        <f t="shared" ref="BG331" si="728">IF(BG98=0,0,BG299/BG98)</f>
        <v>0</v>
      </c>
    </row>
    <row r="332" spans="1:59" ht="13.5" hidden="1" customHeight="1" outlineLevel="1" x14ac:dyDescent="0.25">
      <c r="A332" s="82"/>
      <c r="B332" s="99" t="s">
        <v>58</v>
      </c>
      <c r="C332" s="80" t="s">
        <v>84</v>
      </c>
      <c r="D332" s="168">
        <f t="shared" si="685"/>
        <v>0</v>
      </c>
      <c r="E332" s="168">
        <f t="shared" si="685"/>
        <v>0</v>
      </c>
      <c r="F332" s="171">
        <f t="shared" si="685"/>
        <v>0</v>
      </c>
      <c r="G332" s="169">
        <f t="shared" si="685"/>
        <v>0</v>
      </c>
      <c r="H332" s="170">
        <f t="shared" si="686"/>
        <v>0</v>
      </c>
      <c r="I332" s="171">
        <f t="shared" si="687"/>
        <v>0</v>
      </c>
      <c r="J332" s="169">
        <f t="shared" si="687"/>
        <v>0</v>
      </c>
      <c r="K332" s="170">
        <f t="shared" si="688"/>
        <v>0</v>
      </c>
      <c r="L332" s="171">
        <f t="shared" si="689"/>
        <v>0</v>
      </c>
      <c r="M332" s="169">
        <f t="shared" si="689"/>
        <v>0</v>
      </c>
      <c r="N332" s="170">
        <f t="shared" si="690"/>
        <v>0</v>
      </c>
      <c r="O332" s="171">
        <f t="shared" si="691"/>
        <v>0</v>
      </c>
      <c r="P332" s="169">
        <f t="shared" si="691"/>
        <v>0</v>
      </c>
      <c r="Q332" s="170">
        <f t="shared" si="692"/>
        <v>0</v>
      </c>
      <c r="R332" s="171">
        <f t="shared" si="693"/>
        <v>0</v>
      </c>
      <c r="S332" s="169">
        <f t="shared" si="693"/>
        <v>0</v>
      </c>
      <c r="T332" s="170">
        <f t="shared" si="694"/>
        <v>0</v>
      </c>
      <c r="U332" s="171">
        <f t="shared" si="695"/>
        <v>0</v>
      </c>
      <c r="V332" s="169">
        <f t="shared" si="695"/>
        <v>0</v>
      </c>
      <c r="W332" s="170">
        <f t="shared" si="696"/>
        <v>0</v>
      </c>
      <c r="X332" s="171">
        <f t="shared" si="697"/>
        <v>0</v>
      </c>
      <c r="Y332" s="169">
        <f t="shared" si="697"/>
        <v>0</v>
      </c>
      <c r="Z332" s="170">
        <f t="shared" si="698"/>
        <v>0</v>
      </c>
      <c r="AA332" s="171">
        <f t="shared" si="699"/>
        <v>0</v>
      </c>
      <c r="AB332" s="169">
        <f t="shared" si="699"/>
        <v>0</v>
      </c>
      <c r="AC332" s="170">
        <f t="shared" si="700"/>
        <v>0</v>
      </c>
      <c r="AD332" s="171">
        <f t="shared" si="701"/>
        <v>0</v>
      </c>
      <c r="AE332" s="169">
        <f t="shared" si="701"/>
        <v>0</v>
      </c>
      <c r="AF332" s="170">
        <f t="shared" si="702"/>
        <v>0</v>
      </c>
      <c r="AG332" s="171">
        <f t="shared" si="703"/>
        <v>0</v>
      </c>
      <c r="AH332" s="169">
        <f t="shared" si="703"/>
        <v>0</v>
      </c>
      <c r="AI332" s="170">
        <f t="shared" si="704"/>
        <v>0</v>
      </c>
      <c r="AJ332" s="171">
        <f t="shared" si="705"/>
        <v>0</v>
      </c>
      <c r="AK332" s="169">
        <f t="shared" si="705"/>
        <v>0</v>
      </c>
      <c r="AL332" s="170">
        <f t="shared" si="706"/>
        <v>0</v>
      </c>
      <c r="AM332" s="171">
        <f t="shared" si="707"/>
        <v>0</v>
      </c>
      <c r="AN332" s="169">
        <f t="shared" si="707"/>
        <v>0</v>
      </c>
      <c r="AO332" s="170">
        <f t="shared" si="708"/>
        <v>0</v>
      </c>
      <c r="AP332" s="171">
        <f t="shared" si="709"/>
        <v>0</v>
      </c>
      <c r="AQ332" s="169">
        <f t="shared" si="709"/>
        <v>0</v>
      </c>
      <c r="AR332" s="170">
        <f t="shared" si="710"/>
        <v>0</v>
      </c>
      <c r="AS332" s="171">
        <f t="shared" si="711"/>
        <v>0</v>
      </c>
      <c r="AT332" s="169">
        <f t="shared" si="711"/>
        <v>0</v>
      </c>
      <c r="AU332" s="170">
        <f t="shared" si="712"/>
        <v>0</v>
      </c>
      <c r="AV332" s="171">
        <f t="shared" si="713"/>
        <v>0</v>
      </c>
      <c r="AW332" s="169">
        <f t="shared" si="713"/>
        <v>0</v>
      </c>
      <c r="AX332" s="170">
        <f t="shared" si="714"/>
        <v>0</v>
      </c>
      <c r="AY332" s="169">
        <f t="shared" si="715"/>
        <v>0</v>
      </c>
      <c r="AZ332" s="169">
        <f t="shared" si="715"/>
        <v>0</v>
      </c>
      <c r="BA332" s="170">
        <f t="shared" si="716"/>
        <v>0</v>
      </c>
      <c r="BB332" s="171">
        <f t="shared" si="717"/>
        <v>0</v>
      </c>
      <c r="BC332" s="169">
        <f t="shared" si="717"/>
        <v>0</v>
      </c>
      <c r="BD332" s="170">
        <f t="shared" si="718"/>
        <v>0</v>
      </c>
      <c r="BE332" s="171">
        <f t="shared" si="683"/>
        <v>0</v>
      </c>
      <c r="BF332" s="171">
        <f t="shared" si="683"/>
        <v>0</v>
      </c>
      <c r="BG332" s="168">
        <f t="shared" ref="BG332" si="729">IF(BG99=0,0,BG300/BG99)</f>
        <v>0</v>
      </c>
    </row>
    <row r="333" spans="1:59" ht="13.5" hidden="1" customHeight="1" outlineLevel="1" x14ac:dyDescent="0.25">
      <c r="A333" s="82"/>
      <c r="B333" s="84" t="s">
        <v>59</v>
      </c>
      <c r="C333" s="80" t="s">
        <v>84</v>
      </c>
      <c r="D333" s="168">
        <f t="shared" si="685"/>
        <v>0</v>
      </c>
      <c r="E333" s="168">
        <f t="shared" si="685"/>
        <v>0</v>
      </c>
      <c r="F333" s="171">
        <f t="shared" si="685"/>
        <v>0</v>
      </c>
      <c r="G333" s="169">
        <f t="shared" si="685"/>
        <v>0</v>
      </c>
      <c r="H333" s="170">
        <f t="shared" si="686"/>
        <v>0</v>
      </c>
      <c r="I333" s="171">
        <f t="shared" si="687"/>
        <v>0</v>
      </c>
      <c r="J333" s="169">
        <f t="shared" si="687"/>
        <v>0</v>
      </c>
      <c r="K333" s="170">
        <f t="shared" si="688"/>
        <v>0</v>
      </c>
      <c r="L333" s="171">
        <f t="shared" si="689"/>
        <v>0</v>
      </c>
      <c r="M333" s="169">
        <f t="shared" si="689"/>
        <v>0</v>
      </c>
      <c r="N333" s="170">
        <f t="shared" si="690"/>
        <v>0</v>
      </c>
      <c r="O333" s="171">
        <f t="shared" si="691"/>
        <v>0</v>
      </c>
      <c r="P333" s="169">
        <f t="shared" si="691"/>
        <v>0</v>
      </c>
      <c r="Q333" s="170">
        <f t="shared" si="692"/>
        <v>0</v>
      </c>
      <c r="R333" s="171">
        <f t="shared" si="693"/>
        <v>0</v>
      </c>
      <c r="S333" s="169">
        <f t="shared" si="693"/>
        <v>0</v>
      </c>
      <c r="T333" s="170">
        <f t="shared" si="694"/>
        <v>0</v>
      </c>
      <c r="U333" s="171">
        <f t="shared" si="695"/>
        <v>0</v>
      </c>
      <c r="V333" s="169">
        <f t="shared" si="695"/>
        <v>0</v>
      </c>
      <c r="W333" s="170">
        <f t="shared" si="696"/>
        <v>0</v>
      </c>
      <c r="X333" s="171">
        <f t="shared" si="697"/>
        <v>0</v>
      </c>
      <c r="Y333" s="169">
        <f t="shared" si="697"/>
        <v>0</v>
      </c>
      <c r="Z333" s="170">
        <f t="shared" si="698"/>
        <v>0</v>
      </c>
      <c r="AA333" s="171">
        <f t="shared" si="699"/>
        <v>0</v>
      </c>
      <c r="AB333" s="169">
        <f t="shared" si="699"/>
        <v>0</v>
      </c>
      <c r="AC333" s="170">
        <f t="shared" si="700"/>
        <v>0</v>
      </c>
      <c r="AD333" s="171">
        <f t="shared" si="701"/>
        <v>0</v>
      </c>
      <c r="AE333" s="169">
        <f t="shared" si="701"/>
        <v>0</v>
      </c>
      <c r="AF333" s="170">
        <f t="shared" si="702"/>
        <v>0</v>
      </c>
      <c r="AG333" s="171">
        <f t="shared" si="703"/>
        <v>0</v>
      </c>
      <c r="AH333" s="169">
        <f t="shared" si="703"/>
        <v>0</v>
      </c>
      <c r="AI333" s="170">
        <f t="shared" si="704"/>
        <v>0</v>
      </c>
      <c r="AJ333" s="171">
        <f t="shared" si="705"/>
        <v>0</v>
      </c>
      <c r="AK333" s="169">
        <f t="shared" si="705"/>
        <v>0</v>
      </c>
      <c r="AL333" s="170">
        <f t="shared" si="706"/>
        <v>0</v>
      </c>
      <c r="AM333" s="171">
        <f t="shared" si="707"/>
        <v>0</v>
      </c>
      <c r="AN333" s="169">
        <f t="shared" si="707"/>
        <v>0</v>
      </c>
      <c r="AO333" s="170">
        <f t="shared" si="708"/>
        <v>0</v>
      </c>
      <c r="AP333" s="171">
        <f t="shared" si="709"/>
        <v>0</v>
      </c>
      <c r="AQ333" s="169">
        <f t="shared" si="709"/>
        <v>0</v>
      </c>
      <c r="AR333" s="170">
        <f t="shared" si="710"/>
        <v>0</v>
      </c>
      <c r="AS333" s="171">
        <f t="shared" si="711"/>
        <v>0</v>
      </c>
      <c r="AT333" s="169">
        <f t="shared" si="711"/>
        <v>0</v>
      </c>
      <c r="AU333" s="170">
        <f t="shared" si="712"/>
        <v>0</v>
      </c>
      <c r="AV333" s="171">
        <f t="shared" si="713"/>
        <v>0</v>
      </c>
      <c r="AW333" s="169">
        <f t="shared" si="713"/>
        <v>0</v>
      </c>
      <c r="AX333" s="170">
        <f t="shared" si="714"/>
        <v>0</v>
      </c>
      <c r="AY333" s="169">
        <f t="shared" si="715"/>
        <v>0</v>
      </c>
      <c r="AZ333" s="169">
        <f t="shared" si="715"/>
        <v>0</v>
      </c>
      <c r="BA333" s="170">
        <f t="shared" si="716"/>
        <v>0</v>
      </c>
      <c r="BB333" s="171">
        <f t="shared" si="717"/>
        <v>0</v>
      </c>
      <c r="BC333" s="169">
        <f t="shared" si="717"/>
        <v>0</v>
      </c>
      <c r="BD333" s="170">
        <f t="shared" si="718"/>
        <v>0</v>
      </c>
      <c r="BE333" s="171">
        <f t="shared" si="683"/>
        <v>0</v>
      </c>
      <c r="BF333" s="171">
        <f t="shared" si="683"/>
        <v>0</v>
      </c>
      <c r="BG333" s="168">
        <f t="shared" ref="BG333" si="730">IF(BG100=0,0,BG301/BG100)</f>
        <v>0</v>
      </c>
    </row>
    <row r="334" spans="1:59" ht="13.5" hidden="1" customHeight="1" outlineLevel="1" x14ac:dyDescent="0.25">
      <c r="A334" s="82"/>
      <c r="B334" s="99" t="s">
        <v>60</v>
      </c>
      <c r="C334" s="80" t="s">
        <v>84</v>
      </c>
      <c r="D334" s="168">
        <f t="shared" si="685"/>
        <v>0</v>
      </c>
      <c r="E334" s="168">
        <f t="shared" si="685"/>
        <v>0</v>
      </c>
      <c r="F334" s="171">
        <f t="shared" si="685"/>
        <v>0</v>
      </c>
      <c r="G334" s="169">
        <f t="shared" si="685"/>
        <v>0</v>
      </c>
      <c r="H334" s="170">
        <f t="shared" si="686"/>
        <v>0</v>
      </c>
      <c r="I334" s="171">
        <f t="shared" si="687"/>
        <v>0</v>
      </c>
      <c r="J334" s="169">
        <f t="shared" si="687"/>
        <v>0</v>
      </c>
      <c r="K334" s="170">
        <f t="shared" si="688"/>
        <v>0</v>
      </c>
      <c r="L334" s="171">
        <f t="shared" si="689"/>
        <v>0</v>
      </c>
      <c r="M334" s="169">
        <f t="shared" si="689"/>
        <v>0</v>
      </c>
      <c r="N334" s="170">
        <f t="shared" si="690"/>
        <v>0</v>
      </c>
      <c r="O334" s="171">
        <f t="shared" si="691"/>
        <v>0</v>
      </c>
      <c r="P334" s="169">
        <f t="shared" si="691"/>
        <v>0</v>
      </c>
      <c r="Q334" s="170">
        <f t="shared" si="692"/>
        <v>0</v>
      </c>
      <c r="R334" s="171">
        <f t="shared" si="693"/>
        <v>0</v>
      </c>
      <c r="S334" s="169">
        <f t="shared" si="693"/>
        <v>0</v>
      </c>
      <c r="T334" s="170">
        <f t="shared" si="694"/>
        <v>0</v>
      </c>
      <c r="U334" s="171">
        <f t="shared" si="695"/>
        <v>0</v>
      </c>
      <c r="V334" s="169">
        <f t="shared" si="695"/>
        <v>0</v>
      </c>
      <c r="W334" s="170">
        <f t="shared" si="696"/>
        <v>0</v>
      </c>
      <c r="X334" s="171">
        <f t="shared" si="697"/>
        <v>0</v>
      </c>
      <c r="Y334" s="169">
        <f t="shared" si="697"/>
        <v>0</v>
      </c>
      <c r="Z334" s="170">
        <f t="shared" si="698"/>
        <v>0</v>
      </c>
      <c r="AA334" s="171">
        <f t="shared" si="699"/>
        <v>0</v>
      </c>
      <c r="AB334" s="169">
        <f t="shared" si="699"/>
        <v>0</v>
      </c>
      <c r="AC334" s="170">
        <f t="shared" si="700"/>
        <v>0</v>
      </c>
      <c r="AD334" s="171">
        <f t="shared" si="701"/>
        <v>0</v>
      </c>
      <c r="AE334" s="169">
        <f t="shared" si="701"/>
        <v>0</v>
      </c>
      <c r="AF334" s="170">
        <f t="shared" si="702"/>
        <v>0</v>
      </c>
      <c r="AG334" s="171">
        <f t="shared" si="703"/>
        <v>0</v>
      </c>
      <c r="AH334" s="169">
        <f t="shared" si="703"/>
        <v>0</v>
      </c>
      <c r="AI334" s="170">
        <f t="shared" si="704"/>
        <v>0</v>
      </c>
      <c r="AJ334" s="171">
        <f t="shared" si="705"/>
        <v>0</v>
      </c>
      <c r="AK334" s="169">
        <f t="shared" si="705"/>
        <v>0</v>
      </c>
      <c r="AL334" s="170">
        <f t="shared" si="706"/>
        <v>0</v>
      </c>
      <c r="AM334" s="171">
        <f t="shared" si="707"/>
        <v>0</v>
      </c>
      <c r="AN334" s="169">
        <f t="shared" si="707"/>
        <v>0</v>
      </c>
      <c r="AO334" s="170">
        <f t="shared" si="708"/>
        <v>0</v>
      </c>
      <c r="AP334" s="171">
        <f t="shared" si="709"/>
        <v>0</v>
      </c>
      <c r="AQ334" s="169">
        <f t="shared" si="709"/>
        <v>0</v>
      </c>
      <c r="AR334" s="170">
        <f t="shared" si="710"/>
        <v>0</v>
      </c>
      <c r="AS334" s="171">
        <f t="shared" si="711"/>
        <v>0</v>
      </c>
      <c r="AT334" s="169">
        <f t="shared" si="711"/>
        <v>0</v>
      </c>
      <c r="AU334" s="170">
        <f t="shared" si="712"/>
        <v>0</v>
      </c>
      <c r="AV334" s="171">
        <f t="shared" si="713"/>
        <v>0</v>
      </c>
      <c r="AW334" s="169">
        <f t="shared" si="713"/>
        <v>0</v>
      </c>
      <c r="AX334" s="170">
        <f t="shared" si="714"/>
        <v>0</v>
      </c>
      <c r="AY334" s="169">
        <f t="shared" si="715"/>
        <v>0</v>
      </c>
      <c r="AZ334" s="169">
        <f t="shared" si="715"/>
        <v>0</v>
      </c>
      <c r="BA334" s="170">
        <f t="shared" si="716"/>
        <v>0</v>
      </c>
      <c r="BB334" s="171">
        <f t="shared" si="717"/>
        <v>0</v>
      </c>
      <c r="BC334" s="169">
        <f t="shared" si="717"/>
        <v>0</v>
      </c>
      <c r="BD334" s="170">
        <f t="shared" si="718"/>
        <v>0</v>
      </c>
      <c r="BE334" s="171">
        <f t="shared" si="683"/>
        <v>0</v>
      </c>
      <c r="BF334" s="171">
        <f t="shared" si="683"/>
        <v>0</v>
      </c>
      <c r="BG334" s="168">
        <f t="shared" ref="BG334" si="731">IF(BG101=0,0,BG302/BG101)</f>
        <v>0</v>
      </c>
    </row>
    <row r="335" spans="1:59" ht="13.5" hidden="1" customHeight="1" outlineLevel="1" x14ac:dyDescent="0.25">
      <c r="A335" s="82"/>
      <c r="B335" s="84" t="s">
        <v>61</v>
      </c>
      <c r="C335" s="80" t="s">
        <v>84</v>
      </c>
      <c r="D335" s="168">
        <f t="shared" si="685"/>
        <v>0</v>
      </c>
      <c r="E335" s="168">
        <f t="shared" si="685"/>
        <v>0</v>
      </c>
      <c r="F335" s="171">
        <f t="shared" si="685"/>
        <v>0</v>
      </c>
      <c r="G335" s="169">
        <f t="shared" si="685"/>
        <v>0</v>
      </c>
      <c r="H335" s="170">
        <f t="shared" si="686"/>
        <v>0</v>
      </c>
      <c r="I335" s="171">
        <f t="shared" si="687"/>
        <v>0</v>
      </c>
      <c r="J335" s="169">
        <f t="shared" si="687"/>
        <v>0</v>
      </c>
      <c r="K335" s="170">
        <f t="shared" si="688"/>
        <v>0</v>
      </c>
      <c r="L335" s="171">
        <f t="shared" si="689"/>
        <v>0</v>
      </c>
      <c r="M335" s="169">
        <f t="shared" si="689"/>
        <v>0</v>
      </c>
      <c r="N335" s="170">
        <f t="shared" si="690"/>
        <v>0</v>
      </c>
      <c r="O335" s="171">
        <f t="shared" si="691"/>
        <v>0</v>
      </c>
      <c r="P335" s="169">
        <f t="shared" si="691"/>
        <v>0</v>
      </c>
      <c r="Q335" s="170">
        <f t="shared" si="692"/>
        <v>0</v>
      </c>
      <c r="R335" s="171">
        <f t="shared" si="693"/>
        <v>0</v>
      </c>
      <c r="S335" s="169">
        <f t="shared" si="693"/>
        <v>0</v>
      </c>
      <c r="T335" s="170">
        <f t="shared" si="694"/>
        <v>0</v>
      </c>
      <c r="U335" s="171">
        <f t="shared" si="695"/>
        <v>0</v>
      </c>
      <c r="V335" s="169">
        <f t="shared" si="695"/>
        <v>0</v>
      </c>
      <c r="W335" s="170">
        <f t="shared" si="696"/>
        <v>0</v>
      </c>
      <c r="X335" s="171">
        <f t="shared" si="697"/>
        <v>0</v>
      </c>
      <c r="Y335" s="169">
        <f t="shared" si="697"/>
        <v>0</v>
      </c>
      <c r="Z335" s="170">
        <f t="shared" si="698"/>
        <v>0</v>
      </c>
      <c r="AA335" s="171">
        <f t="shared" si="699"/>
        <v>0</v>
      </c>
      <c r="AB335" s="169">
        <f t="shared" si="699"/>
        <v>0</v>
      </c>
      <c r="AC335" s="170">
        <f t="shared" si="700"/>
        <v>0</v>
      </c>
      <c r="AD335" s="171">
        <f t="shared" si="701"/>
        <v>0</v>
      </c>
      <c r="AE335" s="169">
        <f t="shared" si="701"/>
        <v>0</v>
      </c>
      <c r="AF335" s="170">
        <f t="shared" si="702"/>
        <v>0</v>
      </c>
      <c r="AG335" s="171">
        <f t="shared" si="703"/>
        <v>0</v>
      </c>
      <c r="AH335" s="169">
        <f t="shared" si="703"/>
        <v>0</v>
      </c>
      <c r="AI335" s="170">
        <f t="shared" si="704"/>
        <v>0</v>
      </c>
      <c r="AJ335" s="171">
        <f t="shared" si="705"/>
        <v>0</v>
      </c>
      <c r="AK335" s="169">
        <f t="shared" si="705"/>
        <v>0</v>
      </c>
      <c r="AL335" s="170">
        <f t="shared" si="706"/>
        <v>0</v>
      </c>
      <c r="AM335" s="171">
        <f t="shared" si="707"/>
        <v>0</v>
      </c>
      <c r="AN335" s="169">
        <f t="shared" si="707"/>
        <v>0</v>
      </c>
      <c r="AO335" s="170">
        <f t="shared" si="708"/>
        <v>0</v>
      </c>
      <c r="AP335" s="171">
        <f t="shared" si="709"/>
        <v>0</v>
      </c>
      <c r="AQ335" s="169">
        <f t="shared" si="709"/>
        <v>0</v>
      </c>
      <c r="AR335" s="170">
        <f t="shared" si="710"/>
        <v>0</v>
      </c>
      <c r="AS335" s="171">
        <f t="shared" si="711"/>
        <v>0</v>
      </c>
      <c r="AT335" s="169">
        <f t="shared" si="711"/>
        <v>0</v>
      </c>
      <c r="AU335" s="170">
        <f t="shared" si="712"/>
        <v>0</v>
      </c>
      <c r="AV335" s="171">
        <f t="shared" si="713"/>
        <v>0</v>
      </c>
      <c r="AW335" s="169">
        <f t="shared" si="713"/>
        <v>0</v>
      </c>
      <c r="AX335" s="170">
        <f t="shared" si="714"/>
        <v>0</v>
      </c>
      <c r="AY335" s="169">
        <f t="shared" si="715"/>
        <v>0</v>
      </c>
      <c r="AZ335" s="169">
        <f t="shared" si="715"/>
        <v>0</v>
      </c>
      <c r="BA335" s="170">
        <f t="shared" si="716"/>
        <v>0</v>
      </c>
      <c r="BB335" s="171">
        <f t="shared" si="717"/>
        <v>0</v>
      </c>
      <c r="BC335" s="169">
        <f t="shared" si="717"/>
        <v>0</v>
      </c>
      <c r="BD335" s="170">
        <f t="shared" si="718"/>
        <v>0</v>
      </c>
      <c r="BE335" s="171">
        <f t="shared" si="683"/>
        <v>0</v>
      </c>
      <c r="BF335" s="171">
        <f t="shared" si="683"/>
        <v>0</v>
      </c>
      <c r="BG335" s="168">
        <f t="shared" ref="BG335" si="732">IF(BG102=0,0,BG303/BG102)</f>
        <v>0</v>
      </c>
    </row>
    <row r="336" spans="1:59" s="210" customFormat="1" ht="13.5" customHeight="1" collapsed="1" thickBot="1" x14ac:dyDescent="0.3">
      <c r="A336" s="85"/>
      <c r="B336" s="95" t="s">
        <v>62</v>
      </c>
      <c r="C336" s="88" t="s">
        <v>84</v>
      </c>
      <c r="D336" s="164">
        <f t="shared" si="685"/>
        <v>0</v>
      </c>
      <c r="E336" s="164">
        <f t="shared" si="685"/>
        <v>0</v>
      </c>
      <c r="F336" s="167">
        <f t="shared" si="685"/>
        <v>0</v>
      </c>
      <c r="G336" s="165">
        <f t="shared" si="685"/>
        <v>0</v>
      </c>
      <c r="H336" s="166">
        <f t="shared" si="686"/>
        <v>0</v>
      </c>
      <c r="I336" s="167">
        <f t="shared" si="687"/>
        <v>0</v>
      </c>
      <c r="J336" s="165">
        <f t="shared" si="687"/>
        <v>0</v>
      </c>
      <c r="K336" s="166">
        <f t="shared" si="688"/>
        <v>0</v>
      </c>
      <c r="L336" s="167">
        <f t="shared" si="689"/>
        <v>0</v>
      </c>
      <c r="M336" s="165">
        <f t="shared" si="689"/>
        <v>0</v>
      </c>
      <c r="N336" s="166">
        <f t="shared" si="690"/>
        <v>0</v>
      </c>
      <c r="O336" s="167">
        <f t="shared" si="691"/>
        <v>0</v>
      </c>
      <c r="P336" s="165">
        <f t="shared" si="691"/>
        <v>0</v>
      </c>
      <c r="Q336" s="166">
        <f t="shared" si="692"/>
        <v>0</v>
      </c>
      <c r="R336" s="167">
        <f t="shared" si="693"/>
        <v>0</v>
      </c>
      <c r="S336" s="165">
        <f t="shared" si="693"/>
        <v>0</v>
      </c>
      <c r="T336" s="166">
        <f t="shared" si="694"/>
        <v>0</v>
      </c>
      <c r="U336" s="167">
        <f t="shared" si="695"/>
        <v>0</v>
      </c>
      <c r="V336" s="165">
        <f t="shared" si="695"/>
        <v>0</v>
      </c>
      <c r="W336" s="166">
        <f t="shared" si="696"/>
        <v>0</v>
      </c>
      <c r="X336" s="167">
        <f t="shared" si="697"/>
        <v>0</v>
      </c>
      <c r="Y336" s="165">
        <f t="shared" si="697"/>
        <v>0</v>
      </c>
      <c r="Z336" s="166">
        <f t="shared" si="698"/>
        <v>0</v>
      </c>
      <c r="AA336" s="167">
        <f t="shared" si="699"/>
        <v>0</v>
      </c>
      <c r="AB336" s="165">
        <f t="shared" si="699"/>
        <v>0</v>
      </c>
      <c r="AC336" s="166">
        <f t="shared" si="700"/>
        <v>0</v>
      </c>
      <c r="AD336" s="167">
        <f t="shared" si="701"/>
        <v>0</v>
      </c>
      <c r="AE336" s="165">
        <f t="shared" si="701"/>
        <v>0</v>
      </c>
      <c r="AF336" s="166">
        <f t="shared" si="702"/>
        <v>0</v>
      </c>
      <c r="AG336" s="167">
        <f t="shared" si="703"/>
        <v>0</v>
      </c>
      <c r="AH336" s="165">
        <f t="shared" si="703"/>
        <v>0</v>
      </c>
      <c r="AI336" s="166">
        <f t="shared" si="704"/>
        <v>0</v>
      </c>
      <c r="AJ336" s="167">
        <f t="shared" si="705"/>
        <v>0</v>
      </c>
      <c r="AK336" s="165">
        <f t="shared" si="705"/>
        <v>0</v>
      </c>
      <c r="AL336" s="166">
        <f t="shared" si="706"/>
        <v>0</v>
      </c>
      <c r="AM336" s="167">
        <f t="shared" si="707"/>
        <v>0</v>
      </c>
      <c r="AN336" s="165">
        <f t="shared" si="707"/>
        <v>0</v>
      </c>
      <c r="AO336" s="166">
        <f t="shared" si="708"/>
        <v>0</v>
      </c>
      <c r="AP336" s="167">
        <f t="shared" si="709"/>
        <v>0</v>
      </c>
      <c r="AQ336" s="165">
        <f t="shared" si="709"/>
        <v>0</v>
      </c>
      <c r="AR336" s="166">
        <f t="shared" si="710"/>
        <v>0</v>
      </c>
      <c r="AS336" s="167">
        <f t="shared" si="711"/>
        <v>0</v>
      </c>
      <c r="AT336" s="165">
        <f t="shared" si="711"/>
        <v>0</v>
      </c>
      <c r="AU336" s="166">
        <f t="shared" si="712"/>
        <v>0</v>
      </c>
      <c r="AV336" s="167">
        <f t="shared" si="713"/>
        <v>0</v>
      </c>
      <c r="AW336" s="165">
        <f t="shared" si="713"/>
        <v>0</v>
      </c>
      <c r="AX336" s="166">
        <f t="shared" si="714"/>
        <v>0</v>
      </c>
      <c r="AY336" s="165">
        <f t="shared" si="715"/>
        <v>0</v>
      </c>
      <c r="AZ336" s="165">
        <f t="shared" si="715"/>
        <v>0</v>
      </c>
      <c r="BA336" s="166">
        <f t="shared" si="716"/>
        <v>0</v>
      </c>
      <c r="BB336" s="167">
        <f t="shared" si="717"/>
        <v>0</v>
      </c>
      <c r="BC336" s="165">
        <f t="shared" si="717"/>
        <v>0</v>
      </c>
      <c r="BD336" s="166">
        <f t="shared" si="718"/>
        <v>0</v>
      </c>
      <c r="BE336" s="167">
        <f t="shared" ref="BE336:BF337" si="733">IF(BE103=0,0,BE304/BE103)</f>
        <v>0</v>
      </c>
      <c r="BF336" s="167">
        <f t="shared" si="733"/>
        <v>0</v>
      </c>
      <c r="BG336" s="164">
        <f t="shared" ref="BG336" si="734">IF(BG103=0,0,BG304/BG103)</f>
        <v>0</v>
      </c>
    </row>
    <row r="337" spans="1:59" ht="13.5" hidden="1" customHeight="1" outlineLevel="1" thickBot="1" x14ac:dyDescent="0.3">
      <c r="A337" s="11"/>
      <c r="B337" s="84" t="s">
        <v>63</v>
      </c>
      <c r="C337" s="86" t="s">
        <v>84</v>
      </c>
      <c r="D337" s="4">
        <f t="shared" si="685"/>
        <v>0</v>
      </c>
      <c r="E337" s="4">
        <f t="shared" si="685"/>
        <v>0</v>
      </c>
      <c r="F337" s="7">
        <f t="shared" si="685"/>
        <v>0</v>
      </c>
      <c r="G337" s="6">
        <f t="shared" si="685"/>
        <v>0</v>
      </c>
      <c r="H337" s="5">
        <f t="shared" si="686"/>
        <v>0</v>
      </c>
      <c r="I337" s="7">
        <f t="shared" si="687"/>
        <v>0</v>
      </c>
      <c r="J337" s="6">
        <f t="shared" si="687"/>
        <v>0</v>
      </c>
      <c r="K337" s="5">
        <f t="shared" si="688"/>
        <v>0</v>
      </c>
      <c r="L337" s="7">
        <f t="shared" si="689"/>
        <v>0</v>
      </c>
      <c r="M337" s="6">
        <f t="shared" si="689"/>
        <v>0</v>
      </c>
      <c r="N337" s="5">
        <f t="shared" si="690"/>
        <v>0</v>
      </c>
      <c r="O337" s="7">
        <f t="shared" si="691"/>
        <v>0</v>
      </c>
      <c r="P337" s="6">
        <f t="shared" si="691"/>
        <v>0</v>
      </c>
      <c r="Q337" s="5">
        <f t="shared" si="692"/>
        <v>0</v>
      </c>
      <c r="R337" s="7">
        <f t="shared" si="693"/>
        <v>0</v>
      </c>
      <c r="S337" s="6">
        <f t="shared" si="693"/>
        <v>0</v>
      </c>
      <c r="T337" s="5">
        <f t="shared" si="694"/>
        <v>0</v>
      </c>
      <c r="U337" s="7">
        <f t="shared" si="695"/>
        <v>0</v>
      </c>
      <c r="V337" s="6">
        <f t="shared" si="695"/>
        <v>0</v>
      </c>
      <c r="W337" s="5">
        <f t="shared" si="696"/>
        <v>0</v>
      </c>
      <c r="X337" s="7">
        <f t="shared" si="697"/>
        <v>0</v>
      </c>
      <c r="Y337" s="6">
        <f t="shared" si="697"/>
        <v>0</v>
      </c>
      <c r="Z337" s="5">
        <f t="shared" si="698"/>
        <v>0</v>
      </c>
      <c r="AA337" s="7">
        <f t="shared" si="699"/>
        <v>0</v>
      </c>
      <c r="AB337" s="6">
        <f t="shared" si="699"/>
        <v>0</v>
      </c>
      <c r="AC337" s="5">
        <f t="shared" si="700"/>
        <v>0</v>
      </c>
      <c r="AD337" s="7">
        <f t="shared" si="701"/>
        <v>0</v>
      </c>
      <c r="AE337" s="6">
        <f t="shared" si="701"/>
        <v>0</v>
      </c>
      <c r="AF337" s="5">
        <f t="shared" si="702"/>
        <v>0</v>
      </c>
      <c r="AG337" s="7">
        <f t="shared" si="703"/>
        <v>0</v>
      </c>
      <c r="AH337" s="6">
        <f t="shared" si="703"/>
        <v>0</v>
      </c>
      <c r="AI337" s="5">
        <f t="shared" si="704"/>
        <v>0</v>
      </c>
      <c r="AJ337" s="7">
        <f t="shared" si="705"/>
        <v>0</v>
      </c>
      <c r="AK337" s="6">
        <f t="shared" si="705"/>
        <v>0</v>
      </c>
      <c r="AL337" s="5">
        <f t="shared" si="706"/>
        <v>0</v>
      </c>
      <c r="AM337" s="7">
        <f t="shared" si="707"/>
        <v>0</v>
      </c>
      <c r="AN337" s="6">
        <f t="shared" si="707"/>
        <v>0</v>
      </c>
      <c r="AO337" s="5">
        <f t="shared" si="708"/>
        <v>0</v>
      </c>
      <c r="AP337" s="7">
        <f t="shared" si="709"/>
        <v>0</v>
      </c>
      <c r="AQ337" s="6">
        <f t="shared" si="709"/>
        <v>0</v>
      </c>
      <c r="AR337" s="5">
        <f t="shared" si="710"/>
        <v>0</v>
      </c>
      <c r="AS337" s="7">
        <f t="shared" si="711"/>
        <v>0</v>
      </c>
      <c r="AT337" s="6">
        <f t="shared" si="711"/>
        <v>0</v>
      </c>
      <c r="AU337" s="5">
        <f t="shared" si="712"/>
        <v>0</v>
      </c>
      <c r="AV337" s="7">
        <f t="shared" si="713"/>
        <v>0</v>
      </c>
      <c r="AW337" s="6">
        <f t="shared" si="713"/>
        <v>0</v>
      </c>
      <c r="AX337" s="5">
        <f t="shared" si="714"/>
        <v>0</v>
      </c>
      <c r="AY337" s="6">
        <f t="shared" si="715"/>
        <v>0</v>
      </c>
      <c r="AZ337" s="6">
        <f t="shared" si="715"/>
        <v>0</v>
      </c>
      <c r="BA337" s="5">
        <f t="shared" si="716"/>
        <v>0</v>
      </c>
      <c r="BB337" s="7">
        <f t="shared" si="717"/>
        <v>0</v>
      </c>
      <c r="BC337" s="6">
        <f t="shared" si="717"/>
        <v>0</v>
      </c>
      <c r="BD337" s="5">
        <f t="shared" si="718"/>
        <v>0</v>
      </c>
      <c r="BE337" s="7">
        <f t="shared" si="733"/>
        <v>0</v>
      </c>
      <c r="BF337" s="7">
        <f t="shared" si="733"/>
        <v>0</v>
      </c>
      <c r="BG337" s="4">
        <f t="shared" ref="BG337" si="735">IF(BG104=0,0,BG305/BG104)</f>
        <v>0</v>
      </c>
    </row>
    <row r="338" spans="1:59" s="210" customFormat="1" ht="13.5" customHeight="1" collapsed="1" thickBot="1" x14ac:dyDescent="0.3">
      <c r="A338" s="106" t="s">
        <v>94</v>
      </c>
      <c r="B338" s="105" t="s">
        <v>95</v>
      </c>
      <c r="C338" s="104" t="s">
        <v>96</v>
      </c>
      <c r="D338" s="192">
        <f>SUM(D339:D344)</f>
        <v>0</v>
      </c>
      <c r="E338" s="192">
        <f>SUM(E339:E344)</f>
        <v>0</v>
      </c>
      <c r="F338" s="195">
        <f>SUM(F339:F344)</f>
        <v>0</v>
      </c>
      <c r="G338" s="193">
        <f>SUM(G339:G344)</f>
        <v>0</v>
      </c>
      <c r="H338" s="194">
        <f t="shared" ref="H338:H346" si="736">G338-F338</f>
        <v>0</v>
      </c>
      <c r="I338" s="195">
        <f>SUM(I339:I344)</f>
        <v>0</v>
      </c>
      <c r="J338" s="193">
        <f>SUM(J339:J344)</f>
        <v>0</v>
      </c>
      <c r="K338" s="194">
        <f t="shared" ref="K338:K346" si="737">J338-I338</f>
        <v>0</v>
      </c>
      <c r="L338" s="195">
        <f>SUM(L339:L344)</f>
        <v>0</v>
      </c>
      <c r="M338" s="193">
        <f>SUM(M339:M344)</f>
        <v>0</v>
      </c>
      <c r="N338" s="194">
        <f t="shared" ref="N338:N346" si="738">M338-L338</f>
        <v>0</v>
      </c>
      <c r="O338" s="195">
        <f>SUM(O339:O344)</f>
        <v>0</v>
      </c>
      <c r="P338" s="193">
        <f>SUM(P339:P344)</f>
        <v>0</v>
      </c>
      <c r="Q338" s="194">
        <f t="shared" ref="Q338:Q346" si="739">P338-O338</f>
        <v>0</v>
      </c>
      <c r="R338" s="195">
        <f>SUM(R339:R344)</f>
        <v>0</v>
      </c>
      <c r="S338" s="193">
        <f>SUM(S339:S344)</f>
        <v>0</v>
      </c>
      <c r="T338" s="194">
        <f t="shared" ref="T338:T346" si="740">S338-R338</f>
        <v>0</v>
      </c>
      <c r="U338" s="195">
        <f>SUM(U339:U344)</f>
        <v>0</v>
      </c>
      <c r="V338" s="193">
        <f>SUM(V339:V344)</f>
        <v>0</v>
      </c>
      <c r="W338" s="194">
        <f t="shared" ref="W338:W346" si="741">V338-U338</f>
        <v>0</v>
      </c>
      <c r="X338" s="195">
        <f>SUM(X339:X344)</f>
        <v>0</v>
      </c>
      <c r="Y338" s="193">
        <f>SUM(Y339:Y344)</f>
        <v>0</v>
      </c>
      <c r="Z338" s="194">
        <f t="shared" ref="Z338:Z346" si="742">Y338-X338</f>
        <v>0</v>
      </c>
      <c r="AA338" s="195">
        <f>SUM(AA339:AA344)</f>
        <v>0</v>
      </c>
      <c r="AB338" s="193">
        <f>SUM(AB339:AB344)</f>
        <v>0</v>
      </c>
      <c r="AC338" s="194">
        <f t="shared" ref="AC338:AC346" si="743">AB338-AA338</f>
        <v>0</v>
      </c>
      <c r="AD338" s="195">
        <f>SUM(AD339:AD344)</f>
        <v>0</v>
      </c>
      <c r="AE338" s="193">
        <f>SUM(AE339:AE344)</f>
        <v>0</v>
      </c>
      <c r="AF338" s="194">
        <f t="shared" ref="AF338:AF346" si="744">AE338-AD338</f>
        <v>0</v>
      </c>
      <c r="AG338" s="195">
        <f>SUM(AG339:AG344)</f>
        <v>0</v>
      </c>
      <c r="AH338" s="193">
        <f>SUM(AH339:AH344)</f>
        <v>0</v>
      </c>
      <c r="AI338" s="194">
        <f t="shared" ref="AI338:AI346" si="745">AH338-AG338</f>
        <v>0</v>
      </c>
      <c r="AJ338" s="195">
        <f>SUM(AJ339:AJ344)</f>
        <v>0</v>
      </c>
      <c r="AK338" s="193">
        <f>SUM(AK339:AK344)</f>
        <v>0</v>
      </c>
      <c r="AL338" s="194">
        <f t="shared" ref="AL338:AL346" si="746">AK338-AJ338</f>
        <v>0</v>
      </c>
      <c r="AM338" s="195">
        <f>SUM(AM339:AM344)</f>
        <v>0</v>
      </c>
      <c r="AN338" s="193">
        <f>SUM(AN339:AN344)</f>
        <v>0</v>
      </c>
      <c r="AO338" s="194">
        <f t="shared" ref="AO338:AO346" si="747">AN338-AM338</f>
        <v>0</v>
      </c>
      <c r="AP338" s="195">
        <f>SUM(AP339:AP344)</f>
        <v>0</v>
      </c>
      <c r="AQ338" s="193">
        <f>SUM(AQ339:AQ344)</f>
        <v>0</v>
      </c>
      <c r="AR338" s="194">
        <f t="shared" ref="AR338:AR346" si="748">AQ338-AP338</f>
        <v>0</v>
      </c>
      <c r="AS338" s="195">
        <f>SUM(AS339:AS344)</f>
        <v>0</v>
      </c>
      <c r="AT338" s="193">
        <f>SUM(AT339:AT344)</f>
        <v>0</v>
      </c>
      <c r="AU338" s="194">
        <f t="shared" ref="AU338:AU346" si="749">AT338-AS338</f>
        <v>0</v>
      </c>
      <c r="AV338" s="195">
        <f>SUM(AV339:AV344)</f>
        <v>0</v>
      </c>
      <c r="AW338" s="193">
        <f>SUM(AW339:AW344)</f>
        <v>0</v>
      </c>
      <c r="AX338" s="194">
        <f t="shared" ref="AX338:AX346" si="750">AW338-AV338</f>
        <v>0</v>
      </c>
      <c r="AY338" s="193">
        <f>SUM(AY339:AY344)</f>
        <v>0</v>
      </c>
      <c r="AZ338" s="193">
        <f>SUM(AZ339:AZ344)</f>
        <v>0</v>
      </c>
      <c r="BA338" s="194">
        <f t="shared" ref="BA338:BA346" si="751">AZ338-AY338</f>
        <v>0</v>
      </c>
      <c r="BB338" s="195">
        <f>SUM(BB339:BB344)</f>
        <v>0</v>
      </c>
      <c r="BC338" s="193">
        <f>SUM(BC339:BC344)</f>
        <v>0</v>
      </c>
      <c r="BD338" s="194">
        <f t="shared" ref="BD338:BD346" si="752">BC338-BB338</f>
        <v>0</v>
      </c>
      <c r="BE338" s="195">
        <f t="shared" ref="BE338:BF338" si="753">SUM(BE339:BE344)</f>
        <v>0</v>
      </c>
      <c r="BF338" s="195">
        <f t="shared" si="753"/>
        <v>0</v>
      </c>
      <c r="BG338" s="192">
        <f t="shared" ref="BG338" si="754">SUM(BG339:BG344)</f>
        <v>0</v>
      </c>
    </row>
    <row r="339" spans="1:59" s="210" customFormat="1" ht="13.5" hidden="1" customHeight="1" outlineLevel="1" x14ac:dyDescent="0.25">
      <c r="A339" s="28"/>
      <c r="B339" s="27" t="s">
        <v>97</v>
      </c>
      <c r="C339" s="26" t="s">
        <v>96</v>
      </c>
      <c r="D339" s="186"/>
      <c r="E339" s="186"/>
      <c r="F339" s="124"/>
      <c r="G339" s="122"/>
      <c r="H339" s="123">
        <f t="shared" si="736"/>
        <v>0</v>
      </c>
      <c r="I339" s="124"/>
      <c r="J339" s="122"/>
      <c r="K339" s="123">
        <f t="shared" si="737"/>
        <v>0</v>
      </c>
      <c r="L339" s="124"/>
      <c r="M339" s="122"/>
      <c r="N339" s="123">
        <f t="shared" si="738"/>
        <v>0</v>
      </c>
      <c r="O339" s="124">
        <f t="shared" ref="O339:P344" si="755">SUM(F339,I339,L339)</f>
        <v>0</v>
      </c>
      <c r="P339" s="122">
        <f t="shared" si="755"/>
        <v>0</v>
      </c>
      <c r="Q339" s="123">
        <f t="shared" si="739"/>
        <v>0</v>
      </c>
      <c r="R339" s="124"/>
      <c r="S339" s="122"/>
      <c r="T339" s="123">
        <f t="shared" si="740"/>
        <v>0</v>
      </c>
      <c r="U339" s="124"/>
      <c r="V339" s="122"/>
      <c r="W339" s="123">
        <f t="shared" si="741"/>
        <v>0</v>
      </c>
      <c r="X339" s="124"/>
      <c r="Y339" s="122"/>
      <c r="Z339" s="123">
        <f t="shared" si="742"/>
        <v>0</v>
      </c>
      <c r="AA339" s="124">
        <f t="shared" ref="AA339:AB344" si="756">SUM(R339,U339,X339)</f>
        <v>0</v>
      </c>
      <c r="AB339" s="122">
        <f t="shared" si="756"/>
        <v>0</v>
      </c>
      <c r="AC339" s="123">
        <f t="shared" si="743"/>
        <v>0</v>
      </c>
      <c r="AD339" s="124"/>
      <c r="AE339" s="122"/>
      <c r="AF339" s="123">
        <f t="shared" si="744"/>
        <v>0</v>
      </c>
      <c r="AG339" s="124"/>
      <c r="AH339" s="122"/>
      <c r="AI339" s="123">
        <f t="shared" si="745"/>
        <v>0</v>
      </c>
      <c r="AJ339" s="124"/>
      <c r="AK339" s="122"/>
      <c r="AL339" s="123">
        <f t="shared" si="746"/>
        <v>0</v>
      </c>
      <c r="AM339" s="124">
        <f t="shared" ref="AM339:AN344" si="757">SUM(AD339,AG339,AJ339)</f>
        <v>0</v>
      </c>
      <c r="AN339" s="122">
        <f t="shared" si="757"/>
        <v>0</v>
      </c>
      <c r="AO339" s="123">
        <f t="shared" si="747"/>
        <v>0</v>
      </c>
      <c r="AP339" s="124"/>
      <c r="AQ339" s="122"/>
      <c r="AR339" s="123">
        <f t="shared" si="748"/>
        <v>0</v>
      </c>
      <c r="AS339" s="124"/>
      <c r="AT339" s="122"/>
      <c r="AU339" s="123">
        <f t="shared" si="749"/>
        <v>0</v>
      </c>
      <c r="AV339" s="124"/>
      <c r="AW339" s="122"/>
      <c r="AX339" s="123">
        <f t="shared" si="750"/>
        <v>0</v>
      </c>
      <c r="AY339" s="122">
        <f t="shared" ref="AY339:AZ344" si="758">SUM(AP339,AS339,AV339)</f>
        <v>0</v>
      </c>
      <c r="AZ339" s="122">
        <f t="shared" si="758"/>
        <v>0</v>
      </c>
      <c r="BA339" s="123">
        <f t="shared" si="751"/>
        <v>0</v>
      </c>
      <c r="BB339" s="124">
        <f t="shared" ref="BB339:BC344" si="759">SUM(F339,I339,L339,R339,U339,X339,AD339,AG339,AJ339,AP339,AS339,AV339)</f>
        <v>0</v>
      </c>
      <c r="BC339" s="122">
        <f t="shared" si="759"/>
        <v>0</v>
      </c>
      <c r="BD339" s="123">
        <f t="shared" si="752"/>
        <v>0</v>
      </c>
      <c r="BE339" s="124"/>
      <c r="BF339" s="124"/>
      <c r="BG339" s="186">
        <f>BB339+BE339+BF339</f>
        <v>0</v>
      </c>
    </row>
    <row r="340" spans="1:59" s="210" customFormat="1" ht="13.5" hidden="1" customHeight="1" outlineLevel="1" x14ac:dyDescent="0.25">
      <c r="A340" s="28"/>
      <c r="B340" s="27" t="s">
        <v>98</v>
      </c>
      <c r="C340" s="26" t="s">
        <v>96</v>
      </c>
      <c r="D340" s="186"/>
      <c r="E340" s="186"/>
      <c r="F340" s="124"/>
      <c r="G340" s="122"/>
      <c r="H340" s="123">
        <f t="shared" si="736"/>
        <v>0</v>
      </c>
      <c r="I340" s="124"/>
      <c r="J340" s="122"/>
      <c r="K340" s="123">
        <f t="shared" si="737"/>
        <v>0</v>
      </c>
      <c r="L340" s="124"/>
      <c r="M340" s="122"/>
      <c r="N340" s="123">
        <f t="shared" si="738"/>
        <v>0</v>
      </c>
      <c r="O340" s="124">
        <f t="shared" si="755"/>
        <v>0</v>
      </c>
      <c r="P340" s="122">
        <f t="shared" si="755"/>
        <v>0</v>
      </c>
      <c r="Q340" s="123">
        <f t="shared" si="739"/>
        <v>0</v>
      </c>
      <c r="R340" s="124"/>
      <c r="S340" s="122"/>
      <c r="T340" s="123">
        <f t="shared" si="740"/>
        <v>0</v>
      </c>
      <c r="U340" s="124"/>
      <c r="V340" s="122"/>
      <c r="W340" s="123">
        <f t="shared" si="741"/>
        <v>0</v>
      </c>
      <c r="X340" s="124"/>
      <c r="Y340" s="122"/>
      <c r="Z340" s="123">
        <f t="shared" si="742"/>
        <v>0</v>
      </c>
      <c r="AA340" s="124">
        <f t="shared" si="756"/>
        <v>0</v>
      </c>
      <c r="AB340" s="122">
        <f t="shared" si="756"/>
        <v>0</v>
      </c>
      <c r="AC340" s="123">
        <f t="shared" si="743"/>
        <v>0</v>
      </c>
      <c r="AD340" s="124"/>
      <c r="AE340" s="122"/>
      <c r="AF340" s="123">
        <f t="shared" si="744"/>
        <v>0</v>
      </c>
      <c r="AG340" s="124"/>
      <c r="AH340" s="122"/>
      <c r="AI340" s="123">
        <f t="shared" si="745"/>
        <v>0</v>
      </c>
      <c r="AJ340" s="124"/>
      <c r="AK340" s="122"/>
      <c r="AL340" s="123">
        <f t="shared" si="746"/>
        <v>0</v>
      </c>
      <c r="AM340" s="124">
        <f t="shared" si="757"/>
        <v>0</v>
      </c>
      <c r="AN340" s="122">
        <f t="shared" si="757"/>
        <v>0</v>
      </c>
      <c r="AO340" s="123">
        <f t="shared" si="747"/>
        <v>0</v>
      </c>
      <c r="AP340" s="124"/>
      <c r="AQ340" s="122"/>
      <c r="AR340" s="123">
        <f t="shared" si="748"/>
        <v>0</v>
      </c>
      <c r="AS340" s="124"/>
      <c r="AT340" s="122"/>
      <c r="AU340" s="123">
        <f t="shared" si="749"/>
        <v>0</v>
      </c>
      <c r="AV340" s="124"/>
      <c r="AW340" s="122"/>
      <c r="AX340" s="123">
        <f t="shared" si="750"/>
        <v>0</v>
      </c>
      <c r="AY340" s="122">
        <f t="shared" si="758"/>
        <v>0</v>
      </c>
      <c r="AZ340" s="122">
        <f t="shared" si="758"/>
        <v>0</v>
      </c>
      <c r="BA340" s="123">
        <f t="shared" si="751"/>
        <v>0</v>
      </c>
      <c r="BB340" s="124">
        <f t="shared" si="759"/>
        <v>0</v>
      </c>
      <c r="BC340" s="122">
        <f t="shared" si="759"/>
        <v>0</v>
      </c>
      <c r="BD340" s="123">
        <f t="shared" si="752"/>
        <v>0</v>
      </c>
      <c r="BE340" s="124"/>
      <c r="BF340" s="124"/>
      <c r="BG340" s="186">
        <f t="shared" ref="BG340:BG344" si="760">BB340+BE340+BF340</f>
        <v>0</v>
      </c>
    </row>
    <row r="341" spans="1:59" s="210" customFormat="1" ht="13.5" hidden="1" customHeight="1" outlineLevel="1" x14ac:dyDescent="0.25">
      <c r="A341" s="28"/>
      <c r="B341" s="27" t="s">
        <v>99</v>
      </c>
      <c r="C341" s="26" t="s">
        <v>96</v>
      </c>
      <c r="D341" s="186"/>
      <c r="E341" s="186"/>
      <c r="F341" s="124"/>
      <c r="G341" s="122"/>
      <c r="H341" s="123">
        <f t="shared" si="736"/>
        <v>0</v>
      </c>
      <c r="I341" s="124"/>
      <c r="J341" s="122"/>
      <c r="K341" s="123">
        <f t="shared" si="737"/>
        <v>0</v>
      </c>
      <c r="L341" s="124"/>
      <c r="M341" s="122"/>
      <c r="N341" s="123">
        <f t="shared" si="738"/>
        <v>0</v>
      </c>
      <c r="O341" s="124">
        <f t="shared" si="755"/>
        <v>0</v>
      </c>
      <c r="P341" s="122">
        <f t="shared" si="755"/>
        <v>0</v>
      </c>
      <c r="Q341" s="123">
        <f t="shared" si="739"/>
        <v>0</v>
      </c>
      <c r="R341" s="124"/>
      <c r="S341" s="122"/>
      <c r="T341" s="123">
        <f t="shared" si="740"/>
        <v>0</v>
      </c>
      <c r="U341" s="124"/>
      <c r="V341" s="122"/>
      <c r="W341" s="123">
        <f t="shared" si="741"/>
        <v>0</v>
      </c>
      <c r="X341" s="124"/>
      <c r="Y341" s="122"/>
      <c r="Z341" s="123">
        <f t="shared" si="742"/>
        <v>0</v>
      </c>
      <c r="AA341" s="124">
        <f t="shared" si="756"/>
        <v>0</v>
      </c>
      <c r="AB341" s="122">
        <f t="shared" si="756"/>
        <v>0</v>
      </c>
      <c r="AC341" s="123">
        <f t="shared" si="743"/>
        <v>0</v>
      </c>
      <c r="AD341" s="124"/>
      <c r="AE341" s="122"/>
      <c r="AF341" s="123">
        <f t="shared" si="744"/>
        <v>0</v>
      </c>
      <c r="AG341" s="124"/>
      <c r="AH341" s="122"/>
      <c r="AI341" s="123">
        <f t="shared" si="745"/>
        <v>0</v>
      </c>
      <c r="AJ341" s="124"/>
      <c r="AK341" s="122"/>
      <c r="AL341" s="123">
        <f t="shared" si="746"/>
        <v>0</v>
      </c>
      <c r="AM341" s="124">
        <f t="shared" si="757"/>
        <v>0</v>
      </c>
      <c r="AN341" s="122">
        <f t="shared" si="757"/>
        <v>0</v>
      </c>
      <c r="AO341" s="123">
        <f t="shared" si="747"/>
        <v>0</v>
      </c>
      <c r="AP341" s="124"/>
      <c r="AQ341" s="122"/>
      <c r="AR341" s="123">
        <f t="shared" si="748"/>
        <v>0</v>
      </c>
      <c r="AS341" s="124"/>
      <c r="AT341" s="122"/>
      <c r="AU341" s="123">
        <f t="shared" si="749"/>
        <v>0</v>
      </c>
      <c r="AV341" s="124"/>
      <c r="AW341" s="122"/>
      <c r="AX341" s="123">
        <f t="shared" si="750"/>
        <v>0</v>
      </c>
      <c r="AY341" s="122">
        <f t="shared" si="758"/>
        <v>0</v>
      </c>
      <c r="AZ341" s="122">
        <f t="shared" si="758"/>
        <v>0</v>
      </c>
      <c r="BA341" s="123">
        <f t="shared" si="751"/>
        <v>0</v>
      </c>
      <c r="BB341" s="124">
        <f t="shared" si="759"/>
        <v>0</v>
      </c>
      <c r="BC341" s="122">
        <f t="shared" si="759"/>
        <v>0</v>
      </c>
      <c r="BD341" s="123">
        <f t="shared" si="752"/>
        <v>0</v>
      </c>
      <c r="BE341" s="124"/>
      <c r="BF341" s="124"/>
      <c r="BG341" s="186">
        <f t="shared" si="760"/>
        <v>0</v>
      </c>
    </row>
    <row r="342" spans="1:59" s="210" customFormat="1" ht="13.5" hidden="1" customHeight="1" outlineLevel="1" x14ac:dyDescent="0.25">
      <c r="A342" s="28"/>
      <c r="B342" s="27" t="s">
        <v>100</v>
      </c>
      <c r="C342" s="26" t="s">
        <v>96</v>
      </c>
      <c r="D342" s="186"/>
      <c r="E342" s="186"/>
      <c r="F342" s="124"/>
      <c r="G342" s="122"/>
      <c r="H342" s="123">
        <f t="shared" si="736"/>
        <v>0</v>
      </c>
      <c r="I342" s="124"/>
      <c r="J342" s="122"/>
      <c r="K342" s="123">
        <f t="shared" si="737"/>
        <v>0</v>
      </c>
      <c r="L342" s="124"/>
      <c r="M342" s="122"/>
      <c r="N342" s="123">
        <f t="shared" si="738"/>
        <v>0</v>
      </c>
      <c r="O342" s="124">
        <f t="shared" si="755"/>
        <v>0</v>
      </c>
      <c r="P342" s="122">
        <f t="shared" si="755"/>
        <v>0</v>
      </c>
      <c r="Q342" s="123">
        <f t="shared" si="739"/>
        <v>0</v>
      </c>
      <c r="R342" s="124"/>
      <c r="S342" s="122"/>
      <c r="T342" s="123">
        <f t="shared" si="740"/>
        <v>0</v>
      </c>
      <c r="U342" s="124"/>
      <c r="V342" s="122"/>
      <c r="W342" s="123">
        <f t="shared" si="741"/>
        <v>0</v>
      </c>
      <c r="X342" s="124"/>
      <c r="Y342" s="122"/>
      <c r="Z342" s="123">
        <f t="shared" si="742"/>
        <v>0</v>
      </c>
      <c r="AA342" s="124">
        <f t="shared" si="756"/>
        <v>0</v>
      </c>
      <c r="AB342" s="122">
        <f t="shared" si="756"/>
        <v>0</v>
      </c>
      <c r="AC342" s="123">
        <f t="shared" si="743"/>
        <v>0</v>
      </c>
      <c r="AD342" s="124"/>
      <c r="AE342" s="122"/>
      <c r="AF342" s="123">
        <f t="shared" si="744"/>
        <v>0</v>
      </c>
      <c r="AG342" s="124"/>
      <c r="AH342" s="122"/>
      <c r="AI342" s="123">
        <f t="shared" si="745"/>
        <v>0</v>
      </c>
      <c r="AJ342" s="124"/>
      <c r="AK342" s="122"/>
      <c r="AL342" s="123">
        <f t="shared" si="746"/>
        <v>0</v>
      </c>
      <c r="AM342" s="124">
        <f t="shared" si="757"/>
        <v>0</v>
      </c>
      <c r="AN342" s="122">
        <f t="shared" si="757"/>
        <v>0</v>
      </c>
      <c r="AO342" s="123">
        <f t="shared" si="747"/>
        <v>0</v>
      </c>
      <c r="AP342" s="124"/>
      <c r="AQ342" s="122"/>
      <c r="AR342" s="123">
        <f t="shared" si="748"/>
        <v>0</v>
      </c>
      <c r="AS342" s="124"/>
      <c r="AT342" s="122"/>
      <c r="AU342" s="123">
        <f t="shared" si="749"/>
        <v>0</v>
      </c>
      <c r="AV342" s="124"/>
      <c r="AW342" s="122"/>
      <c r="AX342" s="123">
        <f t="shared" si="750"/>
        <v>0</v>
      </c>
      <c r="AY342" s="122">
        <f t="shared" si="758"/>
        <v>0</v>
      </c>
      <c r="AZ342" s="122">
        <f t="shared" si="758"/>
        <v>0</v>
      </c>
      <c r="BA342" s="123">
        <f t="shared" si="751"/>
        <v>0</v>
      </c>
      <c r="BB342" s="124">
        <f t="shared" si="759"/>
        <v>0</v>
      </c>
      <c r="BC342" s="122">
        <f t="shared" si="759"/>
        <v>0</v>
      </c>
      <c r="BD342" s="123">
        <f t="shared" si="752"/>
        <v>0</v>
      </c>
      <c r="BE342" s="124"/>
      <c r="BF342" s="124"/>
      <c r="BG342" s="186">
        <f t="shared" si="760"/>
        <v>0</v>
      </c>
    </row>
    <row r="343" spans="1:59" s="210" customFormat="1" ht="13.5" hidden="1" customHeight="1" outlineLevel="1" x14ac:dyDescent="0.25">
      <c r="A343" s="28"/>
      <c r="B343" s="27" t="s">
        <v>101</v>
      </c>
      <c r="C343" s="26" t="s">
        <v>96</v>
      </c>
      <c r="D343" s="186"/>
      <c r="E343" s="186"/>
      <c r="F343" s="124"/>
      <c r="G343" s="122"/>
      <c r="H343" s="123">
        <f t="shared" si="736"/>
        <v>0</v>
      </c>
      <c r="I343" s="124"/>
      <c r="J343" s="122"/>
      <c r="K343" s="123">
        <f t="shared" si="737"/>
        <v>0</v>
      </c>
      <c r="L343" s="124"/>
      <c r="M343" s="122"/>
      <c r="N343" s="123">
        <f t="shared" si="738"/>
        <v>0</v>
      </c>
      <c r="O343" s="124">
        <f t="shared" si="755"/>
        <v>0</v>
      </c>
      <c r="P343" s="122">
        <f t="shared" si="755"/>
        <v>0</v>
      </c>
      <c r="Q343" s="123">
        <f t="shared" si="739"/>
        <v>0</v>
      </c>
      <c r="R343" s="124"/>
      <c r="S343" s="122"/>
      <c r="T343" s="123">
        <f t="shared" si="740"/>
        <v>0</v>
      </c>
      <c r="U343" s="124"/>
      <c r="V343" s="122"/>
      <c r="W343" s="123">
        <f t="shared" si="741"/>
        <v>0</v>
      </c>
      <c r="X343" s="124"/>
      <c r="Y343" s="122"/>
      <c r="Z343" s="123">
        <f t="shared" si="742"/>
        <v>0</v>
      </c>
      <c r="AA343" s="124">
        <f t="shared" si="756"/>
        <v>0</v>
      </c>
      <c r="AB343" s="122">
        <f t="shared" si="756"/>
        <v>0</v>
      </c>
      <c r="AC343" s="123">
        <f t="shared" si="743"/>
        <v>0</v>
      </c>
      <c r="AD343" s="124"/>
      <c r="AE343" s="122"/>
      <c r="AF343" s="123">
        <f t="shared" si="744"/>
        <v>0</v>
      </c>
      <c r="AG343" s="124"/>
      <c r="AH343" s="122"/>
      <c r="AI343" s="123">
        <f t="shared" si="745"/>
        <v>0</v>
      </c>
      <c r="AJ343" s="124"/>
      <c r="AK343" s="122"/>
      <c r="AL343" s="123">
        <f t="shared" si="746"/>
        <v>0</v>
      </c>
      <c r="AM343" s="124">
        <f t="shared" si="757"/>
        <v>0</v>
      </c>
      <c r="AN343" s="122">
        <f t="shared" si="757"/>
        <v>0</v>
      </c>
      <c r="AO343" s="123">
        <f t="shared" si="747"/>
        <v>0</v>
      </c>
      <c r="AP343" s="124"/>
      <c r="AQ343" s="122"/>
      <c r="AR343" s="123">
        <f t="shared" si="748"/>
        <v>0</v>
      </c>
      <c r="AS343" s="124"/>
      <c r="AT343" s="122"/>
      <c r="AU343" s="123">
        <f t="shared" si="749"/>
        <v>0</v>
      </c>
      <c r="AV343" s="124"/>
      <c r="AW343" s="122"/>
      <c r="AX343" s="123">
        <f t="shared" si="750"/>
        <v>0</v>
      </c>
      <c r="AY343" s="122">
        <f t="shared" si="758"/>
        <v>0</v>
      </c>
      <c r="AZ343" s="122">
        <f t="shared" si="758"/>
        <v>0</v>
      </c>
      <c r="BA343" s="123">
        <f t="shared" si="751"/>
        <v>0</v>
      </c>
      <c r="BB343" s="124">
        <f t="shared" si="759"/>
        <v>0</v>
      </c>
      <c r="BC343" s="122">
        <f t="shared" si="759"/>
        <v>0</v>
      </c>
      <c r="BD343" s="123">
        <f t="shared" si="752"/>
        <v>0</v>
      </c>
      <c r="BE343" s="124"/>
      <c r="BF343" s="124"/>
      <c r="BG343" s="186">
        <f t="shared" si="760"/>
        <v>0</v>
      </c>
    </row>
    <row r="344" spans="1:59" s="210" customFormat="1" ht="13.5" hidden="1" customHeight="1" outlineLevel="1" thickBot="1" x14ac:dyDescent="0.3">
      <c r="A344" s="11"/>
      <c r="B344" s="10" t="s">
        <v>102</v>
      </c>
      <c r="C344" s="9" t="s">
        <v>96</v>
      </c>
      <c r="D344" s="163"/>
      <c r="E344" s="163"/>
      <c r="F344" s="121"/>
      <c r="G344" s="119"/>
      <c r="H344" s="120">
        <f t="shared" si="736"/>
        <v>0</v>
      </c>
      <c r="I344" s="121"/>
      <c r="J344" s="119"/>
      <c r="K344" s="120">
        <f t="shared" si="737"/>
        <v>0</v>
      </c>
      <c r="L344" s="121"/>
      <c r="M344" s="119"/>
      <c r="N344" s="120">
        <f t="shared" si="738"/>
        <v>0</v>
      </c>
      <c r="O344" s="121">
        <f t="shared" si="755"/>
        <v>0</v>
      </c>
      <c r="P344" s="119">
        <f t="shared" si="755"/>
        <v>0</v>
      </c>
      <c r="Q344" s="120">
        <f t="shared" si="739"/>
        <v>0</v>
      </c>
      <c r="R344" s="121"/>
      <c r="S344" s="119"/>
      <c r="T344" s="120">
        <f t="shared" si="740"/>
        <v>0</v>
      </c>
      <c r="U344" s="121"/>
      <c r="V344" s="119"/>
      <c r="W344" s="120">
        <f t="shared" si="741"/>
        <v>0</v>
      </c>
      <c r="X344" s="121"/>
      <c r="Y344" s="119"/>
      <c r="Z344" s="120">
        <f t="shared" si="742"/>
        <v>0</v>
      </c>
      <c r="AA344" s="121">
        <f t="shared" si="756"/>
        <v>0</v>
      </c>
      <c r="AB344" s="119">
        <f t="shared" si="756"/>
        <v>0</v>
      </c>
      <c r="AC344" s="120">
        <f t="shared" si="743"/>
        <v>0</v>
      </c>
      <c r="AD344" s="121"/>
      <c r="AE344" s="119"/>
      <c r="AF344" s="120">
        <f t="shared" si="744"/>
        <v>0</v>
      </c>
      <c r="AG344" s="121"/>
      <c r="AH344" s="119"/>
      <c r="AI344" s="120">
        <f t="shared" si="745"/>
        <v>0</v>
      </c>
      <c r="AJ344" s="121"/>
      <c r="AK344" s="119"/>
      <c r="AL344" s="120">
        <f t="shared" si="746"/>
        <v>0</v>
      </c>
      <c r="AM344" s="121">
        <f t="shared" si="757"/>
        <v>0</v>
      </c>
      <c r="AN344" s="119">
        <f t="shared" si="757"/>
        <v>0</v>
      </c>
      <c r="AO344" s="120">
        <f t="shared" si="747"/>
        <v>0</v>
      </c>
      <c r="AP344" s="121"/>
      <c r="AQ344" s="119"/>
      <c r="AR344" s="120">
        <f t="shared" si="748"/>
        <v>0</v>
      </c>
      <c r="AS344" s="121"/>
      <c r="AT344" s="119"/>
      <c r="AU344" s="120">
        <f t="shared" si="749"/>
        <v>0</v>
      </c>
      <c r="AV344" s="121"/>
      <c r="AW344" s="119"/>
      <c r="AX344" s="120">
        <f t="shared" si="750"/>
        <v>0</v>
      </c>
      <c r="AY344" s="119">
        <f t="shared" si="758"/>
        <v>0</v>
      </c>
      <c r="AZ344" s="119">
        <f t="shared" si="758"/>
        <v>0</v>
      </c>
      <c r="BA344" s="120">
        <f t="shared" si="751"/>
        <v>0</v>
      </c>
      <c r="BB344" s="121">
        <f t="shared" si="759"/>
        <v>0</v>
      </c>
      <c r="BC344" s="119">
        <f t="shared" si="759"/>
        <v>0</v>
      </c>
      <c r="BD344" s="120">
        <f t="shared" si="752"/>
        <v>0</v>
      </c>
      <c r="BE344" s="121"/>
      <c r="BF344" s="121"/>
      <c r="BG344" s="186">
        <f t="shared" si="760"/>
        <v>0</v>
      </c>
    </row>
    <row r="345" spans="1:59" s="210" customFormat="1" ht="13.5" customHeight="1" collapsed="1" x14ac:dyDescent="0.25">
      <c r="A345" s="106" t="s">
        <v>103</v>
      </c>
      <c r="B345" s="105" t="s">
        <v>104</v>
      </c>
      <c r="C345" s="104" t="s">
        <v>105</v>
      </c>
      <c r="D345" s="192">
        <f>SUM(D346)</f>
        <v>0</v>
      </c>
      <c r="E345" s="192">
        <f>SUM(E346)</f>
        <v>0</v>
      </c>
      <c r="F345" s="195">
        <f>SUM(F346)</f>
        <v>0</v>
      </c>
      <c r="G345" s="193">
        <f>SUM(G346)</f>
        <v>0</v>
      </c>
      <c r="H345" s="194">
        <f t="shared" si="736"/>
        <v>0</v>
      </c>
      <c r="I345" s="195">
        <f>SUM(I346)</f>
        <v>0</v>
      </c>
      <c r="J345" s="193">
        <f>SUM(J346)</f>
        <v>0</v>
      </c>
      <c r="K345" s="194">
        <f t="shared" si="737"/>
        <v>0</v>
      </c>
      <c r="L345" s="195">
        <f>SUM(L346)</f>
        <v>0</v>
      </c>
      <c r="M345" s="193">
        <f>SUM(M346)</f>
        <v>0</v>
      </c>
      <c r="N345" s="194">
        <f t="shared" si="738"/>
        <v>0</v>
      </c>
      <c r="O345" s="195">
        <f>SUM(O346)</f>
        <v>0</v>
      </c>
      <c r="P345" s="193">
        <f>SUM(P346)</f>
        <v>0</v>
      </c>
      <c r="Q345" s="194">
        <f t="shared" si="739"/>
        <v>0</v>
      </c>
      <c r="R345" s="195">
        <f>SUM(R346)</f>
        <v>0</v>
      </c>
      <c r="S345" s="193">
        <f>SUM(S346)</f>
        <v>0</v>
      </c>
      <c r="T345" s="194">
        <f t="shared" si="740"/>
        <v>0</v>
      </c>
      <c r="U345" s="195">
        <f>SUM(U346)</f>
        <v>0</v>
      </c>
      <c r="V345" s="193">
        <f>SUM(V346)</f>
        <v>0</v>
      </c>
      <c r="W345" s="194">
        <f t="shared" si="741"/>
        <v>0</v>
      </c>
      <c r="X345" s="195">
        <f>SUM(X346)</f>
        <v>0</v>
      </c>
      <c r="Y345" s="193">
        <f>SUM(Y346)</f>
        <v>0</v>
      </c>
      <c r="Z345" s="194">
        <f t="shared" si="742"/>
        <v>0</v>
      </c>
      <c r="AA345" s="195">
        <f>SUM(AA346)</f>
        <v>0</v>
      </c>
      <c r="AB345" s="193">
        <f>SUM(AB346)</f>
        <v>0</v>
      </c>
      <c r="AC345" s="194">
        <f t="shared" si="743"/>
        <v>0</v>
      </c>
      <c r="AD345" s="195">
        <f>SUM(AD346)</f>
        <v>0</v>
      </c>
      <c r="AE345" s="193">
        <f>SUM(AE346)</f>
        <v>0</v>
      </c>
      <c r="AF345" s="194">
        <f t="shared" si="744"/>
        <v>0</v>
      </c>
      <c r="AG345" s="195">
        <f>SUM(AG346)</f>
        <v>0</v>
      </c>
      <c r="AH345" s="193">
        <f>SUM(AH346)</f>
        <v>0</v>
      </c>
      <c r="AI345" s="194">
        <f t="shared" si="745"/>
        <v>0</v>
      </c>
      <c r="AJ345" s="195">
        <f>SUM(AJ346)</f>
        <v>0</v>
      </c>
      <c r="AK345" s="193">
        <f>SUM(AK346)</f>
        <v>0</v>
      </c>
      <c r="AL345" s="194">
        <f t="shared" si="746"/>
        <v>0</v>
      </c>
      <c r="AM345" s="195">
        <f>SUM(AM346)</f>
        <v>0</v>
      </c>
      <c r="AN345" s="193">
        <f>SUM(AN346)</f>
        <v>0</v>
      </c>
      <c r="AO345" s="194">
        <f t="shared" si="747"/>
        <v>0</v>
      </c>
      <c r="AP345" s="195">
        <f>SUM(AP346)</f>
        <v>0</v>
      </c>
      <c r="AQ345" s="193">
        <f>SUM(AQ346)</f>
        <v>0</v>
      </c>
      <c r="AR345" s="194">
        <f t="shared" si="748"/>
        <v>0</v>
      </c>
      <c r="AS345" s="195">
        <f>SUM(AS346)</f>
        <v>0</v>
      </c>
      <c r="AT345" s="193">
        <f>SUM(AT346)</f>
        <v>0</v>
      </c>
      <c r="AU345" s="194">
        <f t="shared" si="749"/>
        <v>0</v>
      </c>
      <c r="AV345" s="195">
        <f>SUM(AV346)</f>
        <v>0</v>
      </c>
      <c r="AW345" s="193">
        <f>SUM(AW346)</f>
        <v>0</v>
      </c>
      <c r="AX345" s="194">
        <f t="shared" si="750"/>
        <v>0</v>
      </c>
      <c r="AY345" s="193">
        <f>SUM(AY346)</f>
        <v>0</v>
      </c>
      <c r="AZ345" s="193">
        <f>SUM(AZ346)</f>
        <v>0</v>
      </c>
      <c r="BA345" s="194">
        <f t="shared" si="751"/>
        <v>0</v>
      </c>
      <c r="BB345" s="193">
        <f>SUM(BB346)</f>
        <v>0</v>
      </c>
      <c r="BC345" s="193">
        <f>SUM(BC346)</f>
        <v>0</v>
      </c>
      <c r="BD345" s="194">
        <f t="shared" si="752"/>
        <v>0</v>
      </c>
      <c r="BE345" s="195">
        <f t="shared" ref="BE345:BG345" si="761">SUM(BE346)</f>
        <v>0</v>
      </c>
      <c r="BF345" s="195">
        <f t="shared" si="761"/>
        <v>0</v>
      </c>
      <c r="BG345" s="192">
        <f t="shared" si="761"/>
        <v>0</v>
      </c>
    </row>
    <row r="346" spans="1:59" s="210" customFormat="1" ht="13.5" hidden="1" customHeight="1" outlineLevel="1" x14ac:dyDescent="0.25">
      <c r="A346" s="28"/>
      <c r="B346" s="27" t="s">
        <v>106</v>
      </c>
      <c r="C346" s="26" t="s">
        <v>105</v>
      </c>
      <c r="D346" s="186"/>
      <c r="E346" s="186"/>
      <c r="F346" s="124"/>
      <c r="G346" s="248"/>
      <c r="H346" s="249">
        <f t="shared" si="736"/>
        <v>0</v>
      </c>
      <c r="I346" s="124"/>
      <c r="J346" s="248"/>
      <c r="K346" s="249">
        <f t="shared" si="737"/>
        <v>0</v>
      </c>
      <c r="L346" s="124"/>
      <c r="M346" s="248"/>
      <c r="N346" s="249">
        <f t="shared" si="738"/>
        <v>0</v>
      </c>
      <c r="O346" s="124">
        <f>SUM(F346,I346,L346)/3</f>
        <v>0</v>
      </c>
      <c r="P346" s="122">
        <f>SUM(G346,J346,M346)/3</f>
        <v>0</v>
      </c>
      <c r="Q346" s="123">
        <f t="shared" si="739"/>
        <v>0</v>
      </c>
      <c r="R346" s="124"/>
      <c r="S346" s="248"/>
      <c r="T346" s="249">
        <f t="shared" si="740"/>
        <v>0</v>
      </c>
      <c r="U346" s="124"/>
      <c r="V346" s="248"/>
      <c r="W346" s="249">
        <f t="shared" si="741"/>
        <v>0</v>
      </c>
      <c r="X346" s="124"/>
      <c r="Y346" s="248"/>
      <c r="Z346" s="249">
        <f t="shared" si="742"/>
        <v>0</v>
      </c>
      <c r="AA346" s="124">
        <f>SUM(R346,U346,X346)/3</f>
        <v>0</v>
      </c>
      <c r="AB346" s="122">
        <f>SUM(S346,V346,Y346)/3</f>
        <v>0</v>
      </c>
      <c r="AC346" s="123">
        <f t="shared" si="743"/>
        <v>0</v>
      </c>
      <c r="AD346" s="124"/>
      <c r="AE346" s="248"/>
      <c r="AF346" s="249">
        <f t="shared" si="744"/>
        <v>0</v>
      </c>
      <c r="AG346" s="124"/>
      <c r="AH346" s="248"/>
      <c r="AI346" s="249">
        <f t="shared" si="745"/>
        <v>0</v>
      </c>
      <c r="AJ346" s="124"/>
      <c r="AK346" s="248"/>
      <c r="AL346" s="249">
        <f t="shared" si="746"/>
        <v>0</v>
      </c>
      <c r="AM346" s="124">
        <f>SUM(AD346,AG346,AJ346)/3</f>
        <v>0</v>
      </c>
      <c r="AN346" s="122">
        <f>SUM(AE346,AH346,AK346)/3</f>
        <v>0</v>
      </c>
      <c r="AO346" s="123">
        <f t="shared" si="747"/>
        <v>0</v>
      </c>
      <c r="AP346" s="124"/>
      <c r="AQ346" s="248"/>
      <c r="AR346" s="249">
        <f t="shared" si="748"/>
        <v>0</v>
      </c>
      <c r="AS346" s="124"/>
      <c r="AT346" s="248"/>
      <c r="AU346" s="249">
        <f t="shared" si="749"/>
        <v>0</v>
      </c>
      <c r="AV346" s="124"/>
      <c r="AW346" s="248"/>
      <c r="AX346" s="249">
        <f t="shared" si="750"/>
        <v>0</v>
      </c>
      <c r="AY346" s="122">
        <f>SUM(AP346,AS346,AV346)/3</f>
        <v>0</v>
      </c>
      <c r="AZ346" s="122">
        <f>SUM(AQ346,AT346,AW346)/3</f>
        <v>0</v>
      </c>
      <c r="BA346" s="123">
        <f t="shared" si="751"/>
        <v>0</v>
      </c>
      <c r="BB346" s="124">
        <f>SUM(F346,I346,L346,R346,U346,X346,AD346,AG346,AJ346,AP346,AS346,AV346)/12</f>
        <v>0</v>
      </c>
      <c r="BC346" s="122">
        <f>SUM(G346,J346,M346,S346,V346,Y346,AE346,AH346,AK346,AQ346,AT346,AW346)/12</f>
        <v>0</v>
      </c>
      <c r="BD346" s="123">
        <f t="shared" si="752"/>
        <v>0</v>
      </c>
      <c r="BE346" s="124"/>
      <c r="BF346" s="124"/>
      <c r="BG346" s="186">
        <f>(BB346+BE346+BF346)/3</f>
        <v>0</v>
      </c>
    </row>
    <row r="347" spans="1:59" ht="13.5" customHeight="1" collapsed="1" x14ac:dyDescent="0.25">
      <c r="A347" s="54"/>
      <c r="B347" s="67"/>
      <c r="C347" s="66"/>
      <c r="D347" s="157"/>
      <c r="E347" s="157"/>
      <c r="F347" s="115"/>
      <c r="G347" s="107"/>
      <c r="H347" s="108"/>
      <c r="I347" s="115"/>
      <c r="J347" s="107"/>
      <c r="K347" s="108"/>
      <c r="L347" s="115"/>
      <c r="M347" s="107"/>
      <c r="N347" s="108"/>
      <c r="O347" s="115"/>
      <c r="P347" s="107"/>
      <c r="Q347" s="108"/>
      <c r="R347" s="115"/>
      <c r="S347" s="107"/>
      <c r="T347" s="108"/>
      <c r="U347" s="115"/>
      <c r="V347" s="107"/>
      <c r="W347" s="108"/>
      <c r="X347" s="115"/>
      <c r="Y347" s="107"/>
      <c r="Z347" s="108"/>
      <c r="AA347" s="115"/>
      <c r="AB347" s="107"/>
      <c r="AC347" s="108"/>
      <c r="AD347" s="115"/>
      <c r="AE347" s="107"/>
      <c r="AF347" s="108"/>
      <c r="AG347" s="115"/>
      <c r="AH347" s="107"/>
      <c r="AI347" s="108"/>
      <c r="AJ347" s="115"/>
      <c r="AK347" s="107"/>
      <c r="AL347" s="108"/>
      <c r="AM347" s="115"/>
      <c r="AN347" s="107"/>
      <c r="AO347" s="108"/>
      <c r="AP347" s="115"/>
      <c r="AQ347" s="107"/>
      <c r="AR347" s="108"/>
      <c r="AS347" s="115"/>
      <c r="AT347" s="107"/>
      <c r="AU347" s="108"/>
      <c r="AV347" s="115"/>
      <c r="AW347" s="107"/>
      <c r="AX347" s="108"/>
      <c r="AY347" s="107"/>
      <c r="AZ347" s="107"/>
      <c r="BA347" s="108"/>
      <c r="BB347" s="115"/>
      <c r="BC347" s="107"/>
      <c r="BD347" s="108"/>
      <c r="BE347" s="115"/>
      <c r="BF347" s="115"/>
      <c r="BG347" s="157"/>
    </row>
    <row r="348" spans="1:59" ht="13.5" customHeight="1" x14ac:dyDescent="0.25">
      <c r="A348" s="285" t="s">
        <v>107</v>
      </c>
      <c r="B348" s="286"/>
      <c r="C348" s="286"/>
      <c r="D348" s="196"/>
      <c r="E348" s="196"/>
      <c r="F348" s="199"/>
      <c r="G348" s="198"/>
      <c r="H348" s="197"/>
      <c r="I348" s="199"/>
      <c r="J348" s="198"/>
      <c r="K348" s="197"/>
      <c r="L348" s="199"/>
      <c r="M348" s="198"/>
      <c r="N348" s="197"/>
      <c r="O348" s="199"/>
      <c r="P348" s="198"/>
      <c r="Q348" s="197"/>
      <c r="R348" s="199"/>
      <c r="S348" s="198"/>
      <c r="T348" s="197"/>
      <c r="U348" s="199"/>
      <c r="V348" s="198"/>
      <c r="W348" s="197"/>
      <c r="X348" s="199"/>
      <c r="Y348" s="198"/>
      <c r="Z348" s="197"/>
      <c r="AA348" s="199"/>
      <c r="AB348" s="198"/>
      <c r="AC348" s="197"/>
      <c r="AD348" s="199"/>
      <c r="AE348" s="198"/>
      <c r="AF348" s="197"/>
      <c r="AG348" s="199"/>
      <c r="AH348" s="198"/>
      <c r="AI348" s="197"/>
      <c r="AJ348" s="199"/>
      <c r="AK348" s="198"/>
      <c r="AL348" s="197"/>
      <c r="AM348" s="199"/>
      <c r="AN348" s="198"/>
      <c r="AO348" s="197"/>
      <c r="AP348" s="199"/>
      <c r="AQ348" s="198"/>
      <c r="AR348" s="197"/>
      <c r="AS348" s="199"/>
      <c r="AT348" s="198"/>
      <c r="AU348" s="197"/>
      <c r="AV348" s="199"/>
      <c r="AW348" s="198"/>
      <c r="AX348" s="197"/>
      <c r="AY348" s="198"/>
      <c r="AZ348" s="198"/>
      <c r="BA348" s="197"/>
      <c r="BB348" s="199"/>
      <c r="BC348" s="198"/>
      <c r="BD348" s="197"/>
      <c r="BE348" s="162"/>
      <c r="BF348" s="162"/>
      <c r="BG348" s="255"/>
    </row>
    <row r="349" spans="1:59" ht="13.5" customHeight="1" thickBot="1" x14ac:dyDescent="0.3">
      <c r="A349" s="65"/>
      <c r="B349" s="64"/>
      <c r="C349" s="63"/>
      <c r="D349" s="168"/>
      <c r="E349" s="168"/>
      <c r="F349" s="171"/>
      <c r="G349" s="169"/>
      <c r="H349" s="170"/>
      <c r="I349" s="171"/>
      <c r="J349" s="169"/>
      <c r="K349" s="170"/>
      <c r="L349" s="171"/>
      <c r="M349" s="169"/>
      <c r="N349" s="170"/>
      <c r="O349" s="171"/>
      <c r="P349" s="169"/>
      <c r="Q349" s="170"/>
      <c r="R349" s="171"/>
      <c r="S349" s="169"/>
      <c r="T349" s="170"/>
      <c r="U349" s="171"/>
      <c r="V349" s="169"/>
      <c r="W349" s="170"/>
      <c r="X349" s="171"/>
      <c r="Y349" s="169"/>
      <c r="Z349" s="170"/>
      <c r="AA349" s="171"/>
      <c r="AB349" s="169"/>
      <c r="AC349" s="170"/>
      <c r="AD349" s="171"/>
      <c r="AE349" s="169"/>
      <c r="AF349" s="170"/>
      <c r="AG349" s="171"/>
      <c r="AH349" s="169"/>
      <c r="AI349" s="170"/>
      <c r="AJ349" s="171"/>
      <c r="AK349" s="169"/>
      <c r="AL349" s="170"/>
      <c r="AM349" s="171"/>
      <c r="AN349" s="169"/>
      <c r="AO349" s="170"/>
      <c r="AP349" s="171"/>
      <c r="AQ349" s="169"/>
      <c r="AR349" s="170"/>
      <c r="AS349" s="171"/>
      <c r="AT349" s="169"/>
      <c r="AU349" s="170"/>
      <c r="AV349" s="171"/>
      <c r="AW349" s="169"/>
      <c r="AX349" s="170"/>
      <c r="AY349" s="169"/>
      <c r="AZ349" s="169"/>
      <c r="BA349" s="170"/>
      <c r="BB349" s="171"/>
      <c r="BC349" s="169"/>
      <c r="BD349" s="170"/>
      <c r="BE349" s="171"/>
      <c r="BF349" s="171"/>
      <c r="BG349" s="168"/>
    </row>
    <row r="350" spans="1:59" ht="13.5" customHeight="1" x14ac:dyDescent="0.25">
      <c r="A350" s="106" t="s">
        <v>108</v>
      </c>
      <c r="B350" s="105" t="s">
        <v>109</v>
      </c>
      <c r="C350" s="62" t="s">
        <v>110</v>
      </c>
      <c r="D350" s="192">
        <f>D351+D361+D380</f>
        <v>0</v>
      </c>
      <c r="E350" s="192">
        <f>E351+E361+E380</f>
        <v>0</v>
      </c>
      <c r="F350" s="195">
        <f>F351+F361+F380</f>
        <v>0</v>
      </c>
      <c r="G350" s="193">
        <f>G351+G361+G380</f>
        <v>0</v>
      </c>
      <c r="H350" s="194">
        <f t="shared" ref="H350:H365" si="762">G350-F350</f>
        <v>0</v>
      </c>
      <c r="I350" s="195">
        <f>I351+I361+I380</f>
        <v>0</v>
      </c>
      <c r="J350" s="193">
        <f>J351+J361+J380</f>
        <v>0</v>
      </c>
      <c r="K350" s="194">
        <f t="shared" ref="K350:K365" si="763">J350-I350</f>
        <v>0</v>
      </c>
      <c r="L350" s="195">
        <f>L351+L361+L380</f>
        <v>0</v>
      </c>
      <c r="M350" s="193">
        <f>M351+M361+M380</f>
        <v>0</v>
      </c>
      <c r="N350" s="194">
        <f t="shared" ref="N350:N365" si="764">M350-L350</f>
        <v>0</v>
      </c>
      <c r="O350" s="195">
        <f>O351+O361+O380</f>
        <v>0</v>
      </c>
      <c r="P350" s="193">
        <f>P351+P361+P380</f>
        <v>0</v>
      </c>
      <c r="Q350" s="194">
        <f t="shared" ref="Q350:Q365" si="765">P350-O350</f>
        <v>0</v>
      </c>
      <c r="R350" s="195">
        <f>R351+R361+R380</f>
        <v>0</v>
      </c>
      <c r="S350" s="193">
        <f>S351+S361+S380</f>
        <v>0</v>
      </c>
      <c r="T350" s="194">
        <f t="shared" ref="T350:T365" si="766">S350-R350</f>
        <v>0</v>
      </c>
      <c r="U350" s="195">
        <f>U351+U361+U380</f>
        <v>0</v>
      </c>
      <c r="V350" s="193">
        <f>V351+V361+V380</f>
        <v>0</v>
      </c>
      <c r="W350" s="194">
        <f t="shared" ref="W350:W365" si="767">V350-U350</f>
        <v>0</v>
      </c>
      <c r="X350" s="195">
        <f>X351+X361+X380</f>
        <v>0</v>
      </c>
      <c r="Y350" s="193">
        <f>Y351+Y361+Y380</f>
        <v>0</v>
      </c>
      <c r="Z350" s="194">
        <f t="shared" ref="Z350:Z365" si="768">Y350-X350</f>
        <v>0</v>
      </c>
      <c r="AA350" s="195">
        <f>AA351+AA361+AA380</f>
        <v>0</v>
      </c>
      <c r="AB350" s="193">
        <f>AB351+AB361+AB380</f>
        <v>0</v>
      </c>
      <c r="AC350" s="194">
        <f t="shared" ref="AC350:AC365" si="769">AB350-AA350</f>
        <v>0</v>
      </c>
      <c r="AD350" s="195">
        <f>AD351+AD361+AD380</f>
        <v>0</v>
      </c>
      <c r="AE350" s="193">
        <f>AE351+AE361+AE380</f>
        <v>0</v>
      </c>
      <c r="AF350" s="194">
        <f t="shared" ref="AF350:AF365" si="770">AE350-AD350</f>
        <v>0</v>
      </c>
      <c r="AG350" s="195">
        <f>AG351+AG361+AG380</f>
        <v>0</v>
      </c>
      <c r="AH350" s="193">
        <f>AH351+AH361+AH380</f>
        <v>0</v>
      </c>
      <c r="AI350" s="194">
        <f t="shared" ref="AI350:AI365" si="771">AH350-AG350</f>
        <v>0</v>
      </c>
      <c r="AJ350" s="195">
        <f>AJ351+AJ361+AJ380</f>
        <v>0</v>
      </c>
      <c r="AK350" s="193">
        <f>AK351+AK361+AK380</f>
        <v>0</v>
      </c>
      <c r="AL350" s="194">
        <f t="shared" ref="AL350:AL365" si="772">AK350-AJ350</f>
        <v>0</v>
      </c>
      <c r="AM350" s="195">
        <f>AM351+AM361+AM380</f>
        <v>0</v>
      </c>
      <c r="AN350" s="193">
        <f>AN351+AN361+AN380</f>
        <v>0</v>
      </c>
      <c r="AO350" s="194">
        <f t="shared" ref="AO350:AO365" si="773">AN350-AM350</f>
        <v>0</v>
      </c>
      <c r="AP350" s="195">
        <f>AP351+AP361+AP380</f>
        <v>0</v>
      </c>
      <c r="AQ350" s="193">
        <f>AQ351+AQ361+AQ380</f>
        <v>0</v>
      </c>
      <c r="AR350" s="194">
        <f t="shared" ref="AR350:AR365" si="774">AQ350-AP350</f>
        <v>0</v>
      </c>
      <c r="AS350" s="195">
        <f>AS351+AS361+AS380</f>
        <v>0</v>
      </c>
      <c r="AT350" s="193">
        <f>AT351+AT361+AT380</f>
        <v>0</v>
      </c>
      <c r="AU350" s="194">
        <f t="shared" ref="AU350:AU365" si="775">AT350-AS350</f>
        <v>0</v>
      </c>
      <c r="AV350" s="195">
        <f>AV351+AV361+AV380</f>
        <v>0</v>
      </c>
      <c r="AW350" s="193">
        <f>AW351+AW361+AW380</f>
        <v>0</v>
      </c>
      <c r="AX350" s="194">
        <f t="shared" ref="AX350:AX365" si="776">AW350-AV350</f>
        <v>0</v>
      </c>
      <c r="AY350" s="193">
        <f>AY351+AY361+AY380</f>
        <v>0</v>
      </c>
      <c r="AZ350" s="193">
        <f>AZ351+AZ361+AZ380</f>
        <v>0</v>
      </c>
      <c r="BA350" s="194">
        <f t="shared" ref="BA350:BA365" si="777">AZ350-AY350</f>
        <v>0</v>
      </c>
      <c r="BB350" s="195">
        <f>BB351+BB361+BB380</f>
        <v>0</v>
      </c>
      <c r="BC350" s="193">
        <f>BC351+BC361+BC380</f>
        <v>0</v>
      </c>
      <c r="BD350" s="194">
        <f t="shared" ref="BD350:BD365" si="778">BC350-BB350</f>
        <v>0</v>
      </c>
      <c r="BE350" s="195">
        <f t="shared" ref="BE350:BF350" si="779">BE351+BE361+BE380</f>
        <v>0</v>
      </c>
      <c r="BF350" s="195">
        <f t="shared" si="779"/>
        <v>0</v>
      </c>
      <c r="BG350" s="192">
        <f t="shared" ref="BG350" si="780">BG351+BG361+BG380</f>
        <v>0</v>
      </c>
    </row>
    <row r="351" spans="1:59" s="210" customFormat="1" ht="13.5" customHeight="1" x14ac:dyDescent="0.25">
      <c r="A351" s="103"/>
      <c r="B351" s="102" t="s">
        <v>33</v>
      </c>
      <c r="C351" s="61" t="s">
        <v>110</v>
      </c>
      <c r="D351" s="188">
        <f t="shared" ref="D351:G366" si="781">D383+D423+D455</f>
        <v>0</v>
      </c>
      <c r="E351" s="188">
        <f t="shared" si="781"/>
        <v>0</v>
      </c>
      <c r="F351" s="191">
        <f t="shared" si="781"/>
        <v>0</v>
      </c>
      <c r="G351" s="189">
        <f t="shared" si="781"/>
        <v>0</v>
      </c>
      <c r="H351" s="190">
        <f t="shared" si="762"/>
        <v>0</v>
      </c>
      <c r="I351" s="191">
        <f t="shared" ref="I351:J366" si="782">I383+I423+I455</f>
        <v>0</v>
      </c>
      <c r="J351" s="189">
        <f t="shared" si="782"/>
        <v>0</v>
      </c>
      <c r="K351" s="190">
        <f t="shared" si="763"/>
        <v>0</v>
      </c>
      <c r="L351" s="191">
        <f t="shared" ref="L351:M366" si="783">L383+L423+L455</f>
        <v>0</v>
      </c>
      <c r="M351" s="189">
        <f t="shared" si="783"/>
        <v>0</v>
      </c>
      <c r="N351" s="190">
        <f t="shared" si="764"/>
        <v>0</v>
      </c>
      <c r="O351" s="191">
        <f t="shared" ref="O351:P366" si="784">O383+O423+O455</f>
        <v>0</v>
      </c>
      <c r="P351" s="189">
        <f t="shared" si="784"/>
        <v>0</v>
      </c>
      <c r="Q351" s="190">
        <f t="shared" si="765"/>
        <v>0</v>
      </c>
      <c r="R351" s="191">
        <f t="shared" ref="R351:S366" si="785">R383+R423+R455</f>
        <v>0</v>
      </c>
      <c r="S351" s="189">
        <f t="shared" si="785"/>
        <v>0</v>
      </c>
      <c r="T351" s="190">
        <f t="shared" si="766"/>
        <v>0</v>
      </c>
      <c r="U351" s="191">
        <f t="shared" ref="U351:V366" si="786">U383+U423+U455</f>
        <v>0</v>
      </c>
      <c r="V351" s="189">
        <f t="shared" si="786"/>
        <v>0</v>
      </c>
      <c r="W351" s="190">
        <f t="shared" si="767"/>
        <v>0</v>
      </c>
      <c r="X351" s="191">
        <f t="shared" ref="X351:Y366" si="787">X383+X423+X455</f>
        <v>0</v>
      </c>
      <c r="Y351" s="189">
        <f t="shared" si="787"/>
        <v>0</v>
      </c>
      <c r="Z351" s="190">
        <f t="shared" si="768"/>
        <v>0</v>
      </c>
      <c r="AA351" s="191">
        <f t="shared" ref="AA351:AB366" si="788">AA383+AA423+AA455</f>
        <v>0</v>
      </c>
      <c r="AB351" s="189">
        <f t="shared" si="788"/>
        <v>0</v>
      </c>
      <c r="AC351" s="190">
        <f t="shared" si="769"/>
        <v>0</v>
      </c>
      <c r="AD351" s="191">
        <f t="shared" ref="AD351:AE366" si="789">AD383+AD423+AD455</f>
        <v>0</v>
      </c>
      <c r="AE351" s="189">
        <f t="shared" si="789"/>
        <v>0</v>
      </c>
      <c r="AF351" s="190">
        <f t="shared" si="770"/>
        <v>0</v>
      </c>
      <c r="AG351" s="191">
        <f t="shared" ref="AG351:AH366" si="790">AG383+AG423+AG455</f>
        <v>0</v>
      </c>
      <c r="AH351" s="189">
        <f t="shared" si="790"/>
        <v>0</v>
      </c>
      <c r="AI351" s="190">
        <f t="shared" si="771"/>
        <v>0</v>
      </c>
      <c r="AJ351" s="191">
        <f t="shared" ref="AJ351:AK366" si="791">AJ383+AJ423+AJ455</f>
        <v>0</v>
      </c>
      <c r="AK351" s="189">
        <f t="shared" si="791"/>
        <v>0</v>
      </c>
      <c r="AL351" s="190">
        <f t="shared" si="772"/>
        <v>0</v>
      </c>
      <c r="AM351" s="191">
        <f t="shared" ref="AM351:AN366" si="792">AM383+AM423+AM455</f>
        <v>0</v>
      </c>
      <c r="AN351" s="189">
        <f t="shared" si="792"/>
        <v>0</v>
      </c>
      <c r="AO351" s="190">
        <f t="shared" si="773"/>
        <v>0</v>
      </c>
      <c r="AP351" s="191">
        <f t="shared" ref="AP351:AQ366" si="793">AP383+AP423+AP455</f>
        <v>0</v>
      </c>
      <c r="AQ351" s="189">
        <f t="shared" si="793"/>
        <v>0</v>
      </c>
      <c r="AR351" s="190">
        <f t="shared" si="774"/>
        <v>0</v>
      </c>
      <c r="AS351" s="191">
        <f t="shared" ref="AS351:AT366" si="794">AS383+AS423+AS455</f>
        <v>0</v>
      </c>
      <c r="AT351" s="189">
        <f t="shared" si="794"/>
        <v>0</v>
      </c>
      <c r="AU351" s="190">
        <f t="shared" si="775"/>
        <v>0</v>
      </c>
      <c r="AV351" s="191">
        <f t="shared" ref="AV351:AW366" si="795">AV383+AV423+AV455</f>
        <v>0</v>
      </c>
      <c r="AW351" s="189">
        <f t="shared" si="795"/>
        <v>0</v>
      </c>
      <c r="AX351" s="190">
        <f t="shared" si="776"/>
        <v>0</v>
      </c>
      <c r="AY351" s="189">
        <f t="shared" ref="AY351:AZ366" si="796">AY383+AY423+AY455</f>
        <v>0</v>
      </c>
      <c r="AZ351" s="189">
        <f t="shared" si="796"/>
        <v>0</v>
      </c>
      <c r="BA351" s="190">
        <f t="shared" si="777"/>
        <v>0</v>
      </c>
      <c r="BB351" s="189">
        <f>SUM(BB352:BB360)</f>
        <v>0</v>
      </c>
      <c r="BC351" s="189">
        <f>SUM(BC352:BC360)</f>
        <v>0</v>
      </c>
      <c r="BD351" s="190">
        <f t="shared" si="778"/>
        <v>0</v>
      </c>
      <c r="BE351" s="191">
        <f t="shared" ref="BE351:BF365" si="797">BE383+BE423+BE455</f>
        <v>0</v>
      </c>
      <c r="BF351" s="191">
        <f t="shared" si="797"/>
        <v>0</v>
      </c>
      <c r="BG351" s="188">
        <f t="shared" ref="BG351" si="798">BG383+BG423+BG455</f>
        <v>0</v>
      </c>
    </row>
    <row r="352" spans="1:59" ht="13.5" hidden="1" customHeight="1" outlineLevel="1" x14ac:dyDescent="0.25">
      <c r="A352" s="60"/>
      <c r="B352" s="84" t="s">
        <v>34</v>
      </c>
      <c r="C352" s="59" t="s">
        <v>110</v>
      </c>
      <c r="D352" s="20">
        <f t="shared" si="781"/>
        <v>0</v>
      </c>
      <c r="E352" s="20">
        <f t="shared" si="781"/>
        <v>0</v>
      </c>
      <c r="F352" s="24">
        <f t="shared" si="781"/>
        <v>0</v>
      </c>
      <c r="G352" s="23">
        <f t="shared" si="781"/>
        <v>0</v>
      </c>
      <c r="H352" s="22">
        <f t="shared" si="762"/>
        <v>0</v>
      </c>
      <c r="I352" s="24">
        <f t="shared" si="782"/>
        <v>0</v>
      </c>
      <c r="J352" s="23">
        <f t="shared" si="782"/>
        <v>0</v>
      </c>
      <c r="K352" s="22">
        <f t="shared" si="763"/>
        <v>0</v>
      </c>
      <c r="L352" s="24">
        <f t="shared" si="783"/>
        <v>0</v>
      </c>
      <c r="M352" s="23">
        <f t="shared" si="783"/>
        <v>0</v>
      </c>
      <c r="N352" s="22">
        <f t="shared" si="764"/>
        <v>0</v>
      </c>
      <c r="O352" s="24">
        <f t="shared" si="784"/>
        <v>0</v>
      </c>
      <c r="P352" s="23">
        <f t="shared" si="784"/>
        <v>0</v>
      </c>
      <c r="Q352" s="22">
        <f t="shared" si="765"/>
        <v>0</v>
      </c>
      <c r="R352" s="24">
        <f t="shared" si="785"/>
        <v>0</v>
      </c>
      <c r="S352" s="23">
        <f t="shared" si="785"/>
        <v>0</v>
      </c>
      <c r="T352" s="22">
        <f t="shared" si="766"/>
        <v>0</v>
      </c>
      <c r="U352" s="24">
        <f t="shared" si="786"/>
        <v>0</v>
      </c>
      <c r="V352" s="23">
        <f t="shared" si="786"/>
        <v>0</v>
      </c>
      <c r="W352" s="22">
        <f t="shared" si="767"/>
        <v>0</v>
      </c>
      <c r="X352" s="24">
        <f t="shared" si="787"/>
        <v>0</v>
      </c>
      <c r="Y352" s="23">
        <f t="shared" si="787"/>
        <v>0</v>
      </c>
      <c r="Z352" s="22">
        <f t="shared" si="768"/>
        <v>0</v>
      </c>
      <c r="AA352" s="24">
        <f t="shared" si="788"/>
        <v>0</v>
      </c>
      <c r="AB352" s="23">
        <f t="shared" si="788"/>
        <v>0</v>
      </c>
      <c r="AC352" s="22">
        <f t="shared" si="769"/>
        <v>0</v>
      </c>
      <c r="AD352" s="24">
        <f t="shared" si="789"/>
        <v>0</v>
      </c>
      <c r="AE352" s="23">
        <f t="shared" si="789"/>
        <v>0</v>
      </c>
      <c r="AF352" s="22">
        <f t="shared" si="770"/>
        <v>0</v>
      </c>
      <c r="AG352" s="24">
        <f t="shared" si="790"/>
        <v>0</v>
      </c>
      <c r="AH352" s="23">
        <f t="shared" si="790"/>
        <v>0</v>
      </c>
      <c r="AI352" s="22">
        <f t="shared" si="771"/>
        <v>0</v>
      </c>
      <c r="AJ352" s="24">
        <f t="shared" si="791"/>
        <v>0</v>
      </c>
      <c r="AK352" s="23">
        <f t="shared" si="791"/>
        <v>0</v>
      </c>
      <c r="AL352" s="22">
        <f t="shared" si="772"/>
        <v>0</v>
      </c>
      <c r="AM352" s="24">
        <f t="shared" si="792"/>
        <v>0</v>
      </c>
      <c r="AN352" s="23">
        <f t="shared" si="792"/>
        <v>0</v>
      </c>
      <c r="AO352" s="22">
        <f t="shared" si="773"/>
        <v>0</v>
      </c>
      <c r="AP352" s="24">
        <f t="shared" si="793"/>
        <v>0</v>
      </c>
      <c r="AQ352" s="23">
        <f t="shared" si="793"/>
        <v>0</v>
      </c>
      <c r="AR352" s="22">
        <f t="shared" si="774"/>
        <v>0</v>
      </c>
      <c r="AS352" s="24">
        <f t="shared" si="794"/>
        <v>0</v>
      </c>
      <c r="AT352" s="23">
        <f t="shared" si="794"/>
        <v>0</v>
      </c>
      <c r="AU352" s="22">
        <f t="shared" si="775"/>
        <v>0</v>
      </c>
      <c r="AV352" s="24">
        <f t="shared" si="795"/>
        <v>0</v>
      </c>
      <c r="AW352" s="23">
        <f t="shared" si="795"/>
        <v>0</v>
      </c>
      <c r="AX352" s="22">
        <f t="shared" si="776"/>
        <v>0</v>
      </c>
      <c r="AY352" s="23">
        <f t="shared" si="796"/>
        <v>0</v>
      </c>
      <c r="AZ352" s="23">
        <f t="shared" si="796"/>
        <v>0</v>
      </c>
      <c r="BA352" s="22">
        <f t="shared" si="777"/>
        <v>0</v>
      </c>
      <c r="BB352" s="24">
        <f t="shared" ref="BB352:BC360" si="799">BB384+BB424+BB456</f>
        <v>0</v>
      </c>
      <c r="BC352" s="23">
        <f t="shared" si="799"/>
        <v>0</v>
      </c>
      <c r="BD352" s="22">
        <f t="shared" si="778"/>
        <v>0</v>
      </c>
      <c r="BE352" s="24">
        <f t="shared" si="797"/>
        <v>0</v>
      </c>
      <c r="BF352" s="24">
        <f t="shared" si="797"/>
        <v>0</v>
      </c>
      <c r="BG352" s="20">
        <f t="shared" ref="BG352" si="800">BG384+BG424+BG456</f>
        <v>0</v>
      </c>
    </row>
    <row r="353" spans="1:59" ht="13.5" hidden="1" customHeight="1" outlineLevel="1" x14ac:dyDescent="0.25">
      <c r="A353" s="60"/>
      <c r="B353" s="84" t="s">
        <v>35</v>
      </c>
      <c r="C353" s="59" t="s">
        <v>110</v>
      </c>
      <c r="D353" s="20">
        <f t="shared" si="781"/>
        <v>0</v>
      </c>
      <c r="E353" s="20">
        <f t="shared" si="781"/>
        <v>0</v>
      </c>
      <c r="F353" s="24">
        <f t="shared" si="781"/>
        <v>0</v>
      </c>
      <c r="G353" s="23">
        <f t="shared" si="781"/>
        <v>0</v>
      </c>
      <c r="H353" s="22">
        <f t="shared" si="762"/>
        <v>0</v>
      </c>
      <c r="I353" s="24">
        <f t="shared" si="782"/>
        <v>0</v>
      </c>
      <c r="J353" s="23">
        <f t="shared" si="782"/>
        <v>0</v>
      </c>
      <c r="K353" s="22">
        <f t="shared" si="763"/>
        <v>0</v>
      </c>
      <c r="L353" s="24">
        <f t="shared" si="783"/>
        <v>0</v>
      </c>
      <c r="M353" s="23">
        <f t="shared" si="783"/>
        <v>0</v>
      </c>
      <c r="N353" s="22">
        <f t="shared" si="764"/>
        <v>0</v>
      </c>
      <c r="O353" s="24">
        <f t="shared" si="784"/>
        <v>0</v>
      </c>
      <c r="P353" s="23">
        <f t="shared" si="784"/>
        <v>0</v>
      </c>
      <c r="Q353" s="22">
        <f t="shared" si="765"/>
        <v>0</v>
      </c>
      <c r="R353" s="24">
        <f t="shared" si="785"/>
        <v>0</v>
      </c>
      <c r="S353" s="23">
        <f t="shared" si="785"/>
        <v>0</v>
      </c>
      <c r="T353" s="22">
        <f t="shared" si="766"/>
        <v>0</v>
      </c>
      <c r="U353" s="24">
        <f t="shared" si="786"/>
        <v>0</v>
      </c>
      <c r="V353" s="23">
        <f t="shared" si="786"/>
        <v>0</v>
      </c>
      <c r="W353" s="22">
        <f t="shared" si="767"/>
        <v>0</v>
      </c>
      <c r="X353" s="24">
        <f t="shared" si="787"/>
        <v>0</v>
      </c>
      <c r="Y353" s="23">
        <f t="shared" si="787"/>
        <v>0</v>
      </c>
      <c r="Z353" s="22">
        <f t="shared" si="768"/>
        <v>0</v>
      </c>
      <c r="AA353" s="24">
        <f t="shared" si="788"/>
        <v>0</v>
      </c>
      <c r="AB353" s="23">
        <f t="shared" si="788"/>
        <v>0</v>
      </c>
      <c r="AC353" s="22">
        <f t="shared" si="769"/>
        <v>0</v>
      </c>
      <c r="AD353" s="24">
        <f t="shared" si="789"/>
        <v>0</v>
      </c>
      <c r="AE353" s="23">
        <f t="shared" si="789"/>
        <v>0</v>
      </c>
      <c r="AF353" s="22">
        <f t="shared" si="770"/>
        <v>0</v>
      </c>
      <c r="AG353" s="24">
        <f t="shared" si="790"/>
        <v>0</v>
      </c>
      <c r="AH353" s="23">
        <f t="shared" si="790"/>
        <v>0</v>
      </c>
      <c r="AI353" s="22">
        <f t="shared" si="771"/>
        <v>0</v>
      </c>
      <c r="AJ353" s="24">
        <f t="shared" si="791"/>
        <v>0</v>
      </c>
      <c r="AK353" s="23">
        <f t="shared" si="791"/>
        <v>0</v>
      </c>
      <c r="AL353" s="22">
        <f t="shared" si="772"/>
        <v>0</v>
      </c>
      <c r="AM353" s="24">
        <f t="shared" si="792"/>
        <v>0</v>
      </c>
      <c r="AN353" s="23">
        <f t="shared" si="792"/>
        <v>0</v>
      </c>
      <c r="AO353" s="22">
        <f t="shared" si="773"/>
        <v>0</v>
      </c>
      <c r="AP353" s="24">
        <f t="shared" si="793"/>
        <v>0</v>
      </c>
      <c r="AQ353" s="23">
        <f t="shared" si="793"/>
        <v>0</v>
      </c>
      <c r="AR353" s="22">
        <f t="shared" si="774"/>
        <v>0</v>
      </c>
      <c r="AS353" s="24">
        <f t="shared" si="794"/>
        <v>0</v>
      </c>
      <c r="AT353" s="23">
        <f t="shared" si="794"/>
        <v>0</v>
      </c>
      <c r="AU353" s="22">
        <f t="shared" si="775"/>
        <v>0</v>
      </c>
      <c r="AV353" s="24">
        <f t="shared" si="795"/>
        <v>0</v>
      </c>
      <c r="AW353" s="23">
        <f t="shared" si="795"/>
        <v>0</v>
      </c>
      <c r="AX353" s="22">
        <f t="shared" si="776"/>
        <v>0</v>
      </c>
      <c r="AY353" s="23">
        <f t="shared" si="796"/>
        <v>0</v>
      </c>
      <c r="AZ353" s="23">
        <f t="shared" si="796"/>
        <v>0</v>
      </c>
      <c r="BA353" s="22">
        <f t="shared" si="777"/>
        <v>0</v>
      </c>
      <c r="BB353" s="24">
        <f t="shared" si="799"/>
        <v>0</v>
      </c>
      <c r="BC353" s="23">
        <f t="shared" si="799"/>
        <v>0</v>
      </c>
      <c r="BD353" s="22">
        <f t="shared" si="778"/>
        <v>0</v>
      </c>
      <c r="BE353" s="24">
        <f t="shared" si="797"/>
        <v>0</v>
      </c>
      <c r="BF353" s="24">
        <f t="shared" si="797"/>
        <v>0</v>
      </c>
      <c r="BG353" s="20">
        <f t="shared" ref="BG353" si="801">BG385+BG425+BG457</f>
        <v>0</v>
      </c>
    </row>
    <row r="354" spans="1:59" ht="13.5" hidden="1" customHeight="1" outlineLevel="1" x14ac:dyDescent="0.25">
      <c r="A354" s="60"/>
      <c r="B354" s="84" t="s">
        <v>36</v>
      </c>
      <c r="C354" s="59" t="s">
        <v>110</v>
      </c>
      <c r="D354" s="20">
        <f t="shared" si="781"/>
        <v>0</v>
      </c>
      <c r="E354" s="20">
        <f t="shared" si="781"/>
        <v>0</v>
      </c>
      <c r="F354" s="24">
        <f t="shared" si="781"/>
        <v>0</v>
      </c>
      <c r="G354" s="23">
        <f t="shared" si="781"/>
        <v>0</v>
      </c>
      <c r="H354" s="22">
        <f t="shared" si="762"/>
        <v>0</v>
      </c>
      <c r="I354" s="24">
        <f t="shared" si="782"/>
        <v>0</v>
      </c>
      <c r="J354" s="23">
        <f t="shared" si="782"/>
        <v>0</v>
      </c>
      <c r="K354" s="22">
        <f t="shared" si="763"/>
        <v>0</v>
      </c>
      <c r="L354" s="24">
        <f t="shared" si="783"/>
        <v>0</v>
      </c>
      <c r="M354" s="23">
        <f t="shared" si="783"/>
        <v>0</v>
      </c>
      <c r="N354" s="22">
        <f t="shared" si="764"/>
        <v>0</v>
      </c>
      <c r="O354" s="24">
        <f t="shared" si="784"/>
        <v>0</v>
      </c>
      <c r="P354" s="23">
        <f t="shared" si="784"/>
        <v>0</v>
      </c>
      <c r="Q354" s="22">
        <f t="shared" si="765"/>
        <v>0</v>
      </c>
      <c r="R354" s="24">
        <f t="shared" si="785"/>
        <v>0</v>
      </c>
      <c r="S354" s="23">
        <f t="shared" si="785"/>
        <v>0</v>
      </c>
      <c r="T354" s="22">
        <f t="shared" si="766"/>
        <v>0</v>
      </c>
      <c r="U354" s="24">
        <f t="shared" si="786"/>
        <v>0</v>
      </c>
      <c r="V354" s="23">
        <f t="shared" si="786"/>
        <v>0</v>
      </c>
      <c r="W354" s="22">
        <f t="shared" si="767"/>
        <v>0</v>
      </c>
      <c r="X354" s="24">
        <f t="shared" si="787"/>
        <v>0</v>
      </c>
      <c r="Y354" s="23">
        <f t="shared" si="787"/>
        <v>0</v>
      </c>
      <c r="Z354" s="22">
        <f t="shared" si="768"/>
        <v>0</v>
      </c>
      <c r="AA354" s="24">
        <f t="shared" si="788"/>
        <v>0</v>
      </c>
      <c r="AB354" s="23">
        <f t="shared" si="788"/>
        <v>0</v>
      </c>
      <c r="AC354" s="22">
        <f t="shared" si="769"/>
        <v>0</v>
      </c>
      <c r="AD354" s="24">
        <f t="shared" si="789"/>
        <v>0</v>
      </c>
      <c r="AE354" s="23">
        <f t="shared" si="789"/>
        <v>0</v>
      </c>
      <c r="AF354" s="22">
        <f t="shared" si="770"/>
        <v>0</v>
      </c>
      <c r="AG354" s="24">
        <f t="shared" si="790"/>
        <v>0</v>
      </c>
      <c r="AH354" s="23">
        <f t="shared" si="790"/>
        <v>0</v>
      </c>
      <c r="AI354" s="22">
        <f t="shared" si="771"/>
        <v>0</v>
      </c>
      <c r="AJ354" s="24">
        <f t="shared" si="791"/>
        <v>0</v>
      </c>
      <c r="AK354" s="23">
        <f t="shared" si="791"/>
        <v>0</v>
      </c>
      <c r="AL354" s="22">
        <f t="shared" si="772"/>
        <v>0</v>
      </c>
      <c r="AM354" s="24">
        <f t="shared" si="792"/>
        <v>0</v>
      </c>
      <c r="AN354" s="23">
        <f t="shared" si="792"/>
        <v>0</v>
      </c>
      <c r="AO354" s="22">
        <f t="shared" si="773"/>
        <v>0</v>
      </c>
      <c r="AP354" s="24">
        <f t="shared" si="793"/>
        <v>0</v>
      </c>
      <c r="AQ354" s="23">
        <f t="shared" si="793"/>
        <v>0</v>
      </c>
      <c r="AR354" s="22">
        <f t="shared" si="774"/>
        <v>0</v>
      </c>
      <c r="AS354" s="24">
        <f t="shared" si="794"/>
        <v>0</v>
      </c>
      <c r="AT354" s="23">
        <f t="shared" si="794"/>
        <v>0</v>
      </c>
      <c r="AU354" s="22">
        <f t="shared" si="775"/>
        <v>0</v>
      </c>
      <c r="AV354" s="24">
        <f t="shared" si="795"/>
        <v>0</v>
      </c>
      <c r="AW354" s="23">
        <f t="shared" si="795"/>
        <v>0</v>
      </c>
      <c r="AX354" s="22">
        <f t="shared" si="776"/>
        <v>0</v>
      </c>
      <c r="AY354" s="23">
        <f t="shared" si="796"/>
        <v>0</v>
      </c>
      <c r="AZ354" s="23">
        <f t="shared" si="796"/>
        <v>0</v>
      </c>
      <c r="BA354" s="22">
        <f t="shared" si="777"/>
        <v>0</v>
      </c>
      <c r="BB354" s="24">
        <f t="shared" si="799"/>
        <v>0</v>
      </c>
      <c r="BC354" s="23">
        <f t="shared" si="799"/>
        <v>0</v>
      </c>
      <c r="BD354" s="22">
        <f t="shared" si="778"/>
        <v>0</v>
      </c>
      <c r="BE354" s="24">
        <f t="shared" si="797"/>
        <v>0</v>
      </c>
      <c r="BF354" s="24">
        <f t="shared" si="797"/>
        <v>0</v>
      </c>
      <c r="BG354" s="20">
        <f t="shared" ref="BG354" si="802">BG386+BG426+BG458</f>
        <v>0</v>
      </c>
    </row>
    <row r="355" spans="1:59" ht="13.5" hidden="1" customHeight="1" outlineLevel="1" x14ac:dyDescent="0.25">
      <c r="A355" s="60"/>
      <c r="B355" s="84" t="s">
        <v>37</v>
      </c>
      <c r="C355" s="59" t="s">
        <v>110</v>
      </c>
      <c r="D355" s="20">
        <f t="shared" si="781"/>
        <v>0</v>
      </c>
      <c r="E355" s="20">
        <f t="shared" si="781"/>
        <v>0</v>
      </c>
      <c r="F355" s="24">
        <f t="shared" si="781"/>
        <v>0</v>
      </c>
      <c r="G355" s="23">
        <f t="shared" si="781"/>
        <v>0</v>
      </c>
      <c r="H355" s="22">
        <f t="shared" si="762"/>
        <v>0</v>
      </c>
      <c r="I355" s="24">
        <f t="shared" si="782"/>
        <v>0</v>
      </c>
      <c r="J355" s="23">
        <f t="shared" si="782"/>
        <v>0</v>
      </c>
      <c r="K355" s="22">
        <f t="shared" si="763"/>
        <v>0</v>
      </c>
      <c r="L355" s="24">
        <f t="shared" si="783"/>
        <v>0</v>
      </c>
      <c r="M355" s="23">
        <f t="shared" si="783"/>
        <v>0</v>
      </c>
      <c r="N355" s="22">
        <f t="shared" si="764"/>
        <v>0</v>
      </c>
      <c r="O355" s="24">
        <f t="shared" si="784"/>
        <v>0</v>
      </c>
      <c r="P355" s="23">
        <f t="shared" si="784"/>
        <v>0</v>
      </c>
      <c r="Q355" s="22">
        <f t="shared" si="765"/>
        <v>0</v>
      </c>
      <c r="R355" s="24">
        <f t="shared" si="785"/>
        <v>0</v>
      </c>
      <c r="S355" s="23">
        <f t="shared" si="785"/>
        <v>0</v>
      </c>
      <c r="T355" s="22">
        <f t="shared" si="766"/>
        <v>0</v>
      </c>
      <c r="U355" s="24">
        <f t="shared" si="786"/>
        <v>0</v>
      </c>
      <c r="V355" s="23">
        <f t="shared" si="786"/>
        <v>0</v>
      </c>
      <c r="W355" s="22">
        <f t="shared" si="767"/>
        <v>0</v>
      </c>
      <c r="X355" s="24">
        <f t="shared" si="787"/>
        <v>0</v>
      </c>
      <c r="Y355" s="23">
        <f t="shared" si="787"/>
        <v>0</v>
      </c>
      <c r="Z355" s="22">
        <f t="shared" si="768"/>
        <v>0</v>
      </c>
      <c r="AA355" s="24">
        <f t="shared" si="788"/>
        <v>0</v>
      </c>
      <c r="AB355" s="23">
        <f t="shared" si="788"/>
        <v>0</v>
      </c>
      <c r="AC355" s="22">
        <f t="shared" si="769"/>
        <v>0</v>
      </c>
      <c r="AD355" s="24">
        <f t="shared" si="789"/>
        <v>0</v>
      </c>
      <c r="AE355" s="23">
        <f t="shared" si="789"/>
        <v>0</v>
      </c>
      <c r="AF355" s="22">
        <f t="shared" si="770"/>
        <v>0</v>
      </c>
      <c r="AG355" s="24">
        <f t="shared" si="790"/>
        <v>0</v>
      </c>
      <c r="AH355" s="23">
        <f t="shared" si="790"/>
        <v>0</v>
      </c>
      <c r="AI355" s="22">
        <f t="shared" si="771"/>
        <v>0</v>
      </c>
      <c r="AJ355" s="24">
        <f t="shared" si="791"/>
        <v>0</v>
      </c>
      <c r="AK355" s="23">
        <f t="shared" si="791"/>
        <v>0</v>
      </c>
      <c r="AL355" s="22">
        <f t="shared" si="772"/>
        <v>0</v>
      </c>
      <c r="AM355" s="24">
        <f t="shared" si="792"/>
        <v>0</v>
      </c>
      <c r="AN355" s="23">
        <f t="shared" si="792"/>
        <v>0</v>
      </c>
      <c r="AO355" s="22">
        <f t="shared" si="773"/>
        <v>0</v>
      </c>
      <c r="AP355" s="24">
        <f t="shared" si="793"/>
        <v>0</v>
      </c>
      <c r="AQ355" s="23">
        <f t="shared" si="793"/>
        <v>0</v>
      </c>
      <c r="AR355" s="22">
        <f t="shared" si="774"/>
        <v>0</v>
      </c>
      <c r="AS355" s="24">
        <f t="shared" si="794"/>
        <v>0</v>
      </c>
      <c r="AT355" s="23">
        <f t="shared" si="794"/>
        <v>0</v>
      </c>
      <c r="AU355" s="22">
        <f t="shared" si="775"/>
        <v>0</v>
      </c>
      <c r="AV355" s="24">
        <f t="shared" si="795"/>
        <v>0</v>
      </c>
      <c r="AW355" s="23">
        <f t="shared" si="795"/>
        <v>0</v>
      </c>
      <c r="AX355" s="22">
        <f t="shared" si="776"/>
        <v>0</v>
      </c>
      <c r="AY355" s="23">
        <f t="shared" si="796"/>
        <v>0</v>
      </c>
      <c r="AZ355" s="23">
        <f t="shared" si="796"/>
        <v>0</v>
      </c>
      <c r="BA355" s="22">
        <f t="shared" si="777"/>
        <v>0</v>
      </c>
      <c r="BB355" s="24">
        <f t="shared" si="799"/>
        <v>0</v>
      </c>
      <c r="BC355" s="23">
        <f t="shared" si="799"/>
        <v>0</v>
      </c>
      <c r="BD355" s="22">
        <f t="shared" si="778"/>
        <v>0</v>
      </c>
      <c r="BE355" s="24">
        <f t="shared" si="797"/>
        <v>0</v>
      </c>
      <c r="BF355" s="24">
        <f t="shared" si="797"/>
        <v>0</v>
      </c>
      <c r="BG355" s="20">
        <f t="shared" ref="BG355" si="803">BG387+BG427+BG459</f>
        <v>0</v>
      </c>
    </row>
    <row r="356" spans="1:59" ht="13.5" hidden="1" customHeight="1" outlineLevel="1" x14ac:dyDescent="0.25">
      <c r="A356" s="60"/>
      <c r="B356" s="84" t="s">
        <v>38</v>
      </c>
      <c r="C356" s="59" t="s">
        <v>110</v>
      </c>
      <c r="D356" s="20">
        <f t="shared" si="781"/>
        <v>0</v>
      </c>
      <c r="E356" s="20">
        <f t="shared" si="781"/>
        <v>0</v>
      </c>
      <c r="F356" s="24">
        <f t="shared" si="781"/>
        <v>0</v>
      </c>
      <c r="G356" s="23">
        <f t="shared" si="781"/>
        <v>0</v>
      </c>
      <c r="H356" s="22">
        <f t="shared" si="762"/>
        <v>0</v>
      </c>
      <c r="I356" s="24">
        <f t="shared" si="782"/>
        <v>0</v>
      </c>
      <c r="J356" s="23">
        <f t="shared" si="782"/>
        <v>0</v>
      </c>
      <c r="K356" s="22">
        <f t="shared" si="763"/>
        <v>0</v>
      </c>
      <c r="L356" s="24">
        <f t="shared" si="783"/>
        <v>0</v>
      </c>
      <c r="M356" s="23">
        <f t="shared" si="783"/>
        <v>0</v>
      </c>
      <c r="N356" s="22">
        <f t="shared" si="764"/>
        <v>0</v>
      </c>
      <c r="O356" s="24">
        <f t="shared" si="784"/>
        <v>0</v>
      </c>
      <c r="P356" s="23">
        <f t="shared" si="784"/>
        <v>0</v>
      </c>
      <c r="Q356" s="22">
        <f t="shared" si="765"/>
        <v>0</v>
      </c>
      <c r="R356" s="24">
        <f t="shared" si="785"/>
        <v>0</v>
      </c>
      <c r="S356" s="23">
        <f t="shared" si="785"/>
        <v>0</v>
      </c>
      <c r="T356" s="22">
        <f t="shared" si="766"/>
        <v>0</v>
      </c>
      <c r="U356" s="24">
        <f t="shared" si="786"/>
        <v>0</v>
      </c>
      <c r="V356" s="23">
        <f t="shared" si="786"/>
        <v>0</v>
      </c>
      <c r="W356" s="22">
        <f t="shared" si="767"/>
        <v>0</v>
      </c>
      <c r="X356" s="24">
        <f t="shared" si="787"/>
        <v>0</v>
      </c>
      <c r="Y356" s="23">
        <f t="shared" si="787"/>
        <v>0</v>
      </c>
      <c r="Z356" s="22">
        <f t="shared" si="768"/>
        <v>0</v>
      </c>
      <c r="AA356" s="24">
        <f t="shared" si="788"/>
        <v>0</v>
      </c>
      <c r="AB356" s="23">
        <f t="shared" si="788"/>
        <v>0</v>
      </c>
      <c r="AC356" s="22">
        <f t="shared" si="769"/>
        <v>0</v>
      </c>
      <c r="AD356" s="24">
        <f t="shared" si="789"/>
        <v>0</v>
      </c>
      <c r="AE356" s="23">
        <f t="shared" si="789"/>
        <v>0</v>
      </c>
      <c r="AF356" s="22">
        <f t="shared" si="770"/>
        <v>0</v>
      </c>
      <c r="AG356" s="24">
        <f t="shared" si="790"/>
        <v>0</v>
      </c>
      <c r="AH356" s="23">
        <f t="shared" si="790"/>
        <v>0</v>
      </c>
      <c r="AI356" s="22">
        <f t="shared" si="771"/>
        <v>0</v>
      </c>
      <c r="AJ356" s="24">
        <f t="shared" si="791"/>
        <v>0</v>
      </c>
      <c r="AK356" s="23">
        <f t="shared" si="791"/>
        <v>0</v>
      </c>
      <c r="AL356" s="22">
        <f t="shared" si="772"/>
        <v>0</v>
      </c>
      <c r="AM356" s="24">
        <f t="shared" si="792"/>
        <v>0</v>
      </c>
      <c r="AN356" s="23">
        <f t="shared" si="792"/>
        <v>0</v>
      </c>
      <c r="AO356" s="22">
        <f t="shared" si="773"/>
        <v>0</v>
      </c>
      <c r="AP356" s="24">
        <f t="shared" si="793"/>
        <v>0</v>
      </c>
      <c r="AQ356" s="23">
        <f t="shared" si="793"/>
        <v>0</v>
      </c>
      <c r="AR356" s="22">
        <f t="shared" si="774"/>
        <v>0</v>
      </c>
      <c r="AS356" s="24">
        <f t="shared" si="794"/>
        <v>0</v>
      </c>
      <c r="AT356" s="23">
        <f t="shared" si="794"/>
        <v>0</v>
      </c>
      <c r="AU356" s="22">
        <f t="shared" si="775"/>
        <v>0</v>
      </c>
      <c r="AV356" s="24">
        <f t="shared" si="795"/>
        <v>0</v>
      </c>
      <c r="AW356" s="23">
        <f t="shared" si="795"/>
        <v>0</v>
      </c>
      <c r="AX356" s="22">
        <f t="shared" si="776"/>
        <v>0</v>
      </c>
      <c r="AY356" s="23">
        <f t="shared" si="796"/>
        <v>0</v>
      </c>
      <c r="AZ356" s="23">
        <f t="shared" si="796"/>
        <v>0</v>
      </c>
      <c r="BA356" s="22">
        <f t="shared" si="777"/>
        <v>0</v>
      </c>
      <c r="BB356" s="24">
        <f t="shared" si="799"/>
        <v>0</v>
      </c>
      <c r="BC356" s="23">
        <f t="shared" si="799"/>
        <v>0</v>
      </c>
      <c r="BD356" s="22">
        <f t="shared" si="778"/>
        <v>0</v>
      </c>
      <c r="BE356" s="24">
        <f t="shared" si="797"/>
        <v>0</v>
      </c>
      <c r="BF356" s="24">
        <f t="shared" si="797"/>
        <v>0</v>
      </c>
      <c r="BG356" s="20">
        <f t="shared" ref="BG356" si="804">BG388+BG428+BG460</f>
        <v>0</v>
      </c>
    </row>
    <row r="357" spans="1:59" ht="13.5" hidden="1" customHeight="1" outlineLevel="1" x14ac:dyDescent="0.25">
      <c r="A357" s="60"/>
      <c r="B357" s="84" t="s">
        <v>39</v>
      </c>
      <c r="C357" s="59" t="s">
        <v>110</v>
      </c>
      <c r="D357" s="20">
        <f t="shared" si="781"/>
        <v>0</v>
      </c>
      <c r="E357" s="20">
        <f t="shared" si="781"/>
        <v>0</v>
      </c>
      <c r="F357" s="24">
        <f t="shared" si="781"/>
        <v>0</v>
      </c>
      <c r="G357" s="23">
        <f t="shared" si="781"/>
        <v>0</v>
      </c>
      <c r="H357" s="22">
        <f t="shared" si="762"/>
        <v>0</v>
      </c>
      <c r="I357" s="24">
        <f t="shared" si="782"/>
        <v>0</v>
      </c>
      <c r="J357" s="23">
        <f t="shared" si="782"/>
        <v>0</v>
      </c>
      <c r="K357" s="22">
        <f t="shared" si="763"/>
        <v>0</v>
      </c>
      <c r="L357" s="24">
        <f t="shared" si="783"/>
        <v>0</v>
      </c>
      <c r="M357" s="23">
        <f t="shared" si="783"/>
        <v>0</v>
      </c>
      <c r="N357" s="22">
        <f t="shared" si="764"/>
        <v>0</v>
      </c>
      <c r="O357" s="24">
        <f t="shared" si="784"/>
        <v>0</v>
      </c>
      <c r="P357" s="23">
        <f t="shared" si="784"/>
        <v>0</v>
      </c>
      <c r="Q357" s="22">
        <f t="shared" si="765"/>
        <v>0</v>
      </c>
      <c r="R357" s="24">
        <f t="shared" si="785"/>
        <v>0</v>
      </c>
      <c r="S357" s="23">
        <f t="shared" si="785"/>
        <v>0</v>
      </c>
      <c r="T357" s="22">
        <f t="shared" si="766"/>
        <v>0</v>
      </c>
      <c r="U357" s="24">
        <f t="shared" si="786"/>
        <v>0</v>
      </c>
      <c r="V357" s="23">
        <f t="shared" si="786"/>
        <v>0</v>
      </c>
      <c r="W357" s="22">
        <f t="shared" si="767"/>
        <v>0</v>
      </c>
      <c r="X357" s="24">
        <f t="shared" si="787"/>
        <v>0</v>
      </c>
      <c r="Y357" s="23">
        <f t="shared" si="787"/>
        <v>0</v>
      </c>
      <c r="Z357" s="22">
        <f t="shared" si="768"/>
        <v>0</v>
      </c>
      <c r="AA357" s="24">
        <f t="shared" si="788"/>
        <v>0</v>
      </c>
      <c r="AB357" s="23">
        <f t="shared" si="788"/>
        <v>0</v>
      </c>
      <c r="AC357" s="22">
        <f t="shared" si="769"/>
        <v>0</v>
      </c>
      <c r="AD357" s="24">
        <f t="shared" si="789"/>
        <v>0</v>
      </c>
      <c r="AE357" s="23">
        <f t="shared" si="789"/>
        <v>0</v>
      </c>
      <c r="AF357" s="22">
        <f t="shared" si="770"/>
        <v>0</v>
      </c>
      <c r="AG357" s="24">
        <f t="shared" si="790"/>
        <v>0</v>
      </c>
      <c r="AH357" s="23">
        <f t="shared" si="790"/>
        <v>0</v>
      </c>
      <c r="AI357" s="22">
        <f t="shared" si="771"/>
        <v>0</v>
      </c>
      <c r="AJ357" s="24">
        <f t="shared" si="791"/>
        <v>0</v>
      </c>
      <c r="AK357" s="23">
        <f t="shared" si="791"/>
        <v>0</v>
      </c>
      <c r="AL357" s="22">
        <f t="shared" si="772"/>
        <v>0</v>
      </c>
      <c r="AM357" s="24">
        <f t="shared" si="792"/>
        <v>0</v>
      </c>
      <c r="AN357" s="23">
        <f t="shared" si="792"/>
        <v>0</v>
      </c>
      <c r="AO357" s="22">
        <f t="shared" si="773"/>
        <v>0</v>
      </c>
      <c r="AP357" s="24">
        <f t="shared" si="793"/>
        <v>0</v>
      </c>
      <c r="AQ357" s="23">
        <f t="shared" si="793"/>
        <v>0</v>
      </c>
      <c r="AR357" s="22">
        <f t="shared" si="774"/>
        <v>0</v>
      </c>
      <c r="AS357" s="24">
        <f t="shared" si="794"/>
        <v>0</v>
      </c>
      <c r="AT357" s="23">
        <f t="shared" si="794"/>
        <v>0</v>
      </c>
      <c r="AU357" s="22">
        <f t="shared" si="775"/>
        <v>0</v>
      </c>
      <c r="AV357" s="24">
        <f t="shared" si="795"/>
        <v>0</v>
      </c>
      <c r="AW357" s="23">
        <f t="shared" si="795"/>
        <v>0</v>
      </c>
      <c r="AX357" s="22">
        <f t="shared" si="776"/>
        <v>0</v>
      </c>
      <c r="AY357" s="23">
        <f t="shared" si="796"/>
        <v>0</v>
      </c>
      <c r="AZ357" s="23">
        <f t="shared" si="796"/>
        <v>0</v>
      </c>
      <c r="BA357" s="22">
        <f t="shared" si="777"/>
        <v>0</v>
      </c>
      <c r="BB357" s="24">
        <f t="shared" si="799"/>
        <v>0</v>
      </c>
      <c r="BC357" s="23">
        <f t="shared" si="799"/>
        <v>0</v>
      </c>
      <c r="BD357" s="22">
        <f t="shared" si="778"/>
        <v>0</v>
      </c>
      <c r="BE357" s="24">
        <f t="shared" si="797"/>
        <v>0</v>
      </c>
      <c r="BF357" s="24">
        <f t="shared" si="797"/>
        <v>0</v>
      </c>
      <c r="BG357" s="20">
        <f t="shared" ref="BG357" si="805">BG389+BG429+BG461</f>
        <v>0</v>
      </c>
    </row>
    <row r="358" spans="1:59" ht="13.5" hidden="1" customHeight="1" outlineLevel="1" x14ac:dyDescent="0.25">
      <c r="A358" s="60"/>
      <c r="B358" s="84" t="s">
        <v>40</v>
      </c>
      <c r="C358" s="59" t="s">
        <v>110</v>
      </c>
      <c r="D358" s="20">
        <f t="shared" si="781"/>
        <v>0</v>
      </c>
      <c r="E358" s="20">
        <f t="shared" si="781"/>
        <v>0</v>
      </c>
      <c r="F358" s="24">
        <f t="shared" si="781"/>
        <v>0</v>
      </c>
      <c r="G358" s="23">
        <f t="shared" si="781"/>
        <v>0</v>
      </c>
      <c r="H358" s="22">
        <f t="shared" si="762"/>
        <v>0</v>
      </c>
      <c r="I358" s="24">
        <f t="shared" si="782"/>
        <v>0</v>
      </c>
      <c r="J358" s="23">
        <f t="shared" si="782"/>
        <v>0</v>
      </c>
      <c r="K358" s="22">
        <f t="shared" si="763"/>
        <v>0</v>
      </c>
      <c r="L358" s="24">
        <f t="shared" si="783"/>
        <v>0</v>
      </c>
      <c r="M358" s="23">
        <f t="shared" si="783"/>
        <v>0</v>
      </c>
      <c r="N358" s="22">
        <f t="shared" si="764"/>
        <v>0</v>
      </c>
      <c r="O358" s="24">
        <f t="shared" si="784"/>
        <v>0</v>
      </c>
      <c r="P358" s="23">
        <f t="shared" si="784"/>
        <v>0</v>
      </c>
      <c r="Q358" s="22">
        <f t="shared" si="765"/>
        <v>0</v>
      </c>
      <c r="R358" s="24">
        <f t="shared" si="785"/>
        <v>0</v>
      </c>
      <c r="S358" s="23">
        <f t="shared" si="785"/>
        <v>0</v>
      </c>
      <c r="T358" s="22">
        <f t="shared" si="766"/>
        <v>0</v>
      </c>
      <c r="U358" s="24">
        <f t="shared" si="786"/>
        <v>0</v>
      </c>
      <c r="V358" s="23">
        <f t="shared" si="786"/>
        <v>0</v>
      </c>
      <c r="W358" s="22">
        <f t="shared" si="767"/>
        <v>0</v>
      </c>
      <c r="X358" s="24">
        <f t="shared" si="787"/>
        <v>0</v>
      </c>
      <c r="Y358" s="23">
        <f t="shared" si="787"/>
        <v>0</v>
      </c>
      <c r="Z358" s="22">
        <f t="shared" si="768"/>
        <v>0</v>
      </c>
      <c r="AA358" s="24">
        <f t="shared" si="788"/>
        <v>0</v>
      </c>
      <c r="AB358" s="23">
        <f t="shared" si="788"/>
        <v>0</v>
      </c>
      <c r="AC358" s="22">
        <f t="shared" si="769"/>
        <v>0</v>
      </c>
      <c r="AD358" s="24">
        <f t="shared" si="789"/>
        <v>0</v>
      </c>
      <c r="AE358" s="23">
        <f t="shared" si="789"/>
        <v>0</v>
      </c>
      <c r="AF358" s="22">
        <f t="shared" si="770"/>
        <v>0</v>
      </c>
      <c r="AG358" s="24">
        <f t="shared" si="790"/>
        <v>0</v>
      </c>
      <c r="AH358" s="23">
        <f t="shared" si="790"/>
        <v>0</v>
      </c>
      <c r="AI358" s="22">
        <f t="shared" si="771"/>
        <v>0</v>
      </c>
      <c r="AJ358" s="24">
        <f t="shared" si="791"/>
        <v>0</v>
      </c>
      <c r="AK358" s="23">
        <f t="shared" si="791"/>
        <v>0</v>
      </c>
      <c r="AL358" s="22">
        <f t="shared" si="772"/>
        <v>0</v>
      </c>
      <c r="AM358" s="24">
        <f t="shared" si="792"/>
        <v>0</v>
      </c>
      <c r="AN358" s="23">
        <f t="shared" si="792"/>
        <v>0</v>
      </c>
      <c r="AO358" s="22">
        <f t="shared" si="773"/>
        <v>0</v>
      </c>
      <c r="AP358" s="24">
        <f t="shared" si="793"/>
        <v>0</v>
      </c>
      <c r="AQ358" s="23">
        <f t="shared" si="793"/>
        <v>0</v>
      </c>
      <c r="AR358" s="22">
        <f t="shared" si="774"/>
        <v>0</v>
      </c>
      <c r="AS358" s="24">
        <f t="shared" si="794"/>
        <v>0</v>
      </c>
      <c r="AT358" s="23">
        <f t="shared" si="794"/>
        <v>0</v>
      </c>
      <c r="AU358" s="22">
        <f t="shared" si="775"/>
        <v>0</v>
      </c>
      <c r="AV358" s="24">
        <f t="shared" si="795"/>
        <v>0</v>
      </c>
      <c r="AW358" s="23">
        <f t="shared" si="795"/>
        <v>0</v>
      </c>
      <c r="AX358" s="22">
        <f t="shared" si="776"/>
        <v>0</v>
      </c>
      <c r="AY358" s="23">
        <f t="shared" si="796"/>
        <v>0</v>
      </c>
      <c r="AZ358" s="23">
        <f t="shared" si="796"/>
        <v>0</v>
      </c>
      <c r="BA358" s="22">
        <f t="shared" si="777"/>
        <v>0</v>
      </c>
      <c r="BB358" s="24">
        <f t="shared" si="799"/>
        <v>0</v>
      </c>
      <c r="BC358" s="23">
        <f t="shared" si="799"/>
        <v>0</v>
      </c>
      <c r="BD358" s="22">
        <f t="shared" si="778"/>
        <v>0</v>
      </c>
      <c r="BE358" s="24">
        <f t="shared" si="797"/>
        <v>0</v>
      </c>
      <c r="BF358" s="24">
        <f t="shared" si="797"/>
        <v>0</v>
      </c>
      <c r="BG358" s="20">
        <f t="shared" ref="BG358" si="806">BG390+BG430+BG462</f>
        <v>0</v>
      </c>
    </row>
    <row r="359" spans="1:59" ht="13.5" hidden="1" customHeight="1" outlineLevel="1" x14ac:dyDescent="0.25">
      <c r="A359" s="60"/>
      <c r="B359" s="84" t="s">
        <v>41</v>
      </c>
      <c r="C359" s="59" t="s">
        <v>110</v>
      </c>
      <c r="D359" s="20">
        <f t="shared" si="781"/>
        <v>0</v>
      </c>
      <c r="E359" s="20">
        <f t="shared" si="781"/>
        <v>0</v>
      </c>
      <c r="F359" s="24">
        <f t="shared" si="781"/>
        <v>0</v>
      </c>
      <c r="G359" s="23">
        <f t="shared" si="781"/>
        <v>0</v>
      </c>
      <c r="H359" s="22">
        <f t="shared" si="762"/>
        <v>0</v>
      </c>
      <c r="I359" s="24">
        <f t="shared" si="782"/>
        <v>0</v>
      </c>
      <c r="J359" s="23">
        <f t="shared" si="782"/>
        <v>0</v>
      </c>
      <c r="K359" s="22">
        <f t="shared" si="763"/>
        <v>0</v>
      </c>
      <c r="L359" s="24">
        <f t="shared" si="783"/>
        <v>0</v>
      </c>
      <c r="M359" s="23">
        <f t="shared" si="783"/>
        <v>0</v>
      </c>
      <c r="N359" s="22">
        <f t="shared" si="764"/>
        <v>0</v>
      </c>
      <c r="O359" s="24">
        <f t="shared" si="784"/>
        <v>0</v>
      </c>
      <c r="P359" s="23">
        <f t="shared" si="784"/>
        <v>0</v>
      </c>
      <c r="Q359" s="22">
        <f t="shared" si="765"/>
        <v>0</v>
      </c>
      <c r="R359" s="24">
        <f t="shared" si="785"/>
        <v>0</v>
      </c>
      <c r="S359" s="23">
        <f t="shared" si="785"/>
        <v>0</v>
      </c>
      <c r="T359" s="22">
        <f t="shared" si="766"/>
        <v>0</v>
      </c>
      <c r="U359" s="24">
        <f t="shared" si="786"/>
        <v>0</v>
      </c>
      <c r="V359" s="23">
        <f t="shared" si="786"/>
        <v>0</v>
      </c>
      <c r="W359" s="22">
        <f t="shared" si="767"/>
        <v>0</v>
      </c>
      <c r="X359" s="24">
        <f t="shared" si="787"/>
        <v>0</v>
      </c>
      <c r="Y359" s="23">
        <f t="shared" si="787"/>
        <v>0</v>
      </c>
      <c r="Z359" s="22">
        <f t="shared" si="768"/>
        <v>0</v>
      </c>
      <c r="AA359" s="24">
        <f t="shared" si="788"/>
        <v>0</v>
      </c>
      <c r="AB359" s="23">
        <f t="shared" si="788"/>
        <v>0</v>
      </c>
      <c r="AC359" s="22">
        <f t="shared" si="769"/>
        <v>0</v>
      </c>
      <c r="AD359" s="24">
        <f t="shared" si="789"/>
        <v>0</v>
      </c>
      <c r="AE359" s="23">
        <f t="shared" si="789"/>
        <v>0</v>
      </c>
      <c r="AF359" s="22">
        <f t="shared" si="770"/>
        <v>0</v>
      </c>
      <c r="AG359" s="24">
        <f t="shared" si="790"/>
        <v>0</v>
      </c>
      <c r="AH359" s="23">
        <f t="shared" si="790"/>
        <v>0</v>
      </c>
      <c r="AI359" s="22">
        <f t="shared" si="771"/>
        <v>0</v>
      </c>
      <c r="AJ359" s="24">
        <f t="shared" si="791"/>
        <v>0</v>
      </c>
      <c r="AK359" s="23">
        <f t="shared" si="791"/>
        <v>0</v>
      </c>
      <c r="AL359" s="22">
        <f t="shared" si="772"/>
        <v>0</v>
      </c>
      <c r="AM359" s="24">
        <f t="shared" si="792"/>
        <v>0</v>
      </c>
      <c r="AN359" s="23">
        <f t="shared" si="792"/>
        <v>0</v>
      </c>
      <c r="AO359" s="22">
        <f t="shared" si="773"/>
        <v>0</v>
      </c>
      <c r="AP359" s="24">
        <f t="shared" si="793"/>
        <v>0</v>
      </c>
      <c r="AQ359" s="23">
        <f t="shared" si="793"/>
        <v>0</v>
      </c>
      <c r="AR359" s="22">
        <f t="shared" si="774"/>
        <v>0</v>
      </c>
      <c r="AS359" s="24">
        <f t="shared" si="794"/>
        <v>0</v>
      </c>
      <c r="AT359" s="23">
        <f t="shared" si="794"/>
        <v>0</v>
      </c>
      <c r="AU359" s="22">
        <f t="shared" si="775"/>
        <v>0</v>
      </c>
      <c r="AV359" s="24">
        <f t="shared" si="795"/>
        <v>0</v>
      </c>
      <c r="AW359" s="23">
        <f t="shared" si="795"/>
        <v>0</v>
      </c>
      <c r="AX359" s="22">
        <f t="shared" si="776"/>
        <v>0</v>
      </c>
      <c r="AY359" s="23">
        <f t="shared" si="796"/>
        <v>0</v>
      </c>
      <c r="AZ359" s="23">
        <f t="shared" si="796"/>
        <v>0</v>
      </c>
      <c r="BA359" s="22">
        <f t="shared" si="777"/>
        <v>0</v>
      </c>
      <c r="BB359" s="24">
        <f t="shared" si="799"/>
        <v>0</v>
      </c>
      <c r="BC359" s="23">
        <f t="shared" si="799"/>
        <v>0</v>
      </c>
      <c r="BD359" s="22">
        <f t="shared" si="778"/>
        <v>0</v>
      </c>
      <c r="BE359" s="24">
        <f t="shared" si="797"/>
        <v>0</v>
      </c>
      <c r="BF359" s="24">
        <f t="shared" si="797"/>
        <v>0</v>
      </c>
      <c r="BG359" s="20">
        <f t="shared" ref="BG359" si="807">BG391+BG431+BG463</f>
        <v>0</v>
      </c>
    </row>
    <row r="360" spans="1:59" ht="13.5" hidden="1" customHeight="1" outlineLevel="1" x14ac:dyDescent="0.25">
      <c r="A360" s="60"/>
      <c r="B360" s="84" t="s">
        <v>42</v>
      </c>
      <c r="C360" s="59" t="s">
        <v>110</v>
      </c>
      <c r="D360" s="20">
        <f t="shared" si="781"/>
        <v>0</v>
      </c>
      <c r="E360" s="20">
        <f t="shared" si="781"/>
        <v>0</v>
      </c>
      <c r="F360" s="24">
        <f t="shared" si="781"/>
        <v>0</v>
      </c>
      <c r="G360" s="23">
        <f t="shared" si="781"/>
        <v>0</v>
      </c>
      <c r="H360" s="22">
        <f t="shared" si="762"/>
        <v>0</v>
      </c>
      <c r="I360" s="24">
        <f t="shared" si="782"/>
        <v>0</v>
      </c>
      <c r="J360" s="23">
        <f t="shared" si="782"/>
        <v>0</v>
      </c>
      <c r="K360" s="22">
        <f t="shared" si="763"/>
        <v>0</v>
      </c>
      <c r="L360" s="24">
        <f t="shared" si="783"/>
        <v>0</v>
      </c>
      <c r="M360" s="23">
        <f t="shared" si="783"/>
        <v>0</v>
      </c>
      <c r="N360" s="22">
        <f t="shared" si="764"/>
        <v>0</v>
      </c>
      <c r="O360" s="24">
        <f t="shared" si="784"/>
        <v>0</v>
      </c>
      <c r="P360" s="23">
        <f t="shared" si="784"/>
        <v>0</v>
      </c>
      <c r="Q360" s="22">
        <f t="shared" si="765"/>
        <v>0</v>
      </c>
      <c r="R360" s="24">
        <f t="shared" si="785"/>
        <v>0</v>
      </c>
      <c r="S360" s="23">
        <f t="shared" si="785"/>
        <v>0</v>
      </c>
      <c r="T360" s="22">
        <f t="shared" si="766"/>
        <v>0</v>
      </c>
      <c r="U360" s="24">
        <f t="shared" si="786"/>
        <v>0</v>
      </c>
      <c r="V360" s="23">
        <f t="shared" si="786"/>
        <v>0</v>
      </c>
      <c r="W360" s="22">
        <f t="shared" si="767"/>
        <v>0</v>
      </c>
      <c r="X360" s="24">
        <f t="shared" si="787"/>
        <v>0</v>
      </c>
      <c r="Y360" s="23">
        <f t="shared" si="787"/>
        <v>0</v>
      </c>
      <c r="Z360" s="22">
        <f t="shared" si="768"/>
        <v>0</v>
      </c>
      <c r="AA360" s="24">
        <f t="shared" si="788"/>
        <v>0</v>
      </c>
      <c r="AB360" s="23">
        <f t="shared" si="788"/>
        <v>0</v>
      </c>
      <c r="AC360" s="22">
        <f t="shared" si="769"/>
        <v>0</v>
      </c>
      <c r="AD360" s="24">
        <f t="shared" si="789"/>
        <v>0</v>
      </c>
      <c r="AE360" s="23">
        <f t="shared" si="789"/>
        <v>0</v>
      </c>
      <c r="AF360" s="22">
        <f t="shared" si="770"/>
        <v>0</v>
      </c>
      <c r="AG360" s="24">
        <f t="shared" si="790"/>
        <v>0</v>
      </c>
      <c r="AH360" s="23">
        <f t="shared" si="790"/>
        <v>0</v>
      </c>
      <c r="AI360" s="22">
        <f t="shared" si="771"/>
        <v>0</v>
      </c>
      <c r="AJ360" s="24">
        <f t="shared" si="791"/>
        <v>0</v>
      </c>
      <c r="AK360" s="23">
        <f t="shared" si="791"/>
        <v>0</v>
      </c>
      <c r="AL360" s="22">
        <f t="shared" si="772"/>
        <v>0</v>
      </c>
      <c r="AM360" s="24">
        <f t="shared" si="792"/>
        <v>0</v>
      </c>
      <c r="AN360" s="23">
        <f t="shared" si="792"/>
        <v>0</v>
      </c>
      <c r="AO360" s="22">
        <f t="shared" si="773"/>
        <v>0</v>
      </c>
      <c r="AP360" s="24">
        <f t="shared" si="793"/>
        <v>0</v>
      </c>
      <c r="AQ360" s="23">
        <f t="shared" si="793"/>
        <v>0</v>
      </c>
      <c r="AR360" s="22">
        <f t="shared" si="774"/>
        <v>0</v>
      </c>
      <c r="AS360" s="24">
        <f t="shared" si="794"/>
        <v>0</v>
      </c>
      <c r="AT360" s="23">
        <f t="shared" si="794"/>
        <v>0</v>
      </c>
      <c r="AU360" s="22">
        <f t="shared" si="775"/>
        <v>0</v>
      </c>
      <c r="AV360" s="24">
        <f t="shared" si="795"/>
        <v>0</v>
      </c>
      <c r="AW360" s="23">
        <f t="shared" si="795"/>
        <v>0</v>
      </c>
      <c r="AX360" s="22">
        <f t="shared" si="776"/>
        <v>0</v>
      </c>
      <c r="AY360" s="23">
        <f t="shared" si="796"/>
        <v>0</v>
      </c>
      <c r="AZ360" s="23">
        <f t="shared" si="796"/>
        <v>0</v>
      </c>
      <c r="BA360" s="22">
        <f t="shared" si="777"/>
        <v>0</v>
      </c>
      <c r="BB360" s="24">
        <f t="shared" si="799"/>
        <v>0</v>
      </c>
      <c r="BC360" s="23">
        <f t="shared" si="799"/>
        <v>0</v>
      </c>
      <c r="BD360" s="22">
        <f t="shared" si="778"/>
        <v>0</v>
      </c>
      <c r="BE360" s="24">
        <f t="shared" si="797"/>
        <v>0</v>
      </c>
      <c r="BF360" s="24">
        <f t="shared" si="797"/>
        <v>0</v>
      </c>
      <c r="BG360" s="20">
        <f t="shared" ref="BG360" si="808">BG392+BG432+BG464</f>
        <v>0</v>
      </c>
    </row>
    <row r="361" spans="1:59" s="210" customFormat="1" ht="13.5" customHeight="1" collapsed="1" x14ac:dyDescent="0.25">
      <c r="A361" s="103"/>
      <c r="B361" s="102" t="s">
        <v>43</v>
      </c>
      <c r="C361" s="61" t="s">
        <v>110</v>
      </c>
      <c r="D361" s="188">
        <f t="shared" si="781"/>
        <v>0</v>
      </c>
      <c r="E361" s="188">
        <f t="shared" si="781"/>
        <v>0</v>
      </c>
      <c r="F361" s="191">
        <f t="shared" si="781"/>
        <v>0</v>
      </c>
      <c r="G361" s="189">
        <f t="shared" si="781"/>
        <v>0</v>
      </c>
      <c r="H361" s="190">
        <f t="shared" si="762"/>
        <v>0</v>
      </c>
      <c r="I361" s="191">
        <f t="shared" si="782"/>
        <v>0</v>
      </c>
      <c r="J361" s="189">
        <f t="shared" si="782"/>
        <v>0</v>
      </c>
      <c r="K361" s="190">
        <f t="shared" si="763"/>
        <v>0</v>
      </c>
      <c r="L361" s="191">
        <f t="shared" si="783"/>
        <v>0</v>
      </c>
      <c r="M361" s="189">
        <f t="shared" si="783"/>
        <v>0</v>
      </c>
      <c r="N361" s="190">
        <f t="shared" si="764"/>
        <v>0</v>
      </c>
      <c r="O361" s="191">
        <f t="shared" si="784"/>
        <v>0</v>
      </c>
      <c r="P361" s="189">
        <f t="shared" si="784"/>
        <v>0</v>
      </c>
      <c r="Q361" s="190">
        <f t="shared" si="765"/>
        <v>0</v>
      </c>
      <c r="R361" s="191">
        <f t="shared" si="785"/>
        <v>0</v>
      </c>
      <c r="S361" s="189">
        <f t="shared" si="785"/>
        <v>0</v>
      </c>
      <c r="T361" s="190">
        <f t="shared" si="766"/>
        <v>0</v>
      </c>
      <c r="U361" s="191">
        <f t="shared" si="786"/>
        <v>0</v>
      </c>
      <c r="V361" s="189">
        <f t="shared" si="786"/>
        <v>0</v>
      </c>
      <c r="W361" s="190">
        <f t="shared" si="767"/>
        <v>0</v>
      </c>
      <c r="X361" s="191">
        <f t="shared" si="787"/>
        <v>0</v>
      </c>
      <c r="Y361" s="189">
        <f t="shared" si="787"/>
        <v>0</v>
      </c>
      <c r="Z361" s="190">
        <f t="shared" si="768"/>
        <v>0</v>
      </c>
      <c r="AA361" s="191">
        <f t="shared" si="788"/>
        <v>0</v>
      </c>
      <c r="AB361" s="189">
        <f t="shared" si="788"/>
        <v>0</v>
      </c>
      <c r="AC361" s="190">
        <f t="shared" si="769"/>
        <v>0</v>
      </c>
      <c r="AD361" s="191">
        <f t="shared" si="789"/>
        <v>0</v>
      </c>
      <c r="AE361" s="189">
        <f t="shared" si="789"/>
        <v>0</v>
      </c>
      <c r="AF361" s="190">
        <f t="shared" si="770"/>
        <v>0</v>
      </c>
      <c r="AG361" s="191">
        <f t="shared" si="790"/>
        <v>0</v>
      </c>
      <c r="AH361" s="189">
        <f t="shared" si="790"/>
        <v>0</v>
      </c>
      <c r="AI361" s="190">
        <f t="shared" si="771"/>
        <v>0</v>
      </c>
      <c r="AJ361" s="191">
        <f t="shared" si="791"/>
        <v>0</v>
      </c>
      <c r="AK361" s="189">
        <f t="shared" si="791"/>
        <v>0</v>
      </c>
      <c r="AL361" s="190">
        <f t="shared" si="772"/>
        <v>0</v>
      </c>
      <c r="AM361" s="191">
        <f t="shared" si="792"/>
        <v>0</v>
      </c>
      <c r="AN361" s="189">
        <f t="shared" si="792"/>
        <v>0</v>
      </c>
      <c r="AO361" s="190">
        <f t="shared" si="773"/>
        <v>0</v>
      </c>
      <c r="AP361" s="191">
        <f t="shared" si="793"/>
        <v>0</v>
      </c>
      <c r="AQ361" s="189">
        <f t="shared" si="793"/>
        <v>0</v>
      </c>
      <c r="AR361" s="190">
        <f t="shared" si="774"/>
        <v>0</v>
      </c>
      <c r="AS361" s="191">
        <f t="shared" si="794"/>
        <v>0</v>
      </c>
      <c r="AT361" s="189">
        <f t="shared" si="794"/>
        <v>0</v>
      </c>
      <c r="AU361" s="190">
        <f t="shared" si="775"/>
        <v>0</v>
      </c>
      <c r="AV361" s="191">
        <f t="shared" si="795"/>
        <v>0</v>
      </c>
      <c r="AW361" s="189">
        <f t="shared" si="795"/>
        <v>0</v>
      </c>
      <c r="AX361" s="190">
        <f t="shared" si="776"/>
        <v>0</v>
      </c>
      <c r="AY361" s="189">
        <f t="shared" si="796"/>
        <v>0</v>
      </c>
      <c r="AZ361" s="189">
        <f t="shared" si="796"/>
        <v>0</v>
      </c>
      <c r="BA361" s="190">
        <f t="shared" si="777"/>
        <v>0</v>
      </c>
      <c r="BB361" s="189">
        <f>SUM(BB362:BB379)</f>
        <v>0</v>
      </c>
      <c r="BC361" s="189">
        <f>SUM(BC362:BC379)</f>
        <v>0</v>
      </c>
      <c r="BD361" s="190">
        <f t="shared" si="778"/>
        <v>0</v>
      </c>
      <c r="BE361" s="191">
        <f t="shared" si="797"/>
        <v>0</v>
      </c>
      <c r="BF361" s="191">
        <f t="shared" si="797"/>
        <v>0</v>
      </c>
      <c r="BG361" s="188">
        <f t="shared" ref="BG361" si="809">BG393+BG433+BG465</f>
        <v>0</v>
      </c>
    </row>
    <row r="362" spans="1:59" ht="13.5" hidden="1" customHeight="1" outlineLevel="1" x14ac:dyDescent="0.25">
      <c r="A362" s="60"/>
      <c r="B362" s="84" t="s">
        <v>44</v>
      </c>
      <c r="C362" s="59" t="s">
        <v>110</v>
      </c>
      <c r="D362" s="20">
        <f t="shared" si="781"/>
        <v>0</v>
      </c>
      <c r="E362" s="20">
        <f t="shared" si="781"/>
        <v>0</v>
      </c>
      <c r="F362" s="24">
        <f t="shared" si="781"/>
        <v>0</v>
      </c>
      <c r="G362" s="23">
        <f t="shared" si="781"/>
        <v>0</v>
      </c>
      <c r="H362" s="22">
        <f t="shared" si="762"/>
        <v>0</v>
      </c>
      <c r="I362" s="24">
        <f t="shared" si="782"/>
        <v>0</v>
      </c>
      <c r="J362" s="23">
        <f t="shared" si="782"/>
        <v>0</v>
      </c>
      <c r="K362" s="22">
        <f t="shared" si="763"/>
        <v>0</v>
      </c>
      <c r="L362" s="24">
        <f t="shared" si="783"/>
        <v>0</v>
      </c>
      <c r="M362" s="23">
        <f t="shared" si="783"/>
        <v>0</v>
      </c>
      <c r="N362" s="22">
        <f t="shared" si="764"/>
        <v>0</v>
      </c>
      <c r="O362" s="24">
        <f t="shared" si="784"/>
        <v>0</v>
      </c>
      <c r="P362" s="23">
        <f t="shared" si="784"/>
        <v>0</v>
      </c>
      <c r="Q362" s="22">
        <f t="shared" si="765"/>
        <v>0</v>
      </c>
      <c r="R362" s="24">
        <f t="shared" si="785"/>
        <v>0</v>
      </c>
      <c r="S362" s="23">
        <f t="shared" si="785"/>
        <v>0</v>
      </c>
      <c r="T362" s="22">
        <f t="shared" si="766"/>
        <v>0</v>
      </c>
      <c r="U362" s="24">
        <f t="shared" si="786"/>
        <v>0</v>
      </c>
      <c r="V362" s="23">
        <f t="shared" si="786"/>
        <v>0</v>
      </c>
      <c r="W362" s="22">
        <f t="shared" si="767"/>
        <v>0</v>
      </c>
      <c r="X362" s="24">
        <f t="shared" si="787"/>
        <v>0</v>
      </c>
      <c r="Y362" s="23">
        <f t="shared" si="787"/>
        <v>0</v>
      </c>
      <c r="Z362" s="22">
        <f t="shared" si="768"/>
        <v>0</v>
      </c>
      <c r="AA362" s="24">
        <f t="shared" si="788"/>
        <v>0</v>
      </c>
      <c r="AB362" s="23">
        <f t="shared" si="788"/>
        <v>0</v>
      </c>
      <c r="AC362" s="22">
        <f t="shared" si="769"/>
        <v>0</v>
      </c>
      <c r="AD362" s="24">
        <f t="shared" si="789"/>
        <v>0</v>
      </c>
      <c r="AE362" s="23">
        <f t="shared" si="789"/>
        <v>0</v>
      </c>
      <c r="AF362" s="22">
        <f t="shared" si="770"/>
        <v>0</v>
      </c>
      <c r="AG362" s="24">
        <f t="shared" si="790"/>
        <v>0</v>
      </c>
      <c r="AH362" s="23">
        <f t="shared" si="790"/>
        <v>0</v>
      </c>
      <c r="AI362" s="22">
        <f t="shared" si="771"/>
        <v>0</v>
      </c>
      <c r="AJ362" s="24">
        <f t="shared" si="791"/>
        <v>0</v>
      </c>
      <c r="AK362" s="23">
        <f t="shared" si="791"/>
        <v>0</v>
      </c>
      <c r="AL362" s="22">
        <f t="shared" si="772"/>
        <v>0</v>
      </c>
      <c r="AM362" s="24">
        <f t="shared" si="792"/>
        <v>0</v>
      </c>
      <c r="AN362" s="23">
        <f t="shared" si="792"/>
        <v>0</v>
      </c>
      <c r="AO362" s="22">
        <f t="shared" si="773"/>
        <v>0</v>
      </c>
      <c r="AP362" s="24">
        <f t="shared" si="793"/>
        <v>0</v>
      </c>
      <c r="AQ362" s="23">
        <f t="shared" si="793"/>
        <v>0</v>
      </c>
      <c r="AR362" s="22">
        <f t="shared" si="774"/>
        <v>0</v>
      </c>
      <c r="AS362" s="24">
        <f t="shared" si="794"/>
        <v>0</v>
      </c>
      <c r="AT362" s="23">
        <f t="shared" si="794"/>
        <v>0</v>
      </c>
      <c r="AU362" s="22">
        <f t="shared" si="775"/>
        <v>0</v>
      </c>
      <c r="AV362" s="24">
        <f t="shared" si="795"/>
        <v>0</v>
      </c>
      <c r="AW362" s="23">
        <f t="shared" si="795"/>
        <v>0</v>
      </c>
      <c r="AX362" s="22">
        <f t="shared" si="776"/>
        <v>0</v>
      </c>
      <c r="AY362" s="23">
        <f t="shared" si="796"/>
        <v>0</v>
      </c>
      <c r="AZ362" s="23">
        <f t="shared" si="796"/>
        <v>0</v>
      </c>
      <c r="BA362" s="22">
        <f t="shared" si="777"/>
        <v>0</v>
      </c>
      <c r="BB362" s="24">
        <f t="shared" ref="BB362:BC377" si="810">BB394+BB434+BB466</f>
        <v>0</v>
      </c>
      <c r="BC362" s="23">
        <f t="shared" si="810"/>
        <v>0</v>
      </c>
      <c r="BD362" s="22">
        <f t="shared" si="778"/>
        <v>0</v>
      </c>
      <c r="BE362" s="24">
        <f t="shared" si="797"/>
        <v>0</v>
      </c>
      <c r="BF362" s="24">
        <f t="shared" si="797"/>
        <v>0</v>
      </c>
      <c r="BG362" s="20">
        <f t="shared" ref="BG362" si="811">BG394+BG434+BG466</f>
        <v>0</v>
      </c>
    </row>
    <row r="363" spans="1:59" ht="13.5" hidden="1" customHeight="1" outlineLevel="1" x14ac:dyDescent="0.25">
      <c r="A363" s="60"/>
      <c r="B363" s="84" t="s">
        <v>45</v>
      </c>
      <c r="C363" s="59" t="s">
        <v>110</v>
      </c>
      <c r="D363" s="20">
        <f t="shared" si="781"/>
        <v>0</v>
      </c>
      <c r="E363" s="20">
        <f t="shared" si="781"/>
        <v>0</v>
      </c>
      <c r="F363" s="24">
        <f t="shared" si="781"/>
        <v>0</v>
      </c>
      <c r="G363" s="23">
        <f t="shared" si="781"/>
        <v>0</v>
      </c>
      <c r="H363" s="22">
        <f t="shared" si="762"/>
        <v>0</v>
      </c>
      <c r="I363" s="24">
        <f t="shared" si="782"/>
        <v>0</v>
      </c>
      <c r="J363" s="23">
        <f t="shared" si="782"/>
        <v>0</v>
      </c>
      <c r="K363" s="22">
        <f t="shared" si="763"/>
        <v>0</v>
      </c>
      <c r="L363" s="24">
        <f t="shared" si="783"/>
        <v>0</v>
      </c>
      <c r="M363" s="23">
        <f t="shared" si="783"/>
        <v>0</v>
      </c>
      <c r="N363" s="22">
        <f t="shared" si="764"/>
        <v>0</v>
      </c>
      <c r="O363" s="24">
        <f t="shared" si="784"/>
        <v>0</v>
      </c>
      <c r="P363" s="23">
        <f t="shared" si="784"/>
        <v>0</v>
      </c>
      <c r="Q363" s="22">
        <f t="shared" si="765"/>
        <v>0</v>
      </c>
      <c r="R363" s="24">
        <f t="shared" si="785"/>
        <v>0</v>
      </c>
      <c r="S363" s="23">
        <f t="shared" si="785"/>
        <v>0</v>
      </c>
      <c r="T363" s="22">
        <f t="shared" si="766"/>
        <v>0</v>
      </c>
      <c r="U363" s="24">
        <f t="shared" si="786"/>
        <v>0</v>
      </c>
      <c r="V363" s="23">
        <f t="shared" si="786"/>
        <v>0</v>
      </c>
      <c r="W363" s="22">
        <f t="shared" si="767"/>
        <v>0</v>
      </c>
      <c r="X363" s="24">
        <f t="shared" si="787"/>
        <v>0</v>
      </c>
      <c r="Y363" s="23">
        <f t="shared" si="787"/>
        <v>0</v>
      </c>
      <c r="Z363" s="22">
        <f t="shared" si="768"/>
        <v>0</v>
      </c>
      <c r="AA363" s="24">
        <f t="shared" si="788"/>
        <v>0</v>
      </c>
      <c r="AB363" s="23">
        <f t="shared" si="788"/>
        <v>0</v>
      </c>
      <c r="AC363" s="22">
        <f t="shared" si="769"/>
        <v>0</v>
      </c>
      <c r="AD363" s="24">
        <f t="shared" si="789"/>
        <v>0</v>
      </c>
      <c r="AE363" s="23">
        <f t="shared" si="789"/>
        <v>0</v>
      </c>
      <c r="AF363" s="22">
        <f t="shared" si="770"/>
        <v>0</v>
      </c>
      <c r="AG363" s="24">
        <f t="shared" si="790"/>
        <v>0</v>
      </c>
      <c r="AH363" s="23">
        <f t="shared" si="790"/>
        <v>0</v>
      </c>
      <c r="AI363" s="22">
        <f t="shared" si="771"/>
        <v>0</v>
      </c>
      <c r="AJ363" s="24">
        <f t="shared" si="791"/>
        <v>0</v>
      </c>
      <c r="AK363" s="23">
        <f t="shared" si="791"/>
        <v>0</v>
      </c>
      <c r="AL363" s="22">
        <f t="shared" si="772"/>
        <v>0</v>
      </c>
      <c r="AM363" s="24">
        <f t="shared" si="792"/>
        <v>0</v>
      </c>
      <c r="AN363" s="23">
        <f t="shared" si="792"/>
        <v>0</v>
      </c>
      <c r="AO363" s="22">
        <f t="shared" si="773"/>
        <v>0</v>
      </c>
      <c r="AP363" s="24">
        <f t="shared" si="793"/>
        <v>0</v>
      </c>
      <c r="AQ363" s="23">
        <f t="shared" si="793"/>
        <v>0</v>
      </c>
      <c r="AR363" s="22">
        <f t="shared" si="774"/>
        <v>0</v>
      </c>
      <c r="AS363" s="24">
        <f t="shared" si="794"/>
        <v>0</v>
      </c>
      <c r="AT363" s="23">
        <f t="shared" si="794"/>
        <v>0</v>
      </c>
      <c r="AU363" s="22">
        <f t="shared" si="775"/>
        <v>0</v>
      </c>
      <c r="AV363" s="24">
        <f t="shared" si="795"/>
        <v>0</v>
      </c>
      <c r="AW363" s="23">
        <f t="shared" si="795"/>
        <v>0</v>
      </c>
      <c r="AX363" s="22">
        <f t="shared" si="776"/>
        <v>0</v>
      </c>
      <c r="AY363" s="23">
        <f t="shared" si="796"/>
        <v>0</v>
      </c>
      <c r="AZ363" s="23">
        <f t="shared" si="796"/>
        <v>0</v>
      </c>
      <c r="BA363" s="22">
        <f t="shared" si="777"/>
        <v>0</v>
      </c>
      <c r="BB363" s="24">
        <f t="shared" si="810"/>
        <v>0</v>
      </c>
      <c r="BC363" s="23">
        <f t="shared" si="810"/>
        <v>0</v>
      </c>
      <c r="BD363" s="22">
        <f t="shared" si="778"/>
        <v>0</v>
      </c>
      <c r="BE363" s="24">
        <f t="shared" si="797"/>
        <v>0</v>
      </c>
      <c r="BF363" s="24">
        <f t="shared" si="797"/>
        <v>0</v>
      </c>
      <c r="BG363" s="20">
        <f t="shared" ref="BG363" si="812">BG395+BG435+BG467</f>
        <v>0</v>
      </c>
    </row>
    <row r="364" spans="1:59" ht="13.5" hidden="1" customHeight="1" outlineLevel="1" x14ac:dyDescent="0.25">
      <c r="A364" s="60"/>
      <c r="B364" s="84" t="s">
        <v>46</v>
      </c>
      <c r="C364" s="59" t="s">
        <v>110</v>
      </c>
      <c r="D364" s="20">
        <f t="shared" si="781"/>
        <v>0</v>
      </c>
      <c r="E364" s="20">
        <f t="shared" si="781"/>
        <v>0</v>
      </c>
      <c r="F364" s="24">
        <f t="shared" si="781"/>
        <v>0</v>
      </c>
      <c r="G364" s="23">
        <f t="shared" si="781"/>
        <v>0</v>
      </c>
      <c r="H364" s="22">
        <f t="shared" si="762"/>
        <v>0</v>
      </c>
      <c r="I364" s="24">
        <f t="shared" si="782"/>
        <v>0</v>
      </c>
      <c r="J364" s="23">
        <f t="shared" si="782"/>
        <v>0</v>
      </c>
      <c r="K364" s="22">
        <f t="shared" si="763"/>
        <v>0</v>
      </c>
      <c r="L364" s="24">
        <f t="shared" si="783"/>
        <v>0</v>
      </c>
      <c r="M364" s="23">
        <f t="shared" si="783"/>
        <v>0</v>
      </c>
      <c r="N364" s="22">
        <f t="shared" si="764"/>
        <v>0</v>
      </c>
      <c r="O364" s="24">
        <f t="shared" si="784"/>
        <v>0</v>
      </c>
      <c r="P364" s="23">
        <f t="shared" si="784"/>
        <v>0</v>
      </c>
      <c r="Q364" s="22">
        <f t="shared" si="765"/>
        <v>0</v>
      </c>
      <c r="R364" s="24">
        <f t="shared" si="785"/>
        <v>0</v>
      </c>
      <c r="S364" s="23">
        <f t="shared" si="785"/>
        <v>0</v>
      </c>
      <c r="T364" s="22">
        <f t="shared" si="766"/>
        <v>0</v>
      </c>
      <c r="U364" s="24">
        <f t="shared" si="786"/>
        <v>0</v>
      </c>
      <c r="V364" s="23">
        <f t="shared" si="786"/>
        <v>0</v>
      </c>
      <c r="W364" s="22">
        <f t="shared" si="767"/>
        <v>0</v>
      </c>
      <c r="X364" s="24">
        <f t="shared" si="787"/>
        <v>0</v>
      </c>
      <c r="Y364" s="23">
        <f t="shared" si="787"/>
        <v>0</v>
      </c>
      <c r="Z364" s="22">
        <f t="shared" si="768"/>
        <v>0</v>
      </c>
      <c r="AA364" s="24">
        <f t="shared" si="788"/>
        <v>0</v>
      </c>
      <c r="AB364" s="23">
        <f t="shared" si="788"/>
        <v>0</v>
      </c>
      <c r="AC364" s="22">
        <f t="shared" si="769"/>
        <v>0</v>
      </c>
      <c r="AD364" s="24">
        <f t="shared" si="789"/>
        <v>0</v>
      </c>
      <c r="AE364" s="23">
        <f t="shared" si="789"/>
        <v>0</v>
      </c>
      <c r="AF364" s="22">
        <f t="shared" si="770"/>
        <v>0</v>
      </c>
      <c r="AG364" s="24">
        <f t="shared" si="790"/>
        <v>0</v>
      </c>
      <c r="AH364" s="23">
        <f t="shared" si="790"/>
        <v>0</v>
      </c>
      <c r="AI364" s="22">
        <f t="shared" si="771"/>
        <v>0</v>
      </c>
      <c r="AJ364" s="24">
        <f t="shared" si="791"/>
        <v>0</v>
      </c>
      <c r="AK364" s="23">
        <f t="shared" si="791"/>
        <v>0</v>
      </c>
      <c r="AL364" s="22">
        <f t="shared" si="772"/>
        <v>0</v>
      </c>
      <c r="AM364" s="24">
        <f t="shared" si="792"/>
        <v>0</v>
      </c>
      <c r="AN364" s="23">
        <f t="shared" si="792"/>
        <v>0</v>
      </c>
      <c r="AO364" s="22">
        <f t="shared" si="773"/>
        <v>0</v>
      </c>
      <c r="AP364" s="24">
        <f t="shared" si="793"/>
        <v>0</v>
      </c>
      <c r="AQ364" s="23">
        <f t="shared" si="793"/>
        <v>0</v>
      </c>
      <c r="AR364" s="22">
        <f t="shared" si="774"/>
        <v>0</v>
      </c>
      <c r="AS364" s="24">
        <f t="shared" si="794"/>
        <v>0</v>
      </c>
      <c r="AT364" s="23">
        <f t="shared" si="794"/>
        <v>0</v>
      </c>
      <c r="AU364" s="22">
        <f t="shared" si="775"/>
        <v>0</v>
      </c>
      <c r="AV364" s="24">
        <f t="shared" si="795"/>
        <v>0</v>
      </c>
      <c r="AW364" s="23">
        <f t="shared" si="795"/>
        <v>0</v>
      </c>
      <c r="AX364" s="22">
        <f t="shared" si="776"/>
        <v>0</v>
      </c>
      <c r="AY364" s="23">
        <f t="shared" si="796"/>
        <v>0</v>
      </c>
      <c r="AZ364" s="23">
        <f t="shared" si="796"/>
        <v>0</v>
      </c>
      <c r="BA364" s="22">
        <f t="shared" si="777"/>
        <v>0</v>
      </c>
      <c r="BB364" s="24">
        <f t="shared" si="810"/>
        <v>0</v>
      </c>
      <c r="BC364" s="23">
        <f t="shared" si="810"/>
        <v>0</v>
      </c>
      <c r="BD364" s="22">
        <f t="shared" si="778"/>
        <v>0</v>
      </c>
      <c r="BE364" s="24">
        <f t="shared" si="797"/>
        <v>0</v>
      </c>
      <c r="BF364" s="24">
        <f t="shared" si="797"/>
        <v>0</v>
      </c>
      <c r="BG364" s="20">
        <f t="shared" ref="BG364" si="813">BG396+BG436+BG468</f>
        <v>0</v>
      </c>
    </row>
    <row r="365" spans="1:59" ht="13.5" hidden="1" customHeight="1" outlineLevel="1" x14ac:dyDescent="0.25">
      <c r="A365" s="60"/>
      <c r="B365" s="84" t="s">
        <v>47</v>
      </c>
      <c r="C365" s="59" t="s">
        <v>110</v>
      </c>
      <c r="D365" s="20">
        <f t="shared" si="781"/>
        <v>0</v>
      </c>
      <c r="E365" s="20">
        <f t="shared" si="781"/>
        <v>0</v>
      </c>
      <c r="F365" s="24">
        <f t="shared" si="781"/>
        <v>0</v>
      </c>
      <c r="G365" s="23">
        <f t="shared" si="781"/>
        <v>0</v>
      </c>
      <c r="H365" s="22">
        <f t="shared" si="762"/>
        <v>0</v>
      </c>
      <c r="I365" s="24">
        <f t="shared" si="782"/>
        <v>0</v>
      </c>
      <c r="J365" s="23">
        <f t="shared" si="782"/>
        <v>0</v>
      </c>
      <c r="K365" s="22">
        <f t="shared" si="763"/>
        <v>0</v>
      </c>
      <c r="L365" s="24">
        <f t="shared" si="783"/>
        <v>0</v>
      </c>
      <c r="M365" s="23">
        <f t="shared" si="783"/>
        <v>0</v>
      </c>
      <c r="N365" s="22">
        <f t="shared" si="764"/>
        <v>0</v>
      </c>
      <c r="O365" s="24">
        <f t="shared" si="784"/>
        <v>0</v>
      </c>
      <c r="P365" s="23">
        <f t="shared" si="784"/>
        <v>0</v>
      </c>
      <c r="Q365" s="22">
        <f t="shared" si="765"/>
        <v>0</v>
      </c>
      <c r="R365" s="24">
        <f t="shared" si="785"/>
        <v>0</v>
      </c>
      <c r="S365" s="23">
        <f t="shared" si="785"/>
        <v>0</v>
      </c>
      <c r="T365" s="22">
        <f t="shared" si="766"/>
        <v>0</v>
      </c>
      <c r="U365" s="24">
        <f t="shared" si="786"/>
        <v>0</v>
      </c>
      <c r="V365" s="23">
        <f t="shared" si="786"/>
        <v>0</v>
      </c>
      <c r="W365" s="22">
        <f t="shared" si="767"/>
        <v>0</v>
      </c>
      <c r="X365" s="24">
        <f t="shared" si="787"/>
        <v>0</v>
      </c>
      <c r="Y365" s="23">
        <f t="shared" si="787"/>
        <v>0</v>
      </c>
      <c r="Z365" s="22">
        <f t="shared" si="768"/>
        <v>0</v>
      </c>
      <c r="AA365" s="24">
        <f t="shared" si="788"/>
        <v>0</v>
      </c>
      <c r="AB365" s="23">
        <f t="shared" si="788"/>
        <v>0</v>
      </c>
      <c r="AC365" s="22">
        <f t="shared" si="769"/>
        <v>0</v>
      </c>
      <c r="AD365" s="24">
        <f t="shared" si="789"/>
        <v>0</v>
      </c>
      <c r="AE365" s="23">
        <f t="shared" si="789"/>
        <v>0</v>
      </c>
      <c r="AF365" s="22">
        <f t="shared" si="770"/>
        <v>0</v>
      </c>
      <c r="AG365" s="24">
        <f t="shared" si="790"/>
        <v>0</v>
      </c>
      <c r="AH365" s="23">
        <f t="shared" si="790"/>
        <v>0</v>
      </c>
      <c r="AI365" s="22">
        <f t="shared" si="771"/>
        <v>0</v>
      </c>
      <c r="AJ365" s="24">
        <f t="shared" si="791"/>
        <v>0</v>
      </c>
      <c r="AK365" s="23">
        <f t="shared" si="791"/>
        <v>0</v>
      </c>
      <c r="AL365" s="22">
        <f t="shared" si="772"/>
        <v>0</v>
      </c>
      <c r="AM365" s="24">
        <f t="shared" si="792"/>
        <v>0</v>
      </c>
      <c r="AN365" s="23">
        <f t="shared" si="792"/>
        <v>0</v>
      </c>
      <c r="AO365" s="22">
        <f t="shared" si="773"/>
        <v>0</v>
      </c>
      <c r="AP365" s="24">
        <f t="shared" si="793"/>
        <v>0</v>
      </c>
      <c r="AQ365" s="23">
        <f t="shared" si="793"/>
        <v>0</v>
      </c>
      <c r="AR365" s="22">
        <f t="shared" si="774"/>
        <v>0</v>
      </c>
      <c r="AS365" s="24">
        <f t="shared" si="794"/>
        <v>0</v>
      </c>
      <c r="AT365" s="23">
        <f t="shared" si="794"/>
        <v>0</v>
      </c>
      <c r="AU365" s="22">
        <f t="shared" si="775"/>
        <v>0</v>
      </c>
      <c r="AV365" s="24">
        <f t="shared" si="795"/>
        <v>0</v>
      </c>
      <c r="AW365" s="23">
        <f t="shared" si="795"/>
        <v>0</v>
      </c>
      <c r="AX365" s="22">
        <f t="shared" si="776"/>
        <v>0</v>
      </c>
      <c r="AY365" s="23">
        <f t="shared" si="796"/>
        <v>0</v>
      </c>
      <c r="AZ365" s="23">
        <f t="shared" si="796"/>
        <v>0</v>
      </c>
      <c r="BA365" s="22">
        <f t="shared" si="777"/>
        <v>0</v>
      </c>
      <c r="BB365" s="24">
        <f t="shared" si="810"/>
        <v>0</v>
      </c>
      <c r="BC365" s="23">
        <f t="shared" si="810"/>
        <v>0</v>
      </c>
      <c r="BD365" s="22">
        <f t="shared" si="778"/>
        <v>0</v>
      </c>
      <c r="BE365" s="24">
        <f t="shared" si="797"/>
        <v>0</v>
      </c>
      <c r="BF365" s="24">
        <f t="shared" si="797"/>
        <v>0</v>
      </c>
      <c r="BG365" s="20">
        <f t="shared" ref="BG365" si="814">BG397+BG437+BG469</f>
        <v>0</v>
      </c>
    </row>
    <row r="366" spans="1:59" ht="13.5" hidden="1" customHeight="1" outlineLevel="1" x14ac:dyDescent="0.25">
      <c r="A366" s="60"/>
      <c r="B366" s="84" t="s">
        <v>48</v>
      </c>
      <c r="C366" s="59" t="s">
        <v>110</v>
      </c>
      <c r="D366" s="20">
        <f t="shared" si="781"/>
        <v>0</v>
      </c>
      <c r="E366" s="20">
        <f t="shared" si="781"/>
        <v>0</v>
      </c>
      <c r="F366" s="24">
        <f t="shared" si="781"/>
        <v>0</v>
      </c>
      <c r="G366" s="23">
        <f t="shared" si="781"/>
        <v>0</v>
      </c>
      <c r="H366" s="22">
        <f t="shared" ref="H366:H381" si="815">G366-F366</f>
        <v>0</v>
      </c>
      <c r="I366" s="24">
        <f t="shared" si="782"/>
        <v>0</v>
      </c>
      <c r="J366" s="23">
        <f t="shared" si="782"/>
        <v>0</v>
      </c>
      <c r="K366" s="22">
        <f t="shared" ref="K366:K381" si="816">J366-I366</f>
        <v>0</v>
      </c>
      <c r="L366" s="24">
        <f t="shared" si="783"/>
        <v>0</v>
      </c>
      <c r="M366" s="23">
        <f t="shared" si="783"/>
        <v>0</v>
      </c>
      <c r="N366" s="22">
        <f t="shared" ref="N366:N381" si="817">M366-L366</f>
        <v>0</v>
      </c>
      <c r="O366" s="24">
        <f t="shared" si="784"/>
        <v>0</v>
      </c>
      <c r="P366" s="23">
        <f t="shared" si="784"/>
        <v>0</v>
      </c>
      <c r="Q366" s="22">
        <f t="shared" ref="Q366:Q381" si="818">P366-O366</f>
        <v>0</v>
      </c>
      <c r="R366" s="24">
        <f t="shared" si="785"/>
        <v>0</v>
      </c>
      <c r="S366" s="23">
        <f t="shared" si="785"/>
        <v>0</v>
      </c>
      <c r="T366" s="22">
        <f t="shared" ref="T366:T381" si="819">S366-R366</f>
        <v>0</v>
      </c>
      <c r="U366" s="24">
        <f t="shared" si="786"/>
        <v>0</v>
      </c>
      <c r="V366" s="23">
        <f t="shared" si="786"/>
        <v>0</v>
      </c>
      <c r="W366" s="22">
        <f t="shared" ref="W366:W381" si="820">V366-U366</f>
        <v>0</v>
      </c>
      <c r="X366" s="24">
        <f t="shared" si="787"/>
        <v>0</v>
      </c>
      <c r="Y366" s="23">
        <f t="shared" si="787"/>
        <v>0</v>
      </c>
      <c r="Z366" s="22">
        <f t="shared" ref="Z366:Z381" si="821">Y366-X366</f>
        <v>0</v>
      </c>
      <c r="AA366" s="24">
        <f t="shared" si="788"/>
        <v>0</v>
      </c>
      <c r="AB366" s="23">
        <f t="shared" si="788"/>
        <v>0</v>
      </c>
      <c r="AC366" s="22">
        <f t="shared" ref="AC366:AC381" si="822">AB366-AA366</f>
        <v>0</v>
      </c>
      <c r="AD366" s="24">
        <f t="shared" si="789"/>
        <v>0</v>
      </c>
      <c r="AE366" s="23">
        <f t="shared" si="789"/>
        <v>0</v>
      </c>
      <c r="AF366" s="22">
        <f t="shared" ref="AF366:AF381" si="823">AE366-AD366</f>
        <v>0</v>
      </c>
      <c r="AG366" s="24">
        <f t="shared" si="790"/>
        <v>0</v>
      </c>
      <c r="AH366" s="23">
        <f t="shared" si="790"/>
        <v>0</v>
      </c>
      <c r="AI366" s="22">
        <f t="shared" ref="AI366:AI381" si="824">AH366-AG366</f>
        <v>0</v>
      </c>
      <c r="AJ366" s="24">
        <f t="shared" si="791"/>
        <v>0</v>
      </c>
      <c r="AK366" s="23">
        <f t="shared" si="791"/>
        <v>0</v>
      </c>
      <c r="AL366" s="22">
        <f t="shared" ref="AL366:AL381" si="825">AK366-AJ366</f>
        <v>0</v>
      </c>
      <c r="AM366" s="24">
        <f t="shared" si="792"/>
        <v>0</v>
      </c>
      <c r="AN366" s="23">
        <f t="shared" si="792"/>
        <v>0</v>
      </c>
      <c r="AO366" s="22">
        <f t="shared" ref="AO366:AO381" si="826">AN366-AM366</f>
        <v>0</v>
      </c>
      <c r="AP366" s="24">
        <f t="shared" si="793"/>
        <v>0</v>
      </c>
      <c r="AQ366" s="23">
        <f t="shared" si="793"/>
        <v>0</v>
      </c>
      <c r="AR366" s="22">
        <f t="shared" ref="AR366:AR381" si="827">AQ366-AP366</f>
        <v>0</v>
      </c>
      <c r="AS366" s="24">
        <f t="shared" si="794"/>
        <v>0</v>
      </c>
      <c r="AT366" s="23">
        <f t="shared" si="794"/>
        <v>0</v>
      </c>
      <c r="AU366" s="22">
        <f t="shared" ref="AU366:AU381" si="828">AT366-AS366</f>
        <v>0</v>
      </c>
      <c r="AV366" s="24">
        <f t="shared" si="795"/>
        <v>0</v>
      </c>
      <c r="AW366" s="23">
        <f t="shared" si="795"/>
        <v>0</v>
      </c>
      <c r="AX366" s="22">
        <f t="shared" ref="AX366:AX381" si="829">AW366-AV366</f>
        <v>0</v>
      </c>
      <c r="AY366" s="23">
        <f t="shared" si="796"/>
        <v>0</v>
      </c>
      <c r="AZ366" s="23">
        <f t="shared" si="796"/>
        <v>0</v>
      </c>
      <c r="BA366" s="22">
        <f t="shared" ref="BA366:BA381" si="830">AZ366-AY366</f>
        <v>0</v>
      </c>
      <c r="BB366" s="24">
        <f t="shared" si="810"/>
        <v>0</v>
      </c>
      <c r="BC366" s="23">
        <f t="shared" si="810"/>
        <v>0</v>
      </c>
      <c r="BD366" s="22">
        <f t="shared" ref="BD366:BD381" si="831">BC366-BB366</f>
        <v>0</v>
      </c>
      <c r="BE366" s="24">
        <f t="shared" ref="BE366:BF379" si="832">BE398+BE438+BE470</f>
        <v>0</v>
      </c>
      <c r="BF366" s="24">
        <f t="shared" si="832"/>
        <v>0</v>
      </c>
      <c r="BG366" s="20">
        <f t="shared" ref="BG366" si="833">BG398+BG438+BG470</f>
        <v>0</v>
      </c>
    </row>
    <row r="367" spans="1:59" ht="13.5" hidden="1" customHeight="1" outlineLevel="1" x14ac:dyDescent="0.25">
      <c r="A367" s="60"/>
      <c r="B367" s="84" t="s">
        <v>49</v>
      </c>
      <c r="C367" s="59" t="s">
        <v>110</v>
      </c>
      <c r="D367" s="20">
        <f t="shared" ref="D367:G379" si="834">D399+D439+D471</f>
        <v>0</v>
      </c>
      <c r="E367" s="20">
        <f t="shared" si="834"/>
        <v>0</v>
      </c>
      <c r="F367" s="24">
        <f t="shared" si="834"/>
        <v>0</v>
      </c>
      <c r="G367" s="23">
        <f t="shared" si="834"/>
        <v>0</v>
      </c>
      <c r="H367" s="22">
        <f t="shared" si="815"/>
        <v>0</v>
      </c>
      <c r="I367" s="24">
        <f t="shared" ref="I367:J379" si="835">I399+I439+I471</f>
        <v>0</v>
      </c>
      <c r="J367" s="23">
        <f t="shared" si="835"/>
        <v>0</v>
      </c>
      <c r="K367" s="22">
        <f t="shared" si="816"/>
        <v>0</v>
      </c>
      <c r="L367" s="24">
        <f t="shared" ref="L367:M379" si="836">L399+L439+L471</f>
        <v>0</v>
      </c>
      <c r="M367" s="23">
        <f t="shared" si="836"/>
        <v>0</v>
      </c>
      <c r="N367" s="22">
        <f t="shared" si="817"/>
        <v>0</v>
      </c>
      <c r="O367" s="24">
        <f t="shared" ref="O367:P379" si="837">O399+O439+O471</f>
        <v>0</v>
      </c>
      <c r="P367" s="23">
        <f t="shared" si="837"/>
        <v>0</v>
      </c>
      <c r="Q367" s="22">
        <f t="shared" si="818"/>
        <v>0</v>
      </c>
      <c r="R367" s="24">
        <f t="shared" ref="R367:S379" si="838">R399+R439+R471</f>
        <v>0</v>
      </c>
      <c r="S367" s="23">
        <f t="shared" si="838"/>
        <v>0</v>
      </c>
      <c r="T367" s="22">
        <f t="shared" si="819"/>
        <v>0</v>
      </c>
      <c r="U367" s="24">
        <f t="shared" ref="U367:V379" si="839">U399+U439+U471</f>
        <v>0</v>
      </c>
      <c r="V367" s="23">
        <f t="shared" si="839"/>
        <v>0</v>
      </c>
      <c r="W367" s="22">
        <f t="shared" si="820"/>
        <v>0</v>
      </c>
      <c r="X367" s="24">
        <f t="shared" ref="X367:Y379" si="840">X399+X439+X471</f>
        <v>0</v>
      </c>
      <c r="Y367" s="23">
        <f t="shared" si="840"/>
        <v>0</v>
      </c>
      <c r="Z367" s="22">
        <f t="shared" si="821"/>
        <v>0</v>
      </c>
      <c r="AA367" s="24">
        <f t="shared" ref="AA367:AB379" si="841">AA399+AA439+AA471</f>
        <v>0</v>
      </c>
      <c r="AB367" s="23">
        <f t="shared" si="841"/>
        <v>0</v>
      </c>
      <c r="AC367" s="22">
        <f t="shared" si="822"/>
        <v>0</v>
      </c>
      <c r="AD367" s="24">
        <f t="shared" ref="AD367:AE379" si="842">AD399+AD439+AD471</f>
        <v>0</v>
      </c>
      <c r="AE367" s="23">
        <f t="shared" si="842"/>
        <v>0</v>
      </c>
      <c r="AF367" s="22">
        <f t="shared" si="823"/>
        <v>0</v>
      </c>
      <c r="AG367" s="24">
        <f t="shared" ref="AG367:AH379" si="843">AG399+AG439+AG471</f>
        <v>0</v>
      </c>
      <c r="AH367" s="23">
        <f t="shared" si="843"/>
        <v>0</v>
      </c>
      <c r="AI367" s="22">
        <f t="shared" si="824"/>
        <v>0</v>
      </c>
      <c r="AJ367" s="24">
        <f t="shared" ref="AJ367:AK379" si="844">AJ399+AJ439+AJ471</f>
        <v>0</v>
      </c>
      <c r="AK367" s="23">
        <f t="shared" si="844"/>
        <v>0</v>
      </c>
      <c r="AL367" s="22">
        <f t="shared" si="825"/>
        <v>0</v>
      </c>
      <c r="AM367" s="24">
        <f t="shared" ref="AM367:AN379" si="845">AM399+AM439+AM471</f>
        <v>0</v>
      </c>
      <c r="AN367" s="23">
        <f t="shared" si="845"/>
        <v>0</v>
      </c>
      <c r="AO367" s="22">
        <f t="shared" si="826"/>
        <v>0</v>
      </c>
      <c r="AP367" s="24">
        <f t="shared" ref="AP367:AQ379" si="846">AP399+AP439+AP471</f>
        <v>0</v>
      </c>
      <c r="AQ367" s="23">
        <f t="shared" si="846"/>
        <v>0</v>
      </c>
      <c r="AR367" s="22">
        <f t="shared" si="827"/>
        <v>0</v>
      </c>
      <c r="AS367" s="24">
        <f t="shared" ref="AS367:AT379" si="847">AS399+AS439+AS471</f>
        <v>0</v>
      </c>
      <c r="AT367" s="23">
        <f t="shared" si="847"/>
        <v>0</v>
      </c>
      <c r="AU367" s="22">
        <f t="shared" si="828"/>
        <v>0</v>
      </c>
      <c r="AV367" s="24">
        <f t="shared" ref="AV367:AW379" si="848">AV399+AV439+AV471</f>
        <v>0</v>
      </c>
      <c r="AW367" s="23">
        <f t="shared" si="848"/>
        <v>0</v>
      </c>
      <c r="AX367" s="22">
        <f t="shared" si="829"/>
        <v>0</v>
      </c>
      <c r="AY367" s="23">
        <f t="shared" ref="AY367:AZ379" si="849">AY399+AY439+AY471</f>
        <v>0</v>
      </c>
      <c r="AZ367" s="23">
        <f t="shared" si="849"/>
        <v>0</v>
      </c>
      <c r="BA367" s="22">
        <f t="shared" si="830"/>
        <v>0</v>
      </c>
      <c r="BB367" s="24">
        <f t="shared" si="810"/>
        <v>0</v>
      </c>
      <c r="BC367" s="23">
        <f t="shared" si="810"/>
        <v>0</v>
      </c>
      <c r="BD367" s="22">
        <f t="shared" si="831"/>
        <v>0</v>
      </c>
      <c r="BE367" s="24">
        <f t="shared" si="832"/>
        <v>0</v>
      </c>
      <c r="BF367" s="24">
        <f t="shared" si="832"/>
        <v>0</v>
      </c>
      <c r="BG367" s="20">
        <f t="shared" ref="BG367" si="850">BG399+BG439+BG471</f>
        <v>0</v>
      </c>
    </row>
    <row r="368" spans="1:59" ht="13.5" hidden="1" customHeight="1" outlineLevel="1" x14ac:dyDescent="0.25">
      <c r="A368" s="60"/>
      <c r="B368" s="84" t="s">
        <v>50</v>
      </c>
      <c r="C368" s="59" t="s">
        <v>110</v>
      </c>
      <c r="D368" s="20">
        <f t="shared" si="834"/>
        <v>0</v>
      </c>
      <c r="E368" s="20">
        <f t="shared" si="834"/>
        <v>0</v>
      </c>
      <c r="F368" s="24">
        <f t="shared" si="834"/>
        <v>0</v>
      </c>
      <c r="G368" s="23">
        <f t="shared" si="834"/>
        <v>0</v>
      </c>
      <c r="H368" s="22">
        <f t="shared" si="815"/>
        <v>0</v>
      </c>
      <c r="I368" s="24">
        <f t="shared" si="835"/>
        <v>0</v>
      </c>
      <c r="J368" s="23">
        <f t="shared" si="835"/>
        <v>0</v>
      </c>
      <c r="K368" s="22">
        <f t="shared" si="816"/>
        <v>0</v>
      </c>
      <c r="L368" s="24">
        <f t="shared" si="836"/>
        <v>0</v>
      </c>
      <c r="M368" s="23">
        <f t="shared" si="836"/>
        <v>0</v>
      </c>
      <c r="N368" s="22">
        <f t="shared" si="817"/>
        <v>0</v>
      </c>
      <c r="O368" s="24">
        <f t="shared" si="837"/>
        <v>0</v>
      </c>
      <c r="P368" s="23">
        <f t="shared" si="837"/>
        <v>0</v>
      </c>
      <c r="Q368" s="22">
        <f t="shared" si="818"/>
        <v>0</v>
      </c>
      <c r="R368" s="24">
        <f t="shared" si="838"/>
        <v>0</v>
      </c>
      <c r="S368" s="23">
        <f t="shared" si="838"/>
        <v>0</v>
      </c>
      <c r="T368" s="22">
        <f t="shared" si="819"/>
        <v>0</v>
      </c>
      <c r="U368" s="24">
        <f t="shared" si="839"/>
        <v>0</v>
      </c>
      <c r="V368" s="23">
        <f t="shared" si="839"/>
        <v>0</v>
      </c>
      <c r="W368" s="22">
        <f t="shared" si="820"/>
        <v>0</v>
      </c>
      <c r="X368" s="24">
        <f t="shared" si="840"/>
        <v>0</v>
      </c>
      <c r="Y368" s="23">
        <f t="shared" si="840"/>
        <v>0</v>
      </c>
      <c r="Z368" s="22">
        <f t="shared" si="821"/>
        <v>0</v>
      </c>
      <c r="AA368" s="24">
        <f t="shared" si="841"/>
        <v>0</v>
      </c>
      <c r="AB368" s="23">
        <f t="shared" si="841"/>
        <v>0</v>
      </c>
      <c r="AC368" s="22">
        <f t="shared" si="822"/>
        <v>0</v>
      </c>
      <c r="AD368" s="24">
        <f t="shared" si="842"/>
        <v>0</v>
      </c>
      <c r="AE368" s="23">
        <f t="shared" si="842"/>
        <v>0</v>
      </c>
      <c r="AF368" s="22">
        <f t="shared" si="823"/>
        <v>0</v>
      </c>
      <c r="AG368" s="24">
        <f t="shared" si="843"/>
        <v>0</v>
      </c>
      <c r="AH368" s="23">
        <f t="shared" si="843"/>
        <v>0</v>
      </c>
      <c r="AI368" s="22">
        <f t="shared" si="824"/>
        <v>0</v>
      </c>
      <c r="AJ368" s="24">
        <f t="shared" si="844"/>
        <v>0</v>
      </c>
      <c r="AK368" s="23">
        <f t="shared" si="844"/>
        <v>0</v>
      </c>
      <c r="AL368" s="22">
        <f t="shared" si="825"/>
        <v>0</v>
      </c>
      <c r="AM368" s="24">
        <f t="shared" si="845"/>
        <v>0</v>
      </c>
      <c r="AN368" s="23">
        <f t="shared" si="845"/>
        <v>0</v>
      </c>
      <c r="AO368" s="22">
        <f t="shared" si="826"/>
        <v>0</v>
      </c>
      <c r="AP368" s="24">
        <f t="shared" si="846"/>
        <v>0</v>
      </c>
      <c r="AQ368" s="23">
        <f t="shared" si="846"/>
        <v>0</v>
      </c>
      <c r="AR368" s="22">
        <f t="shared" si="827"/>
        <v>0</v>
      </c>
      <c r="AS368" s="24">
        <f t="shared" si="847"/>
        <v>0</v>
      </c>
      <c r="AT368" s="23">
        <f t="shared" si="847"/>
        <v>0</v>
      </c>
      <c r="AU368" s="22">
        <f t="shared" si="828"/>
        <v>0</v>
      </c>
      <c r="AV368" s="24">
        <f t="shared" si="848"/>
        <v>0</v>
      </c>
      <c r="AW368" s="23">
        <f t="shared" si="848"/>
        <v>0</v>
      </c>
      <c r="AX368" s="22">
        <f t="shared" si="829"/>
        <v>0</v>
      </c>
      <c r="AY368" s="23">
        <f t="shared" si="849"/>
        <v>0</v>
      </c>
      <c r="AZ368" s="23">
        <f t="shared" si="849"/>
        <v>0</v>
      </c>
      <c r="BA368" s="22">
        <f t="shared" si="830"/>
        <v>0</v>
      </c>
      <c r="BB368" s="24">
        <f t="shared" si="810"/>
        <v>0</v>
      </c>
      <c r="BC368" s="23">
        <f t="shared" si="810"/>
        <v>0</v>
      </c>
      <c r="BD368" s="22">
        <f t="shared" si="831"/>
        <v>0</v>
      </c>
      <c r="BE368" s="24">
        <f t="shared" si="832"/>
        <v>0</v>
      </c>
      <c r="BF368" s="24">
        <f t="shared" si="832"/>
        <v>0</v>
      </c>
      <c r="BG368" s="20">
        <f t="shared" ref="BG368" si="851">BG400+BG440+BG472</f>
        <v>0</v>
      </c>
    </row>
    <row r="369" spans="1:59" ht="13.5" hidden="1" customHeight="1" outlineLevel="1" x14ac:dyDescent="0.25">
      <c r="A369" s="60"/>
      <c r="B369" s="84" t="s">
        <v>51</v>
      </c>
      <c r="C369" s="59" t="s">
        <v>110</v>
      </c>
      <c r="D369" s="20">
        <f t="shared" si="834"/>
        <v>0</v>
      </c>
      <c r="E369" s="20">
        <f t="shared" si="834"/>
        <v>0</v>
      </c>
      <c r="F369" s="24">
        <f t="shared" si="834"/>
        <v>0</v>
      </c>
      <c r="G369" s="23">
        <f t="shared" si="834"/>
        <v>0</v>
      </c>
      <c r="H369" s="22">
        <f t="shared" si="815"/>
        <v>0</v>
      </c>
      <c r="I369" s="24">
        <f t="shared" si="835"/>
        <v>0</v>
      </c>
      <c r="J369" s="23">
        <f t="shared" si="835"/>
        <v>0</v>
      </c>
      <c r="K369" s="22">
        <f t="shared" si="816"/>
        <v>0</v>
      </c>
      <c r="L369" s="24">
        <f t="shared" si="836"/>
        <v>0</v>
      </c>
      <c r="M369" s="23">
        <f t="shared" si="836"/>
        <v>0</v>
      </c>
      <c r="N369" s="22">
        <f t="shared" si="817"/>
        <v>0</v>
      </c>
      <c r="O369" s="24">
        <f t="shared" si="837"/>
        <v>0</v>
      </c>
      <c r="P369" s="23">
        <f t="shared" si="837"/>
        <v>0</v>
      </c>
      <c r="Q369" s="22">
        <f t="shared" si="818"/>
        <v>0</v>
      </c>
      <c r="R369" s="24">
        <f t="shared" si="838"/>
        <v>0</v>
      </c>
      <c r="S369" s="23">
        <f t="shared" si="838"/>
        <v>0</v>
      </c>
      <c r="T369" s="22">
        <f t="shared" si="819"/>
        <v>0</v>
      </c>
      <c r="U369" s="24">
        <f t="shared" si="839"/>
        <v>0</v>
      </c>
      <c r="V369" s="23">
        <f t="shared" si="839"/>
        <v>0</v>
      </c>
      <c r="W369" s="22">
        <f t="shared" si="820"/>
        <v>0</v>
      </c>
      <c r="X369" s="24">
        <f t="shared" si="840"/>
        <v>0</v>
      </c>
      <c r="Y369" s="23">
        <f t="shared" si="840"/>
        <v>0</v>
      </c>
      <c r="Z369" s="22">
        <f t="shared" si="821"/>
        <v>0</v>
      </c>
      <c r="AA369" s="24">
        <f t="shared" si="841"/>
        <v>0</v>
      </c>
      <c r="AB369" s="23">
        <f t="shared" si="841"/>
        <v>0</v>
      </c>
      <c r="AC369" s="22">
        <f t="shared" si="822"/>
        <v>0</v>
      </c>
      <c r="AD369" s="24">
        <f t="shared" si="842"/>
        <v>0</v>
      </c>
      <c r="AE369" s="23">
        <f t="shared" si="842"/>
        <v>0</v>
      </c>
      <c r="AF369" s="22">
        <f t="shared" si="823"/>
        <v>0</v>
      </c>
      <c r="AG369" s="24">
        <f t="shared" si="843"/>
        <v>0</v>
      </c>
      <c r="AH369" s="23">
        <f t="shared" si="843"/>
        <v>0</v>
      </c>
      <c r="AI369" s="22">
        <f t="shared" si="824"/>
        <v>0</v>
      </c>
      <c r="AJ369" s="24">
        <f t="shared" si="844"/>
        <v>0</v>
      </c>
      <c r="AK369" s="23">
        <f t="shared" si="844"/>
        <v>0</v>
      </c>
      <c r="AL369" s="22">
        <f t="shared" si="825"/>
        <v>0</v>
      </c>
      <c r="AM369" s="24">
        <f t="shared" si="845"/>
        <v>0</v>
      </c>
      <c r="AN369" s="23">
        <f t="shared" si="845"/>
        <v>0</v>
      </c>
      <c r="AO369" s="22">
        <f t="shared" si="826"/>
        <v>0</v>
      </c>
      <c r="AP369" s="24">
        <f t="shared" si="846"/>
        <v>0</v>
      </c>
      <c r="AQ369" s="23">
        <f t="shared" si="846"/>
        <v>0</v>
      </c>
      <c r="AR369" s="22">
        <f t="shared" si="827"/>
        <v>0</v>
      </c>
      <c r="AS369" s="24">
        <f t="shared" si="847"/>
        <v>0</v>
      </c>
      <c r="AT369" s="23">
        <f t="shared" si="847"/>
        <v>0</v>
      </c>
      <c r="AU369" s="22">
        <f t="shared" si="828"/>
        <v>0</v>
      </c>
      <c r="AV369" s="24">
        <f t="shared" si="848"/>
        <v>0</v>
      </c>
      <c r="AW369" s="23">
        <f t="shared" si="848"/>
        <v>0</v>
      </c>
      <c r="AX369" s="22">
        <f t="shared" si="829"/>
        <v>0</v>
      </c>
      <c r="AY369" s="23">
        <f t="shared" si="849"/>
        <v>0</v>
      </c>
      <c r="AZ369" s="23">
        <f t="shared" si="849"/>
        <v>0</v>
      </c>
      <c r="BA369" s="22">
        <f t="shared" si="830"/>
        <v>0</v>
      </c>
      <c r="BB369" s="24">
        <f t="shared" si="810"/>
        <v>0</v>
      </c>
      <c r="BC369" s="23">
        <f t="shared" si="810"/>
        <v>0</v>
      </c>
      <c r="BD369" s="22">
        <f t="shared" si="831"/>
        <v>0</v>
      </c>
      <c r="BE369" s="24">
        <f t="shared" si="832"/>
        <v>0</v>
      </c>
      <c r="BF369" s="24">
        <f t="shared" si="832"/>
        <v>0</v>
      </c>
      <c r="BG369" s="20">
        <f t="shared" ref="BG369" si="852">BG401+BG441+BG473</f>
        <v>0</v>
      </c>
    </row>
    <row r="370" spans="1:59" ht="13.5" hidden="1" customHeight="1" outlineLevel="1" x14ac:dyDescent="0.25">
      <c r="A370" s="60"/>
      <c r="B370" s="84" t="s">
        <v>52</v>
      </c>
      <c r="C370" s="59" t="s">
        <v>110</v>
      </c>
      <c r="D370" s="20">
        <f t="shared" si="834"/>
        <v>0</v>
      </c>
      <c r="E370" s="20">
        <f t="shared" si="834"/>
        <v>0</v>
      </c>
      <c r="F370" s="24">
        <f t="shared" si="834"/>
        <v>0</v>
      </c>
      <c r="G370" s="23">
        <f t="shared" si="834"/>
        <v>0</v>
      </c>
      <c r="H370" s="22">
        <f t="shared" si="815"/>
        <v>0</v>
      </c>
      <c r="I370" s="24">
        <f t="shared" si="835"/>
        <v>0</v>
      </c>
      <c r="J370" s="23">
        <f t="shared" si="835"/>
        <v>0</v>
      </c>
      <c r="K370" s="22">
        <f t="shared" si="816"/>
        <v>0</v>
      </c>
      <c r="L370" s="24">
        <f t="shared" si="836"/>
        <v>0</v>
      </c>
      <c r="M370" s="23">
        <f t="shared" si="836"/>
        <v>0</v>
      </c>
      <c r="N370" s="22">
        <f t="shared" si="817"/>
        <v>0</v>
      </c>
      <c r="O370" s="24">
        <f t="shared" si="837"/>
        <v>0</v>
      </c>
      <c r="P370" s="23">
        <f t="shared" si="837"/>
        <v>0</v>
      </c>
      <c r="Q370" s="22">
        <f t="shared" si="818"/>
        <v>0</v>
      </c>
      <c r="R370" s="24">
        <f t="shared" si="838"/>
        <v>0</v>
      </c>
      <c r="S370" s="23">
        <f t="shared" si="838"/>
        <v>0</v>
      </c>
      <c r="T370" s="22">
        <f t="shared" si="819"/>
        <v>0</v>
      </c>
      <c r="U370" s="24">
        <f t="shared" si="839"/>
        <v>0</v>
      </c>
      <c r="V370" s="23">
        <f t="shared" si="839"/>
        <v>0</v>
      </c>
      <c r="W370" s="22">
        <f t="shared" si="820"/>
        <v>0</v>
      </c>
      <c r="X370" s="24">
        <f t="shared" si="840"/>
        <v>0</v>
      </c>
      <c r="Y370" s="23">
        <f t="shared" si="840"/>
        <v>0</v>
      </c>
      <c r="Z370" s="22">
        <f t="shared" si="821"/>
        <v>0</v>
      </c>
      <c r="AA370" s="24">
        <f t="shared" si="841"/>
        <v>0</v>
      </c>
      <c r="AB370" s="23">
        <f t="shared" si="841"/>
        <v>0</v>
      </c>
      <c r="AC370" s="22">
        <f t="shared" si="822"/>
        <v>0</v>
      </c>
      <c r="AD370" s="24">
        <f t="shared" si="842"/>
        <v>0</v>
      </c>
      <c r="AE370" s="23">
        <f t="shared" si="842"/>
        <v>0</v>
      </c>
      <c r="AF370" s="22">
        <f t="shared" si="823"/>
        <v>0</v>
      </c>
      <c r="AG370" s="24">
        <f t="shared" si="843"/>
        <v>0</v>
      </c>
      <c r="AH370" s="23">
        <f t="shared" si="843"/>
        <v>0</v>
      </c>
      <c r="AI370" s="22">
        <f t="shared" si="824"/>
        <v>0</v>
      </c>
      <c r="AJ370" s="24">
        <f t="shared" si="844"/>
        <v>0</v>
      </c>
      <c r="AK370" s="23">
        <f t="shared" si="844"/>
        <v>0</v>
      </c>
      <c r="AL370" s="22">
        <f t="shared" si="825"/>
        <v>0</v>
      </c>
      <c r="AM370" s="24">
        <f t="shared" si="845"/>
        <v>0</v>
      </c>
      <c r="AN370" s="23">
        <f t="shared" si="845"/>
        <v>0</v>
      </c>
      <c r="AO370" s="22">
        <f t="shared" si="826"/>
        <v>0</v>
      </c>
      <c r="AP370" s="24">
        <f t="shared" si="846"/>
        <v>0</v>
      </c>
      <c r="AQ370" s="23">
        <f t="shared" si="846"/>
        <v>0</v>
      </c>
      <c r="AR370" s="22">
        <f t="shared" si="827"/>
        <v>0</v>
      </c>
      <c r="AS370" s="24">
        <f t="shared" si="847"/>
        <v>0</v>
      </c>
      <c r="AT370" s="23">
        <f t="shared" si="847"/>
        <v>0</v>
      </c>
      <c r="AU370" s="22">
        <f t="shared" si="828"/>
        <v>0</v>
      </c>
      <c r="AV370" s="24">
        <f t="shared" si="848"/>
        <v>0</v>
      </c>
      <c r="AW370" s="23">
        <f t="shared" si="848"/>
        <v>0</v>
      </c>
      <c r="AX370" s="22">
        <f t="shared" si="829"/>
        <v>0</v>
      </c>
      <c r="AY370" s="23">
        <f t="shared" si="849"/>
        <v>0</v>
      </c>
      <c r="AZ370" s="23">
        <f t="shared" si="849"/>
        <v>0</v>
      </c>
      <c r="BA370" s="22">
        <f t="shared" si="830"/>
        <v>0</v>
      </c>
      <c r="BB370" s="24">
        <f t="shared" si="810"/>
        <v>0</v>
      </c>
      <c r="BC370" s="23">
        <f t="shared" si="810"/>
        <v>0</v>
      </c>
      <c r="BD370" s="22">
        <f t="shared" si="831"/>
        <v>0</v>
      </c>
      <c r="BE370" s="24">
        <f t="shared" si="832"/>
        <v>0</v>
      </c>
      <c r="BF370" s="24">
        <f t="shared" si="832"/>
        <v>0</v>
      </c>
      <c r="BG370" s="20">
        <f t="shared" ref="BG370" si="853">BG402+BG442+BG474</f>
        <v>0</v>
      </c>
    </row>
    <row r="371" spans="1:59" ht="13.5" hidden="1" customHeight="1" outlineLevel="1" x14ac:dyDescent="0.25">
      <c r="A371" s="60"/>
      <c r="B371" s="84" t="s">
        <v>53</v>
      </c>
      <c r="C371" s="59" t="s">
        <v>110</v>
      </c>
      <c r="D371" s="20">
        <f t="shared" si="834"/>
        <v>0</v>
      </c>
      <c r="E371" s="20">
        <f t="shared" si="834"/>
        <v>0</v>
      </c>
      <c r="F371" s="24">
        <f t="shared" si="834"/>
        <v>0</v>
      </c>
      <c r="G371" s="23">
        <f t="shared" si="834"/>
        <v>0</v>
      </c>
      <c r="H371" s="22">
        <f t="shared" si="815"/>
        <v>0</v>
      </c>
      <c r="I371" s="24">
        <f t="shared" si="835"/>
        <v>0</v>
      </c>
      <c r="J371" s="23">
        <f t="shared" si="835"/>
        <v>0</v>
      </c>
      <c r="K371" s="22">
        <f t="shared" si="816"/>
        <v>0</v>
      </c>
      <c r="L371" s="24">
        <f t="shared" si="836"/>
        <v>0</v>
      </c>
      <c r="M371" s="23">
        <f t="shared" si="836"/>
        <v>0</v>
      </c>
      <c r="N371" s="22">
        <f t="shared" si="817"/>
        <v>0</v>
      </c>
      <c r="O371" s="24">
        <f t="shared" si="837"/>
        <v>0</v>
      </c>
      <c r="P371" s="23">
        <f t="shared" si="837"/>
        <v>0</v>
      </c>
      <c r="Q371" s="22">
        <f t="shared" si="818"/>
        <v>0</v>
      </c>
      <c r="R371" s="24">
        <f t="shared" si="838"/>
        <v>0</v>
      </c>
      <c r="S371" s="23">
        <f t="shared" si="838"/>
        <v>0</v>
      </c>
      <c r="T371" s="22">
        <f t="shared" si="819"/>
        <v>0</v>
      </c>
      <c r="U371" s="24">
        <f t="shared" si="839"/>
        <v>0</v>
      </c>
      <c r="V371" s="23">
        <f t="shared" si="839"/>
        <v>0</v>
      </c>
      <c r="W371" s="22">
        <f t="shared" si="820"/>
        <v>0</v>
      </c>
      <c r="X371" s="24">
        <f t="shared" si="840"/>
        <v>0</v>
      </c>
      <c r="Y371" s="23">
        <f t="shared" si="840"/>
        <v>0</v>
      </c>
      <c r="Z371" s="22">
        <f t="shared" si="821"/>
        <v>0</v>
      </c>
      <c r="AA371" s="24">
        <f t="shared" si="841"/>
        <v>0</v>
      </c>
      <c r="AB371" s="23">
        <f t="shared" si="841"/>
        <v>0</v>
      </c>
      <c r="AC371" s="22">
        <f t="shared" si="822"/>
        <v>0</v>
      </c>
      <c r="AD371" s="24">
        <f t="shared" si="842"/>
        <v>0</v>
      </c>
      <c r="AE371" s="23">
        <f t="shared" si="842"/>
        <v>0</v>
      </c>
      <c r="AF371" s="22">
        <f t="shared" si="823"/>
        <v>0</v>
      </c>
      <c r="AG371" s="24">
        <f t="shared" si="843"/>
        <v>0</v>
      </c>
      <c r="AH371" s="23">
        <f t="shared" si="843"/>
        <v>0</v>
      </c>
      <c r="AI371" s="22">
        <f t="shared" si="824"/>
        <v>0</v>
      </c>
      <c r="AJ371" s="24">
        <f t="shared" si="844"/>
        <v>0</v>
      </c>
      <c r="AK371" s="23">
        <f t="shared" si="844"/>
        <v>0</v>
      </c>
      <c r="AL371" s="22">
        <f t="shared" si="825"/>
        <v>0</v>
      </c>
      <c r="AM371" s="24">
        <f t="shared" si="845"/>
        <v>0</v>
      </c>
      <c r="AN371" s="23">
        <f t="shared" si="845"/>
        <v>0</v>
      </c>
      <c r="AO371" s="22">
        <f t="shared" si="826"/>
        <v>0</v>
      </c>
      <c r="AP371" s="24">
        <f t="shared" si="846"/>
        <v>0</v>
      </c>
      <c r="AQ371" s="23">
        <f t="shared" si="846"/>
        <v>0</v>
      </c>
      <c r="AR371" s="22">
        <f t="shared" si="827"/>
        <v>0</v>
      </c>
      <c r="AS371" s="24">
        <f t="shared" si="847"/>
        <v>0</v>
      </c>
      <c r="AT371" s="23">
        <f t="shared" si="847"/>
        <v>0</v>
      </c>
      <c r="AU371" s="22">
        <f t="shared" si="828"/>
        <v>0</v>
      </c>
      <c r="AV371" s="24">
        <f t="shared" si="848"/>
        <v>0</v>
      </c>
      <c r="AW371" s="23">
        <f t="shared" si="848"/>
        <v>0</v>
      </c>
      <c r="AX371" s="22">
        <f t="shared" si="829"/>
        <v>0</v>
      </c>
      <c r="AY371" s="23">
        <f t="shared" si="849"/>
        <v>0</v>
      </c>
      <c r="AZ371" s="23">
        <f t="shared" si="849"/>
        <v>0</v>
      </c>
      <c r="BA371" s="22">
        <f t="shared" si="830"/>
        <v>0</v>
      </c>
      <c r="BB371" s="24">
        <f t="shared" si="810"/>
        <v>0</v>
      </c>
      <c r="BC371" s="23">
        <f t="shared" si="810"/>
        <v>0</v>
      </c>
      <c r="BD371" s="22">
        <f t="shared" si="831"/>
        <v>0</v>
      </c>
      <c r="BE371" s="24">
        <f t="shared" si="832"/>
        <v>0</v>
      </c>
      <c r="BF371" s="24">
        <f t="shared" si="832"/>
        <v>0</v>
      </c>
      <c r="BG371" s="20">
        <f t="shared" ref="BG371" si="854">BG403+BG443+BG475</f>
        <v>0</v>
      </c>
    </row>
    <row r="372" spans="1:59" ht="13.5" hidden="1" customHeight="1" outlineLevel="1" x14ac:dyDescent="0.25">
      <c r="A372" s="60"/>
      <c r="B372" s="84" t="s">
        <v>54</v>
      </c>
      <c r="C372" s="59" t="s">
        <v>110</v>
      </c>
      <c r="D372" s="20">
        <f t="shared" si="834"/>
        <v>0</v>
      </c>
      <c r="E372" s="20">
        <f t="shared" si="834"/>
        <v>0</v>
      </c>
      <c r="F372" s="24">
        <f t="shared" si="834"/>
        <v>0</v>
      </c>
      <c r="G372" s="23">
        <f t="shared" si="834"/>
        <v>0</v>
      </c>
      <c r="H372" s="22">
        <f t="shared" si="815"/>
        <v>0</v>
      </c>
      <c r="I372" s="24">
        <f t="shared" si="835"/>
        <v>0</v>
      </c>
      <c r="J372" s="23">
        <f t="shared" si="835"/>
        <v>0</v>
      </c>
      <c r="K372" s="22">
        <f t="shared" si="816"/>
        <v>0</v>
      </c>
      <c r="L372" s="24">
        <f t="shared" si="836"/>
        <v>0</v>
      </c>
      <c r="M372" s="23">
        <f t="shared" si="836"/>
        <v>0</v>
      </c>
      <c r="N372" s="22">
        <f t="shared" si="817"/>
        <v>0</v>
      </c>
      <c r="O372" s="24">
        <f t="shared" si="837"/>
        <v>0</v>
      </c>
      <c r="P372" s="23">
        <f t="shared" si="837"/>
        <v>0</v>
      </c>
      <c r="Q372" s="22">
        <f t="shared" si="818"/>
        <v>0</v>
      </c>
      <c r="R372" s="24">
        <f t="shared" si="838"/>
        <v>0</v>
      </c>
      <c r="S372" s="23">
        <f t="shared" si="838"/>
        <v>0</v>
      </c>
      <c r="T372" s="22">
        <f t="shared" si="819"/>
        <v>0</v>
      </c>
      <c r="U372" s="24">
        <f t="shared" si="839"/>
        <v>0</v>
      </c>
      <c r="V372" s="23">
        <f t="shared" si="839"/>
        <v>0</v>
      </c>
      <c r="W372" s="22">
        <f t="shared" si="820"/>
        <v>0</v>
      </c>
      <c r="X372" s="24">
        <f t="shared" si="840"/>
        <v>0</v>
      </c>
      <c r="Y372" s="23">
        <f t="shared" si="840"/>
        <v>0</v>
      </c>
      <c r="Z372" s="22">
        <f t="shared" si="821"/>
        <v>0</v>
      </c>
      <c r="AA372" s="24">
        <f t="shared" si="841"/>
        <v>0</v>
      </c>
      <c r="AB372" s="23">
        <f t="shared" si="841"/>
        <v>0</v>
      </c>
      <c r="AC372" s="22">
        <f t="shared" si="822"/>
        <v>0</v>
      </c>
      <c r="AD372" s="24">
        <f t="shared" si="842"/>
        <v>0</v>
      </c>
      <c r="AE372" s="23">
        <f t="shared" si="842"/>
        <v>0</v>
      </c>
      <c r="AF372" s="22">
        <f t="shared" si="823"/>
        <v>0</v>
      </c>
      <c r="AG372" s="24">
        <f t="shared" si="843"/>
        <v>0</v>
      </c>
      <c r="AH372" s="23">
        <f t="shared" si="843"/>
        <v>0</v>
      </c>
      <c r="AI372" s="22">
        <f t="shared" si="824"/>
        <v>0</v>
      </c>
      <c r="AJ372" s="24">
        <f t="shared" si="844"/>
        <v>0</v>
      </c>
      <c r="AK372" s="23">
        <f t="shared" si="844"/>
        <v>0</v>
      </c>
      <c r="AL372" s="22">
        <f t="shared" si="825"/>
        <v>0</v>
      </c>
      <c r="AM372" s="24">
        <f t="shared" si="845"/>
        <v>0</v>
      </c>
      <c r="AN372" s="23">
        <f t="shared" si="845"/>
        <v>0</v>
      </c>
      <c r="AO372" s="22">
        <f t="shared" si="826"/>
        <v>0</v>
      </c>
      <c r="AP372" s="24">
        <f t="shared" si="846"/>
        <v>0</v>
      </c>
      <c r="AQ372" s="23">
        <f t="shared" si="846"/>
        <v>0</v>
      </c>
      <c r="AR372" s="22">
        <f t="shared" si="827"/>
        <v>0</v>
      </c>
      <c r="AS372" s="24">
        <f t="shared" si="847"/>
        <v>0</v>
      </c>
      <c r="AT372" s="23">
        <f t="shared" si="847"/>
        <v>0</v>
      </c>
      <c r="AU372" s="22">
        <f t="shared" si="828"/>
        <v>0</v>
      </c>
      <c r="AV372" s="24">
        <f t="shared" si="848"/>
        <v>0</v>
      </c>
      <c r="AW372" s="23">
        <f t="shared" si="848"/>
        <v>0</v>
      </c>
      <c r="AX372" s="22">
        <f t="shared" si="829"/>
        <v>0</v>
      </c>
      <c r="AY372" s="23">
        <f t="shared" si="849"/>
        <v>0</v>
      </c>
      <c r="AZ372" s="23">
        <f t="shared" si="849"/>
        <v>0</v>
      </c>
      <c r="BA372" s="22">
        <f t="shared" si="830"/>
        <v>0</v>
      </c>
      <c r="BB372" s="24">
        <f t="shared" si="810"/>
        <v>0</v>
      </c>
      <c r="BC372" s="23">
        <f t="shared" si="810"/>
        <v>0</v>
      </c>
      <c r="BD372" s="22">
        <f t="shared" si="831"/>
        <v>0</v>
      </c>
      <c r="BE372" s="24">
        <f t="shared" si="832"/>
        <v>0</v>
      </c>
      <c r="BF372" s="24">
        <f t="shared" si="832"/>
        <v>0</v>
      </c>
      <c r="BG372" s="20">
        <f t="shared" ref="BG372" si="855">BG404+BG444+BG476</f>
        <v>0</v>
      </c>
    </row>
    <row r="373" spans="1:59" ht="13.5" hidden="1" customHeight="1" outlineLevel="1" x14ac:dyDescent="0.25">
      <c r="A373" s="65"/>
      <c r="B373" s="84" t="s">
        <v>55</v>
      </c>
      <c r="C373" s="63" t="s">
        <v>110</v>
      </c>
      <c r="D373" s="168">
        <f t="shared" si="834"/>
        <v>0</v>
      </c>
      <c r="E373" s="168">
        <f t="shared" si="834"/>
        <v>0</v>
      </c>
      <c r="F373" s="171">
        <f t="shared" si="834"/>
        <v>0</v>
      </c>
      <c r="G373" s="169">
        <f t="shared" si="834"/>
        <v>0</v>
      </c>
      <c r="H373" s="170">
        <f t="shared" si="815"/>
        <v>0</v>
      </c>
      <c r="I373" s="171">
        <f t="shared" si="835"/>
        <v>0</v>
      </c>
      <c r="J373" s="169">
        <f t="shared" si="835"/>
        <v>0</v>
      </c>
      <c r="K373" s="170">
        <f t="shared" si="816"/>
        <v>0</v>
      </c>
      <c r="L373" s="171">
        <f t="shared" si="836"/>
        <v>0</v>
      </c>
      <c r="M373" s="169">
        <f t="shared" si="836"/>
        <v>0</v>
      </c>
      <c r="N373" s="170">
        <f t="shared" si="817"/>
        <v>0</v>
      </c>
      <c r="O373" s="171">
        <f t="shared" si="837"/>
        <v>0</v>
      </c>
      <c r="P373" s="169">
        <f t="shared" si="837"/>
        <v>0</v>
      </c>
      <c r="Q373" s="170">
        <f t="shared" si="818"/>
        <v>0</v>
      </c>
      <c r="R373" s="171">
        <f t="shared" si="838"/>
        <v>0</v>
      </c>
      <c r="S373" s="169">
        <f t="shared" si="838"/>
        <v>0</v>
      </c>
      <c r="T373" s="170">
        <f t="shared" si="819"/>
        <v>0</v>
      </c>
      <c r="U373" s="171">
        <f t="shared" si="839"/>
        <v>0</v>
      </c>
      <c r="V373" s="169">
        <f t="shared" si="839"/>
        <v>0</v>
      </c>
      <c r="W373" s="170">
        <f t="shared" si="820"/>
        <v>0</v>
      </c>
      <c r="X373" s="171">
        <f t="shared" si="840"/>
        <v>0</v>
      </c>
      <c r="Y373" s="169">
        <f t="shared" si="840"/>
        <v>0</v>
      </c>
      <c r="Z373" s="170">
        <f t="shared" si="821"/>
        <v>0</v>
      </c>
      <c r="AA373" s="171">
        <f t="shared" si="841"/>
        <v>0</v>
      </c>
      <c r="AB373" s="169">
        <f t="shared" si="841"/>
        <v>0</v>
      </c>
      <c r="AC373" s="170">
        <f t="shared" si="822"/>
        <v>0</v>
      </c>
      <c r="AD373" s="171">
        <f t="shared" si="842"/>
        <v>0</v>
      </c>
      <c r="AE373" s="169">
        <f t="shared" si="842"/>
        <v>0</v>
      </c>
      <c r="AF373" s="170">
        <f t="shared" si="823"/>
        <v>0</v>
      </c>
      <c r="AG373" s="171">
        <f t="shared" si="843"/>
        <v>0</v>
      </c>
      <c r="AH373" s="169">
        <f t="shared" si="843"/>
        <v>0</v>
      </c>
      <c r="AI373" s="170">
        <f t="shared" si="824"/>
        <v>0</v>
      </c>
      <c r="AJ373" s="171">
        <f t="shared" si="844"/>
        <v>0</v>
      </c>
      <c r="AK373" s="169">
        <f t="shared" si="844"/>
        <v>0</v>
      </c>
      <c r="AL373" s="170">
        <f t="shared" si="825"/>
        <v>0</v>
      </c>
      <c r="AM373" s="171">
        <f t="shared" si="845"/>
        <v>0</v>
      </c>
      <c r="AN373" s="169">
        <f t="shared" si="845"/>
        <v>0</v>
      </c>
      <c r="AO373" s="170">
        <f t="shared" si="826"/>
        <v>0</v>
      </c>
      <c r="AP373" s="171">
        <f t="shared" si="846"/>
        <v>0</v>
      </c>
      <c r="AQ373" s="169">
        <f t="shared" si="846"/>
        <v>0</v>
      </c>
      <c r="AR373" s="170">
        <f t="shared" si="827"/>
        <v>0</v>
      </c>
      <c r="AS373" s="171">
        <f t="shared" si="847"/>
        <v>0</v>
      </c>
      <c r="AT373" s="169">
        <f t="shared" si="847"/>
        <v>0</v>
      </c>
      <c r="AU373" s="170">
        <f t="shared" si="828"/>
        <v>0</v>
      </c>
      <c r="AV373" s="171">
        <f t="shared" si="848"/>
        <v>0</v>
      </c>
      <c r="AW373" s="169">
        <f t="shared" si="848"/>
        <v>0</v>
      </c>
      <c r="AX373" s="170">
        <f t="shared" si="829"/>
        <v>0</v>
      </c>
      <c r="AY373" s="169">
        <f t="shared" si="849"/>
        <v>0</v>
      </c>
      <c r="AZ373" s="169">
        <f t="shared" si="849"/>
        <v>0</v>
      </c>
      <c r="BA373" s="170">
        <f t="shared" si="830"/>
        <v>0</v>
      </c>
      <c r="BB373" s="171">
        <f t="shared" si="810"/>
        <v>0</v>
      </c>
      <c r="BC373" s="169">
        <f t="shared" si="810"/>
        <v>0</v>
      </c>
      <c r="BD373" s="170">
        <f t="shared" si="831"/>
        <v>0</v>
      </c>
      <c r="BE373" s="171">
        <f t="shared" si="832"/>
        <v>0</v>
      </c>
      <c r="BF373" s="171">
        <f t="shared" si="832"/>
        <v>0</v>
      </c>
      <c r="BG373" s="168">
        <f t="shared" ref="BG373" si="856">BG405+BG445+BG477</f>
        <v>0</v>
      </c>
    </row>
    <row r="374" spans="1:59" ht="13.5" hidden="1" customHeight="1" outlineLevel="1" x14ac:dyDescent="0.25">
      <c r="A374" s="65"/>
      <c r="B374" s="99" t="s">
        <v>56</v>
      </c>
      <c r="C374" s="63" t="s">
        <v>110</v>
      </c>
      <c r="D374" s="168">
        <f t="shared" si="834"/>
        <v>0</v>
      </c>
      <c r="E374" s="168">
        <f t="shared" si="834"/>
        <v>0</v>
      </c>
      <c r="F374" s="171">
        <f t="shared" si="834"/>
        <v>0</v>
      </c>
      <c r="G374" s="169">
        <f t="shared" si="834"/>
        <v>0</v>
      </c>
      <c r="H374" s="170">
        <f t="shared" si="815"/>
        <v>0</v>
      </c>
      <c r="I374" s="171">
        <f t="shared" si="835"/>
        <v>0</v>
      </c>
      <c r="J374" s="169">
        <f t="shared" si="835"/>
        <v>0</v>
      </c>
      <c r="K374" s="170">
        <f t="shared" si="816"/>
        <v>0</v>
      </c>
      <c r="L374" s="171">
        <f t="shared" si="836"/>
        <v>0</v>
      </c>
      <c r="M374" s="169">
        <f t="shared" si="836"/>
        <v>0</v>
      </c>
      <c r="N374" s="170">
        <f t="shared" si="817"/>
        <v>0</v>
      </c>
      <c r="O374" s="171">
        <f t="shared" si="837"/>
        <v>0</v>
      </c>
      <c r="P374" s="169">
        <f t="shared" si="837"/>
        <v>0</v>
      </c>
      <c r="Q374" s="170">
        <f t="shared" si="818"/>
        <v>0</v>
      </c>
      <c r="R374" s="171">
        <f t="shared" si="838"/>
        <v>0</v>
      </c>
      <c r="S374" s="169">
        <f t="shared" si="838"/>
        <v>0</v>
      </c>
      <c r="T374" s="170">
        <f t="shared" si="819"/>
        <v>0</v>
      </c>
      <c r="U374" s="171">
        <f t="shared" si="839"/>
        <v>0</v>
      </c>
      <c r="V374" s="169">
        <f t="shared" si="839"/>
        <v>0</v>
      </c>
      <c r="W374" s="170">
        <f t="shared" si="820"/>
        <v>0</v>
      </c>
      <c r="X374" s="171">
        <f t="shared" si="840"/>
        <v>0</v>
      </c>
      <c r="Y374" s="169">
        <f t="shared" si="840"/>
        <v>0</v>
      </c>
      <c r="Z374" s="170">
        <f t="shared" si="821"/>
        <v>0</v>
      </c>
      <c r="AA374" s="171">
        <f t="shared" si="841"/>
        <v>0</v>
      </c>
      <c r="AB374" s="169">
        <f t="shared" si="841"/>
        <v>0</v>
      </c>
      <c r="AC374" s="170">
        <f t="shared" si="822"/>
        <v>0</v>
      </c>
      <c r="AD374" s="171">
        <f t="shared" si="842"/>
        <v>0</v>
      </c>
      <c r="AE374" s="169">
        <f t="shared" si="842"/>
        <v>0</v>
      </c>
      <c r="AF374" s="170">
        <f t="shared" si="823"/>
        <v>0</v>
      </c>
      <c r="AG374" s="171">
        <f t="shared" si="843"/>
        <v>0</v>
      </c>
      <c r="AH374" s="169">
        <f t="shared" si="843"/>
        <v>0</v>
      </c>
      <c r="AI374" s="170">
        <f t="shared" si="824"/>
        <v>0</v>
      </c>
      <c r="AJ374" s="171">
        <f t="shared" si="844"/>
        <v>0</v>
      </c>
      <c r="AK374" s="169">
        <f t="shared" si="844"/>
        <v>0</v>
      </c>
      <c r="AL374" s="170">
        <f t="shared" si="825"/>
        <v>0</v>
      </c>
      <c r="AM374" s="171">
        <f t="shared" si="845"/>
        <v>0</v>
      </c>
      <c r="AN374" s="169">
        <f t="shared" si="845"/>
        <v>0</v>
      </c>
      <c r="AO374" s="170">
        <f t="shared" si="826"/>
        <v>0</v>
      </c>
      <c r="AP374" s="171">
        <f t="shared" si="846"/>
        <v>0</v>
      </c>
      <c r="AQ374" s="169">
        <f t="shared" si="846"/>
        <v>0</v>
      </c>
      <c r="AR374" s="170">
        <f t="shared" si="827"/>
        <v>0</v>
      </c>
      <c r="AS374" s="171">
        <f t="shared" si="847"/>
        <v>0</v>
      </c>
      <c r="AT374" s="169">
        <f t="shared" si="847"/>
        <v>0</v>
      </c>
      <c r="AU374" s="170">
        <f t="shared" si="828"/>
        <v>0</v>
      </c>
      <c r="AV374" s="171">
        <f t="shared" si="848"/>
        <v>0</v>
      </c>
      <c r="AW374" s="169">
        <f t="shared" si="848"/>
        <v>0</v>
      </c>
      <c r="AX374" s="170">
        <f t="shared" si="829"/>
        <v>0</v>
      </c>
      <c r="AY374" s="169">
        <f t="shared" si="849"/>
        <v>0</v>
      </c>
      <c r="AZ374" s="169">
        <f t="shared" si="849"/>
        <v>0</v>
      </c>
      <c r="BA374" s="170">
        <f t="shared" si="830"/>
        <v>0</v>
      </c>
      <c r="BB374" s="171">
        <f t="shared" si="810"/>
        <v>0</v>
      </c>
      <c r="BC374" s="169">
        <f t="shared" si="810"/>
        <v>0</v>
      </c>
      <c r="BD374" s="170">
        <f t="shared" si="831"/>
        <v>0</v>
      </c>
      <c r="BE374" s="171">
        <f t="shared" si="832"/>
        <v>0</v>
      </c>
      <c r="BF374" s="171">
        <f t="shared" si="832"/>
        <v>0</v>
      </c>
      <c r="BG374" s="168">
        <f t="shared" ref="BG374" si="857">BG406+BG446+BG478</f>
        <v>0</v>
      </c>
    </row>
    <row r="375" spans="1:59" ht="13.5" hidden="1" customHeight="1" outlineLevel="1" x14ac:dyDescent="0.25">
      <c r="A375" s="65"/>
      <c r="B375" s="84" t="s">
        <v>57</v>
      </c>
      <c r="C375" s="63" t="s">
        <v>110</v>
      </c>
      <c r="D375" s="168">
        <f t="shared" si="834"/>
        <v>0</v>
      </c>
      <c r="E375" s="168">
        <f t="shared" si="834"/>
        <v>0</v>
      </c>
      <c r="F375" s="171">
        <f t="shared" si="834"/>
        <v>0</v>
      </c>
      <c r="G375" s="169">
        <f t="shared" si="834"/>
        <v>0</v>
      </c>
      <c r="H375" s="170">
        <f t="shared" si="815"/>
        <v>0</v>
      </c>
      <c r="I375" s="171">
        <f t="shared" si="835"/>
        <v>0</v>
      </c>
      <c r="J375" s="169">
        <f t="shared" si="835"/>
        <v>0</v>
      </c>
      <c r="K375" s="170">
        <f t="shared" si="816"/>
        <v>0</v>
      </c>
      <c r="L375" s="171">
        <f t="shared" si="836"/>
        <v>0</v>
      </c>
      <c r="M375" s="169">
        <f t="shared" si="836"/>
        <v>0</v>
      </c>
      <c r="N375" s="170">
        <f t="shared" si="817"/>
        <v>0</v>
      </c>
      <c r="O375" s="171">
        <f t="shared" si="837"/>
        <v>0</v>
      </c>
      <c r="P375" s="169">
        <f t="shared" si="837"/>
        <v>0</v>
      </c>
      <c r="Q375" s="170">
        <f t="shared" si="818"/>
        <v>0</v>
      </c>
      <c r="R375" s="171">
        <f t="shared" si="838"/>
        <v>0</v>
      </c>
      <c r="S375" s="169">
        <f t="shared" si="838"/>
        <v>0</v>
      </c>
      <c r="T375" s="170">
        <f t="shared" si="819"/>
        <v>0</v>
      </c>
      <c r="U375" s="171">
        <f t="shared" si="839"/>
        <v>0</v>
      </c>
      <c r="V375" s="169">
        <f t="shared" si="839"/>
        <v>0</v>
      </c>
      <c r="W375" s="170">
        <f t="shared" si="820"/>
        <v>0</v>
      </c>
      <c r="X375" s="171">
        <f t="shared" si="840"/>
        <v>0</v>
      </c>
      <c r="Y375" s="169">
        <f t="shared" si="840"/>
        <v>0</v>
      </c>
      <c r="Z375" s="170">
        <f t="shared" si="821"/>
        <v>0</v>
      </c>
      <c r="AA375" s="171">
        <f t="shared" si="841"/>
        <v>0</v>
      </c>
      <c r="AB375" s="169">
        <f t="shared" si="841"/>
        <v>0</v>
      </c>
      <c r="AC375" s="170">
        <f t="shared" si="822"/>
        <v>0</v>
      </c>
      <c r="AD375" s="171">
        <f t="shared" si="842"/>
        <v>0</v>
      </c>
      <c r="AE375" s="169">
        <f t="shared" si="842"/>
        <v>0</v>
      </c>
      <c r="AF375" s="170">
        <f t="shared" si="823"/>
        <v>0</v>
      </c>
      <c r="AG375" s="171">
        <f t="shared" si="843"/>
        <v>0</v>
      </c>
      <c r="AH375" s="169">
        <f t="shared" si="843"/>
        <v>0</v>
      </c>
      <c r="AI375" s="170">
        <f t="shared" si="824"/>
        <v>0</v>
      </c>
      <c r="AJ375" s="171">
        <f t="shared" si="844"/>
        <v>0</v>
      </c>
      <c r="AK375" s="169">
        <f t="shared" si="844"/>
        <v>0</v>
      </c>
      <c r="AL375" s="170">
        <f t="shared" si="825"/>
        <v>0</v>
      </c>
      <c r="AM375" s="171">
        <f t="shared" si="845"/>
        <v>0</v>
      </c>
      <c r="AN375" s="169">
        <f t="shared" si="845"/>
        <v>0</v>
      </c>
      <c r="AO375" s="170">
        <f t="shared" si="826"/>
        <v>0</v>
      </c>
      <c r="AP375" s="171">
        <f t="shared" si="846"/>
        <v>0</v>
      </c>
      <c r="AQ375" s="169">
        <f t="shared" si="846"/>
        <v>0</v>
      </c>
      <c r="AR375" s="170">
        <f t="shared" si="827"/>
        <v>0</v>
      </c>
      <c r="AS375" s="171">
        <f t="shared" si="847"/>
        <v>0</v>
      </c>
      <c r="AT375" s="169">
        <f t="shared" si="847"/>
        <v>0</v>
      </c>
      <c r="AU375" s="170">
        <f t="shared" si="828"/>
        <v>0</v>
      </c>
      <c r="AV375" s="171">
        <f t="shared" si="848"/>
        <v>0</v>
      </c>
      <c r="AW375" s="169">
        <f t="shared" si="848"/>
        <v>0</v>
      </c>
      <c r="AX375" s="170">
        <f t="shared" si="829"/>
        <v>0</v>
      </c>
      <c r="AY375" s="169">
        <f t="shared" si="849"/>
        <v>0</v>
      </c>
      <c r="AZ375" s="169">
        <f t="shared" si="849"/>
        <v>0</v>
      </c>
      <c r="BA375" s="170">
        <f t="shared" si="830"/>
        <v>0</v>
      </c>
      <c r="BB375" s="171">
        <f t="shared" si="810"/>
        <v>0</v>
      </c>
      <c r="BC375" s="169">
        <f t="shared" si="810"/>
        <v>0</v>
      </c>
      <c r="BD375" s="170">
        <f t="shared" si="831"/>
        <v>0</v>
      </c>
      <c r="BE375" s="171">
        <f t="shared" si="832"/>
        <v>0</v>
      </c>
      <c r="BF375" s="171">
        <f t="shared" si="832"/>
        <v>0</v>
      </c>
      <c r="BG375" s="168">
        <f t="shared" ref="BG375" si="858">BG407+BG447+BG479</f>
        <v>0</v>
      </c>
    </row>
    <row r="376" spans="1:59" ht="13.5" hidden="1" customHeight="1" outlineLevel="1" x14ac:dyDescent="0.25">
      <c r="A376" s="65"/>
      <c r="B376" s="99" t="s">
        <v>58</v>
      </c>
      <c r="C376" s="63" t="s">
        <v>110</v>
      </c>
      <c r="D376" s="168">
        <f t="shared" si="834"/>
        <v>0</v>
      </c>
      <c r="E376" s="168">
        <f t="shared" si="834"/>
        <v>0</v>
      </c>
      <c r="F376" s="171">
        <f t="shared" si="834"/>
        <v>0</v>
      </c>
      <c r="G376" s="169">
        <f t="shared" si="834"/>
        <v>0</v>
      </c>
      <c r="H376" s="170">
        <f t="shared" si="815"/>
        <v>0</v>
      </c>
      <c r="I376" s="171">
        <f t="shared" si="835"/>
        <v>0</v>
      </c>
      <c r="J376" s="169">
        <f t="shared" si="835"/>
        <v>0</v>
      </c>
      <c r="K376" s="170">
        <f t="shared" si="816"/>
        <v>0</v>
      </c>
      <c r="L376" s="171">
        <f t="shared" si="836"/>
        <v>0</v>
      </c>
      <c r="M376" s="169">
        <f t="shared" si="836"/>
        <v>0</v>
      </c>
      <c r="N376" s="170">
        <f t="shared" si="817"/>
        <v>0</v>
      </c>
      <c r="O376" s="171">
        <f t="shared" si="837"/>
        <v>0</v>
      </c>
      <c r="P376" s="169">
        <f t="shared" si="837"/>
        <v>0</v>
      </c>
      <c r="Q376" s="170">
        <f t="shared" si="818"/>
        <v>0</v>
      </c>
      <c r="R376" s="171">
        <f t="shared" si="838"/>
        <v>0</v>
      </c>
      <c r="S376" s="169">
        <f t="shared" si="838"/>
        <v>0</v>
      </c>
      <c r="T376" s="170">
        <f t="shared" si="819"/>
        <v>0</v>
      </c>
      <c r="U376" s="171">
        <f t="shared" si="839"/>
        <v>0</v>
      </c>
      <c r="V376" s="169">
        <f t="shared" si="839"/>
        <v>0</v>
      </c>
      <c r="W376" s="170">
        <f t="shared" si="820"/>
        <v>0</v>
      </c>
      <c r="X376" s="171">
        <f t="shared" si="840"/>
        <v>0</v>
      </c>
      <c r="Y376" s="169">
        <f t="shared" si="840"/>
        <v>0</v>
      </c>
      <c r="Z376" s="170">
        <f t="shared" si="821"/>
        <v>0</v>
      </c>
      <c r="AA376" s="171">
        <f t="shared" si="841"/>
        <v>0</v>
      </c>
      <c r="AB376" s="169">
        <f t="shared" si="841"/>
        <v>0</v>
      </c>
      <c r="AC376" s="170">
        <f t="shared" si="822"/>
        <v>0</v>
      </c>
      <c r="AD376" s="171">
        <f t="shared" si="842"/>
        <v>0</v>
      </c>
      <c r="AE376" s="169">
        <f t="shared" si="842"/>
        <v>0</v>
      </c>
      <c r="AF376" s="170">
        <f t="shared" si="823"/>
        <v>0</v>
      </c>
      <c r="AG376" s="171">
        <f t="shared" si="843"/>
        <v>0</v>
      </c>
      <c r="AH376" s="169">
        <f t="shared" si="843"/>
        <v>0</v>
      </c>
      <c r="AI376" s="170">
        <f t="shared" si="824"/>
        <v>0</v>
      </c>
      <c r="AJ376" s="171">
        <f t="shared" si="844"/>
        <v>0</v>
      </c>
      <c r="AK376" s="169">
        <f t="shared" si="844"/>
        <v>0</v>
      </c>
      <c r="AL376" s="170">
        <f t="shared" si="825"/>
        <v>0</v>
      </c>
      <c r="AM376" s="171">
        <f t="shared" si="845"/>
        <v>0</v>
      </c>
      <c r="AN376" s="169">
        <f t="shared" si="845"/>
        <v>0</v>
      </c>
      <c r="AO376" s="170">
        <f t="shared" si="826"/>
        <v>0</v>
      </c>
      <c r="AP376" s="171">
        <f t="shared" si="846"/>
        <v>0</v>
      </c>
      <c r="AQ376" s="169">
        <f t="shared" si="846"/>
        <v>0</v>
      </c>
      <c r="AR376" s="170">
        <f t="shared" si="827"/>
        <v>0</v>
      </c>
      <c r="AS376" s="171">
        <f t="shared" si="847"/>
        <v>0</v>
      </c>
      <c r="AT376" s="169">
        <f t="shared" si="847"/>
        <v>0</v>
      </c>
      <c r="AU376" s="170">
        <f t="shared" si="828"/>
        <v>0</v>
      </c>
      <c r="AV376" s="171">
        <f t="shared" si="848"/>
        <v>0</v>
      </c>
      <c r="AW376" s="169">
        <f t="shared" si="848"/>
        <v>0</v>
      </c>
      <c r="AX376" s="170">
        <f t="shared" si="829"/>
        <v>0</v>
      </c>
      <c r="AY376" s="169">
        <f t="shared" si="849"/>
        <v>0</v>
      </c>
      <c r="AZ376" s="169">
        <f t="shared" si="849"/>
        <v>0</v>
      </c>
      <c r="BA376" s="170">
        <f t="shared" si="830"/>
        <v>0</v>
      </c>
      <c r="BB376" s="171">
        <f t="shared" si="810"/>
        <v>0</v>
      </c>
      <c r="BC376" s="169">
        <f t="shared" si="810"/>
        <v>0</v>
      </c>
      <c r="BD376" s="170">
        <f t="shared" si="831"/>
        <v>0</v>
      </c>
      <c r="BE376" s="171">
        <f t="shared" si="832"/>
        <v>0</v>
      </c>
      <c r="BF376" s="171">
        <f t="shared" si="832"/>
        <v>0</v>
      </c>
      <c r="BG376" s="168">
        <f t="shared" ref="BG376" si="859">BG408+BG448+BG480</f>
        <v>0</v>
      </c>
    </row>
    <row r="377" spans="1:59" ht="13.5" hidden="1" customHeight="1" outlineLevel="1" x14ac:dyDescent="0.25">
      <c r="A377" s="65"/>
      <c r="B377" s="84" t="s">
        <v>59</v>
      </c>
      <c r="C377" s="63" t="s">
        <v>110</v>
      </c>
      <c r="D377" s="168">
        <f t="shared" si="834"/>
        <v>0</v>
      </c>
      <c r="E377" s="168">
        <f t="shared" si="834"/>
        <v>0</v>
      </c>
      <c r="F377" s="171">
        <f t="shared" si="834"/>
        <v>0</v>
      </c>
      <c r="G377" s="169">
        <f t="shared" si="834"/>
        <v>0</v>
      </c>
      <c r="H377" s="170">
        <f t="shared" si="815"/>
        <v>0</v>
      </c>
      <c r="I377" s="171">
        <f t="shared" si="835"/>
        <v>0</v>
      </c>
      <c r="J377" s="169">
        <f t="shared" si="835"/>
        <v>0</v>
      </c>
      <c r="K377" s="170">
        <f t="shared" si="816"/>
        <v>0</v>
      </c>
      <c r="L377" s="171">
        <f t="shared" si="836"/>
        <v>0</v>
      </c>
      <c r="M377" s="169">
        <f t="shared" si="836"/>
        <v>0</v>
      </c>
      <c r="N377" s="170">
        <f t="shared" si="817"/>
        <v>0</v>
      </c>
      <c r="O377" s="171">
        <f t="shared" si="837"/>
        <v>0</v>
      </c>
      <c r="P377" s="169">
        <f t="shared" si="837"/>
        <v>0</v>
      </c>
      <c r="Q377" s="170">
        <f t="shared" si="818"/>
        <v>0</v>
      </c>
      <c r="R377" s="171">
        <f t="shared" si="838"/>
        <v>0</v>
      </c>
      <c r="S377" s="169">
        <f t="shared" si="838"/>
        <v>0</v>
      </c>
      <c r="T377" s="170">
        <f t="shared" si="819"/>
        <v>0</v>
      </c>
      <c r="U377" s="171">
        <f t="shared" si="839"/>
        <v>0</v>
      </c>
      <c r="V377" s="169">
        <f t="shared" si="839"/>
        <v>0</v>
      </c>
      <c r="W377" s="170">
        <f t="shared" si="820"/>
        <v>0</v>
      </c>
      <c r="X377" s="171">
        <f t="shared" si="840"/>
        <v>0</v>
      </c>
      <c r="Y377" s="169">
        <f t="shared" si="840"/>
        <v>0</v>
      </c>
      <c r="Z377" s="170">
        <f t="shared" si="821"/>
        <v>0</v>
      </c>
      <c r="AA377" s="171">
        <f t="shared" si="841"/>
        <v>0</v>
      </c>
      <c r="AB377" s="169">
        <f t="shared" si="841"/>
        <v>0</v>
      </c>
      <c r="AC377" s="170">
        <f t="shared" si="822"/>
        <v>0</v>
      </c>
      <c r="AD377" s="171">
        <f t="shared" si="842"/>
        <v>0</v>
      </c>
      <c r="AE377" s="169">
        <f t="shared" si="842"/>
        <v>0</v>
      </c>
      <c r="AF377" s="170">
        <f t="shared" si="823"/>
        <v>0</v>
      </c>
      <c r="AG377" s="171">
        <f t="shared" si="843"/>
        <v>0</v>
      </c>
      <c r="AH377" s="169">
        <f t="shared" si="843"/>
        <v>0</v>
      </c>
      <c r="AI377" s="170">
        <f t="shared" si="824"/>
        <v>0</v>
      </c>
      <c r="AJ377" s="171">
        <f t="shared" si="844"/>
        <v>0</v>
      </c>
      <c r="AK377" s="169">
        <f t="shared" si="844"/>
        <v>0</v>
      </c>
      <c r="AL377" s="170">
        <f t="shared" si="825"/>
        <v>0</v>
      </c>
      <c r="AM377" s="171">
        <f t="shared" si="845"/>
        <v>0</v>
      </c>
      <c r="AN377" s="169">
        <f t="shared" si="845"/>
        <v>0</v>
      </c>
      <c r="AO377" s="170">
        <f t="shared" si="826"/>
        <v>0</v>
      </c>
      <c r="AP377" s="171">
        <f t="shared" si="846"/>
        <v>0</v>
      </c>
      <c r="AQ377" s="169">
        <f t="shared" si="846"/>
        <v>0</v>
      </c>
      <c r="AR377" s="170">
        <f t="shared" si="827"/>
        <v>0</v>
      </c>
      <c r="AS377" s="171">
        <f t="shared" si="847"/>
        <v>0</v>
      </c>
      <c r="AT377" s="169">
        <f t="shared" si="847"/>
        <v>0</v>
      </c>
      <c r="AU377" s="170">
        <f t="shared" si="828"/>
        <v>0</v>
      </c>
      <c r="AV377" s="171">
        <f t="shared" si="848"/>
        <v>0</v>
      </c>
      <c r="AW377" s="169">
        <f t="shared" si="848"/>
        <v>0</v>
      </c>
      <c r="AX377" s="170">
        <f t="shared" si="829"/>
        <v>0</v>
      </c>
      <c r="AY377" s="169">
        <f t="shared" si="849"/>
        <v>0</v>
      </c>
      <c r="AZ377" s="169">
        <f t="shared" si="849"/>
        <v>0</v>
      </c>
      <c r="BA377" s="170">
        <f t="shared" si="830"/>
        <v>0</v>
      </c>
      <c r="BB377" s="171">
        <f t="shared" si="810"/>
        <v>0</v>
      </c>
      <c r="BC377" s="169">
        <f t="shared" si="810"/>
        <v>0</v>
      </c>
      <c r="BD377" s="170">
        <f t="shared" si="831"/>
        <v>0</v>
      </c>
      <c r="BE377" s="171">
        <f t="shared" si="832"/>
        <v>0</v>
      </c>
      <c r="BF377" s="171">
        <f t="shared" si="832"/>
        <v>0</v>
      </c>
      <c r="BG377" s="168">
        <f t="shared" ref="BG377" si="860">BG409+BG449+BG481</f>
        <v>0</v>
      </c>
    </row>
    <row r="378" spans="1:59" ht="13.5" hidden="1" customHeight="1" outlineLevel="1" x14ac:dyDescent="0.25">
      <c r="A378" s="65"/>
      <c r="B378" s="99" t="s">
        <v>60</v>
      </c>
      <c r="C378" s="63" t="s">
        <v>110</v>
      </c>
      <c r="D378" s="168">
        <f t="shared" si="834"/>
        <v>0</v>
      </c>
      <c r="E378" s="168">
        <f t="shared" si="834"/>
        <v>0</v>
      </c>
      <c r="F378" s="171">
        <f t="shared" si="834"/>
        <v>0</v>
      </c>
      <c r="G378" s="169">
        <f t="shared" si="834"/>
        <v>0</v>
      </c>
      <c r="H378" s="170">
        <f t="shared" si="815"/>
        <v>0</v>
      </c>
      <c r="I378" s="171">
        <f t="shared" si="835"/>
        <v>0</v>
      </c>
      <c r="J378" s="169">
        <f t="shared" si="835"/>
        <v>0</v>
      </c>
      <c r="K378" s="170">
        <f t="shared" si="816"/>
        <v>0</v>
      </c>
      <c r="L378" s="171">
        <f t="shared" si="836"/>
        <v>0</v>
      </c>
      <c r="M378" s="169">
        <f t="shared" si="836"/>
        <v>0</v>
      </c>
      <c r="N378" s="170">
        <f t="shared" si="817"/>
        <v>0</v>
      </c>
      <c r="O378" s="171">
        <f t="shared" si="837"/>
        <v>0</v>
      </c>
      <c r="P378" s="169">
        <f t="shared" si="837"/>
        <v>0</v>
      </c>
      <c r="Q378" s="170">
        <f t="shared" si="818"/>
        <v>0</v>
      </c>
      <c r="R378" s="171">
        <f t="shared" si="838"/>
        <v>0</v>
      </c>
      <c r="S378" s="169">
        <f t="shared" si="838"/>
        <v>0</v>
      </c>
      <c r="T378" s="170">
        <f t="shared" si="819"/>
        <v>0</v>
      </c>
      <c r="U378" s="171">
        <f t="shared" si="839"/>
        <v>0</v>
      </c>
      <c r="V378" s="169">
        <f t="shared" si="839"/>
        <v>0</v>
      </c>
      <c r="W378" s="170">
        <f t="shared" si="820"/>
        <v>0</v>
      </c>
      <c r="X378" s="171">
        <f t="shared" si="840"/>
        <v>0</v>
      </c>
      <c r="Y378" s="169">
        <f t="shared" si="840"/>
        <v>0</v>
      </c>
      <c r="Z378" s="170">
        <f t="shared" si="821"/>
        <v>0</v>
      </c>
      <c r="AA378" s="171">
        <f t="shared" si="841"/>
        <v>0</v>
      </c>
      <c r="AB378" s="169">
        <f t="shared" si="841"/>
        <v>0</v>
      </c>
      <c r="AC378" s="170">
        <f t="shared" si="822"/>
        <v>0</v>
      </c>
      <c r="AD378" s="171">
        <f t="shared" si="842"/>
        <v>0</v>
      </c>
      <c r="AE378" s="169">
        <f t="shared" si="842"/>
        <v>0</v>
      </c>
      <c r="AF378" s="170">
        <f t="shared" si="823"/>
        <v>0</v>
      </c>
      <c r="AG378" s="171">
        <f t="shared" si="843"/>
        <v>0</v>
      </c>
      <c r="AH378" s="169">
        <f t="shared" si="843"/>
        <v>0</v>
      </c>
      <c r="AI378" s="170">
        <f t="shared" si="824"/>
        <v>0</v>
      </c>
      <c r="AJ378" s="171">
        <f t="shared" si="844"/>
        <v>0</v>
      </c>
      <c r="AK378" s="169">
        <f t="shared" si="844"/>
        <v>0</v>
      </c>
      <c r="AL378" s="170">
        <f t="shared" si="825"/>
        <v>0</v>
      </c>
      <c r="AM378" s="171">
        <f t="shared" si="845"/>
        <v>0</v>
      </c>
      <c r="AN378" s="169">
        <f t="shared" si="845"/>
        <v>0</v>
      </c>
      <c r="AO378" s="170">
        <f t="shared" si="826"/>
        <v>0</v>
      </c>
      <c r="AP378" s="171">
        <f t="shared" si="846"/>
        <v>0</v>
      </c>
      <c r="AQ378" s="169">
        <f t="shared" si="846"/>
        <v>0</v>
      </c>
      <c r="AR378" s="170">
        <f t="shared" si="827"/>
        <v>0</v>
      </c>
      <c r="AS378" s="171">
        <f t="shared" si="847"/>
        <v>0</v>
      </c>
      <c r="AT378" s="169">
        <f t="shared" si="847"/>
        <v>0</v>
      </c>
      <c r="AU378" s="170">
        <f t="shared" si="828"/>
        <v>0</v>
      </c>
      <c r="AV378" s="171">
        <f t="shared" si="848"/>
        <v>0</v>
      </c>
      <c r="AW378" s="169">
        <f t="shared" si="848"/>
        <v>0</v>
      </c>
      <c r="AX378" s="170">
        <f t="shared" si="829"/>
        <v>0</v>
      </c>
      <c r="AY378" s="169">
        <f t="shared" si="849"/>
        <v>0</v>
      </c>
      <c r="AZ378" s="169">
        <f t="shared" si="849"/>
        <v>0</v>
      </c>
      <c r="BA378" s="170">
        <f t="shared" si="830"/>
        <v>0</v>
      </c>
      <c r="BB378" s="171">
        <f>BB410+BB450+BB482</f>
        <v>0</v>
      </c>
      <c r="BC378" s="169">
        <f>BC410+BC450+BC482</f>
        <v>0</v>
      </c>
      <c r="BD378" s="170">
        <f t="shared" si="831"/>
        <v>0</v>
      </c>
      <c r="BE378" s="171">
        <f t="shared" si="832"/>
        <v>0</v>
      </c>
      <c r="BF378" s="171">
        <f t="shared" si="832"/>
        <v>0</v>
      </c>
      <c r="BG378" s="168">
        <f t="shared" ref="BG378" si="861">BG410+BG450+BG482</f>
        <v>0</v>
      </c>
    </row>
    <row r="379" spans="1:59" ht="13.5" hidden="1" customHeight="1" outlineLevel="1" x14ac:dyDescent="0.25">
      <c r="A379" s="65"/>
      <c r="B379" s="84" t="s">
        <v>61</v>
      </c>
      <c r="C379" s="63" t="s">
        <v>110</v>
      </c>
      <c r="D379" s="168">
        <f t="shared" si="834"/>
        <v>0</v>
      </c>
      <c r="E379" s="168">
        <f t="shared" si="834"/>
        <v>0</v>
      </c>
      <c r="F379" s="171">
        <f t="shared" si="834"/>
        <v>0</v>
      </c>
      <c r="G379" s="169">
        <f t="shared" si="834"/>
        <v>0</v>
      </c>
      <c r="H379" s="170">
        <f t="shared" si="815"/>
        <v>0</v>
      </c>
      <c r="I379" s="171">
        <f t="shared" si="835"/>
        <v>0</v>
      </c>
      <c r="J379" s="169">
        <f t="shared" si="835"/>
        <v>0</v>
      </c>
      <c r="K379" s="170">
        <f t="shared" si="816"/>
        <v>0</v>
      </c>
      <c r="L379" s="171">
        <f t="shared" si="836"/>
        <v>0</v>
      </c>
      <c r="M379" s="169">
        <f t="shared" si="836"/>
        <v>0</v>
      </c>
      <c r="N379" s="170">
        <f t="shared" si="817"/>
        <v>0</v>
      </c>
      <c r="O379" s="171">
        <f t="shared" si="837"/>
        <v>0</v>
      </c>
      <c r="P379" s="169">
        <f t="shared" si="837"/>
        <v>0</v>
      </c>
      <c r="Q379" s="170">
        <f t="shared" si="818"/>
        <v>0</v>
      </c>
      <c r="R379" s="171">
        <f t="shared" si="838"/>
        <v>0</v>
      </c>
      <c r="S379" s="169">
        <f t="shared" si="838"/>
        <v>0</v>
      </c>
      <c r="T379" s="170">
        <f t="shared" si="819"/>
        <v>0</v>
      </c>
      <c r="U379" s="171">
        <f t="shared" si="839"/>
        <v>0</v>
      </c>
      <c r="V379" s="169">
        <f t="shared" si="839"/>
        <v>0</v>
      </c>
      <c r="W379" s="170">
        <f t="shared" si="820"/>
        <v>0</v>
      </c>
      <c r="X379" s="171">
        <f t="shared" si="840"/>
        <v>0</v>
      </c>
      <c r="Y379" s="169">
        <f t="shared" si="840"/>
        <v>0</v>
      </c>
      <c r="Z379" s="170">
        <f t="shared" si="821"/>
        <v>0</v>
      </c>
      <c r="AA379" s="171">
        <f t="shared" si="841"/>
        <v>0</v>
      </c>
      <c r="AB379" s="169">
        <f t="shared" si="841"/>
        <v>0</v>
      </c>
      <c r="AC379" s="170">
        <f t="shared" si="822"/>
        <v>0</v>
      </c>
      <c r="AD379" s="171">
        <f t="shared" si="842"/>
        <v>0</v>
      </c>
      <c r="AE379" s="169">
        <f t="shared" si="842"/>
        <v>0</v>
      </c>
      <c r="AF379" s="170">
        <f t="shared" si="823"/>
        <v>0</v>
      </c>
      <c r="AG379" s="171">
        <f t="shared" si="843"/>
        <v>0</v>
      </c>
      <c r="AH379" s="169">
        <f t="shared" si="843"/>
        <v>0</v>
      </c>
      <c r="AI379" s="170">
        <f t="shared" si="824"/>
        <v>0</v>
      </c>
      <c r="AJ379" s="171">
        <f t="shared" si="844"/>
        <v>0</v>
      </c>
      <c r="AK379" s="169">
        <f t="shared" si="844"/>
        <v>0</v>
      </c>
      <c r="AL379" s="170">
        <f t="shared" si="825"/>
        <v>0</v>
      </c>
      <c r="AM379" s="171">
        <f t="shared" si="845"/>
        <v>0</v>
      </c>
      <c r="AN379" s="169">
        <f t="shared" si="845"/>
        <v>0</v>
      </c>
      <c r="AO379" s="170">
        <f t="shared" si="826"/>
        <v>0</v>
      </c>
      <c r="AP379" s="171">
        <f t="shared" si="846"/>
        <v>0</v>
      </c>
      <c r="AQ379" s="169">
        <f t="shared" si="846"/>
        <v>0</v>
      </c>
      <c r="AR379" s="170">
        <f t="shared" si="827"/>
        <v>0</v>
      </c>
      <c r="AS379" s="171">
        <f t="shared" si="847"/>
        <v>0</v>
      </c>
      <c r="AT379" s="169">
        <f t="shared" si="847"/>
        <v>0</v>
      </c>
      <c r="AU379" s="170">
        <f t="shared" si="828"/>
        <v>0</v>
      </c>
      <c r="AV379" s="171">
        <f t="shared" si="848"/>
        <v>0</v>
      </c>
      <c r="AW379" s="169">
        <f t="shared" si="848"/>
        <v>0</v>
      </c>
      <c r="AX379" s="170">
        <f t="shared" si="829"/>
        <v>0</v>
      </c>
      <c r="AY379" s="169">
        <f t="shared" si="849"/>
        <v>0</v>
      </c>
      <c r="AZ379" s="169">
        <f t="shared" si="849"/>
        <v>0</v>
      </c>
      <c r="BA379" s="170">
        <f t="shared" si="830"/>
        <v>0</v>
      </c>
      <c r="BB379" s="171">
        <f>BB411+BB451+BB483</f>
        <v>0</v>
      </c>
      <c r="BC379" s="169">
        <f>BC411+BC451+BC483</f>
        <v>0</v>
      </c>
      <c r="BD379" s="170">
        <f t="shared" si="831"/>
        <v>0</v>
      </c>
      <c r="BE379" s="171">
        <f t="shared" si="832"/>
        <v>0</v>
      </c>
      <c r="BF379" s="171">
        <f t="shared" si="832"/>
        <v>0</v>
      </c>
      <c r="BG379" s="168">
        <f t="shared" ref="BG379" si="862">BG411+BG451+BG483</f>
        <v>0</v>
      </c>
    </row>
    <row r="380" spans="1:59" s="210" customFormat="1" ht="13.5" customHeight="1" collapsed="1" thickBot="1" x14ac:dyDescent="0.3">
      <c r="A380" s="85"/>
      <c r="B380" s="95" t="s">
        <v>62</v>
      </c>
      <c r="C380" s="58" t="s">
        <v>110</v>
      </c>
      <c r="D380" s="164">
        <f>D381</f>
        <v>0</v>
      </c>
      <c r="E380" s="164">
        <f>E381</f>
        <v>0</v>
      </c>
      <c r="F380" s="167">
        <f>F381</f>
        <v>0</v>
      </c>
      <c r="G380" s="165">
        <f>G381</f>
        <v>0</v>
      </c>
      <c r="H380" s="166">
        <f t="shared" si="815"/>
        <v>0</v>
      </c>
      <c r="I380" s="167">
        <f>I381</f>
        <v>0</v>
      </c>
      <c r="J380" s="165">
        <f>J381</f>
        <v>0</v>
      </c>
      <c r="K380" s="166">
        <f t="shared" si="816"/>
        <v>0</v>
      </c>
      <c r="L380" s="167">
        <f>L381</f>
        <v>0</v>
      </c>
      <c r="M380" s="165">
        <f>M381</f>
        <v>0</v>
      </c>
      <c r="N380" s="166">
        <f t="shared" si="817"/>
        <v>0</v>
      </c>
      <c r="O380" s="167">
        <f>O381</f>
        <v>0</v>
      </c>
      <c r="P380" s="165">
        <f>P381</f>
        <v>0</v>
      </c>
      <c r="Q380" s="166">
        <f t="shared" si="818"/>
        <v>0</v>
      </c>
      <c r="R380" s="167">
        <f>R381</f>
        <v>0</v>
      </c>
      <c r="S380" s="165">
        <f>S381</f>
        <v>0</v>
      </c>
      <c r="T380" s="166">
        <f t="shared" si="819"/>
        <v>0</v>
      </c>
      <c r="U380" s="167">
        <f>U381</f>
        <v>0</v>
      </c>
      <c r="V380" s="165">
        <f>V381</f>
        <v>0</v>
      </c>
      <c r="W380" s="166">
        <f t="shared" si="820"/>
        <v>0</v>
      </c>
      <c r="X380" s="167">
        <f>X381</f>
        <v>0</v>
      </c>
      <c r="Y380" s="165">
        <f>Y381</f>
        <v>0</v>
      </c>
      <c r="Z380" s="166">
        <f t="shared" si="821"/>
        <v>0</v>
      </c>
      <c r="AA380" s="167">
        <f>AA381</f>
        <v>0</v>
      </c>
      <c r="AB380" s="165">
        <f>AB381</f>
        <v>0</v>
      </c>
      <c r="AC380" s="166">
        <f t="shared" si="822"/>
        <v>0</v>
      </c>
      <c r="AD380" s="167">
        <f>AD381</f>
        <v>0</v>
      </c>
      <c r="AE380" s="165">
        <f>AE381</f>
        <v>0</v>
      </c>
      <c r="AF380" s="166">
        <f t="shared" si="823"/>
        <v>0</v>
      </c>
      <c r="AG380" s="167">
        <f>AG381</f>
        <v>0</v>
      </c>
      <c r="AH380" s="165">
        <f>AH381</f>
        <v>0</v>
      </c>
      <c r="AI380" s="166">
        <f t="shared" si="824"/>
        <v>0</v>
      </c>
      <c r="AJ380" s="167">
        <f>AJ381</f>
        <v>0</v>
      </c>
      <c r="AK380" s="165">
        <f>AK381</f>
        <v>0</v>
      </c>
      <c r="AL380" s="166">
        <f t="shared" si="825"/>
        <v>0</v>
      </c>
      <c r="AM380" s="167">
        <f>AM381</f>
        <v>0</v>
      </c>
      <c r="AN380" s="165">
        <f>AN381</f>
        <v>0</v>
      </c>
      <c r="AO380" s="166">
        <f t="shared" si="826"/>
        <v>0</v>
      </c>
      <c r="AP380" s="167">
        <f>AP381</f>
        <v>0</v>
      </c>
      <c r="AQ380" s="165">
        <f>AQ381</f>
        <v>0</v>
      </c>
      <c r="AR380" s="166">
        <f t="shared" si="827"/>
        <v>0</v>
      </c>
      <c r="AS380" s="167">
        <f>AS381</f>
        <v>0</v>
      </c>
      <c r="AT380" s="165">
        <f>AT381</f>
        <v>0</v>
      </c>
      <c r="AU380" s="166">
        <f t="shared" si="828"/>
        <v>0</v>
      </c>
      <c r="AV380" s="167">
        <f>AV381</f>
        <v>0</v>
      </c>
      <c r="AW380" s="165">
        <f>AW381</f>
        <v>0</v>
      </c>
      <c r="AX380" s="166">
        <f t="shared" si="829"/>
        <v>0</v>
      </c>
      <c r="AY380" s="165">
        <f>AY381</f>
        <v>0</v>
      </c>
      <c r="AZ380" s="165">
        <f>AZ381</f>
        <v>0</v>
      </c>
      <c r="BA380" s="166">
        <f t="shared" si="830"/>
        <v>0</v>
      </c>
      <c r="BB380" s="167">
        <f>BB381</f>
        <v>0</v>
      </c>
      <c r="BC380" s="165">
        <f>BC381</f>
        <v>0</v>
      </c>
      <c r="BD380" s="166">
        <f t="shared" si="831"/>
        <v>0</v>
      </c>
      <c r="BE380" s="167">
        <f t="shared" ref="BE380:BG380" si="863">BE381</f>
        <v>0</v>
      </c>
      <c r="BF380" s="167">
        <f t="shared" si="863"/>
        <v>0</v>
      </c>
      <c r="BG380" s="164">
        <f t="shared" si="863"/>
        <v>0</v>
      </c>
    </row>
    <row r="381" spans="1:59" ht="13.5" hidden="1" customHeight="1" outlineLevel="1" thickBot="1" x14ac:dyDescent="0.3">
      <c r="A381" s="50"/>
      <c r="B381" s="84" t="s">
        <v>63</v>
      </c>
      <c r="C381" s="76" t="s">
        <v>110</v>
      </c>
      <c r="D381" s="4">
        <f>D413+D453+D485</f>
        <v>0</v>
      </c>
      <c r="E381" s="4">
        <f>E413+E453+E485</f>
        <v>0</v>
      </c>
      <c r="F381" s="7">
        <f>F413+F453+F485</f>
        <v>0</v>
      </c>
      <c r="G381" s="6">
        <f>G413+G453+G485</f>
        <v>0</v>
      </c>
      <c r="H381" s="5">
        <f t="shared" si="815"/>
        <v>0</v>
      </c>
      <c r="I381" s="7">
        <f>I413+I453+I485</f>
        <v>0</v>
      </c>
      <c r="J381" s="6">
        <f>J413+J453+J485</f>
        <v>0</v>
      </c>
      <c r="K381" s="5">
        <f t="shared" si="816"/>
        <v>0</v>
      </c>
      <c r="L381" s="7">
        <f>L413+L453+L485</f>
        <v>0</v>
      </c>
      <c r="M381" s="6">
        <f>M413+M453+M485</f>
        <v>0</v>
      </c>
      <c r="N381" s="5">
        <f t="shared" si="817"/>
        <v>0</v>
      </c>
      <c r="O381" s="7">
        <f>O413+O453+O485</f>
        <v>0</v>
      </c>
      <c r="P381" s="6">
        <f>P413+P453+P485</f>
        <v>0</v>
      </c>
      <c r="Q381" s="5">
        <f t="shared" si="818"/>
        <v>0</v>
      </c>
      <c r="R381" s="7">
        <f>R413+R453+R485</f>
        <v>0</v>
      </c>
      <c r="S381" s="6">
        <f>S413+S453+S485</f>
        <v>0</v>
      </c>
      <c r="T381" s="5">
        <f t="shared" si="819"/>
        <v>0</v>
      </c>
      <c r="U381" s="7">
        <f>U413+U453+U485</f>
        <v>0</v>
      </c>
      <c r="V381" s="6">
        <f>V413+V453+V485</f>
        <v>0</v>
      </c>
      <c r="W381" s="5">
        <f t="shared" si="820"/>
        <v>0</v>
      </c>
      <c r="X381" s="7">
        <f>X413+X453+X485</f>
        <v>0</v>
      </c>
      <c r="Y381" s="6">
        <f>Y413+Y453+Y485</f>
        <v>0</v>
      </c>
      <c r="Z381" s="5">
        <f t="shared" si="821"/>
        <v>0</v>
      </c>
      <c r="AA381" s="7">
        <f>AA413+AA453+AA485</f>
        <v>0</v>
      </c>
      <c r="AB381" s="6">
        <f>AB413+AB453+AB485</f>
        <v>0</v>
      </c>
      <c r="AC381" s="5">
        <f t="shared" si="822"/>
        <v>0</v>
      </c>
      <c r="AD381" s="7">
        <f>AD413+AD453+AD485</f>
        <v>0</v>
      </c>
      <c r="AE381" s="6">
        <f>AE413+AE453+AE485</f>
        <v>0</v>
      </c>
      <c r="AF381" s="5">
        <f t="shared" si="823"/>
        <v>0</v>
      </c>
      <c r="AG381" s="7">
        <f>AG413+AG453+AG485</f>
        <v>0</v>
      </c>
      <c r="AH381" s="6">
        <f>AH413+AH453+AH485</f>
        <v>0</v>
      </c>
      <c r="AI381" s="5">
        <f t="shared" si="824"/>
        <v>0</v>
      </c>
      <c r="AJ381" s="7">
        <f>AJ413+AJ453+AJ485</f>
        <v>0</v>
      </c>
      <c r="AK381" s="6">
        <f>AK413+AK453+AK485</f>
        <v>0</v>
      </c>
      <c r="AL381" s="5">
        <f t="shared" si="825"/>
        <v>0</v>
      </c>
      <c r="AM381" s="7">
        <f>AM413+AM453+AM485</f>
        <v>0</v>
      </c>
      <c r="AN381" s="6">
        <f>AN413+AN453+AN485</f>
        <v>0</v>
      </c>
      <c r="AO381" s="5">
        <f t="shared" si="826"/>
        <v>0</v>
      </c>
      <c r="AP381" s="7">
        <f>AP413+AP453+AP485</f>
        <v>0</v>
      </c>
      <c r="AQ381" s="6">
        <f>AQ413+AQ453+AQ485</f>
        <v>0</v>
      </c>
      <c r="AR381" s="5">
        <f t="shared" si="827"/>
        <v>0</v>
      </c>
      <c r="AS381" s="7">
        <f>AS413+AS453+AS485</f>
        <v>0</v>
      </c>
      <c r="AT381" s="6">
        <f>AT413+AT453+AT485</f>
        <v>0</v>
      </c>
      <c r="AU381" s="5">
        <f t="shared" si="828"/>
        <v>0</v>
      </c>
      <c r="AV381" s="7">
        <f>AV413+AV453+AV485</f>
        <v>0</v>
      </c>
      <c r="AW381" s="6">
        <f>AW413+AW453+AW485</f>
        <v>0</v>
      </c>
      <c r="AX381" s="5">
        <f t="shared" si="829"/>
        <v>0</v>
      </c>
      <c r="AY381" s="6">
        <f>AY413+AY453+AY485</f>
        <v>0</v>
      </c>
      <c r="AZ381" s="6">
        <f>AZ413+AZ453+AZ485</f>
        <v>0</v>
      </c>
      <c r="BA381" s="5">
        <f t="shared" si="830"/>
        <v>0</v>
      </c>
      <c r="BB381" s="24">
        <f>BB413+BB453+BB485</f>
        <v>0</v>
      </c>
      <c r="BC381" s="6">
        <f>BC413+BC453+BC485</f>
        <v>0</v>
      </c>
      <c r="BD381" s="5">
        <f t="shared" si="831"/>
        <v>0</v>
      </c>
      <c r="BE381" s="7">
        <f t="shared" ref="BE381:BF381" si="864">BE413+BE453+BE485</f>
        <v>0</v>
      </c>
      <c r="BF381" s="7">
        <f t="shared" si="864"/>
        <v>0</v>
      </c>
      <c r="BG381" s="4">
        <f t="shared" ref="BG381" si="865">BG413+BG453+BG485</f>
        <v>0</v>
      </c>
    </row>
    <row r="382" spans="1:59" ht="13.5" customHeight="1" collapsed="1" x14ac:dyDescent="0.25">
      <c r="A382" s="106" t="s">
        <v>111</v>
      </c>
      <c r="B382" s="105" t="s">
        <v>112</v>
      </c>
      <c r="C382" s="62" t="s">
        <v>110</v>
      </c>
      <c r="D382" s="192">
        <f>D383+D393+D412</f>
        <v>0</v>
      </c>
      <c r="E382" s="192">
        <f>E383+E393+E412</f>
        <v>0</v>
      </c>
      <c r="F382" s="195">
        <f>F383+F393+F412</f>
        <v>0</v>
      </c>
      <c r="G382" s="193">
        <f>G383+G393+G412</f>
        <v>0</v>
      </c>
      <c r="H382" s="194">
        <f t="shared" ref="H382:H397" si="866">G382-F382</f>
        <v>0</v>
      </c>
      <c r="I382" s="195">
        <f>I383+I393+I412</f>
        <v>0</v>
      </c>
      <c r="J382" s="193">
        <f>J383+J393+J412</f>
        <v>0</v>
      </c>
      <c r="K382" s="194">
        <f t="shared" ref="K382:K397" si="867">J382-I382</f>
        <v>0</v>
      </c>
      <c r="L382" s="195">
        <f>L383+L393+L412</f>
        <v>0</v>
      </c>
      <c r="M382" s="193">
        <f>M383+M393+M412</f>
        <v>0</v>
      </c>
      <c r="N382" s="194">
        <f t="shared" ref="N382:N397" si="868">M382-L382</f>
        <v>0</v>
      </c>
      <c r="O382" s="195">
        <f>O383+O393+O412</f>
        <v>0</v>
      </c>
      <c r="P382" s="193">
        <f>P383+P393+P412</f>
        <v>0</v>
      </c>
      <c r="Q382" s="194">
        <f t="shared" ref="Q382:Q397" si="869">P382-O382</f>
        <v>0</v>
      </c>
      <c r="R382" s="195">
        <f>R383+R393+R412</f>
        <v>0</v>
      </c>
      <c r="S382" s="193">
        <f>S383+S393+S412</f>
        <v>0</v>
      </c>
      <c r="T382" s="194">
        <f t="shared" ref="T382:T397" si="870">S382-R382</f>
        <v>0</v>
      </c>
      <c r="U382" s="195">
        <f>U383+U393+U412</f>
        <v>0</v>
      </c>
      <c r="V382" s="193">
        <f>V383+V393+V412</f>
        <v>0</v>
      </c>
      <c r="W382" s="194">
        <f t="shared" ref="W382:W397" si="871">V382-U382</f>
        <v>0</v>
      </c>
      <c r="X382" s="195">
        <f>X383+X393+X412</f>
        <v>0</v>
      </c>
      <c r="Y382" s="193">
        <f>Y383+Y393+Y412</f>
        <v>0</v>
      </c>
      <c r="Z382" s="194">
        <f t="shared" ref="Z382:Z397" si="872">Y382-X382</f>
        <v>0</v>
      </c>
      <c r="AA382" s="195">
        <f>AA383+AA393+AA412</f>
        <v>0</v>
      </c>
      <c r="AB382" s="193">
        <f>AB383+AB393+AB412</f>
        <v>0</v>
      </c>
      <c r="AC382" s="194">
        <f t="shared" ref="AC382:AC397" si="873">AB382-AA382</f>
        <v>0</v>
      </c>
      <c r="AD382" s="195">
        <f>AD383+AD393+AD412</f>
        <v>0</v>
      </c>
      <c r="AE382" s="193">
        <f>AE383+AE393+AE412</f>
        <v>0</v>
      </c>
      <c r="AF382" s="194">
        <f t="shared" ref="AF382:AF397" si="874">AE382-AD382</f>
        <v>0</v>
      </c>
      <c r="AG382" s="195">
        <f>AG383+AG393+AG412</f>
        <v>0</v>
      </c>
      <c r="AH382" s="193">
        <f>AH383+AH393+AH412</f>
        <v>0</v>
      </c>
      <c r="AI382" s="194">
        <f t="shared" ref="AI382:AI397" si="875">AH382-AG382</f>
        <v>0</v>
      </c>
      <c r="AJ382" s="195">
        <f>AJ383+AJ393+AJ412</f>
        <v>0</v>
      </c>
      <c r="AK382" s="193">
        <f>AK383+AK393+AK412</f>
        <v>0</v>
      </c>
      <c r="AL382" s="194">
        <f t="shared" ref="AL382:AL397" si="876">AK382-AJ382</f>
        <v>0</v>
      </c>
      <c r="AM382" s="195">
        <f>AM383+AM393+AM412</f>
        <v>0</v>
      </c>
      <c r="AN382" s="193">
        <f>AN383+AN393+AN412</f>
        <v>0</v>
      </c>
      <c r="AO382" s="194">
        <f t="shared" ref="AO382:AO397" si="877">AN382-AM382</f>
        <v>0</v>
      </c>
      <c r="AP382" s="195">
        <f>AP383+AP393+AP412</f>
        <v>0</v>
      </c>
      <c r="AQ382" s="193">
        <f>AQ383+AQ393+AQ412</f>
        <v>0</v>
      </c>
      <c r="AR382" s="194">
        <f t="shared" ref="AR382:AR397" si="878">AQ382-AP382</f>
        <v>0</v>
      </c>
      <c r="AS382" s="195">
        <f>AS383+AS393+AS412</f>
        <v>0</v>
      </c>
      <c r="AT382" s="193">
        <f>AT383+AT393+AT412</f>
        <v>0</v>
      </c>
      <c r="AU382" s="194">
        <f t="shared" ref="AU382:AU397" si="879">AT382-AS382</f>
        <v>0</v>
      </c>
      <c r="AV382" s="195">
        <f>AV383+AV393+AV412</f>
        <v>0</v>
      </c>
      <c r="AW382" s="193">
        <f>AW383+AW393+AW412</f>
        <v>0</v>
      </c>
      <c r="AX382" s="194">
        <f t="shared" ref="AX382:AX397" si="880">AW382-AV382</f>
        <v>0</v>
      </c>
      <c r="AY382" s="193">
        <f>AY383+AY393+AY412</f>
        <v>0</v>
      </c>
      <c r="AZ382" s="193">
        <f>AZ383+AZ393+AZ412</f>
        <v>0</v>
      </c>
      <c r="BA382" s="194">
        <f t="shared" ref="BA382:BA397" si="881">AZ382-AY382</f>
        <v>0</v>
      </c>
      <c r="BB382" s="195">
        <f>BB383+BB393+BB412</f>
        <v>0</v>
      </c>
      <c r="BC382" s="193">
        <f>BC383+BC393+BC412</f>
        <v>0</v>
      </c>
      <c r="BD382" s="194">
        <f t="shared" ref="BD382:BD397" si="882">BC382-BB382</f>
        <v>0</v>
      </c>
      <c r="BE382" s="195">
        <f t="shared" ref="BE382:BF382" si="883">BE383+BE393+BE412</f>
        <v>0</v>
      </c>
      <c r="BF382" s="195">
        <f t="shared" si="883"/>
        <v>0</v>
      </c>
      <c r="BG382" s="192">
        <f t="shared" ref="BG382" si="884">BG383+BG393+BG412</f>
        <v>0</v>
      </c>
    </row>
    <row r="383" spans="1:59" s="210" customFormat="1" ht="13.5" customHeight="1" x14ac:dyDescent="0.25">
      <c r="A383" s="103"/>
      <c r="B383" s="102" t="s">
        <v>33</v>
      </c>
      <c r="C383" s="61" t="s">
        <v>110</v>
      </c>
      <c r="D383" s="188">
        <f>SUM(D384:D392)</f>
        <v>0</v>
      </c>
      <c r="E383" s="188">
        <f>SUM(E384:E392)</f>
        <v>0</v>
      </c>
      <c r="F383" s="191">
        <f>SUM(F384:F392)</f>
        <v>0</v>
      </c>
      <c r="G383" s="189">
        <f>SUM(G384:G392)</f>
        <v>0</v>
      </c>
      <c r="H383" s="190">
        <f t="shared" si="866"/>
        <v>0</v>
      </c>
      <c r="I383" s="191">
        <f>SUM(I384:I392)</f>
        <v>0</v>
      </c>
      <c r="J383" s="189">
        <f>SUM(J384:J392)</f>
        <v>0</v>
      </c>
      <c r="K383" s="190">
        <f t="shared" si="867"/>
        <v>0</v>
      </c>
      <c r="L383" s="191">
        <f>SUM(L384:L392)</f>
        <v>0</v>
      </c>
      <c r="M383" s="189">
        <f>SUM(M384:M392)</f>
        <v>0</v>
      </c>
      <c r="N383" s="190">
        <f t="shared" si="868"/>
        <v>0</v>
      </c>
      <c r="O383" s="191">
        <f>SUM(O384:O392)</f>
        <v>0</v>
      </c>
      <c r="P383" s="189">
        <f>SUM(P384:P392)</f>
        <v>0</v>
      </c>
      <c r="Q383" s="190">
        <f t="shared" si="869"/>
        <v>0</v>
      </c>
      <c r="R383" s="191">
        <f>SUM(R384:R392)</f>
        <v>0</v>
      </c>
      <c r="S383" s="189">
        <f>SUM(S384:S392)</f>
        <v>0</v>
      </c>
      <c r="T383" s="190">
        <f t="shared" si="870"/>
        <v>0</v>
      </c>
      <c r="U383" s="191">
        <f>SUM(U384:U392)</f>
        <v>0</v>
      </c>
      <c r="V383" s="189">
        <f>SUM(V384:V392)</f>
        <v>0</v>
      </c>
      <c r="W383" s="190">
        <f t="shared" si="871"/>
        <v>0</v>
      </c>
      <c r="X383" s="191">
        <f>SUM(X384:X392)</f>
        <v>0</v>
      </c>
      <c r="Y383" s="189">
        <f>SUM(Y384:Y392)</f>
        <v>0</v>
      </c>
      <c r="Z383" s="190">
        <f t="shared" si="872"/>
        <v>0</v>
      </c>
      <c r="AA383" s="191">
        <f>SUM(AA384:AA392)</f>
        <v>0</v>
      </c>
      <c r="AB383" s="189">
        <f>SUM(AB384:AB392)</f>
        <v>0</v>
      </c>
      <c r="AC383" s="190">
        <f t="shared" si="873"/>
        <v>0</v>
      </c>
      <c r="AD383" s="191">
        <f>SUM(AD384:AD392)</f>
        <v>0</v>
      </c>
      <c r="AE383" s="189">
        <f>SUM(AE384:AE392)</f>
        <v>0</v>
      </c>
      <c r="AF383" s="190">
        <f t="shared" si="874"/>
        <v>0</v>
      </c>
      <c r="AG383" s="191">
        <f>SUM(AG384:AG392)</f>
        <v>0</v>
      </c>
      <c r="AH383" s="189">
        <f>SUM(AH384:AH392)</f>
        <v>0</v>
      </c>
      <c r="AI383" s="190">
        <f t="shared" si="875"/>
        <v>0</v>
      </c>
      <c r="AJ383" s="191">
        <f>SUM(AJ384:AJ392)</f>
        <v>0</v>
      </c>
      <c r="AK383" s="189">
        <f>SUM(AK384:AK392)</f>
        <v>0</v>
      </c>
      <c r="AL383" s="190">
        <f t="shared" si="876"/>
        <v>0</v>
      </c>
      <c r="AM383" s="191">
        <f>SUM(AM384:AM392)</f>
        <v>0</v>
      </c>
      <c r="AN383" s="189">
        <f>SUM(AN384:AN392)</f>
        <v>0</v>
      </c>
      <c r="AO383" s="190">
        <f t="shared" si="877"/>
        <v>0</v>
      </c>
      <c r="AP383" s="191">
        <f>SUM(AP384:AP392)</f>
        <v>0</v>
      </c>
      <c r="AQ383" s="189">
        <f>SUM(AQ384:AQ392)</f>
        <v>0</v>
      </c>
      <c r="AR383" s="190">
        <f t="shared" si="878"/>
        <v>0</v>
      </c>
      <c r="AS383" s="191">
        <f>SUM(AS384:AS392)</f>
        <v>0</v>
      </c>
      <c r="AT383" s="189">
        <f>SUM(AT384:AT392)</f>
        <v>0</v>
      </c>
      <c r="AU383" s="190">
        <f t="shared" si="879"/>
        <v>0</v>
      </c>
      <c r="AV383" s="191">
        <f>SUM(AV384:AV392)</f>
        <v>0</v>
      </c>
      <c r="AW383" s="189">
        <f>SUM(AW384:AW392)</f>
        <v>0</v>
      </c>
      <c r="AX383" s="190">
        <f t="shared" si="880"/>
        <v>0</v>
      </c>
      <c r="AY383" s="189">
        <f>SUM(AY384:AY392)</f>
        <v>0</v>
      </c>
      <c r="AZ383" s="189">
        <f>SUM(AZ384:AZ392)</f>
        <v>0</v>
      </c>
      <c r="BA383" s="190">
        <f t="shared" si="881"/>
        <v>0</v>
      </c>
      <c r="BB383" s="191">
        <f>SUM(BB384:BB392)</f>
        <v>0</v>
      </c>
      <c r="BC383" s="189">
        <f>SUM(BC384:BC392)</f>
        <v>0</v>
      </c>
      <c r="BD383" s="190">
        <f t="shared" si="882"/>
        <v>0</v>
      </c>
      <c r="BE383" s="191">
        <f t="shared" ref="BE383:BF383" si="885">SUM(BE384:BE392)</f>
        <v>0</v>
      </c>
      <c r="BF383" s="191">
        <f t="shared" si="885"/>
        <v>0</v>
      </c>
      <c r="BG383" s="188">
        <f t="shared" ref="BG383" si="886">SUM(BG384:BG392)</f>
        <v>0</v>
      </c>
    </row>
    <row r="384" spans="1:59" s="210" customFormat="1" ht="13.5" hidden="1" customHeight="1" outlineLevel="1" x14ac:dyDescent="0.25">
      <c r="A384" s="28"/>
      <c r="B384" s="84" t="s">
        <v>34</v>
      </c>
      <c r="C384" s="59" t="s">
        <v>110</v>
      </c>
      <c r="D384" s="20"/>
      <c r="E384" s="20"/>
      <c r="F384" s="24"/>
      <c r="G384" s="23"/>
      <c r="H384" s="22">
        <f t="shared" si="866"/>
        <v>0</v>
      </c>
      <c r="I384" s="24"/>
      <c r="J384" s="23"/>
      <c r="K384" s="22">
        <f t="shared" si="867"/>
        <v>0</v>
      </c>
      <c r="L384" s="24"/>
      <c r="M384" s="23"/>
      <c r="N384" s="22">
        <f t="shared" si="868"/>
        <v>0</v>
      </c>
      <c r="O384" s="24">
        <f t="shared" ref="O384:P392" si="887">SUM(F384,I384,L384)</f>
        <v>0</v>
      </c>
      <c r="P384" s="23">
        <f t="shared" si="887"/>
        <v>0</v>
      </c>
      <c r="Q384" s="22">
        <f t="shared" si="869"/>
        <v>0</v>
      </c>
      <c r="R384" s="24"/>
      <c r="S384" s="23"/>
      <c r="T384" s="22">
        <f t="shared" si="870"/>
        <v>0</v>
      </c>
      <c r="U384" s="24"/>
      <c r="V384" s="23"/>
      <c r="W384" s="22">
        <f t="shared" si="871"/>
        <v>0</v>
      </c>
      <c r="X384" s="24"/>
      <c r="Y384" s="23"/>
      <c r="Z384" s="22">
        <f t="shared" si="872"/>
        <v>0</v>
      </c>
      <c r="AA384" s="24">
        <f t="shared" ref="AA384:AB392" si="888">SUM(R384,U384,X384)</f>
        <v>0</v>
      </c>
      <c r="AB384" s="23">
        <f t="shared" si="888"/>
        <v>0</v>
      </c>
      <c r="AC384" s="22">
        <f t="shared" si="873"/>
        <v>0</v>
      </c>
      <c r="AD384" s="24"/>
      <c r="AE384" s="23"/>
      <c r="AF384" s="22">
        <f t="shared" si="874"/>
        <v>0</v>
      </c>
      <c r="AG384" s="24"/>
      <c r="AH384" s="23"/>
      <c r="AI384" s="22">
        <f t="shared" si="875"/>
        <v>0</v>
      </c>
      <c r="AJ384" s="24"/>
      <c r="AK384" s="23"/>
      <c r="AL384" s="22">
        <f t="shared" si="876"/>
        <v>0</v>
      </c>
      <c r="AM384" s="24">
        <f t="shared" ref="AM384:AN392" si="889">SUM(AD384,AG384,AJ384)</f>
        <v>0</v>
      </c>
      <c r="AN384" s="23">
        <f t="shared" si="889"/>
        <v>0</v>
      </c>
      <c r="AO384" s="22">
        <f t="shared" si="877"/>
        <v>0</v>
      </c>
      <c r="AP384" s="24"/>
      <c r="AQ384" s="23"/>
      <c r="AR384" s="22">
        <f t="shared" si="878"/>
        <v>0</v>
      </c>
      <c r="AS384" s="24"/>
      <c r="AT384" s="23"/>
      <c r="AU384" s="22">
        <f t="shared" si="879"/>
        <v>0</v>
      </c>
      <c r="AV384" s="24"/>
      <c r="AW384" s="23"/>
      <c r="AX384" s="22">
        <f t="shared" si="880"/>
        <v>0</v>
      </c>
      <c r="AY384" s="23">
        <f t="shared" ref="AY384:AZ392" si="890">SUM(AP384,AS384,AV384)</f>
        <v>0</v>
      </c>
      <c r="AZ384" s="23">
        <f t="shared" si="890"/>
        <v>0</v>
      </c>
      <c r="BA384" s="22">
        <f t="shared" si="881"/>
        <v>0</v>
      </c>
      <c r="BB384" s="24">
        <f t="shared" ref="BB384:BC392" si="891">SUM(F384,I384,L384,R384,U384,X384,AD384,AG384,AJ384,AP384,AS384,AV384)</f>
        <v>0</v>
      </c>
      <c r="BC384" s="23">
        <f t="shared" si="891"/>
        <v>0</v>
      </c>
      <c r="BD384" s="22">
        <f t="shared" si="882"/>
        <v>0</v>
      </c>
      <c r="BE384" s="24"/>
      <c r="BF384" s="24"/>
      <c r="BG384" s="20">
        <f>BB384+BE384+BF384</f>
        <v>0</v>
      </c>
    </row>
    <row r="385" spans="1:59" s="210" customFormat="1" ht="13.5" hidden="1" customHeight="1" outlineLevel="1" x14ac:dyDescent="0.25">
      <c r="A385" s="28"/>
      <c r="B385" s="84" t="s">
        <v>35</v>
      </c>
      <c r="C385" s="59" t="s">
        <v>110</v>
      </c>
      <c r="D385" s="20"/>
      <c r="E385" s="20"/>
      <c r="F385" s="24"/>
      <c r="G385" s="23"/>
      <c r="H385" s="22">
        <f t="shared" si="866"/>
        <v>0</v>
      </c>
      <c r="I385" s="24"/>
      <c r="J385" s="23"/>
      <c r="K385" s="22">
        <f t="shared" si="867"/>
        <v>0</v>
      </c>
      <c r="L385" s="24"/>
      <c r="M385" s="23"/>
      <c r="N385" s="22">
        <f t="shared" si="868"/>
        <v>0</v>
      </c>
      <c r="O385" s="24">
        <f t="shared" si="887"/>
        <v>0</v>
      </c>
      <c r="P385" s="23">
        <f t="shared" si="887"/>
        <v>0</v>
      </c>
      <c r="Q385" s="22">
        <f t="shared" si="869"/>
        <v>0</v>
      </c>
      <c r="R385" s="24"/>
      <c r="S385" s="23"/>
      <c r="T385" s="22">
        <f t="shared" si="870"/>
        <v>0</v>
      </c>
      <c r="U385" s="24"/>
      <c r="V385" s="23"/>
      <c r="W385" s="22">
        <f t="shared" si="871"/>
        <v>0</v>
      </c>
      <c r="X385" s="24"/>
      <c r="Y385" s="23"/>
      <c r="Z385" s="22">
        <f t="shared" si="872"/>
        <v>0</v>
      </c>
      <c r="AA385" s="24">
        <f t="shared" si="888"/>
        <v>0</v>
      </c>
      <c r="AB385" s="23">
        <f t="shared" si="888"/>
        <v>0</v>
      </c>
      <c r="AC385" s="22">
        <f t="shared" si="873"/>
        <v>0</v>
      </c>
      <c r="AD385" s="24"/>
      <c r="AE385" s="23"/>
      <c r="AF385" s="22">
        <f t="shared" si="874"/>
        <v>0</v>
      </c>
      <c r="AG385" s="24"/>
      <c r="AH385" s="23"/>
      <c r="AI385" s="22">
        <f t="shared" si="875"/>
        <v>0</v>
      </c>
      <c r="AJ385" s="24"/>
      <c r="AK385" s="23"/>
      <c r="AL385" s="22">
        <f t="shared" si="876"/>
        <v>0</v>
      </c>
      <c r="AM385" s="24">
        <f t="shared" si="889"/>
        <v>0</v>
      </c>
      <c r="AN385" s="23">
        <f t="shared" si="889"/>
        <v>0</v>
      </c>
      <c r="AO385" s="22">
        <f t="shared" si="877"/>
        <v>0</v>
      </c>
      <c r="AP385" s="24"/>
      <c r="AQ385" s="23"/>
      <c r="AR385" s="22">
        <f t="shared" si="878"/>
        <v>0</v>
      </c>
      <c r="AS385" s="24"/>
      <c r="AT385" s="23"/>
      <c r="AU385" s="22">
        <f t="shared" si="879"/>
        <v>0</v>
      </c>
      <c r="AV385" s="24"/>
      <c r="AW385" s="23"/>
      <c r="AX385" s="22">
        <f t="shared" si="880"/>
        <v>0</v>
      </c>
      <c r="AY385" s="23">
        <f t="shared" si="890"/>
        <v>0</v>
      </c>
      <c r="AZ385" s="23">
        <f t="shared" si="890"/>
        <v>0</v>
      </c>
      <c r="BA385" s="22">
        <f t="shared" si="881"/>
        <v>0</v>
      </c>
      <c r="BB385" s="24">
        <f t="shared" si="891"/>
        <v>0</v>
      </c>
      <c r="BC385" s="23">
        <f t="shared" si="891"/>
        <v>0</v>
      </c>
      <c r="BD385" s="22">
        <f t="shared" si="882"/>
        <v>0</v>
      </c>
      <c r="BE385" s="24"/>
      <c r="BF385" s="24"/>
      <c r="BG385" s="20">
        <f t="shared" ref="BG385:BG392" si="892">BB385+BE385+BF385</f>
        <v>0</v>
      </c>
    </row>
    <row r="386" spans="1:59" s="210" customFormat="1" ht="13.5" hidden="1" customHeight="1" outlineLevel="1" x14ac:dyDescent="0.25">
      <c r="A386" s="28"/>
      <c r="B386" s="84" t="s">
        <v>36</v>
      </c>
      <c r="C386" s="59" t="s">
        <v>110</v>
      </c>
      <c r="D386" s="20"/>
      <c r="E386" s="20"/>
      <c r="F386" s="24"/>
      <c r="G386" s="23"/>
      <c r="H386" s="22">
        <f t="shared" si="866"/>
        <v>0</v>
      </c>
      <c r="I386" s="24"/>
      <c r="J386" s="23"/>
      <c r="K386" s="22">
        <f t="shared" si="867"/>
        <v>0</v>
      </c>
      <c r="L386" s="24"/>
      <c r="M386" s="23"/>
      <c r="N386" s="22">
        <f t="shared" si="868"/>
        <v>0</v>
      </c>
      <c r="O386" s="24">
        <f t="shared" si="887"/>
        <v>0</v>
      </c>
      <c r="P386" s="23">
        <f t="shared" si="887"/>
        <v>0</v>
      </c>
      <c r="Q386" s="22">
        <f t="shared" si="869"/>
        <v>0</v>
      </c>
      <c r="R386" s="24"/>
      <c r="S386" s="23"/>
      <c r="T386" s="22">
        <f t="shared" si="870"/>
        <v>0</v>
      </c>
      <c r="U386" s="24"/>
      <c r="V386" s="23"/>
      <c r="W386" s="22">
        <f t="shared" si="871"/>
        <v>0</v>
      </c>
      <c r="X386" s="24"/>
      <c r="Y386" s="23"/>
      <c r="Z386" s="22">
        <f t="shared" si="872"/>
        <v>0</v>
      </c>
      <c r="AA386" s="24">
        <f t="shared" si="888"/>
        <v>0</v>
      </c>
      <c r="AB386" s="23">
        <f t="shared" si="888"/>
        <v>0</v>
      </c>
      <c r="AC386" s="22">
        <f t="shared" si="873"/>
        <v>0</v>
      </c>
      <c r="AD386" s="24"/>
      <c r="AE386" s="23"/>
      <c r="AF386" s="22">
        <f t="shared" si="874"/>
        <v>0</v>
      </c>
      <c r="AG386" s="24"/>
      <c r="AH386" s="23"/>
      <c r="AI386" s="22">
        <f t="shared" si="875"/>
        <v>0</v>
      </c>
      <c r="AJ386" s="24"/>
      <c r="AK386" s="23"/>
      <c r="AL386" s="22">
        <f t="shared" si="876"/>
        <v>0</v>
      </c>
      <c r="AM386" s="24">
        <f t="shared" si="889"/>
        <v>0</v>
      </c>
      <c r="AN386" s="23">
        <f t="shared" si="889"/>
        <v>0</v>
      </c>
      <c r="AO386" s="22">
        <f t="shared" si="877"/>
        <v>0</v>
      </c>
      <c r="AP386" s="24"/>
      <c r="AQ386" s="23"/>
      <c r="AR386" s="22">
        <f t="shared" si="878"/>
        <v>0</v>
      </c>
      <c r="AS386" s="24"/>
      <c r="AT386" s="23"/>
      <c r="AU386" s="22">
        <f t="shared" si="879"/>
        <v>0</v>
      </c>
      <c r="AV386" s="24"/>
      <c r="AW386" s="23"/>
      <c r="AX386" s="22">
        <f t="shared" si="880"/>
        <v>0</v>
      </c>
      <c r="AY386" s="23">
        <f t="shared" si="890"/>
        <v>0</v>
      </c>
      <c r="AZ386" s="23">
        <f t="shared" si="890"/>
        <v>0</v>
      </c>
      <c r="BA386" s="22">
        <f t="shared" si="881"/>
        <v>0</v>
      </c>
      <c r="BB386" s="24">
        <f t="shared" si="891"/>
        <v>0</v>
      </c>
      <c r="BC386" s="23">
        <f t="shared" si="891"/>
        <v>0</v>
      </c>
      <c r="BD386" s="22">
        <f t="shared" si="882"/>
        <v>0</v>
      </c>
      <c r="BE386" s="24"/>
      <c r="BF386" s="24"/>
      <c r="BG386" s="20">
        <f t="shared" si="892"/>
        <v>0</v>
      </c>
    </row>
    <row r="387" spans="1:59" s="210" customFormat="1" ht="13.5" hidden="1" customHeight="1" outlineLevel="1" x14ac:dyDescent="0.25">
      <c r="A387" s="28"/>
      <c r="B387" s="84" t="s">
        <v>37</v>
      </c>
      <c r="C387" s="59" t="s">
        <v>110</v>
      </c>
      <c r="D387" s="20"/>
      <c r="E387" s="20"/>
      <c r="F387" s="24"/>
      <c r="G387" s="23"/>
      <c r="H387" s="22">
        <f t="shared" si="866"/>
        <v>0</v>
      </c>
      <c r="I387" s="24"/>
      <c r="J387" s="23"/>
      <c r="K387" s="22">
        <f t="shared" si="867"/>
        <v>0</v>
      </c>
      <c r="L387" s="24"/>
      <c r="M387" s="23"/>
      <c r="N387" s="22">
        <f t="shared" si="868"/>
        <v>0</v>
      </c>
      <c r="O387" s="24">
        <f t="shared" si="887"/>
        <v>0</v>
      </c>
      <c r="P387" s="23">
        <f t="shared" si="887"/>
        <v>0</v>
      </c>
      <c r="Q387" s="22">
        <f t="shared" si="869"/>
        <v>0</v>
      </c>
      <c r="R387" s="24"/>
      <c r="S387" s="23"/>
      <c r="T387" s="22">
        <f t="shared" si="870"/>
        <v>0</v>
      </c>
      <c r="U387" s="24"/>
      <c r="V387" s="23"/>
      <c r="W387" s="22">
        <f t="shared" si="871"/>
        <v>0</v>
      </c>
      <c r="X387" s="24"/>
      <c r="Y387" s="23"/>
      <c r="Z387" s="22">
        <f t="shared" si="872"/>
        <v>0</v>
      </c>
      <c r="AA387" s="24">
        <f t="shared" si="888"/>
        <v>0</v>
      </c>
      <c r="AB387" s="23">
        <f t="shared" si="888"/>
        <v>0</v>
      </c>
      <c r="AC387" s="22">
        <f t="shared" si="873"/>
        <v>0</v>
      </c>
      <c r="AD387" s="24"/>
      <c r="AE387" s="23"/>
      <c r="AF387" s="22">
        <f t="shared" si="874"/>
        <v>0</v>
      </c>
      <c r="AG387" s="24"/>
      <c r="AH387" s="23"/>
      <c r="AI387" s="22">
        <f t="shared" si="875"/>
        <v>0</v>
      </c>
      <c r="AJ387" s="24"/>
      <c r="AK387" s="23"/>
      <c r="AL387" s="22">
        <f t="shared" si="876"/>
        <v>0</v>
      </c>
      <c r="AM387" s="24">
        <f t="shared" si="889"/>
        <v>0</v>
      </c>
      <c r="AN387" s="23">
        <f t="shared" si="889"/>
        <v>0</v>
      </c>
      <c r="AO387" s="22">
        <f t="shared" si="877"/>
        <v>0</v>
      </c>
      <c r="AP387" s="24"/>
      <c r="AQ387" s="23"/>
      <c r="AR387" s="22">
        <f t="shared" si="878"/>
        <v>0</v>
      </c>
      <c r="AS387" s="24"/>
      <c r="AT387" s="23"/>
      <c r="AU387" s="22">
        <f t="shared" si="879"/>
        <v>0</v>
      </c>
      <c r="AV387" s="24"/>
      <c r="AW387" s="23"/>
      <c r="AX387" s="22">
        <f t="shared" si="880"/>
        <v>0</v>
      </c>
      <c r="AY387" s="23">
        <f t="shared" si="890"/>
        <v>0</v>
      </c>
      <c r="AZ387" s="23">
        <f t="shared" si="890"/>
        <v>0</v>
      </c>
      <c r="BA387" s="22">
        <f t="shared" si="881"/>
        <v>0</v>
      </c>
      <c r="BB387" s="24">
        <f t="shared" si="891"/>
        <v>0</v>
      </c>
      <c r="BC387" s="23">
        <f t="shared" si="891"/>
        <v>0</v>
      </c>
      <c r="BD387" s="22">
        <f t="shared" si="882"/>
        <v>0</v>
      </c>
      <c r="BE387" s="24"/>
      <c r="BF387" s="24"/>
      <c r="BG387" s="20">
        <f t="shared" si="892"/>
        <v>0</v>
      </c>
    </row>
    <row r="388" spans="1:59" s="210" customFormat="1" ht="13.5" hidden="1" customHeight="1" outlineLevel="1" x14ac:dyDescent="0.25">
      <c r="A388" s="28"/>
      <c r="B388" s="84" t="s">
        <v>38</v>
      </c>
      <c r="C388" s="59" t="s">
        <v>110</v>
      </c>
      <c r="D388" s="20"/>
      <c r="E388" s="20"/>
      <c r="F388" s="24"/>
      <c r="G388" s="23"/>
      <c r="H388" s="22">
        <f t="shared" si="866"/>
        <v>0</v>
      </c>
      <c r="I388" s="24"/>
      <c r="J388" s="23"/>
      <c r="K388" s="22">
        <f t="shared" si="867"/>
        <v>0</v>
      </c>
      <c r="L388" s="24"/>
      <c r="M388" s="23"/>
      <c r="N388" s="22">
        <f t="shared" si="868"/>
        <v>0</v>
      </c>
      <c r="O388" s="24">
        <f t="shared" si="887"/>
        <v>0</v>
      </c>
      <c r="P388" s="23">
        <f t="shared" si="887"/>
        <v>0</v>
      </c>
      <c r="Q388" s="22">
        <f t="shared" si="869"/>
        <v>0</v>
      </c>
      <c r="R388" s="24"/>
      <c r="S388" s="23"/>
      <c r="T388" s="22">
        <f t="shared" si="870"/>
        <v>0</v>
      </c>
      <c r="U388" s="24"/>
      <c r="V388" s="23"/>
      <c r="W388" s="22">
        <f t="shared" si="871"/>
        <v>0</v>
      </c>
      <c r="X388" s="24"/>
      <c r="Y388" s="23"/>
      <c r="Z388" s="22">
        <f t="shared" si="872"/>
        <v>0</v>
      </c>
      <c r="AA388" s="24">
        <f t="shared" si="888"/>
        <v>0</v>
      </c>
      <c r="AB388" s="23">
        <f t="shared" si="888"/>
        <v>0</v>
      </c>
      <c r="AC388" s="22">
        <f t="shared" si="873"/>
        <v>0</v>
      </c>
      <c r="AD388" s="24"/>
      <c r="AE388" s="23"/>
      <c r="AF388" s="22">
        <f t="shared" si="874"/>
        <v>0</v>
      </c>
      <c r="AG388" s="24"/>
      <c r="AH388" s="23"/>
      <c r="AI388" s="22">
        <f t="shared" si="875"/>
        <v>0</v>
      </c>
      <c r="AJ388" s="24"/>
      <c r="AK388" s="23"/>
      <c r="AL388" s="22">
        <f t="shared" si="876"/>
        <v>0</v>
      </c>
      <c r="AM388" s="24">
        <f t="shared" si="889"/>
        <v>0</v>
      </c>
      <c r="AN388" s="23">
        <f t="shared" si="889"/>
        <v>0</v>
      </c>
      <c r="AO388" s="22">
        <f t="shared" si="877"/>
        <v>0</v>
      </c>
      <c r="AP388" s="24"/>
      <c r="AQ388" s="23"/>
      <c r="AR388" s="22">
        <f t="shared" si="878"/>
        <v>0</v>
      </c>
      <c r="AS388" s="24"/>
      <c r="AT388" s="23"/>
      <c r="AU388" s="22">
        <f t="shared" si="879"/>
        <v>0</v>
      </c>
      <c r="AV388" s="24"/>
      <c r="AW388" s="23"/>
      <c r="AX388" s="22">
        <f t="shared" si="880"/>
        <v>0</v>
      </c>
      <c r="AY388" s="23">
        <f t="shared" si="890"/>
        <v>0</v>
      </c>
      <c r="AZ388" s="23">
        <f t="shared" si="890"/>
        <v>0</v>
      </c>
      <c r="BA388" s="22">
        <f t="shared" si="881"/>
        <v>0</v>
      </c>
      <c r="BB388" s="24">
        <f t="shared" si="891"/>
        <v>0</v>
      </c>
      <c r="BC388" s="23">
        <f t="shared" si="891"/>
        <v>0</v>
      </c>
      <c r="BD388" s="22">
        <f t="shared" si="882"/>
        <v>0</v>
      </c>
      <c r="BE388" s="24"/>
      <c r="BF388" s="24"/>
      <c r="BG388" s="20">
        <f t="shared" si="892"/>
        <v>0</v>
      </c>
    </row>
    <row r="389" spans="1:59" s="210" customFormat="1" ht="13.5" hidden="1" customHeight="1" outlineLevel="1" x14ac:dyDescent="0.25">
      <c r="A389" s="28"/>
      <c r="B389" s="84" t="s">
        <v>39</v>
      </c>
      <c r="C389" s="59" t="s">
        <v>110</v>
      </c>
      <c r="D389" s="20"/>
      <c r="E389" s="20"/>
      <c r="F389" s="24"/>
      <c r="G389" s="23"/>
      <c r="H389" s="22">
        <f t="shared" si="866"/>
        <v>0</v>
      </c>
      <c r="I389" s="24"/>
      <c r="J389" s="23"/>
      <c r="K389" s="22">
        <f t="shared" si="867"/>
        <v>0</v>
      </c>
      <c r="L389" s="24"/>
      <c r="M389" s="23"/>
      <c r="N389" s="22">
        <f t="shared" si="868"/>
        <v>0</v>
      </c>
      <c r="O389" s="24">
        <f t="shared" si="887"/>
        <v>0</v>
      </c>
      <c r="P389" s="23">
        <f t="shared" si="887"/>
        <v>0</v>
      </c>
      <c r="Q389" s="22">
        <f t="shared" si="869"/>
        <v>0</v>
      </c>
      <c r="R389" s="24"/>
      <c r="S389" s="23"/>
      <c r="T389" s="22">
        <f t="shared" si="870"/>
        <v>0</v>
      </c>
      <c r="U389" s="24"/>
      <c r="V389" s="23"/>
      <c r="W389" s="22">
        <f t="shared" si="871"/>
        <v>0</v>
      </c>
      <c r="X389" s="24"/>
      <c r="Y389" s="23"/>
      <c r="Z389" s="22">
        <f t="shared" si="872"/>
        <v>0</v>
      </c>
      <c r="AA389" s="24">
        <f t="shared" si="888"/>
        <v>0</v>
      </c>
      <c r="AB389" s="23">
        <f t="shared" si="888"/>
        <v>0</v>
      </c>
      <c r="AC389" s="22">
        <f t="shared" si="873"/>
        <v>0</v>
      </c>
      <c r="AD389" s="24"/>
      <c r="AE389" s="23"/>
      <c r="AF389" s="22">
        <f t="shared" si="874"/>
        <v>0</v>
      </c>
      <c r="AG389" s="24"/>
      <c r="AH389" s="23"/>
      <c r="AI389" s="22">
        <f t="shared" si="875"/>
        <v>0</v>
      </c>
      <c r="AJ389" s="24"/>
      <c r="AK389" s="23"/>
      <c r="AL389" s="22">
        <f t="shared" si="876"/>
        <v>0</v>
      </c>
      <c r="AM389" s="24">
        <f t="shared" si="889"/>
        <v>0</v>
      </c>
      <c r="AN389" s="23">
        <f t="shared" si="889"/>
        <v>0</v>
      </c>
      <c r="AO389" s="22">
        <f t="shared" si="877"/>
        <v>0</v>
      </c>
      <c r="AP389" s="24"/>
      <c r="AQ389" s="23"/>
      <c r="AR389" s="22">
        <f t="shared" si="878"/>
        <v>0</v>
      </c>
      <c r="AS389" s="24"/>
      <c r="AT389" s="23"/>
      <c r="AU389" s="22">
        <f t="shared" si="879"/>
        <v>0</v>
      </c>
      <c r="AV389" s="24"/>
      <c r="AW389" s="23"/>
      <c r="AX389" s="22">
        <f t="shared" si="880"/>
        <v>0</v>
      </c>
      <c r="AY389" s="23">
        <f t="shared" si="890"/>
        <v>0</v>
      </c>
      <c r="AZ389" s="23">
        <f t="shared" si="890"/>
        <v>0</v>
      </c>
      <c r="BA389" s="22">
        <f t="shared" si="881"/>
        <v>0</v>
      </c>
      <c r="BB389" s="24">
        <f t="shared" si="891"/>
        <v>0</v>
      </c>
      <c r="BC389" s="23">
        <f t="shared" si="891"/>
        <v>0</v>
      </c>
      <c r="BD389" s="22">
        <f t="shared" si="882"/>
        <v>0</v>
      </c>
      <c r="BE389" s="24"/>
      <c r="BF389" s="24"/>
      <c r="BG389" s="20">
        <f t="shared" si="892"/>
        <v>0</v>
      </c>
    </row>
    <row r="390" spans="1:59" s="210" customFormat="1" ht="13.5" hidden="1" customHeight="1" outlineLevel="1" x14ac:dyDescent="0.25">
      <c r="A390" s="28"/>
      <c r="B390" s="84" t="s">
        <v>40</v>
      </c>
      <c r="C390" s="59" t="s">
        <v>110</v>
      </c>
      <c r="D390" s="20"/>
      <c r="E390" s="20"/>
      <c r="F390" s="24"/>
      <c r="G390" s="23"/>
      <c r="H390" s="22">
        <f t="shared" si="866"/>
        <v>0</v>
      </c>
      <c r="I390" s="24"/>
      <c r="J390" s="23"/>
      <c r="K390" s="22">
        <f t="shared" si="867"/>
        <v>0</v>
      </c>
      <c r="L390" s="24"/>
      <c r="M390" s="23"/>
      <c r="N390" s="22">
        <f t="shared" si="868"/>
        <v>0</v>
      </c>
      <c r="O390" s="24">
        <f t="shared" si="887"/>
        <v>0</v>
      </c>
      <c r="P390" s="23">
        <f t="shared" si="887"/>
        <v>0</v>
      </c>
      <c r="Q390" s="22">
        <f t="shared" si="869"/>
        <v>0</v>
      </c>
      <c r="R390" s="24"/>
      <c r="S390" s="23"/>
      <c r="T390" s="22">
        <f t="shared" si="870"/>
        <v>0</v>
      </c>
      <c r="U390" s="24"/>
      <c r="V390" s="23"/>
      <c r="W390" s="22">
        <f t="shared" si="871"/>
        <v>0</v>
      </c>
      <c r="X390" s="24"/>
      <c r="Y390" s="23"/>
      <c r="Z390" s="22">
        <f t="shared" si="872"/>
        <v>0</v>
      </c>
      <c r="AA390" s="24">
        <f t="shared" si="888"/>
        <v>0</v>
      </c>
      <c r="AB390" s="23">
        <f t="shared" si="888"/>
        <v>0</v>
      </c>
      <c r="AC390" s="22">
        <f t="shared" si="873"/>
        <v>0</v>
      </c>
      <c r="AD390" s="24"/>
      <c r="AE390" s="23"/>
      <c r="AF390" s="22">
        <f t="shared" si="874"/>
        <v>0</v>
      </c>
      <c r="AG390" s="24"/>
      <c r="AH390" s="23"/>
      <c r="AI390" s="22">
        <f t="shared" si="875"/>
        <v>0</v>
      </c>
      <c r="AJ390" s="24"/>
      <c r="AK390" s="23"/>
      <c r="AL390" s="22">
        <f t="shared" si="876"/>
        <v>0</v>
      </c>
      <c r="AM390" s="24">
        <f t="shared" si="889"/>
        <v>0</v>
      </c>
      <c r="AN390" s="23">
        <f t="shared" si="889"/>
        <v>0</v>
      </c>
      <c r="AO390" s="22">
        <f t="shared" si="877"/>
        <v>0</v>
      </c>
      <c r="AP390" s="24"/>
      <c r="AQ390" s="23"/>
      <c r="AR390" s="22">
        <f t="shared" si="878"/>
        <v>0</v>
      </c>
      <c r="AS390" s="24"/>
      <c r="AT390" s="23"/>
      <c r="AU390" s="22">
        <f t="shared" si="879"/>
        <v>0</v>
      </c>
      <c r="AV390" s="24"/>
      <c r="AW390" s="23"/>
      <c r="AX390" s="22">
        <f t="shared" si="880"/>
        <v>0</v>
      </c>
      <c r="AY390" s="23">
        <f t="shared" si="890"/>
        <v>0</v>
      </c>
      <c r="AZ390" s="23">
        <f t="shared" si="890"/>
        <v>0</v>
      </c>
      <c r="BA390" s="22">
        <f t="shared" si="881"/>
        <v>0</v>
      </c>
      <c r="BB390" s="24">
        <f t="shared" si="891"/>
        <v>0</v>
      </c>
      <c r="BC390" s="23">
        <f t="shared" si="891"/>
        <v>0</v>
      </c>
      <c r="BD390" s="22">
        <f t="shared" si="882"/>
        <v>0</v>
      </c>
      <c r="BE390" s="24"/>
      <c r="BF390" s="24"/>
      <c r="BG390" s="20">
        <f t="shared" si="892"/>
        <v>0</v>
      </c>
    </row>
    <row r="391" spans="1:59" s="210" customFormat="1" ht="13.5" hidden="1" customHeight="1" outlineLevel="1" x14ac:dyDescent="0.25">
      <c r="A391" s="28"/>
      <c r="B391" s="84" t="s">
        <v>41</v>
      </c>
      <c r="C391" s="59" t="s">
        <v>110</v>
      </c>
      <c r="D391" s="20"/>
      <c r="E391" s="20"/>
      <c r="F391" s="24"/>
      <c r="G391" s="23"/>
      <c r="H391" s="22">
        <f t="shared" si="866"/>
        <v>0</v>
      </c>
      <c r="I391" s="24"/>
      <c r="J391" s="23"/>
      <c r="K391" s="22">
        <f t="shared" si="867"/>
        <v>0</v>
      </c>
      <c r="L391" s="24"/>
      <c r="M391" s="23"/>
      <c r="N391" s="22">
        <f t="shared" si="868"/>
        <v>0</v>
      </c>
      <c r="O391" s="24">
        <f t="shared" si="887"/>
        <v>0</v>
      </c>
      <c r="P391" s="23">
        <f t="shared" si="887"/>
        <v>0</v>
      </c>
      <c r="Q391" s="22">
        <f t="shared" si="869"/>
        <v>0</v>
      </c>
      <c r="R391" s="24"/>
      <c r="S391" s="23"/>
      <c r="T391" s="22">
        <f t="shared" si="870"/>
        <v>0</v>
      </c>
      <c r="U391" s="24"/>
      <c r="V391" s="23"/>
      <c r="W391" s="22">
        <f t="shared" si="871"/>
        <v>0</v>
      </c>
      <c r="X391" s="24"/>
      <c r="Y391" s="23"/>
      <c r="Z391" s="22">
        <f t="shared" si="872"/>
        <v>0</v>
      </c>
      <c r="AA391" s="24">
        <f t="shared" si="888"/>
        <v>0</v>
      </c>
      <c r="AB391" s="23">
        <f t="shared" si="888"/>
        <v>0</v>
      </c>
      <c r="AC391" s="22">
        <f t="shared" si="873"/>
        <v>0</v>
      </c>
      <c r="AD391" s="24"/>
      <c r="AE391" s="23"/>
      <c r="AF391" s="22">
        <f t="shared" si="874"/>
        <v>0</v>
      </c>
      <c r="AG391" s="24"/>
      <c r="AH391" s="23"/>
      <c r="AI391" s="22">
        <f t="shared" si="875"/>
        <v>0</v>
      </c>
      <c r="AJ391" s="24"/>
      <c r="AK391" s="23"/>
      <c r="AL391" s="22">
        <f t="shared" si="876"/>
        <v>0</v>
      </c>
      <c r="AM391" s="24">
        <f t="shared" si="889"/>
        <v>0</v>
      </c>
      <c r="AN391" s="23">
        <f t="shared" si="889"/>
        <v>0</v>
      </c>
      <c r="AO391" s="22">
        <f t="shared" si="877"/>
        <v>0</v>
      </c>
      <c r="AP391" s="24"/>
      <c r="AQ391" s="23"/>
      <c r="AR391" s="22">
        <f t="shared" si="878"/>
        <v>0</v>
      </c>
      <c r="AS391" s="24"/>
      <c r="AT391" s="23"/>
      <c r="AU391" s="22">
        <f t="shared" si="879"/>
        <v>0</v>
      </c>
      <c r="AV391" s="24"/>
      <c r="AW391" s="23"/>
      <c r="AX391" s="22">
        <f t="shared" si="880"/>
        <v>0</v>
      </c>
      <c r="AY391" s="23">
        <f t="shared" si="890"/>
        <v>0</v>
      </c>
      <c r="AZ391" s="23">
        <f t="shared" si="890"/>
        <v>0</v>
      </c>
      <c r="BA391" s="22">
        <f t="shared" si="881"/>
        <v>0</v>
      </c>
      <c r="BB391" s="24">
        <f t="shared" si="891"/>
        <v>0</v>
      </c>
      <c r="BC391" s="23">
        <f t="shared" si="891"/>
        <v>0</v>
      </c>
      <c r="BD391" s="22">
        <f t="shared" si="882"/>
        <v>0</v>
      </c>
      <c r="BE391" s="24"/>
      <c r="BF391" s="24"/>
      <c r="BG391" s="20">
        <f t="shared" si="892"/>
        <v>0</v>
      </c>
    </row>
    <row r="392" spans="1:59" s="210" customFormat="1" ht="13.5" hidden="1" customHeight="1" outlineLevel="1" x14ac:dyDescent="0.25">
      <c r="A392" s="28"/>
      <c r="B392" s="84" t="s">
        <v>42</v>
      </c>
      <c r="C392" s="59" t="s">
        <v>110</v>
      </c>
      <c r="D392" s="20"/>
      <c r="E392" s="20"/>
      <c r="F392" s="24"/>
      <c r="G392" s="23"/>
      <c r="H392" s="22">
        <f t="shared" si="866"/>
        <v>0</v>
      </c>
      <c r="I392" s="24"/>
      <c r="J392" s="23"/>
      <c r="K392" s="22">
        <f t="shared" si="867"/>
        <v>0</v>
      </c>
      <c r="L392" s="24"/>
      <c r="M392" s="23"/>
      <c r="N392" s="22">
        <f t="shared" si="868"/>
        <v>0</v>
      </c>
      <c r="O392" s="24">
        <f t="shared" si="887"/>
        <v>0</v>
      </c>
      <c r="P392" s="23">
        <f t="shared" si="887"/>
        <v>0</v>
      </c>
      <c r="Q392" s="22">
        <f t="shared" si="869"/>
        <v>0</v>
      </c>
      <c r="R392" s="24"/>
      <c r="S392" s="23"/>
      <c r="T392" s="22">
        <f t="shared" si="870"/>
        <v>0</v>
      </c>
      <c r="U392" s="24"/>
      <c r="V392" s="23"/>
      <c r="W392" s="22">
        <f t="shared" si="871"/>
        <v>0</v>
      </c>
      <c r="X392" s="24"/>
      <c r="Y392" s="23"/>
      <c r="Z392" s="22">
        <f t="shared" si="872"/>
        <v>0</v>
      </c>
      <c r="AA392" s="24">
        <f t="shared" si="888"/>
        <v>0</v>
      </c>
      <c r="AB392" s="23">
        <f t="shared" si="888"/>
        <v>0</v>
      </c>
      <c r="AC392" s="22">
        <f t="shared" si="873"/>
        <v>0</v>
      </c>
      <c r="AD392" s="24"/>
      <c r="AE392" s="23"/>
      <c r="AF392" s="22">
        <f t="shared" si="874"/>
        <v>0</v>
      </c>
      <c r="AG392" s="24"/>
      <c r="AH392" s="23"/>
      <c r="AI392" s="22">
        <f t="shared" si="875"/>
        <v>0</v>
      </c>
      <c r="AJ392" s="24"/>
      <c r="AK392" s="23"/>
      <c r="AL392" s="22">
        <f t="shared" si="876"/>
        <v>0</v>
      </c>
      <c r="AM392" s="24">
        <f t="shared" si="889"/>
        <v>0</v>
      </c>
      <c r="AN392" s="23">
        <f t="shared" si="889"/>
        <v>0</v>
      </c>
      <c r="AO392" s="22">
        <f t="shared" si="877"/>
        <v>0</v>
      </c>
      <c r="AP392" s="24"/>
      <c r="AQ392" s="23"/>
      <c r="AR392" s="22">
        <f t="shared" si="878"/>
        <v>0</v>
      </c>
      <c r="AS392" s="24"/>
      <c r="AT392" s="23"/>
      <c r="AU392" s="22">
        <f t="shared" si="879"/>
        <v>0</v>
      </c>
      <c r="AV392" s="24"/>
      <c r="AW392" s="23"/>
      <c r="AX392" s="22">
        <f t="shared" si="880"/>
        <v>0</v>
      </c>
      <c r="AY392" s="23">
        <f t="shared" si="890"/>
        <v>0</v>
      </c>
      <c r="AZ392" s="23">
        <f t="shared" si="890"/>
        <v>0</v>
      </c>
      <c r="BA392" s="22">
        <f t="shared" si="881"/>
        <v>0</v>
      </c>
      <c r="BB392" s="24">
        <f t="shared" si="891"/>
        <v>0</v>
      </c>
      <c r="BC392" s="23">
        <f t="shared" si="891"/>
        <v>0</v>
      </c>
      <c r="BD392" s="22">
        <f t="shared" si="882"/>
        <v>0</v>
      </c>
      <c r="BE392" s="24"/>
      <c r="BF392" s="24"/>
      <c r="BG392" s="20">
        <f t="shared" si="892"/>
        <v>0</v>
      </c>
    </row>
    <row r="393" spans="1:59" s="210" customFormat="1" ht="13.5" customHeight="1" collapsed="1" x14ac:dyDescent="0.25">
      <c r="A393" s="103"/>
      <c r="B393" s="102" t="s">
        <v>43</v>
      </c>
      <c r="C393" s="61" t="s">
        <v>110</v>
      </c>
      <c r="D393" s="188">
        <f>SUM(D394:D411)</f>
        <v>0</v>
      </c>
      <c r="E393" s="188">
        <f>SUM(E394:E411)</f>
        <v>0</v>
      </c>
      <c r="F393" s="191">
        <f>SUM(F394:F411)</f>
        <v>0</v>
      </c>
      <c r="G393" s="189">
        <f>SUM(G394:G411)</f>
        <v>0</v>
      </c>
      <c r="H393" s="190">
        <f t="shared" si="866"/>
        <v>0</v>
      </c>
      <c r="I393" s="191">
        <f>SUM(I394:I411)</f>
        <v>0</v>
      </c>
      <c r="J393" s="189">
        <f>SUM(J394:J411)</f>
        <v>0</v>
      </c>
      <c r="K393" s="190">
        <f t="shared" si="867"/>
        <v>0</v>
      </c>
      <c r="L393" s="191">
        <f>SUM(L394:L411)</f>
        <v>0</v>
      </c>
      <c r="M393" s="189">
        <f>SUM(M394:M411)</f>
        <v>0</v>
      </c>
      <c r="N393" s="190">
        <f t="shared" si="868"/>
        <v>0</v>
      </c>
      <c r="O393" s="191">
        <f>SUM(O394:O411)</f>
        <v>0</v>
      </c>
      <c r="P393" s="189">
        <f>SUM(P394:P411)</f>
        <v>0</v>
      </c>
      <c r="Q393" s="190">
        <f t="shared" si="869"/>
        <v>0</v>
      </c>
      <c r="R393" s="191">
        <f>SUM(R394:R411)</f>
        <v>0</v>
      </c>
      <c r="S393" s="189">
        <f>SUM(S394:S411)</f>
        <v>0</v>
      </c>
      <c r="T393" s="190">
        <f t="shared" si="870"/>
        <v>0</v>
      </c>
      <c r="U393" s="191">
        <f>SUM(U394:U411)</f>
        <v>0</v>
      </c>
      <c r="V393" s="189">
        <f>SUM(V394:V411)</f>
        <v>0</v>
      </c>
      <c r="W393" s="190">
        <f t="shared" si="871"/>
        <v>0</v>
      </c>
      <c r="X393" s="191">
        <f>SUM(X394:X411)</f>
        <v>0</v>
      </c>
      <c r="Y393" s="189">
        <f>SUM(Y394:Y411)</f>
        <v>0</v>
      </c>
      <c r="Z393" s="190">
        <f t="shared" si="872"/>
        <v>0</v>
      </c>
      <c r="AA393" s="191">
        <f>SUM(AA394:AA411)</f>
        <v>0</v>
      </c>
      <c r="AB393" s="189">
        <f>SUM(AB394:AB411)</f>
        <v>0</v>
      </c>
      <c r="AC393" s="190">
        <f t="shared" si="873"/>
        <v>0</v>
      </c>
      <c r="AD393" s="191">
        <f>SUM(AD394:AD411)</f>
        <v>0</v>
      </c>
      <c r="AE393" s="189">
        <f>SUM(AE394:AE411)</f>
        <v>0</v>
      </c>
      <c r="AF393" s="190">
        <f t="shared" si="874"/>
        <v>0</v>
      </c>
      <c r="AG393" s="191">
        <f>SUM(AG394:AG411)</f>
        <v>0</v>
      </c>
      <c r="AH393" s="189">
        <f>SUM(AH394:AH411)</f>
        <v>0</v>
      </c>
      <c r="AI393" s="190">
        <f t="shared" si="875"/>
        <v>0</v>
      </c>
      <c r="AJ393" s="191">
        <f>SUM(AJ394:AJ411)</f>
        <v>0</v>
      </c>
      <c r="AK393" s="189">
        <f>SUM(AK394:AK411)</f>
        <v>0</v>
      </c>
      <c r="AL393" s="190">
        <f t="shared" si="876"/>
        <v>0</v>
      </c>
      <c r="AM393" s="191">
        <f>SUM(AM394:AM411)</f>
        <v>0</v>
      </c>
      <c r="AN393" s="189">
        <f>SUM(AN394:AN411)</f>
        <v>0</v>
      </c>
      <c r="AO393" s="190">
        <f t="shared" si="877"/>
        <v>0</v>
      </c>
      <c r="AP393" s="191">
        <f>SUM(AP394:AP411)</f>
        <v>0</v>
      </c>
      <c r="AQ393" s="189">
        <f>SUM(AQ394:AQ411)</f>
        <v>0</v>
      </c>
      <c r="AR393" s="190">
        <f t="shared" si="878"/>
        <v>0</v>
      </c>
      <c r="AS393" s="191">
        <f>SUM(AS394:AS411)</f>
        <v>0</v>
      </c>
      <c r="AT393" s="189">
        <f>SUM(AT394:AT411)</f>
        <v>0</v>
      </c>
      <c r="AU393" s="190">
        <f t="shared" si="879"/>
        <v>0</v>
      </c>
      <c r="AV393" s="191">
        <f>SUM(AV394:AV411)</f>
        <v>0</v>
      </c>
      <c r="AW393" s="189">
        <f>SUM(AW394:AW411)</f>
        <v>0</v>
      </c>
      <c r="AX393" s="190">
        <f t="shared" si="880"/>
        <v>0</v>
      </c>
      <c r="AY393" s="189">
        <f>SUM(AY394:AY411)</f>
        <v>0</v>
      </c>
      <c r="AZ393" s="189">
        <f>SUM(AZ394:AZ411)</f>
        <v>0</v>
      </c>
      <c r="BA393" s="190">
        <f t="shared" si="881"/>
        <v>0</v>
      </c>
      <c r="BB393" s="191">
        <f>SUM(BB394:BB411)</f>
        <v>0</v>
      </c>
      <c r="BC393" s="189">
        <f>SUM(BC394:BC411)</f>
        <v>0</v>
      </c>
      <c r="BD393" s="190">
        <f t="shared" si="882"/>
        <v>0</v>
      </c>
      <c r="BE393" s="191">
        <f t="shared" ref="BE393:BF393" si="893">SUM(BE394:BE411)</f>
        <v>0</v>
      </c>
      <c r="BF393" s="191">
        <f t="shared" si="893"/>
        <v>0</v>
      </c>
      <c r="BG393" s="188">
        <f t="shared" ref="BG393" si="894">SUM(BG394:BG411)</f>
        <v>0</v>
      </c>
    </row>
    <row r="394" spans="1:59" s="210" customFormat="1" ht="13.5" hidden="1" customHeight="1" outlineLevel="1" x14ac:dyDescent="0.25">
      <c r="A394" s="28"/>
      <c r="B394" s="84" t="s">
        <v>44</v>
      </c>
      <c r="C394" s="59" t="s">
        <v>110</v>
      </c>
      <c r="D394" s="20"/>
      <c r="E394" s="20"/>
      <c r="F394" s="24"/>
      <c r="G394" s="23"/>
      <c r="H394" s="22">
        <f t="shared" si="866"/>
        <v>0</v>
      </c>
      <c r="I394" s="24"/>
      <c r="J394" s="23"/>
      <c r="K394" s="22">
        <f t="shared" si="867"/>
        <v>0</v>
      </c>
      <c r="L394" s="24"/>
      <c r="M394" s="23"/>
      <c r="N394" s="22">
        <f t="shared" si="868"/>
        <v>0</v>
      </c>
      <c r="O394" s="24">
        <f t="shared" ref="O394:P409" si="895">SUM(F394,I394,L394)</f>
        <v>0</v>
      </c>
      <c r="P394" s="23">
        <f t="shared" si="895"/>
        <v>0</v>
      </c>
      <c r="Q394" s="22">
        <f t="shared" si="869"/>
        <v>0</v>
      </c>
      <c r="R394" s="24"/>
      <c r="S394" s="23"/>
      <c r="T394" s="22">
        <f t="shared" si="870"/>
        <v>0</v>
      </c>
      <c r="U394" s="24"/>
      <c r="V394" s="23"/>
      <c r="W394" s="22">
        <f t="shared" si="871"/>
        <v>0</v>
      </c>
      <c r="X394" s="24"/>
      <c r="Y394" s="23"/>
      <c r="Z394" s="22">
        <f t="shared" si="872"/>
        <v>0</v>
      </c>
      <c r="AA394" s="24">
        <f t="shared" ref="AA394:AB409" si="896">SUM(R394,U394,X394)</f>
        <v>0</v>
      </c>
      <c r="AB394" s="23">
        <f t="shared" si="896"/>
        <v>0</v>
      </c>
      <c r="AC394" s="22">
        <f t="shared" si="873"/>
        <v>0</v>
      </c>
      <c r="AD394" s="24"/>
      <c r="AE394" s="23"/>
      <c r="AF394" s="22">
        <f t="shared" si="874"/>
        <v>0</v>
      </c>
      <c r="AG394" s="24"/>
      <c r="AH394" s="23"/>
      <c r="AI394" s="22">
        <f t="shared" si="875"/>
        <v>0</v>
      </c>
      <c r="AJ394" s="24"/>
      <c r="AK394" s="23"/>
      <c r="AL394" s="22">
        <f t="shared" si="876"/>
        <v>0</v>
      </c>
      <c r="AM394" s="24">
        <f t="shared" ref="AM394:AN409" si="897">SUM(AD394,AG394,AJ394)</f>
        <v>0</v>
      </c>
      <c r="AN394" s="23">
        <f t="shared" si="897"/>
        <v>0</v>
      </c>
      <c r="AO394" s="22">
        <f t="shared" si="877"/>
        <v>0</v>
      </c>
      <c r="AP394" s="24"/>
      <c r="AQ394" s="23"/>
      <c r="AR394" s="22">
        <f t="shared" si="878"/>
        <v>0</v>
      </c>
      <c r="AS394" s="24"/>
      <c r="AT394" s="23"/>
      <c r="AU394" s="22">
        <f t="shared" si="879"/>
        <v>0</v>
      </c>
      <c r="AV394" s="24"/>
      <c r="AW394" s="23"/>
      <c r="AX394" s="22">
        <f t="shared" si="880"/>
        <v>0</v>
      </c>
      <c r="AY394" s="23">
        <f t="shared" ref="AY394:AZ409" si="898">SUM(AP394,AS394,AV394)</f>
        <v>0</v>
      </c>
      <c r="AZ394" s="23">
        <f t="shared" si="898"/>
        <v>0</v>
      </c>
      <c r="BA394" s="22">
        <f t="shared" si="881"/>
        <v>0</v>
      </c>
      <c r="BB394" s="24">
        <f t="shared" ref="BB394:BC409" si="899">SUM(F394,I394,L394,R394,U394,X394,AD394,AG394,AJ394,AP394,AS394,AV394)</f>
        <v>0</v>
      </c>
      <c r="BC394" s="23">
        <f t="shared" si="899"/>
        <v>0</v>
      </c>
      <c r="BD394" s="22">
        <f t="shared" si="882"/>
        <v>0</v>
      </c>
      <c r="BE394" s="24"/>
      <c r="BF394" s="24"/>
      <c r="BG394" s="20">
        <f>BB394+BE394+BF394</f>
        <v>0</v>
      </c>
    </row>
    <row r="395" spans="1:59" s="210" customFormat="1" ht="13.5" hidden="1" customHeight="1" outlineLevel="1" x14ac:dyDescent="0.25">
      <c r="A395" s="28"/>
      <c r="B395" s="84" t="s">
        <v>45</v>
      </c>
      <c r="C395" s="59" t="s">
        <v>110</v>
      </c>
      <c r="D395" s="20"/>
      <c r="E395" s="20"/>
      <c r="F395" s="24"/>
      <c r="G395" s="23"/>
      <c r="H395" s="22">
        <f t="shared" si="866"/>
        <v>0</v>
      </c>
      <c r="I395" s="24"/>
      <c r="J395" s="23"/>
      <c r="K395" s="22">
        <f t="shared" si="867"/>
        <v>0</v>
      </c>
      <c r="L395" s="24"/>
      <c r="M395" s="23"/>
      <c r="N395" s="22">
        <f t="shared" si="868"/>
        <v>0</v>
      </c>
      <c r="O395" s="24">
        <f t="shared" si="895"/>
        <v>0</v>
      </c>
      <c r="P395" s="23">
        <f t="shared" si="895"/>
        <v>0</v>
      </c>
      <c r="Q395" s="22">
        <f t="shared" si="869"/>
        <v>0</v>
      </c>
      <c r="R395" s="24"/>
      <c r="S395" s="23"/>
      <c r="T395" s="22">
        <f t="shared" si="870"/>
        <v>0</v>
      </c>
      <c r="U395" s="24"/>
      <c r="V395" s="23"/>
      <c r="W395" s="22">
        <f t="shared" si="871"/>
        <v>0</v>
      </c>
      <c r="X395" s="24"/>
      <c r="Y395" s="23"/>
      <c r="Z395" s="22">
        <f t="shared" si="872"/>
        <v>0</v>
      </c>
      <c r="AA395" s="24">
        <f t="shared" si="896"/>
        <v>0</v>
      </c>
      <c r="AB395" s="23">
        <f t="shared" si="896"/>
        <v>0</v>
      </c>
      <c r="AC395" s="22">
        <f t="shared" si="873"/>
        <v>0</v>
      </c>
      <c r="AD395" s="24"/>
      <c r="AE395" s="23"/>
      <c r="AF395" s="22">
        <f t="shared" si="874"/>
        <v>0</v>
      </c>
      <c r="AG395" s="24"/>
      <c r="AH395" s="23"/>
      <c r="AI395" s="22">
        <f t="shared" si="875"/>
        <v>0</v>
      </c>
      <c r="AJ395" s="24"/>
      <c r="AK395" s="23"/>
      <c r="AL395" s="22">
        <f t="shared" si="876"/>
        <v>0</v>
      </c>
      <c r="AM395" s="24">
        <f t="shared" si="897"/>
        <v>0</v>
      </c>
      <c r="AN395" s="23">
        <f t="shared" si="897"/>
        <v>0</v>
      </c>
      <c r="AO395" s="22">
        <f t="shared" si="877"/>
        <v>0</v>
      </c>
      <c r="AP395" s="24"/>
      <c r="AQ395" s="23"/>
      <c r="AR395" s="22">
        <f t="shared" si="878"/>
        <v>0</v>
      </c>
      <c r="AS395" s="24"/>
      <c r="AT395" s="23"/>
      <c r="AU395" s="22">
        <f t="shared" si="879"/>
        <v>0</v>
      </c>
      <c r="AV395" s="24"/>
      <c r="AW395" s="23"/>
      <c r="AX395" s="22">
        <f t="shared" si="880"/>
        <v>0</v>
      </c>
      <c r="AY395" s="23">
        <f t="shared" si="898"/>
        <v>0</v>
      </c>
      <c r="AZ395" s="23">
        <f t="shared" si="898"/>
        <v>0</v>
      </c>
      <c r="BA395" s="22">
        <f t="shared" si="881"/>
        <v>0</v>
      </c>
      <c r="BB395" s="24">
        <f t="shared" si="899"/>
        <v>0</v>
      </c>
      <c r="BC395" s="23">
        <f t="shared" si="899"/>
        <v>0</v>
      </c>
      <c r="BD395" s="22">
        <f t="shared" si="882"/>
        <v>0</v>
      </c>
      <c r="BE395" s="24"/>
      <c r="BF395" s="24"/>
      <c r="BG395" s="20">
        <f t="shared" ref="BG395:BG411" si="900">BB395+BE395+BF395</f>
        <v>0</v>
      </c>
    </row>
    <row r="396" spans="1:59" s="210" customFormat="1" ht="13.5" hidden="1" customHeight="1" outlineLevel="1" x14ac:dyDescent="0.25">
      <c r="A396" s="28"/>
      <c r="B396" s="84" t="s">
        <v>46</v>
      </c>
      <c r="C396" s="59" t="s">
        <v>110</v>
      </c>
      <c r="D396" s="20"/>
      <c r="E396" s="20"/>
      <c r="F396" s="24"/>
      <c r="G396" s="23"/>
      <c r="H396" s="22">
        <f t="shared" si="866"/>
        <v>0</v>
      </c>
      <c r="I396" s="24"/>
      <c r="J396" s="23"/>
      <c r="K396" s="22">
        <f t="shared" si="867"/>
        <v>0</v>
      </c>
      <c r="L396" s="24"/>
      <c r="M396" s="23"/>
      <c r="N396" s="22">
        <f t="shared" si="868"/>
        <v>0</v>
      </c>
      <c r="O396" s="24">
        <f t="shared" si="895"/>
        <v>0</v>
      </c>
      <c r="P396" s="23">
        <f t="shared" si="895"/>
        <v>0</v>
      </c>
      <c r="Q396" s="22">
        <f t="shared" si="869"/>
        <v>0</v>
      </c>
      <c r="R396" s="24"/>
      <c r="S396" s="23"/>
      <c r="T396" s="22">
        <f t="shared" si="870"/>
        <v>0</v>
      </c>
      <c r="U396" s="24"/>
      <c r="V396" s="23"/>
      <c r="W396" s="22">
        <f t="shared" si="871"/>
        <v>0</v>
      </c>
      <c r="X396" s="24"/>
      <c r="Y396" s="23"/>
      <c r="Z396" s="22">
        <f t="shared" si="872"/>
        <v>0</v>
      </c>
      <c r="AA396" s="24">
        <f t="shared" si="896"/>
        <v>0</v>
      </c>
      <c r="AB396" s="23">
        <f t="shared" si="896"/>
        <v>0</v>
      </c>
      <c r="AC396" s="22">
        <f t="shared" si="873"/>
        <v>0</v>
      </c>
      <c r="AD396" s="24"/>
      <c r="AE396" s="23"/>
      <c r="AF396" s="22">
        <f t="shared" si="874"/>
        <v>0</v>
      </c>
      <c r="AG396" s="24"/>
      <c r="AH396" s="23"/>
      <c r="AI396" s="22">
        <f t="shared" si="875"/>
        <v>0</v>
      </c>
      <c r="AJ396" s="24"/>
      <c r="AK396" s="23"/>
      <c r="AL396" s="22">
        <f t="shared" si="876"/>
        <v>0</v>
      </c>
      <c r="AM396" s="24">
        <f t="shared" si="897"/>
        <v>0</v>
      </c>
      <c r="AN396" s="23">
        <f t="shared" si="897"/>
        <v>0</v>
      </c>
      <c r="AO396" s="22">
        <f t="shared" si="877"/>
        <v>0</v>
      </c>
      <c r="AP396" s="24"/>
      <c r="AQ396" s="23"/>
      <c r="AR396" s="22">
        <f t="shared" si="878"/>
        <v>0</v>
      </c>
      <c r="AS396" s="24"/>
      <c r="AT396" s="23"/>
      <c r="AU396" s="22">
        <f t="shared" si="879"/>
        <v>0</v>
      </c>
      <c r="AV396" s="24"/>
      <c r="AW396" s="23"/>
      <c r="AX396" s="22">
        <f t="shared" si="880"/>
        <v>0</v>
      </c>
      <c r="AY396" s="23">
        <f t="shared" si="898"/>
        <v>0</v>
      </c>
      <c r="AZ396" s="23">
        <f t="shared" si="898"/>
        <v>0</v>
      </c>
      <c r="BA396" s="22">
        <f t="shared" si="881"/>
        <v>0</v>
      </c>
      <c r="BB396" s="24">
        <f t="shared" si="899"/>
        <v>0</v>
      </c>
      <c r="BC396" s="23">
        <f t="shared" si="899"/>
        <v>0</v>
      </c>
      <c r="BD396" s="22">
        <f t="shared" si="882"/>
        <v>0</v>
      </c>
      <c r="BE396" s="24"/>
      <c r="BF396" s="24"/>
      <c r="BG396" s="20">
        <f t="shared" si="900"/>
        <v>0</v>
      </c>
    </row>
    <row r="397" spans="1:59" s="210" customFormat="1" ht="13.5" hidden="1" customHeight="1" outlineLevel="1" x14ac:dyDescent="0.25">
      <c r="A397" s="28"/>
      <c r="B397" s="84" t="s">
        <v>47</v>
      </c>
      <c r="C397" s="59" t="s">
        <v>110</v>
      </c>
      <c r="D397" s="20"/>
      <c r="E397" s="20"/>
      <c r="F397" s="24"/>
      <c r="G397" s="23"/>
      <c r="H397" s="22">
        <f t="shared" si="866"/>
        <v>0</v>
      </c>
      <c r="I397" s="24"/>
      <c r="J397" s="23"/>
      <c r="K397" s="22">
        <f t="shared" si="867"/>
        <v>0</v>
      </c>
      <c r="L397" s="24"/>
      <c r="M397" s="23"/>
      <c r="N397" s="22">
        <f t="shared" si="868"/>
        <v>0</v>
      </c>
      <c r="O397" s="24">
        <f t="shared" si="895"/>
        <v>0</v>
      </c>
      <c r="P397" s="23">
        <f t="shared" si="895"/>
        <v>0</v>
      </c>
      <c r="Q397" s="22">
        <f t="shared" si="869"/>
        <v>0</v>
      </c>
      <c r="R397" s="24"/>
      <c r="S397" s="23"/>
      <c r="T397" s="22">
        <f t="shared" si="870"/>
        <v>0</v>
      </c>
      <c r="U397" s="24"/>
      <c r="V397" s="23"/>
      <c r="W397" s="22">
        <f t="shared" si="871"/>
        <v>0</v>
      </c>
      <c r="X397" s="24"/>
      <c r="Y397" s="23"/>
      <c r="Z397" s="22">
        <f t="shared" si="872"/>
        <v>0</v>
      </c>
      <c r="AA397" s="24">
        <f t="shared" si="896"/>
        <v>0</v>
      </c>
      <c r="AB397" s="23">
        <f t="shared" si="896"/>
        <v>0</v>
      </c>
      <c r="AC397" s="22">
        <f t="shared" si="873"/>
        <v>0</v>
      </c>
      <c r="AD397" s="24"/>
      <c r="AE397" s="23"/>
      <c r="AF397" s="22">
        <f t="shared" si="874"/>
        <v>0</v>
      </c>
      <c r="AG397" s="24"/>
      <c r="AH397" s="23"/>
      <c r="AI397" s="22">
        <f t="shared" si="875"/>
        <v>0</v>
      </c>
      <c r="AJ397" s="24"/>
      <c r="AK397" s="23"/>
      <c r="AL397" s="22">
        <f t="shared" si="876"/>
        <v>0</v>
      </c>
      <c r="AM397" s="24">
        <f t="shared" si="897"/>
        <v>0</v>
      </c>
      <c r="AN397" s="23">
        <f t="shared" si="897"/>
        <v>0</v>
      </c>
      <c r="AO397" s="22">
        <f t="shared" si="877"/>
        <v>0</v>
      </c>
      <c r="AP397" s="24"/>
      <c r="AQ397" s="23"/>
      <c r="AR397" s="22">
        <f t="shared" si="878"/>
        <v>0</v>
      </c>
      <c r="AS397" s="24"/>
      <c r="AT397" s="23"/>
      <c r="AU397" s="22">
        <f t="shared" si="879"/>
        <v>0</v>
      </c>
      <c r="AV397" s="24"/>
      <c r="AW397" s="23"/>
      <c r="AX397" s="22">
        <f t="shared" si="880"/>
        <v>0</v>
      </c>
      <c r="AY397" s="23">
        <f t="shared" si="898"/>
        <v>0</v>
      </c>
      <c r="AZ397" s="23">
        <f t="shared" si="898"/>
        <v>0</v>
      </c>
      <c r="BA397" s="22">
        <f t="shared" si="881"/>
        <v>0</v>
      </c>
      <c r="BB397" s="24">
        <f t="shared" si="899"/>
        <v>0</v>
      </c>
      <c r="BC397" s="23">
        <f t="shared" si="899"/>
        <v>0</v>
      </c>
      <c r="BD397" s="22">
        <f t="shared" si="882"/>
        <v>0</v>
      </c>
      <c r="BE397" s="24"/>
      <c r="BF397" s="24"/>
      <c r="BG397" s="20">
        <f t="shared" si="900"/>
        <v>0</v>
      </c>
    </row>
    <row r="398" spans="1:59" s="210" customFormat="1" ht="13.5" hidden="1" customHeight="1" outlineLevel="1" x14ac:dyDescent="0.25">
      <c r="A398" s="28"/>
      <c r="B398" s="84" t="s">
        <v>48</v>
      </c>
      <c r="C398" s="59" t="s">
        <v>110</v>
      </c>
      <c r="D398" s="20"/>
      <c r="E398" s="20"/>
      <c r="F398" s="24"/>
      <c r="G398" s="23"/>
      <c r="H398" s="22">
        <f t="shared" ref="H398:H413" si="901">G398-F398</f>
        <v>0</v>
      </c>
      <c r="I398" s="24"/>
      <c r="J398" s="23"/>
      <c r="K398" s="22">
        <f t="shared" ref="K398:K413" si="902">J398-I398</f>
        <v>0</v>
      </c>
      <c r="L398" s="24"/>
      <c r="M398" s="23"/>
      <c r="N398" s="22">
        <f t="shared" ref="N398:N413" si="903">M398-L398</f>
        <v>0</v>
      </c>
      <c r="O398" s="24">
        <f t="shared" si="895"/>
        <v>0</v>
      </c>
      <c r="P398" s="23">
        <f t="shared" si="895"/>
        <v>0</v>
      </c>
      <c r="Q398" s="22">
        <f t="shared" ref="Q398:Q413" si="904">P398-O398</f>
        <v>0</v>
      </c>
      <c r="R398" s="24"/>
      <c r="S398" s="23"/>
      <c r="T398" s="22">
        <f t="shared" ref="T398:T413" si="905">S398-R398</f>
        <v>0</v>
      </c>
      <c r="U398" s="24"/>
      <c r="V398" s="23"/>
      <c r="W398" s="22">
        <f t="shared" ref="W398:W413" si="906">V398-U398</f>
        <v>0</v>
      </c>
      <c r="X398" s="24"/>
      <c r="Y398" s="23"/>
      <c r="Z398" s="22">
        <f t="shared" ref="Z398:Z413" si="907">Y398-X398</f>
        <v>0</v>
      </c>
      <c r="AA398" s="24">
        <f t="shared" si="896"/>
        <v>0</v>
      </c>
      <c r="AB398" s="23">
        <f t="shared" si="896"/>
        <v>0</v>
      </c>
      <c r="AC398" s="22">
        <f t="shared" ref="AC398:AC413" si="908">AB398-AA398</f>
        <v>0</v>
      </c>
      <c r="AD398" s="24"/>
      <c r="AE398" s="23"/>
      <c r="AF398" s="22">
        <f t="shared" ref="AF398:AF413" si="909">AE398-AD398</f>
        <v>0</v>
      </c>
      <c r="AG398" s="24"/>
      <c r="AH398" s="23"/>
      <c r="AI398" s="22">
        <f t="shared" ref="AI398:AI413" si="910">AH398-AG398</f>
        <v>0</v>
      </c>
      <c r="AJ398" s="24"/>
      <c r="AK398" s="23"/>
      <c r="AL398" s="22">
        <f t="shared" ref="AL398:AL413" si="911">AK398-AJ398</f>
        <v>0</v>
      </c>
      <c r="AM398" s="24">
        <f t="shared" si="897"/>
        <v>0</v>
      </c>
      <c r="AN398" s="23">
        <f t="shared" si="897"/>
        <v>0</v>
      </c>
      <c r="AO398" s="22">
        <f t="shared" ref="AO398:AO413" si="912">AN398-AM398</f>
        <v>0</v>
      </c>
      <c r="AP398" s="24"/>
      <c r="AQ398" s="23"/>
      <c r="AR398" s="22">
        <f t="shared" ref="AR398:AR413" si="913">AQ398-AP398</f>
        <v>0</v>
      </c>
      <c r="AS398" s="24"/>
      <c r="AT398" s="23"/>
      <c r="AU398" s="22">
        <f t="shared" ref="AU398:AU413" si="914">AT398-AS398</f>
        <v>0</v>
      </c>
      <c r="AV398" s="24"/>
      <c r="AW398" s="23"/>
      <c r="AX398" s="22">
        <f t="shared" ref="AX398:AX413" si="915">AW398-AV398</f>
        <v>0</v>
      </c>
      <c r="AY398" s="23">
        <f t="shared" si="898"/>
        <v>0</v>
      </c>
      <c r="AZ398" s="23">
        <f t="shared" si="898"/>
        <v>0</v>
      </c>
      <c r="BA398" s="22">
        <f t="shared" ref="BA398:BA413" si="916">AZ398-AY398</f>
        <v>0</v>
      </c>
      <c r="BB398" s="24">
        <f t="shared" si="899"/>
        <v>0</v>
      </c>
      <c r="BC398" s="23">
        <f t="shared" si="899"/>
        <v>0</v>
      </c>
      <c r="BD398" s="22">
        <f t="shared" ref="BD398:BD413" si="917">BC398-BB398</f>
        <v>0</v>
      </c>
      <c r="BE398" s="24"/>
      <c r="BF398" s="24"/>
      <c r="BG398" s="20">
        <f t="shared" si="900"/>
        <v>0</v>
      </c>
    </row>
    <row r="399" spans="1:59" s="210" customFormat="1" ht="13.5" hidden="1" customHeight="1" outlineLevel="1" x14ac:dyDescent="0.25">
      <c r="A399" s="28"/>
      <c r="B399" s="84" t="s">
        <v>49</v>
      </c>
      <c r="C399" s="59" t="s">
        <v>110</v>
      </c>
      <c r="D399" s="20"/>
      <c r="E399" s="20"/>
      <c r="F399" s="24"/>
      <c r="G399" s="23"/>
      <c r="H399" s="22">
        <f t="shared" si="901"/>
        <v>0</v>
      </c>
      <c r="I399" s="24"/>
      <c r="J399" s="23"/>
      <c r="K399" s="22">
        <f t="shared" si="902"/>
        <v>0</v>
      </c>
      <c r="L399" s="24"/>
      <c r="M399" s="23"/>
      <c r="N399" s="22">
        <f t="shared" si="903"/>
        <v>0</v>
      </c>
      <c r="O399" s="24">
        <f t="shared" si="895"/>
        <v>0</v>
      </c>
      <c r="P399" s="23">
        <f t="shared" si="895"/>
        <v>0</v>
      </c>
      <c r="Q399" s="22">
        <f t="shared" si="904"/>
        <v>0</v>
      </c>
      <c r="R399" s="24"/>
      <c r="S399" s="23"/>
      <c r="T399" s="22">
        <f t="shared" si="905"/>
        <v>0</v>
      </c>
      <c r="U399" s="24"/>
      <c r="V399" s="23"/>
      <c r="W399" s="22">
        <f t="shared" si="906"/>
        <v>0</v>
      </c>
      <c r="X399" s="24"/>
      <c r="Y399" s="23"/>
      <c r="Z399" s="22">
        <f t="shared" si="907"/>
        <v>0</v>
      </c>
      <c r="AA399" s="24">
        <f t="shared" si="896"/>
        <v>0</v>
      </c>
      <c r="AB399" s="23">
        <f t="shared" si="896"/>
        <v>0</v>
      </c>
      <c r="AC399" s="22">
        <f t="shared" si="908"/>
        <v>0</v>
      </c>
      <c r="AD399" s="24"/>
      <c r="AE399" s="23"/>
      <c r="AF399" s="22">
        <f t="shared" si="909"/>
        <v>0</v>
      </c>
      <c r="AG399" s="24"/>
      <c r="AH399" s="23"/>
      <c r="AI399" s="22">
        <f t="shared" si="910"/>
        <v>0</v>
      </c>
      <c r="AJ399" s="24"/>
      <c r="AK399" s="23"/>
      <c r="AL399" s="22">
        <f t="shared" si="911"/>
        <v>0</v>
      </c>
      <c r="AM399" s="24">
        <f t="shared" si="897"/>
        <v>0</v>
      </c>
      <c r="AN399" s="23">
        <f t="shared" si="897"/>
        <v>0</v>
      </c>
      <c r="AO399" s="22">
        <f t="shared" si="912"/>
        <v>0</v>
      </c>
      <c r="AP399" s="24"/>
      <c r="AQ399" s="23"/>
      <c r="AR399" s="22">
        <f t="shared" si="913"/>
        <v>0</v>
      </c>
      <c r="AS399" s="24"/>
      <c r="AT399" s="23"/>
      <c r="AU399" s="22">
        <f t="shared" si="914"/>
        <v>0</v>
      </c>
      <c r="AV399" s="24"/>
      <c r="AW399" s="23"/>
      <c r="AX399" s="22">
        <f t="shared" si="915"/>
        <v>0</v>
      </c>
      <c r="AY399" s="23">
        <f t="shared" si="898"/>
        <v>0</v>
      </c>
      <c r="AZ399" s="23">
        <f t="shared" si="898"/>
        <v>0</v>
      </c>
      <c r="BA399" s="22">
        <f t="shared" si="916"/>
        <v>0</v>
      </c>
      <c r="BB399" s="24">
        <f t="shared" si="899"/>
        <v>0</v>
      </c>
      <c r="BC399" s="23">
        <f t="shared" si="899"/>
        <v>0</v>
      </c>
      <c r="BD399" s="22">
        <f t="shared" si="917"/>
        <v>0</v>
      </c>
      <c r="BE399" s="24"/>
      <c r="BF399" s="24"/>
      <c r="BG399" s="20">
        <f t="shared" si="900"/>
        <v>0</v>
      </c>
    </row>
    <row r="400" spans="1:59" s="210" customFormat="1" ht="13.5" hidden="1" customHeight="1" outlineLevel="1" x14ac:dyDescent="0.25">
      <c r="A400" s="28"/>
      <c r="B400" s="84" t="s">
        <v>50</v>
      </c>
      <c r="C400" s="59" t="s">
        <v>110</v>
      </c>
      <c r="D400" s="20"/>
      <c r="E400" s="20"/>
      <c r="F400" s="24"/>
      <c r="G400" s="23"/>
      <c r="H400" s="22">
        <f t="shared" si="901"/>
        <v>0</v>
      </c>
      <c r="I400" s="24"/>
      <c r="J400" s="23"/>
      <c r="K400" s="22">
        <f t="shared" si="902"/>
        <v>0</v>
      </c>
      <c r="L400" s="24"/>
      <c r="M400" s="23"/>
      <c r="N400" s="22">
        <f t="shared" si="903"/>
        <v>0</v>
      </c>
      <c r="O400" s="24">
        <f t="shared" si="895"/>
        <v>0</v>
      </c>
      <c r="P400" s="23">
        <f t="shared" si="895"/>
        <v>0</v>
      </c>
      <c r="Q400" s="22">
        <f t="shared" si="904"/>
        <v>0</v>
      </c>
      <c r="R400" s="24"/>
      <c r="S400" s="23"/>
      <c r="T400" s="22">
        <f t="shared" si="905"/>
        <v>0</v>
      </c>
      <c r="U400" s="24"/>
      <c r="V400" s="23"/>
      <c r="W400" s="22">
        <f t="shared" si="906"/>
        <v>0</v>
      </c>
      <c r="X400" s="24"/>
      <c r="Y400" s="23"/>
      <c r="Z400" s="22">
        <f t="shared" si="907"/>
        <v>0</v>
      </c>
      <c r="AA400" s="24">
        <f t="shared" si="896"/>
        <v>0</v>
      </c>
      <c r="AB400" s="23">
        <f t="shared" si="896"/>
        <v>0</v>
      </c>
      <c r="AC400" s="22">
        <f t="shared" si="908"/>
        <v>0</v>
      </c>
      <c r="AD400" s="24"/>
      <c r="AE400" s="23"/>
      <c r="AF400" s="22">
        <f t="shared" si="909"/>
        <v>0</v>
      </c>
      <c r="AG400" s="24"/>
      <c r="AH400" s="23"/>
      <c r="AI400" s="22">
        <f t="shared" si="910"/>
        <v>0</v>
      </c>
      <c r="AJ400" s="24"/>
      <c r="AK400" s="23"/>
      <c r="AL400" s="22">
        <f t="shared" si="911"/>
        <v>0</v>
      </c>
      <c r="AM400" s="24">
        <f t="shared" si="897"/>
        <v>0</v>
      </c>
      <c r="AN400" s="23">
        <f t="shared" si="897"/>
        <v>0</v>
      </c>
      <c r="AO400" s="22">
        <f t="shared" si="912"/>
        <v>0</v>
      </c>
      <c r="AP400" s="24"/>
      <c r="AQ400" s="23"/>
      <c r="AR400" s="22">
        <f t="shared" si="913"/>
        <v>0</v>
      </c>
      <c r="AS400" s="24"/>
      <c r="AT400" s="23"/>
      <c r="AU400" s="22">
        <f t="shared" si="914"/>
        <v>0</v>
      </c>
      <c r="AV400" s="24"/>
      <c r="AW400" s="23"/>
      <c r="AX400" s="22">
        <f t="shared" si="915"/>
        <v>0</v>
      </c>
      <c r="AY400" s="23">
        <f t="shared" si="898"/>
        <v>0</v>
      </c>
      <c r="AZ400" s="23">
        <f t="shared" si="898"/>
        <v>0</v>
      </c>
      <c r="BA400" s="22">
        <f t="shared" si="916"/>
        <v>0</v>
      </c>
      <c r="BB400" s="24">
        <f t="shared" si="899"/>
        <v>0</v>
      </c>
      <c r="BC400" s="23">
        <f t="shared" si="899"/>
        <v>0</v>
      </c>
      <c r="BD400" s="22">
        <f t="shared" si="917"/>
        <v>0</v>
      </c>
      <c r="BE400" s="24"/>
      <c r="BF400" s="24"/>
      <c r="BG400" s="20">
        <f t="shared" si="900"/>
        <v>0</v>
      </c>
    </row>
    <row r="401" spans="1:59" s="210" customFormat="1" ht="13.5" hidden="1" customHeight="1" outlineLevel="1" x14ac:dyDescent="0.25">
      <c r="A401" s="28"/>
      <c r="B401" s="84" t="s">
        <v>51</v>
      </c>
      <c r="C401" s="59" t="s">
        <v>110</v>
      </c>
      <c r="D401" s="20"/>
      <c r="E401" s="20"/>
      <c r="F401" s="24"/>
      <c r="G401" s="23"/>
      <c r="H401" s="22">
        <f t="shared" si="901"/>
        <v>0</v>
      </c>
      <c r="I401" s="24"/>
      <c r="J401" s="23"/>
      <c r="K401" s="22">
        <f t="shared" si="902"/>
        <v>0</v>
      </c>
      <c r="L401" s="24"/>
      <c r="M401" s="23"/>
      <c r="N401" s="22">
        <f t="shared" si="903"/>
        <v>0</v>
      </c>
      <c r="O401" s="24">
        <f t="shared" si="895"/>
        <v>0</v>
      </c>
      <c r="P401" s="23">
        <f t="shared" si="895"/>
        <v>0</v>
      </c>
      <c r="Q401" s="22">
        <f t="shared" si="904"/>
        <v>0</v>
      </c>
      <c r="R401" s="24"/>
      <c r="S401" s="23"/>
      <c r="T401" s="22">
        <f t="shared" si="905"/>
        <v>0</v>
      </c>
      <c r="U401" s="24"/>
      <c r="V401" s="23"/>
      <c r="W401" s="22">
        <f t="shared" si="906"/>
        <v>0</v>
      </c>
      <c r="X401" s="24"/>
      <c r="Y401" s="23"/>
      <c r="Z401" s="22">
        <f t="shared" si="907"/>
        <v>0</v>
      </c>
      <c r="AA401" s="24">
        <f t="shared" si="896"/>
        <v>0</v>
      </c>
      <c r="AB401" s="23">
        <f t="shared" si="896"/>
        <v>0</v>
      </c>
      <c r="AC401" s="22">
        <f t="shared" si="908"/>
        <v>0</v>
      </c>
      <c r="AD401" s="24"/>
      <c r="AE401" s="23"/>
      <c r="AF401" s="22">
        <f t="shared" si="909"/>
        <v>0</v>
      </c>
      <c r="AG401" s="24"/>
      <c r="AH401" s="23"/>
      <c r="AI401" s="22">
        <f t="shared" si="910"/>
        <v>0</v>
      </c>
      <c r="AJ401" s="24"/>
      <c r="AK401" s="23"/>
      <c r="AL401" s="22">
        <f t="shared" si="911"/>
        <v>0</v>
      </c>
      <c r="AM401" s="24">
        <f t="shared" si="897"/>
        <v>0</v>
      </c>
      <c r="AN401" s="23">
        <f t="shared" si="897"/>
        <v>0</v>
      </c>
      <c r="AO401" s="22">
        <f t="shared" si="912"/>
        <v>0</v>
      </c>
      <c r="AP401" s="24"/>
      <c r="AQ401" s="23"/>
      <c r="AR401" s="22">
        <f t="shared" si="913"/>
        <v>0</v>
      </c>
      <c r="AS401" s="24"/>
      <c r="AT401" s="23"/>
      <c r="AU401" s="22">
        <f t="shared" si="914"/>
        <v>0</v>
      </c>
      <c r="AV401" s="24"/>
      <c r="AW401" s="23"/>
      <c r="AX401" s="22">
        <f t="shared" si="915"/>
        <v>0</v>
      </c>
      <c r="AY401" s="23">
        <f t="shared" si="898"/>
        <v>0</v>
      </c>
      <c r="AZ401" s="23">
        <f t="shared" si="898"/>
        <v>0</v>
      </c>
      <c r="BA401" s="22">
        <f t="shared" si="916"/>
        <v>0</v>
      </c>
      <c r="BB401" s="24">
        <f t="shared" si="899"/>
        <v>0</v>
      </c>
      <c r="BC401" s="23">
        <f t="shared" si="899"/>
        <v>0</v>
      </c>
      <c r="BD401" s="22">
        <f t="shared" si="917"/>
        <v>0</v>
      </c>
      <c r="BE401" s="24"/>
      <c r="BF401" s="24"/>
      <c r="BG401" s="20">
        <f t="shared" si="900"/>
        <v>0</v>
      </c>
    </row>
    <row r="402" spans="1:59" s="210" customFormat="1" ht="13.5" hidden="1" customHeight="1" outlineLevel="1" x14ac:dyDescent="0.25">
      <c r="A402" s="28"/>
      <c r="B402" s="84" t="s">
        <v>52</v>
      </c>
      <c r="C402" s="59" t="s">
        <v>110</v>
      </c>
      <c r="D402" s="20"/>
      <c r="E402" s="20"/>
      <c r="F402" s="24"/>
      <c r="G402" s="23"/>
      <c r="H402" s="22">
        <f t="shared" si="901"/>
        <v>0</v>
      </c>
      <c r="I402" s="24"/>
      <c r="J402" s="23"/>
      <c r="K402" s="22">
        <f t="shared" si="902"/>
        <v>0</v>
      </c>
      <c r="L402" s="24"/>
      <c r="M402" s="23"/>
      <c r="N402" s="22">
        <f t="shared" si="903"/>
        <v>0</v>
      </c>
      <c r="O402" s="24">
        <f t="shared" si="895"/>
        <v>0</v>
      </c>
      <c r="P402" s="23">
        <f t="shared" si="895"/>
        <v>0</v>
      </c>
      <c r="Q402" s="22">
        <f t="shared" si="904"/>
        <v>0</v>
      </c>
      <c r="R402" s="24"/>
      <c r="S402" s="23"/>
      <c r="T402" s="22">
        <f t="shared" si="905"/>
        <v>0</v>
      </c>
      <c r="U402" s="24"/>
      <c r="V402" s="23"/>
      <c r="W402" s="22">
        <f t="shared" si="906"/>
        <v>0</v>
      </c>
      <c r="X402" s="24"/>
      <c r="Y402" s="23"/>
      <c r="Z402" s="22">
        <f t="shared" si="907"/>
        <v>0</v>
      </c>
      <c r="AA402" s="24">
        <f t="shared" si="896"/>
        <v>0</v>
      </c>
      <c r="AB402" s="23">
        <f t="shared" si="896"/>
        <v>0</v>
      </c>
      <c r="AC402" s="22">
        <f t="shared" si="908"/>
        <v>0</v>
      </c>
      <c r="AD402" s="24"/>
      <c r="AE402" s="23"/>
      <c r="AF402" s="22">
        <f t="shared" si="909"/>
        <v>0</v>
      </c>
      <c r="AG402" s="24"/>
      <c r="AH402" s="23"/>
      <c r="AI402" s="22">
        <f t="shared" si="910"/>
        <v>0</v>
      </c>
      <c r="AJ402" s="24"/>
      <c r="AK402" s="23"/>
      <c r="AL402" s="22">
        <f t="shared" si="911"/>
        <v>0</v>
      </c>
      <c r="AM402" s="24">
        <f t="shared" si="897"/>
        <v>0</v>
      </c>
      <c r="AN402" s="23">
        <f t="shared" si="897"/>
        <v>0</v>
      </c>
      <c r="AO402" s="22">
        <f t="shared" si="912"/>
        <v>0</v>
      </c>
      <c r="AP402" s="24"/>
      <c r="AQ402" s="23"/>
      <c r="AR402" s="22">
        <f t="shared" si="913"/>
        <v>0</v>
      </c>
      <c r="AS402" s="24"/>
      <c r="AT402" s="23"/>
      <c r="AU402" s="22">
        <f t="shared" si="914"/>
        <v>0</v>
      </c>
      <c r="AV402" s="24"/>
      <c r="AW402" s="23"/>
      <c r="AX402" s="22">
        <f t="shared" si="915"/>
        <v>0</v>
      </c>
      <c r="AY402" s="23">
        <f t="shared" si="898"/>
        <v>0</v>
      </c>
      <c r="AZ402" s="23">
        <f t="shared" si="898"/>
        <v>0</v>
      </c>
      <c r="BA402" s="22">
        <f t="shared" si="916"/>
        <v>0</v>
      </c>
      <c r="BB402" s="24">
        <f t="shared" si="899"/>
        <v>0</v>
      </c>
      <c r="BC402" s="23">
        <f t="shared" si="899"/>
        <v>0</v>
      </c>
      <c r="BD402" s="22">
        <f t="shared" si="917"/>
        <v>0</v>
      </c>
      <c r="BE402" s="24"/>
      <c r="BF402" s="24"/>
      <c r="BG402" s="20">
        <f t="shared" si="900"/>
        <v>0</v>
      </c>
    </row>
    <row r="403" spans="1:59" s="210" customFormat="1" ht="13.5" hidden="1" customHeight="1" outlineLevel="1" x14ac:dyDescent="0.25">
      <c r="A403" s="28"/>
      <c r="B403" s="84" t="s">
        <v>53</v>
      </c>
      <c r="C403" s="59" t="s">
        <v>110</v>
      </c>
      <c r="D403" s="20"/>
      <c r="E403" s="20"/>
      <c r="F403" s="24"/>
      <c r="G403" s="23"/>
      <c r="H403" s="22">
        <f t="shared" si="901"/>
        <v>0</v>
      </c>
      <c r="I403" s="24"/>
      <c r="J403" s="23"/>
      <c r="K403" s="22">
        <f t="shared" si="902"/>
        <v>0</v>
      </c>
      <c r="L403" s="24"/>
      <c r="M403" s="23"/>
      <c r="N403" s="22">
        <f t="shared" si="903"/>
        <v>0</v>
      </c>
      <c r="O403" s="24">
        <f t="shared" si="895"/>
        <v>0</v>
      </c>
      <c r="P403" s="23">
        <f t="shared" si="895"/>
        <v>0</v>
      </c>
      <c r="Q403" s="22">
        <f t="shared" si="904"/>
        <v>0</v>
      </c>
      <c r="R403" s="24"/>
      <c r="S403" s="23"/>
      <c r="T403" s="22">
        <f t="shared" si="905"/>
        <v>0</v>
      </c>
      <c r="U403" s="24"/>
      <c r="V403" s="23"/>
      <c r="W403" s="22">
        <f t="shared" si="906"/>
        <v>0</v>
      </c>
      <c r="X403" s="24"/>
      <c r="Y403" s="23"/>
      <c r="Z403" s="22">
        <f t="shared" si="907"/>
        <v>0</v>
      </c>
      <c r="AA403" s="24">
        <f t="shared" si="896"/>
        <v>0</v>
      </c>
      <c r="AB403" s="23">
        <f t="shared" si="896"/>
        <v>0</v>
      </c>
      <c r="AC403" s="22">
        <f t="shared" si="908"/>
        <v>0</v>
      </c>
      <c r="AD403" s="24"/>
      <c r="AE403" s="23"/>
      <c r="AF403" s="22">
        <f t="shared" si="909"/>
        <v>0</v>
      </c>
      <c r="AG403" s="24"/>
      <c r="AH403" s="23"/>
      <c r="AI403" s="22">
        <f t="shared" si="910"/>
        <v>0</v>
      </c>
      <c r="AJ403" s="24"/>
      <c r="AK403" s="23"/>
      <c r="AL403" s="22">
        <f t="shared" si="911"/>
        <v>0</v>
      </c>
      <c r="AM403" s="24">
        <f t="shared" si="897"/>
        <v>0</v>
      </c>
      <c r="AN403" s="23">
        <f t="shared" si="897"/>
        <v>0</v>
      </c>
      <c r="AO403" s="22">
        <f t="shared" si="912"/>
        <v>0</v>
      </c>
      <c r="AP403" s="24"/>
      <c r="AQ403" s="23"/>
      <c r="AR403" s="22">
        <f t="shared" si="913"/>
        <v>0</v>
      </c>
      <c r="AS403" s="24"/>
      <c r="AT403" s="23"/>
      <c r="AU403" s="22">
        <f t="shared" si="914"/>
        <v>0</v>
      </c>
      <c r="AV403" s="24"/>
      <c r="AW403" s="23"/>
      <c r="AX403" s="22">
        <f t="shared" si="915"/>
        <v>0</v>
      </c>
      <c r="AY403" s="23">
        <f t="shared" si="898"/>
        <v>0</v>
      </c>
      <c r="AZ403" s="23">
        <f t="shared" si="898"/>
        <v>0</v>
      </c>
      <c r="BA403" s="22">
        <f t="shared" si="916"/>
        <v>0</v>
      </c>
      <c r="BB403" s="24">
        <f t="shared" si="899"/>
        <v>0</v>
      </c>
      <c r="BC403" s="23">
        <f t="shared" si="899"/>
        <v>0</v>
      </c>
      <c r="BD403" s="22">
        <f t="shared" si="917"/>
        <v>0</v>
      </c>
      <c r="BE403" s="24"/>
      <c r="BF403" s="24"/>
      <c r="BG403" s="20">
        <f t="shared" si="900"/>
        <v>0</v>
      </c>
    </row>
    <row r="404" spans="1:59" s="210" customFormat="1" ht="13.5" hidden="1" customHeight="1" outlineLevel="1" x14ac:dyDescent="0.25">
      <c r="A404" s="28"/>
      <c r="B404" s="84" t="s">
        <v>54</v>
      </c>
      <c r="C404" s="59" t="s">
        <v>110</v>
      </c>
      <c r="D404" s="20"/>
      <c r="E404" s="20"/>
      <c r="F404" s="24"/>
      <c r="G404" s="23"/>
      <c r="H404" s="22">
        <f t="shared" si="901"/>
        <v>0</v>
      </c>
      <c r="I404" s="24"/>
      <c r="J404" s="23"/>
      <c r="K404" s="22">
        <f t="shared" si="902"/>
        <v>0</v>
      </c>
      <c r="L404" s="24"/>
      <c r="M404" s="23"/>
      <c r="N404" s="22">
        <f t="shared" si="903"/>
        <v>0</v>
      </c>
      <c r="O404" s="24">
        <f t="shared" si="895"/>
        <v>0</v>
      </c>
      <c r="P404" s="23">
        <f t="shared" si="895"/>
        <v>0</v>
      </c>
      <c r="Q404" s="22">
        <f t="shared" si="904"/>
        <v>0</v>
      </c>
      <c r="R404" s="24"/>
      <c r="S404" s="23"/>
      <c r="T404" s="22">
        <f t="shared" si="905"/>
        <v>0</v>
      </c>
      <c r="U404" s="24"/>
      <c r="V404" s="23"/>
      <c r="W404" s="22">
        <f t="shared" si="906"/>
        <v>0</v>
      </c>
      <c r="X404" s="24"/>
      <c r="Y404" s="23"/>
      <c r="Z404" s="22">
        <f t="shared" si="907"/>
        <v>0</v>
      </c>
      <c r="AA404" s="24">
        <f t="shared" si="896"/>
        <v>0</v>
      </c>
      <c r="AB404" s="23">
        <f t="shared" si="896"/>
        <v>0</v>
      </c>
      <c r="AC404" s="22">
        <f t="shared" si="908"/>
        <v>0</v>
      </c>
      <c r="AD404" s="24"/>
      <c r="AE404" s="23"/>
      <c r="AF404" s="22">
        <f t="shared" si="909"/>
        <v>0</v>
      </c>
      <c r="AG404" s="24"/>
      <c r="AH404" s="23"/>
      <c r="AI404" s="22">
        <f t="shared" si="910"/>
        <v>0</v>
      </c>
      <c r="AJ404" s="24"/>
      <c r="AK404" s="23"/>
      <c r="AL404" s="22">
        <f t="shared" si="911"/>
        <v>0</v>
      </c>
      <c r="AM404" s="24">
        <f t="shared" si="897"/>
        <v>0</v>
      </c>
      <c r="AN404" s="23">
        <f t="shared" si="897"/>
        <v>0</v>
      </c>
      <c r="AO404" s="22">
        <f t="shared" si="912"/>
        <v>0</v>
      </c>
      <c r="AP404" s="24"/>
      <c r="AQ404" s="23"/>
      <c r="AR404" s="22">
        <f t="shared" si="913"/>
        <v>0</v>
      </c>
      <c r="AS404" s="24"/>
      <c r="AT404" s="23"/>
      <c r="AU404" s="22">
        <f t="shared" si="914"/>
        <v>0</v>
      </c>
      <c r="AV404" s="24"/>
      <c r="AW404" s="23"/>
      <c r="AX404" s="22">
        <f t="shared" si="915"/>
        <v>0</v>
      </c>
      <c r="AY404" s="23">
        <f t="shared" si="898"/>
        <v>0</v>
      </c>
      <c r="AZ404" s="23">
        <f t="shared" si="898"/>
        <v>0</v>
      </c>
      <c r="BA404" s="22">
        <f t="shared" si="916"/>
        <v>0</v>
      </c>
      <c r="BB404" s="24">
        <f t="shared" si="899"/>
        <v>0</v>
      </c>
      <c r="BC404" s="23">
        <f t="shared" si="899"/>
        <v>0</v>
      </c>
      <c r="BD404" s="22">
        <f t="shared" si="917"/>
        <v>0</v>
      </c>
      <c r="BE404" s="24"/>
      <c r="BF404" s="24"/>
      <c r="BG404" s="20">
        <f t="shared" si="900"/>
        <v>0</v>
      </c>
    </row>
    <row r="405" spans="1:59" s="210" customFormat="1" ht="13.5" hidden="1" customHeight="1" outlineLevel="1" x14ac:dyDescent="0.25">
      <c r="A405" s="82"/>
      <c r="B405" s="84" t="s">
        <v>55</v>
      </c>
      <c r="C405" s="63" t="s">
        <v>110</v>
      </c>
      <c r="D405" s="20"/>
      <c r="E405" s="20"/>
      <c r="F405" s="24"/>
      <c r="G405" s="23"/>
      <c r="H405" s="22">
        <f t="shared" si="901"/>
        <v>0</v>
      </c>
      <c r="I405" s="24"/>
      <c r="J405" s="23"/>
      <c r="K405" s="22">
        <f t="shared" si="902"/>
        <v>0</v>
      </c>
      <c r="L405" s="24"/>
      <c r="M405" s="23"/>
      <c r="N405" s="22">
        <f t="shared" si="903"/>
        <v>0</v>
      </c>
      <c r="O405" s="24">
        <f t="shared" si="895"/>
        <v>0</v>
      </c>
      <c r="P405" s="23">
        <f t="shared" si="895"/>
        <v>0</v>
      </c>
      <c r="Q405" s="22">
        <f t="shared" si="904"/>
        <v>0</v>
      </c>
      <c r="R405" s="24"/>
      <c r="S405" s="23"/>
      <c r="T405" s="22">
        <f t="shared" si="905"/>
        <v>0</v>
      </c>
      <c r="U405" s="24"/>
      <c r="V405" s="23"/>
      <c r="W405" s="22">
        <f t="shared" si="906"/>
        <v>0</v>
      </c>
      <c r="X405" s="24"/>
      <c r="Y405" s="23"/>
      <c r="Z405" s="22">
        <f t="shared" si="907"/>
        <v>0</v>
      </c>
      <c r="AA405" s="24">
        <f t="shared" si="896"/>
        <v>0</v>
      </c>
      <c r="AB405" s="23">
        <f t="shared" si="896"/>
        <v>0</v>
      </c>
      <c r="AC405" s="22">
        <f t="shared" si="908"/>
        <v>0</v>
      </c>
      <c r="AD405" s="24"/>
      <c r="AE405" s="23"/>
      <c r="AF405" s="22">
        <f t="shared" si="909"/>
        <v>0</v>
      </c>
      <c r="AG405" s="24"/>
      <c r="AH405" s="23"/>
      <c r="AI405" s="22">
        <f t="shared" si="910"/>
        <v>0</v>
      </c>
      <c r="AJ405" s="24"/>
      <c r="AK405" s="23"/>
      <c r="AL405" s="22">
        <f t="shared" si="911"/>
        <v>0</v>
      </c>
      <c r="AM405" s="24">
        <f t="shared" si="897"/>
        <v>0</v>
      </c>
      <c r="AN405" s="23">
        <f t="shared" si="897"/>
        <v>0</v>
      </c>
      <c r="AO405" s="22">
        <f t="shared" si="912"/>
        <v>0</v>
      </c>
      <c r="AP405" s="24"/>
      <c r="AQ405" s="23"/>
      <c r="AR405" s="22">
        <f t="shared" si="913"/>
        <v>0</v>
      </c>
      <c r="AS405" s="24"/>
      <c r="AT405" s="23"/>
      <c r="AU405" s="22">
        <f t="shared" si="914"/>
        <v>0</v>
      </c>
      <c r="AV405" s="24"/>
      <c r="AW405" s="23"/>
      <c r="AX405" s="22">
        <f t="shared" si="915"/>
        <v>0</v>
      </c>
      <c r="AY405" s="23">
        <f t="shared" si="898"/>
        <v>0</v>
      </c>
      <c r="AZ405" s="23">
        <f t="shared" si="898"/>
        <v>0</v>
      </c>
      <c r="BA405" s="22">
        <f t="shared" si="916"/>
        <v>0</v>
      </c>
      <c r="BB405" s="24">
        <f t="shared" si="899"/>
        <v>0</v>
      </c>
      <c r="BC405" s="23">
        <f t="shared" si="899"/>
        <v>0</v>
      </c>
      <c r="BD405" s="22">
        <f t="shared" si="917"/>
        <v>0</v>
      </c>
      <c r="BE405" s="24"/>
      <c r="BF405" s="24"/>
      <c r="BG405" s="20">
        <f t="shared" si="900"/>
        <v>0</v>
      </c>
    </row>
    <row r="406" spans="1:59" s="210" customFormat="1" ht="13.5" hidden="1" customHeight="1" outlineLevel="1" x14ac:dyDescent="0.25">
      <c r="A406" s="82"/>
      <c r="B406" s="99" t="s">
        <v>56</v>
      </c>
      <c r="C406" s="63" t="s">
        <v>110</v>
      </c>
      <c r="D406" s="20"/>
      <c r="E406" s="20"/>
      <c r="F406" s="24"/>
      <c r="G406" s="23"/>
      <c r="H406" s="22">
        <f t="shared" si="901"/>
        <v>0</v>
      </c>
      <c r="I406" s="24"/>
      <c r="J406" s="23"/>
      <c r="K406" s="22">
        <f t="shared" si="902"/>
        <v>0</v>
      </c>
      <c r="L406" s="24"/>
      <c r="M406" s="23"/>
      <c r="N406" s="22">
        <f t="shared" si="903"/>
        <v>0</v>
      </c>
      <c r="O406" s="24">
        <f t="shared" si="895"/>
        <v>0</v>
      </c>
      <c r="P406" s="23">
        <f t="shared" si="895"/>
        <v>0</v>
      </c>
      <c r="Q406" s="22">
        <f t="shared" si="904"/>
        <v>0</v>
      </c>
      <c r="R406" s="24"/>
      <c r="S406" s="23"/>
      <c r="T406" s="22">
        <f t="shared" si="905"/>
        <v>0</v>
      </c>
      <c r="U406" s="24"/>
      <c r="V406" s="23"/>
      <c r="W406" s="22">
        <f t="shared" si="906"/>
        <v>0</v>
      </c>
      <c r="X406" s="24"/>
      <c r="Y406" s="23"/>
      <c r="Z406" s="22">
        <f t="shared" si="907"/>
        <v>0</v>
      </c>
      <c r="AA406" s="24">
        <f t="shared" si="896"/>
        <v>0</v>
      </c>
      <c r="AB406" s="23">
        <f t="shared" si="896"/>
        <v>0</v>
      </c>
      <c r="AC406" s="22">
        <f t="shared" si="908"/>
        <v>0</v>
      </c>
      <c r="AD406" s="24"/>
      <c r="AE406" s="23"/>
      <c r="AF406" s="22">
        <f t="shared" si="909"/>
        <v>0</v>
      </c>
      <c r="AG406" s="24"/>
      <c r="AH406" s="23"/>
      <c r="AI406" s="22">
        <f t="shared" si="910"/>
        <v>0</v>
      </c>
      <c r="AJ406" s="24"/>
      <c r="AK406" s="23"/>
      <c r="AL406" s="22">
        <f t="shared" si="911"/>
        <v>0</v>
      </c>
      <c r="AM406" s="24">
        <f t="shared" si="897"/>
        <v>0</v>
      </c>
      <c r="AN406" s="23">
        <f t="shared" si="897"/>
        <v>0</v>
      </c>
      <c r="AO406" s="22">
        <f t="shared" si="912"/>
        <v>0</v>
      </c>
      <c r="AP406" s="24"/>
      <c r="AQ406" s="23"/>
      <c r="AR406" s="22">
        <f t="shared" si="913"/>
        <v>0</v>
      </c>
      <c r="AS406" s="24"/>
      <c r="AT406" s="23"/>
      <c r="AU406" s="22">
        <f t="shared" si="914"/>
        <v>0</v>
      </c>
      <c r="AV406" s="24"/>
      <c r="AW406" s="23"/>
      <c r="AX406" s="22">
        <f t="shared" si="915"/>
        <v>0</v>
      </c>
      <c r="AY406" s="23">
        <f t="shared" si="898"/>
        <v>0</v>
      </c>
      <c r="AZ406" s="23">
        <f t="shared" si="898"/>
        <v>0</v>
      </c>
      <c r="BA406" s="22">
        <f t="shared" si="916"/>
        <v>0</v>
      </c>
      <c r="BB406" s="24">
        <f t="shared" si="899"/>
        <v>0</v>
      </c>
      <c r="BC406" s="23">
        <f t="shared" si="899"/>
        <v>0</v>
      </c>
      <c r="BD406" s="22">
        <f t="shared" si="917"/>
        <v>0</v>
      </c>
      <c r="BE406" s="24"/>
      <c r="BF406" s="24"/>
      <c r="BG406" s="20">
        <f t="shared" si="900"/>
        <v>0</v>
      </c>
    </row>
    <row r="407" spans="1:59" s="210" customFormat="1" ht="13.5" hidden="1" customHeight="1" outlineLevel="1" x14ac:dyDescent="0.25">
      <c r="A407" s="82"/>
      <c r="B407" s="84" t="s">
        <v>57</v>
      </c>
      <c r="C407" s="63" t="s">
        <v>110</v>
      </c>
      <c r="D407" s="20"/>
      <c r="E407" s="20"/>
      <c r="F407" s="24"/>
      <c r="G407" s="23"/>
      <c r="H407" s="22">
        <f t="shared" si="901"/>
        <v>0</v>
      </c>
      <c r="I407" s="24"/>
      <c r="J407" s="23"/>
      <c r="K407" s="22">
        <f t="shared" si="902"/>
        <v>0</v>
      </c>
      <c r="L407" s="24"/>
      <c r="M407" s="23"/>
      <c r="N407" s="22">
        <f t="shared" si="903"/>
        <v>0</v>
      </c>
      <c r="O407" s="24">
        <f t="shared" si="895"/>
        <v>0</v>
      </c>
      <c r="P407" s="23">
        <f t="shared" si="895"/>
        <v>0</v>
      </c>
      <c r="Q407" s="22">
        <f t="shared" si="904"/>
        <v>0</v>
      </c>
      <c r="R407" s="24"/>
      <c r="S407" s="23"/>
      <c r="T407" s="22">
        <f t="shared" si="905"/>
        <v>0</v>
      </c>
      <c r="U407" s="24"/>
      <c r="V407" s="23"/>
      <c r="W407" s="22">
        <f t="shared" si="906"/>
        <v>0</v>
      </c>
      <c r="X407" s="24"/>
      <c r="Y407" s="23"/>
      <c r="Z407" s="22">
        <f t="shared" si="907"/>
        <v>0</v>
      </c>
      <c r="AA407" s="24">
        <f t="shared" si="896"/>
        <v>0</v>
      </c>
      <c r="AB407" s="23">
        <f t="shared" si="896"/>
        <v>0</v>
      </c>
      <c r="AC407" s="22">
        <f t="shared" si="908"/>
        <v>0</v>
      </c>
      <c r="AD407" s="24"/>
      <c r="AE407" s="23"/>
      <c r="AF407" s="22">
        <f t="shared" si="909"/>
        <v>0</v>
      </c>
      <c r="AG407" s="24"/>
      <c r="AH407" s="23"/>
      <c r="AI407" s="22">
        <f t="shared" si="910"/>
        <v>0</v>
      </c>
      <c r="AJ407" s="24"/>
      <c r="AK407" s="23"/>
      <c r="AL407" s="22">
        <f t="shared" si="911"/>
        <v>0</v>
      </c>
      <c r="AM407" s="24">
        <f t="shared" si="897"/>
        <v>0</v>
      </c>
      <c r="AN407" s="23">
        <f t="shared" si="897"/>
        <v>0</v>
      </c>
      <c r="AO407" s="22">
        <f t="shared" si="912"/>
        <v>0</v>
      </c>
      <c r="AP407" s="24"/>
      <c r="AQ407" s="23"/>
      <c r="AR407" s="22">
        <f t="shared" si="913"/>
        <v>0</v>
      </c>
      <c r="AS407" s="24"/>
      <c r="AT407" s="23"/>
      <c r="AU407" s="22">
        <f t="shared" si="914"/>
        <v>0</v>
      </c>
      <c r="AV407" s="24"/>
      <c r="AW407" s="23"/>
      <c r="AX407" s="22">
        <f t="shared" si="915"/>
        <v>0</v>
      </c>
      <c r="AY407" s="23">
        <f t="shared" si="898"/>
        <v>0</v>
      </c>
      <c r="AZ407" s="23">
        <f t="shared" si="898"/>
        <v>0</v>
      </c>
      <c r="BA407" s="22">
        <f t="shared" si="916"/>
        <v>0</v>
      </c>
      <c r="BB407" s="24">
        <f t="shared" si="899"/>
        <v>0</v>
      </c>
      <c r="BC407" s="23">
        <f t="shared" si="899"/>
        <v>0</v>
      </c>
      <c r="BD407" s="22">
        <f t="shared" si="917"/>
        <v>0</v>
      </c>
      <c r="BE407" s="24"/>
      <c r="BF407" s="24"/>
      <c r="BG407" s="20">
        <f t="shared" si="900"/>
        <v>0</v>
      </c>
    </row>
    <row r="408" spans="1:59" s="210" customFormat="1" ht="13.5" hidden="1" customHeight="1" outlineLevel="1" x14ac:dyDescent="0.25">
      <c r="A408" s="82"/>
      <c r="B408" s="99" t="s">
        <v>58</v>
      </c>
      <c r="C408" s="63" t="s">
        <v>110</v>
      </c>
      <c r="D408" s="157"/>
      <c r="E408" s="157"/>
      <c r="F408" s="115"/>
      <c r="G408" s="107"/>
      <c r="H408" s="108">
        <f t="shared" si="901"/>
        <v>0</v>
      </c>
      <c r="I408" s="115"/>
      <c r="J408" s="107"/>
      <c r="K408" s="108">
        <f t="shared" si="902"/>
        <v>0</v>
      </c>
      <c r="L408" s="115"/>
      <c r="M408" s="107"/>
      <c r="N408" s="108">
        <f t="shared" si="903"/>
        <v>0</v>
      </c>
      <c r="O408" s="115">
        <f t="shared" si="895"/>
        <v>0</v>
      </c>
      <c r="P408" s="107">
        <f t="shared" si="895"/>
        <v>0</v>
      </c>
      <c r="Q408" s="108">
        <f t="shared" si="904"/>
        <v>0</v>
      </c>
      <c r="R408" s="115"/>
      <c r="S408" s="107"/>
      <c r="T408" s="108">
        <f t="shared" si="905"/>
        <v>0</v>
      </c>
      <c r="U408" s="115"/>
      <c r="V408" s="107"/>
      <c r="W408" s="108">
        <f t="shared" si="906"/>
        <v>0</v>
      </c>
      <c r="X408" s="115"/>
      <c r="Y408" s="107"/>
      <c r="Z408" s="108">
        <f t="shared" si="907"/>
        <v>0</v>
      </c>
      <c r="AA408" s="115">
        <f t="shared" si="896"/>
        <v>0</v>
      </c>
      <c r="AB408" s="107">
        <f t="shared" si="896"/>
        <v>0</v>
      </c>
      <c r="AC408" s="108">
        <f t="shared" si="908"/>
        <v>0</v>
      </c>
      <c r="AD408" s="115"/>
      <c r="AE408" s="107"/>
      <c r="AF408" s="108">
        <f t="shared" si="909"/>
        <v>0</v>
      </c>
      <c r="AG408" s="115"/>
      <c r="AH408" s="107"/>
      <c r="AI408" s="108">
        <f t="shared" si="910"/>
        <v>0</v>
      </c>
      <c r="AJ408" s="115"/>
      <c r="AK408" s="107"/>
      <c r="AL408" s="108">
        <f t="shared" si="911"/>
        <v>0</v>
      </c>
      <c r="AM408" s="115">
        <f t="shared" si="897"/>
        <v>0</v>
      </c>
      <c r="AN408" s="107">
        <f t="shared" si="897"/>
        <v>0</v>
      </c>
      <c r="AO408" s="108">
        <f t="shared" si="912"/>
        <v>0</v>
      </c>
      <c r="AP408" s="115"/>
      <c r="AQ408" s="107"/>
      <c r="AR408" s="108">
        <f t="shared" si="913"/>
        <v>0</v>
      </c>
      <c r="AS408" s="115"/>
      <c r="AT408" s="107"/>
      <c r="AU408" s="108">
        <f t="shared" si="914"/>
        <v>0</v>
      </c>
      <c r="AV408" s="115"/>
      <c r="AW408" s="107"/>
      <c r="AX408" s="108">
        <f t="shared" si="915"/>
        <v>0</v>
      </c>
      <c r="AY408" s="107">
        <f t="shared" si="898"/>
        <v>0</v>
      </c>
      <c r="AZ408" s="107">
        <f t="shared" si="898"/>
        <v>0</v>
      </c>
      <c r="BA408" s="108">
        <f t="shared" si="916"/>
        <v>0</v>
      </c>
      <c r="BB408" s="115">
        <f t="shared" si="899"/>
        <v>0</v>
      </c>
      <c r="BC408" s="107">
        <f t="shared" si="899"/>
        <v>0</v>
      </c>
      <c r="BD408" s="108">
        <f t="shared" si="917"/>
        <v>0</v>
      </c>
      <c r="BE408" s="115"/>
      <c r="BF408" s="115"/>
      <c r="BG408" s="20">
        <f t="shared" si="900"/>
        <v>0</v>
      </c>
    </row>
    <row r="409" spans="1:59" s="210" customFormat="1" ht="13.5" hidden="1" customHeight="1" outlineLevel="1" x14ac:dyDescent="0.25">
      <c r="A409" s="82"/>
      <c r="B409" s="84" t="s">
        <v>59</v>
      </c>
      <c r="C409" s="63" t="s">
        <v>110</v>
      </c>
      <c r="D409" s="157"/>
      <c r="E409" s="157"/>
      <c r="F409" s="115"/>
      <c r="G409" s="107"/>
      <c r="H409" s="108">
        <f t="shared" si="901"/>
        <v>0</v>
      </c>
      <c r="I409" s="115"/>
      <c r="J409" s="107"/>
      <c r="K409" s="108">
        <f t="shared" si="902"/>
        <v>0</v>
      </c>
      <c r="L409" s="115"/>
      <c r="M409" s="107"/>
      <c r="N409" s="108">
        <f t="shared" si="903"/>
        <v>0</v>
      </c>
      <c r="O409" s="115">
        <f t="shared" si="895"/>
        <v>0</v>
      </c>
      <c r="P409" s="107">
        <f t="shared" si="895"/>
        <v>0</v>
      </c>
      <c r="Q409" s="108">
        <f t="shared" si="904"/>
        <v>0</v>
      </c>
      <c r="R409" s="115"/>
      <c r="S409" s="107"/>
      <c r="T409" s="108">
        <f t="shared" si="905"/>
        <v>0</v>
      </c>
      <c r="U409" s="115"/>
      <c r="V409" s="107"/>
      <c r="W409" s="108">
        <f t="shared" si="906"/>
        <v>0</v>
      </c>
      <c r="X409" s="115"/>
      <c r="Y409" s="107"/>
      <c r="Z409" s="108">
        <f t="shared" si="907"/>
        <v>0</v>
      </c>
      <c r="AA409" s="115">
        <f t="shared" si="896"/>
        <v>0</v>
      </c>
      <c r="AB409" s="107">
        <f t="shared" si="896"/>
        <v>0</v>
      </c>
      <c r="AC409" s="108">
        <f t="shared" si="908"/>
        <v>0</v>
      </c>
      <c r="AD409" s="115"/>
      <c r="AE409" s="107"/>
      <c r="AF409" s="108">
        <f t="shared" si="909"/>
        <v>0</v>
      </c>
      <c r="AG409" s="115"/>
      <c r="AH409" s="107"/>
      <c r="AI409" s="108">
        <f t="shared" si="910"/>
        <v>0</v>
      </c>
      <c r="AJ409" s="115"/>
      <c r="AK409" s="107"/>
      <c r="AL409" s="108">
        <f t="shared" si="911"/>
        <v>0</v>
      </c>
      <c r="AM409" s="115">
        <f t="shared" si="897"/>
        <v>0</v>
      </c>
      <c r="AN409" s="107">
        <f t="shared" si="897"/>
        <v>0</v>
      </c>
      <c r="AO409" s="108">
        <f t="shared" si="912"/>
        <v>0</v>
      </c>
      <c r="AP409" s="115"/>
      <c r="AQ409" s="107"/>
      <c r="AR409" s="108">
        <f t="shared" si="913"/>
        <v>0</v>
      </c>
      <c r="AS409" s="115"/>
      <c r="AT409" s="107"/>
      <c r="AU409" s="108">
        <f t="shared" si="914"/>
        <v>0</v>
      </c>
      <c r="AV409" s="115"/>
      <c r="AW409" s="107"/>
      <c r="AX409" s="108">
        <f t="shared" si="915"/>
        <v>0</v>
      </c>
      <c r="AY409" s="107">
        <f t="shared" si="898"/>
        <v>0</v>
      </c>
      <c r="AZ409" s="107">
        <f t="shared" si="898"/>
        <v>0</v>
      </c>
      <c r="BA409" s="108">
        <f t="shared" si="916"/>
        <v>0</v>
      </c>
      <c r="BB409" s="115">
        <f t="shared" si="899"/>
        <v>0</v>
      </c>
      <c r="BC409" s="107">
        <f t="shared" si="899"/>
        <v>0</v>
      </c>
      <c r="BD409" s="108">
        <f t="shared" si="917"/>
        <v>0</v>
      </c>
      <c r="BE409" s="115"/>
      <c r="BF409" s="115"/>
      <c r="BG409" s="20">
        <f t="shared" si="900"/>
        <v>0</v>
      </c>
    </row>
    <row r="410" spans="1:59" s="210" customFormat="1" ht="13.5" hidden="1" customHeight="1" outlineLevel="1" x14ac:dyDescent="0.25">
      <c r="A410" s="82"/>
      <c r="B410" s="99" t="s">
        <v>60</v>
      </c>
      <c r="C410" s="63" t="s">
        <v>110</v>
      </c>
      <c r="D410" s="157"/>
      <c r="E410" s="157"/>
      <c r="F410" s="115"/>
      <c r="G410" s="107"/>
      <c r="H410" s="108">
        <f t="shared" si="901"/>
        <v>0</v>
      </c>
      <c r="I410" s="115"/>
      <c r="J410" s="107"/>
      <c r="K410" s="108">
        <f t="shared" si="902"/>
        <v>0</v>
      </c>
      <c r="L410" s="115"/>
      <c r="M410" s="107"/>
      <c r="N410" s="108">
        <f t="shared" si="903"/>
        <v>0</v>
      </c>
      <c r="O410" s="115">
        <f>SUM(F410,I410,L410)</f>
        <v>0</v>
      </c>
      <c r="P410" s="107">
        <f>SUM(G410,J410,M410)</f>
        <v>0</v>
      </c>
      <c r="Q410" s="108">
        <f t="shared" si="904"/>
        <v>0</v>
      </c>
      <c r="R410" s="115"/>
      <c r="S410" s="107"/>
      <c r="T410" s="108">
        <f t="shared" si="905"/>
        <v>0</v>
      </c>
      <c r="U410" s="115"/>
      <c r="V410" s="107"/>
      <c r="W410" s="108">
        <f t="shared" si="906"/>
        <v>0</v>
      </c>
      <c r="X410" s="115"/>
      <c r="Y410" s="107"/>
      <c r="Z410" s="108">
        <f t="shared" si="907"/>
        <v>0</v>
      </c>
      <c r="AA410" s="115">
        <f>SUM(R410,U410,X410)</f>
        <v>0</v>
      </c>
      <c r="AB410" s="107">
        <f>SUM(S410,V410,Y410)</f>
        <v>0</v>
      </c>
      <c r="AC410" s="108">
        <f t="shared" si="908"/>
        <v>0</v>
      </c>
      <c r="AD410" s="115"/>
      <c r="AE410" s="107"/>
      <c r="AF410" s="108">
        <f t="shared" si="909"/>
        <v>0</v>
      </c>
      <c r="AG410" s="115"/>
      <c r="AH410" s="107"/>
      <c r="AI410" s="108">
        <f t="shared" si="910"/>
        <v>0</v>
      </c>
      <c r="AJ410" s="115"/>
      <c r="AK410" s="107"/>
      <c r="AL410" s="108">
        <f t="shared" si="911"/>
        <v>0</v>
      </c>
      <c r="AM410" s="115">
        <f>SUM(AD410,AG410,AJ410)</f>
        <v>0</v>
      </c>
      <c r="AN410" s="107">
        <f>SUM(AE410,AH410,AK410)</f>
        <v>0</v>
      </c>
      <c r="AO410" s="108">
        <f t="shared" si="912"/>
        <v>0</v>
      </c>
      <c r="AP410" s="115"/>
      <c r="AQ410" s="107"/>
      <c r="AR410" s="108">
        <f t="shared" si="913"/>
        <v>0</v>
      </c>
      <c r="AS410" s="115"/>
      <c r="AT410" s="107"/>
      <c r="AU410" s="108">
        <f t="shared" si="914"/>
        <v>0</v>
      </c>
      <c r="AV410" s="115"/>
      <c r="AW410" s="107"/>
      <c r="AX410" s="108">
        <f t="shared" si="915"/>
        <v>0</v>
      </c>
      <c r="AY410" s="107">
        <f>SUM(AP410,AS410,AV410)</f>
        <v>0</v>
      </c>
      <c r="AZ410" s="107">
        <f>SUM(AQ410,AT410,AW410)</f>
        <v>0</v>
      </c>
      <c r="BA410" s="108">
        <f t="shared" si="916"/>
        <v>0</v>
      </c>
      <c r="BB410" s="115">
        <f>SUM(F410,I410,L410,R410,U410,X410,AD410,AG410,AJ410,AP410,AS410,AV410)</f>
        <v>0</v>
      </c>
      <c r="BC410" s="107">
        <f>SUM(G410,J410,M410,S410,V410,Y410,AE410,AH410,AK410,AQ410,AT410,AW410)</f>
        <v>0</v>
      </c>
      <c r="BD410" s="108">
        <f t="shared" si="917"/>
        <v>0</v>
      </c>
      <c r="BE410" s="115"/>
      <c r="BF410" s="115"/>
      <c r="BG410" s="20">
        <f t="shared" si="900"/>
        <v>0</v>
      </c>
    </row>
    <row r="411" spans="1:59" s="210" customFormat="1" ht="13.5" hidden="1" customHeight="1" outlineLevel="1" x14ac:dyDescent="0.25">
      <c r="A411" s="82"/>
      <c r="B411" s="84" t="s">
        <v>61</v>
      </c>
      <c r="C411" s="63" t="s">
        <v>110</v>
      </c>
      <c r="D411" s="157"/>
      <c r="E411" s="157"/>
      <c r="F411" s="115"/>
      <c r="G411" s="107"/>
      <c r="H411" s="108">
        <f t="shared" si="901"/>
        <v>0</v>
      </c>
      <c r="I411" s="115"/>
      <c r="J411" s="107"/>
      <c r="K411" s="108">
        <f t="shared" si="902"/>
        <v>0</v>
      </c>
      <c r="L411" s="115"/>
      <c r="M411" s="107"/>
      <c r="N411" s="108">
        <f t="shared" si="903"/>
        <v>0</v>
      </c>
      <c r="O411" s="115">
        <f>SUM(F411,I411,L411)</f>
        <v>0</v>
      </c>
      <c r="P411" s="107">
        <f>SUM(G411,J411,M411)</f>
        <v>0</v>
      </c>
      <c r="Q411" s="108">
        <f t="shared" si="904"/>
        <v>0</v>
      </c>
      <c r="R411" s="115"/>
      <c r="S411" s="107"/>
      <c r="T411" s="108">
        <f t="shared" si="905"/>
        <v>0</v>
      </c>
      <c r="U411" s="115"/>
      <c r="V411" s="107"/>
      <c r="W411" s="108">
        <f t="shared" si="906"/>
        <v>0</v>
      </c>
      <c r="X411" s="115"/>
      <c r="Y411" s="107"/>
      <c r="Z411" s="108">
        <f t="shared" si="907"/>
        <v>0</v>
      </c>
      <c r="AA411" s="115">
        <f>SUM(R411,U411,X411)</f>
        <v>0</v>
      </c>
      <c r="AB411" s="107">
        <f>SUM(S411,V411,Y411)</f>
        <v>0</v>
      </c>
      <c r="AC411" s="108">
        <f t="shared" si="908"/>
        <v>0</v>
      </c>
      <c r="AD411" s="115"/>
      <c r="AE411" s="107"/>
      <c r="AF411" s="108">
        <f t="shared" si="909"/>
        <v>0</v>
      </c>
      <c r="AG411" s="115"/>
      <c r="AH411" s="107"/>
      <c r="AI411" s="108">
        <f t="shared" si="910"/>
        <v>0</v>
      </c>
      <c r="AJ411" s="115"/>
      <c r="AK411" s="107"/>
      <c r="AL411" s="108">
        <f t="shared" si="911"/>
        <v>0</v>
      </c>
      <c r="AM411" s="115">
        <f>SUM(AD411,AG411,AJ411)</f>
        <v>0</v>
      </c>
      <c r="AN411" s="107">
        <f>SUM(AE411,AH411,AK411)</f>
        <v>0</v>
      </c>
      <c r="AO411" s="108">
        <f t="shared" si="912"/>
        <v>0</v>
      </c>
      <c r="AP411" s="115"/>
      <c r="AQ411" s="107"/>
      <c r="AR411" s="108">
        <f t="shared" si="913"/>
        <v>0</v>
      </c>
      <c r="AS411" s="115"/>
      <c r="AT411" s="107"/>
      <c r="AU411" s="108">
        <f t="shared" si="914"/>
        <v>0</v>
      </c>
      <c r="AV411" s="115"/>
      <c r="AW411" s="107"/>
      <c r="AX411" s="108">
        <f t="shared" si="915"/>
        <v>0</v>
      </c>
      <c r="AY411" s="107">
        <f>SUM(AP411,AS411,AV411)</f>
        <v>0</v>
      </c>
      <c r="AZ411" s="107">
        <f>SUM(AQ411,AT411,AW411)</f>
        <v>0</v>
      </c>
      <c r="BA411" s="108">
        <f t="shared" si="916"/>
        <v>0</v>
      </c>
      <c r="BB411" s="115">
        <f>SUM(F411,I411,L411,R411,U411,X411,AD411,AG411,AJ411,AP411,AS411,AV411)</f>
        <v>0</v>
      </c>
      <c r="BC411" s="107">
        <f>SUM(G411,J411,M411,S411,V411,Y411,AE411,AH411,AK411,AQ411,AT411,AW411)</f>
        <v>0</v>
      </c>
      <c r="BD411" s="108">
        <f t="shared" si="917"/>
        <v>0</v>
      </c>
      <c r="BE411" s="115"/>
      <c r="BF411" s="115"/>
      <c r="BG411" s="20">
        <f t="shared" si="900"/>
        <v>0</v>
      </c>
    </row>
    <row r="412" spans="1:59" s="210" customFormat="1" ht="13.5" customHeight="1" collapsed="1" thickBot="1" x14ac:dyDescent="0.3">
      <c r="A412" s="103"/>
      <c r="B412" s="95" t="s">
        <v>62</v>
      </c>
      <c r="C412" s="58" t="s">
        <v>110</v>
      </c>
      <c r="D412" s="93">
        <f>SUM(D413)</f>
        <v>0</v>
      </c>
      <c r="E412" s="93">
        <f>SUM(E413)</f>
        <v>0</v>
      </c>
      <c r="F412" s="187">
        <f>SUM(F413)</f>
        <v>0</v>
      </c>
      <c r="G412" s="92">
        <f>SUM(G413)</f>
        <v>0</v>
      </c>
      <c r="H412" s="91">
        <f t="shared" si="901"/>
        <v>0</v>
      </c>
      <c r="I412" s="187">
        <f>SUM(I413)</f>
        <v>0</v>
      </c>
      <c r="J412" s="92">
        <f>SUM(J413)</f>
        <v>0</v>
      </c>
      <c r="K412" s="91">
        <f t="shared" si="902"/>
        <v>0</v>
      </c>
      <c r="L412" s="187">
        <f>SUM(L413)</f>
        <v>0</v>
      </c>
      <c r="M412" s="92">
        <f>SUM(M413)</f>
        <v>0</v>
      </c>
      <c r="N412" s="91">
        <f t="shared" si="903"/>
        <v>0</v>
      </c>
      <c r="O412" s="187">
        <f>SUM(O413)</f>
        <v>0</v>
      </c>
      <c r="P412" s="92">
        <f>SUM(P413)</f>
        <v>0</v>
      </c>
      <c r="Q412" s="91">
        <f t="shared" si="904"/>
        <v>0</v>
      </c>
      <c r="R412" s="187">
        <f>SUM(R413)</f>
        <v>0</v>
      </c>
      <c r="S412" s="92">
        <f>SUM(S413)</f>
        <v>0</v>
      </c>
      <c r="T412" s="91">
        <f t="shared" si="905"/>
        <v>0</v>
      </c>
      <c r="U412" s="187">
        <f>SUM(U413)</f>
        <v>0</v>
      </c>
      <c r="V412" s="92">
        <f>SUM(V413)</f>
        <v>0</v>
      </c>
      <c r="W412" s="91">
        <f t="shared" si="906"/>
        <v>0</v>
      </c>
      <c r="X412" s="187">
        <f>SUM(X413)</f>
        <v>0</v>
      </c>
      <c r="Y412" s="92">
        <f>SUM(Y413)</f>
        <v>0</v>
      </c>
      <c r="Z412" s="91">
        <f t="shared" si="907"/>
        <v>0</v>
      </c>
      <c r="AA412" s="187">
        <f>SUM(AA413)</f>
        <v>0</v>
      </c>
      <c r="AB412" s="92">
        <f>SUM(AB413)</f>
        <v>0</v>
      </c>
      <c r="AC412" s="91">
        <f t="shared" si="908"/>
        <v>0</v>
      </c>
      <c r="AD412" s="187">
        <f>SUM(AD413)</f>
        <v>0</v>
      </c>
      <c r="AE412" s="92">
        <f>SUM(AE413)</f>
        <v>0</v>
      </c>
      <c r="AF412" s="91">
        <f t="shared" si="909"/>
        <v>0</v>
      </c>
      <c r="AG412" s="187">
        <f>SUM(AG413)</f>
        <v>0</v>
      </c>
      <c r="AH412" s="92">
        <f>SUM(AH413)</f>
        <v>0</v>
      </c>
      <c r="AI412" s="91">
        <f t="shared" si="910"/>
        <v>0</v>
      </c>
      <c r="AJ412" s="187">
        <f>SUM(AJ413)</f>
        <v>0</v>
      </c>
      <c r="AK412" s="92">
        <f>SUM(AK413)</f>
        <v>0</v>
      </c>
      <c r="AL412" s="91">
        <f t="shared" si="911"/>
        <v>0</v>
      </c>
      <c r="AM412" s="187">
        <f>SUM(AM413)</f>
        <v>0</v>
      </c>
      <c r="AN412" s="92">
        <f>SUM(AN413)</f>
        <v>0</v>
      </c>
      <c r="AO412" s="91">
        <f t="shared" si="912"/>
        <v>0</v>
      </c>
      <c r="AP412" s="187">
        <f>SUM(AP413)</f>
        <v>0</v>
      </c>
      <c r="AQ412" s="92">
        <f>SUM(AQ413)</f>
        <v>0</v>
      </c>
      <c r="AR412" s="91">
        <f t="shared" si="913"/>
        <v>0</v>
      </c>
      <c r="AS412" s="187">
        <f>SUM(AS413)</f>
        <v>0</v>
      </c>
      <c r="AT412" s="92">
        <f>SUM(AT413)</f>
        <v>0</v>
      </c>
      <c r="AU412" s="91">
        <f t="shared" si="914"/>
        <v>0</v>
      </c>
      <c r="AV412" s="187">
        <f>SUM(AV413)</f>
        <v>0</v>
      </c>
      <c r="AW412" s="92">
        <f>SUM(AW413)</f>
        <v>0</v>
      </c>
      <c r="AX412" s="91">
        <f t="shared" si="915"/>
        <v>0</v>
      </c>
      <c r="AY412" s="92">
        <f>SUM(AY413)</f>
        <v>0</v>
      </c>
      <c r="AZ412" s="92">
        <f>SUM(AZ413)</f>
        <v>0</v>
      </c>
      <c r="BA412" s="91">
        <f t="shared" si="916"/>
        <v>0</v>
      </c>
      <c r="BB412" s="187">
        <f>SUM(BB413)</f>
        <v>0</v>
      </c>
      <c r="BC412" s="92">
        <f>SUM(BC413)</f>
        <v>0</v>
      </c>
      <c r="BD412" s="91">
        <f t="shared" si="917"/>
        <v>0</v>
      </c>
      <c r="BE412" s="187">
        <f t="shared" ref="BE412:BG412" si="918">SUM(BE413)</f>
        <v>0</v>
      </c>
      <c r="BF412" s="187">
        <f t="shared" si="918"/>
        <v>0</v>
      </c>
      <c r="BG412" s="93">
        <f t="shared" si="918"/>
        <v>0</v>
      </c>
    </row>
    <row r="413" spans="1:59" s="210" customFormat="1" ht="13.5" hidden="1" customHeight="1" outlineLevel="1" thickBot="1" x14ac:dyDescent="0.3">
      <c r="A413" s="82"/>
      <c r="B413" s="84" t="s">
        <v>63</v>
      </c>
      <c r="C413" s="76" t="s">
        <v>110</v>
      </c>
      <c r="D413" s="20"/>
      <c r="E413" s="20"/>
      <c r="F413" s="24"/>
      <c r="G413" s="23"/>
      <c r="H413" s="22">
        <f t="shared" si="901"/>
        <v>0</v>
      </c>
      <c r="I413" s="24"/>
      <c r="J413" s="23"/>
      <c r="K413" s="22">
        <f t="shared" si="902"/>
        <v>0</v>
      </c>
      <c r="L413" s="24"/>
      <c r="M413" s="23"/>
      <c r="N413" s="22">
        <f t="shared" si="903"/>
        <v>0</v>
      </c>
      <c r="O413" s="24">
        <f>SUM(F413,I413,L413)</f>
        <v>0</v>
      </c>
      <c r="P413" s="23">
        <f>SUM(G413,J413,M413)</f>
        <v>0</v>
      </c>
      <c r="Q413" s="22">
        <f t="shared" si="904"/>
        <v>0</v>
      </c>
      <c r="R413" s="24"/>
      <c r="S413" s="23"/>
      <c r="T413" s="22">
        <f t="shared" si="905"/>
        <v>0</v>
      </c>
      <c r="U413" s="24"/>
      <c r="V413" s="23"/>
      <c r="W413" s="22">
        <f t="shared" si="906"/>
        <v>0</v>
      </c>
      <c r="X413" s="24"/>
      <c r="Y413" s="23"/>
      <c r="Z413" s="22">
        <f t="shared" si="907"/>
        <v>0</v>
      </c>
      <c r="AA413" s="24">
        <f>SUM(R413,U413,X413)</f>
        <v>0</v>
      </c>
      <c r="AB413" s="23">
        <f>SUM(S413,V413,Y413)</f>
        <v>0</v>
      </c>
      <c r="AC413" s="22">
        <f t="shared" si="908"/>
        <v>0</v>
      </c>
      <c r="AD413" s="24"/>
      <c r="AE413" s="23"/>
      <c r="AF413" s="22">
        <f t="shared" si="909"/>
        <v>0</v>
      </c>
      <c r="AG413" s="24"/>
      <c r="AH413" s="23"/>
      <c r="AI413" s="22">
        <f t="shared" si="910"/>
        <v>0</v>
      </c>
      <c r="AJ413" s="24"/>
      <c r="AK413" s="23"/>
      <c r="AL413" s="22">
        <f t="shared" si="911"/>
        <v>0</v>
      </c>
      <c r="AM413" s="24">
        <f>SUM(AD413,AG413,AJ413)</f>
        <v>0</v>
      </c>
      <c r="AN413" s="23">
        <f>SUM(AE413,AH413,AK413)</f>
        <v>0</v>
      </c>
      <c r="AO413" s="22">
        <f t="shared" si="912"/>
        <v>0</v>
      </c>
      <c r="AP413" s="24"/>
      <c r="AQ413" s="23"/>
      <c r="AR413" s="22">
        <f t="shared" si="913"/>
        <v>0</v>
      </c>
      <c r="AS413" s="24"/>
      <c r="AT413" s="23"/>
      <c r="AU413" s="22">
        <f t="shared" si="914"/>
        <v>0</v>
      </c>
      <c r="AV413" s="24"/>
      <c r="AW413" s="23"/>
      <c r="AX413" s="22">
        <f t="shared" si="915"/>
        <v>0</v>
      </c>
      <c r="AY413" s="23">
        <f>SUM(AP413,AS413,AV413)</f>
        <v>0</v>
      </c>
      <c r="AZ413" s="23">
        <f>SUM(AQ413,AT413,AW413)</f>
        <v>0</v>
      </c>
      <c r="BA413" s="22">
        <f t="shared" si="916"/>
        <v>0</v>
      </c>
      <c r="BB413" s="24">
        <f>SUM(F413,I413,L413,R413,U413,X413,AD413,AG413,AJ413,AP413,AS413,AV413)</f>
        <v>0</v>
      </c>
      <c r="BC413" s="23">
        <f>SUM(G413,J413,M413,S413,V413,Y413,AE413,AH413,AK413,AQ413,AT413,AW413)</f>
        <v>0</v>
      </c>
      <c r="BD413" s="22">
        <f t="shared" si="917"/>
        <v>0</v>
      </c>
      <c r="BE413" s="24"/>
      <c r="BF413" s="24"/>
      <c r="BG413" s="20">
        <f>BB413+BE413+BF413</f>
        <v>0</v>
      </c>
    </row>
    <row r="414" spans="1:59" s="210" customFormat="1" ht="13.5" hidden="1" customHeight="1" outlineLevel="1" x14ac:dyDescent="0.25">
      <c r="A414" s="57"/>
      <c r="B414" s="56" t="s">
        <v>113</v>
      </c>
      <c r="C414" s="55" t="s">
        <v>110</v>
      </c>
      <c r="D414" s="158">
        <f t="shared" ref="D414:S414" si="919">SUM(D415:D421)</f>
        <v>0</v>
      </c>
      <c r="E414" s="158">
        <f t="shared" si="919"/>
        <v>0</v>
      </c>
      <c r="F414" s="161">
        <f t="shared" si="919"/>
        <v>0</v>
      </c>
      <c r="G414" s="159">
        <f t="shared" si="919"/>
        <v>0</v>
      </c>
      <c r="H414" s="160">
        <f t="shared" si="919"/>
        <v>0</v>
      </c>
      <c r="I414" s="161">
        <f t="shared" si="919"/>
        <v>0</v>
      </c>
      <c r="J414" s="159">
        <f t="shared" si="919"/>
        <v>0</v>
      </c>
      <c r="K414" s="160">
        <f t="shared" si="919"/>
        <v>0</v>
      </c>
      <c r="L414" s="161">
        <f t="shared" si="919"/>
        <v>0</v>
      </c>
      <c r="M414" s="159">
        <f t="shared" si="919"/>
        <v>0</v>
      </c>
      <c r="N414" s="160">
        <f t="shared" si="919"/>
        <v>0</v>
      </c>
      <c r="O414" s="161">
        <f t="shared" si="919"/>
        <v>0</v>
      </c>
      <c r="P414" s="159">
        <f t="shared" si="919"/>
        <v>0</v>
      </c>
      <c r="Q414" s="160">
        <f t="shared" si="919"/>
        <v>0</v>
      </c>
      <c r="R414" s="161">
        <f t="shared" si="919"/>
        <v>0</v>
      </c>
      <c r="S414" s="159">
        <f t="shared" si="919"/>
        <v>0</v>
      </c>
      <c r="T414" s="160">
        <f t="shared" ref="T414:AI414" si="920">SUM(T415:T421)</f>
        <v>0</v>
      </c>
      <c r="U414" s="161">
        <f t="shared" si="920"/>
        <v>0</v>
      </c>
      <c r="V414" s="159">
        <f t="shared" si="920"/>
        <v>0</v>
      </c>
      <c r="W414" s="160">
        <f t="shared" si="920"/>
        <v>0</v>
      </c>
      <c r="X414" s="161">
        <f t="shared" si="920"/>
        <v>0</v>
      </c>
      <c r="Y414" s="159">
        <f t="shared" si="920"/>
        <v>0</v>
      </c>
      <c r="Z414" s="160">
        <f t="shared" si="920"/>
        <v>0</v>
      </c>
      <c r="AA414" s="161">
        <f t="shared" si="920"/>
        <v>0</v>
      </c>
      <c r="AB414" s="159">
        <f t="shared" si="920"/>
        <v>0</v>
      </c>
      <c r="AC414" s="160">
        <f t="shared" si="920"/>
        <v>0</v>
      </c>
      <c r="AD414" s="161">
        <f t="shared" si="920"/>
        <v>0</v>
      </c>
      <c r="AE414" s="159">
        <f t="shared" si="920"/>
        <v>0</v>
      </c>
      <c r="AF414" s="160">
        <f t="shared" si="920"/>
        <v>0</v>
      </c>
      <c r="AG414" s="161">
        <f t="shared" si="920"/>
        <v>0</v>
      </c>
      <c r="AH414" s="159">
        <f t="shared" si="920"/>
        <v>0</v>
      </c>
      <c r="AI414" s="160">
        <f t="shared" si="920"/>
        <v>0</v>
      </c>
      <c r="AJ414" s="161">
        <f t="shared" ref="AJ414:AY414" si="921">SUM(AJ415:AJ421)</f>
        <v>0</v>
      </c>
      <c r="AK414" s="159">
        <f t="shared" si="921"/>
        <v>0</v>
      </c>
      <c r="AL414" s="160">
        <f t="shared" si="921"/>
        <v>0</v>
      </c>
      <c r="AM414" s="161">
        <f t="shared" si="921"/>
        <v>0</v>
      </c>
      <c r="AN414" s="159">
        <f t="shared" si="921"/>
        <v>0</v>
      </c>
      <c r="AO414" s="160">
        <f t="shared" si="921"/>
        <v>0</v>
      </c>
      <c r="AP414" s="161">
        <f t="shared" si="921"/>
        <v>0</v>
      </c>
      <c r="AQ414" s="159">
        <f t="shared" si="921"/>
        <v>0</v>
      </c>
      <c r="AR414" s="160">
        <f t="shared" si="921"/>
        <v>0</v>
      </c>
      <c r="AS414" s="161">
        <f t="shared" si="921"/>
        <v>0</v>
      </c>
      <c r="AT414" s="159">
        <f t="shared" si="921"/>
        <v>0</v>
      </c>
      <c r="AU414" s="160">
        <f t="shared" si="921"/>
        <v>0</v>
      </c>
      <c r="AV414" s="161">
        <f t="shared" si="921"/>
        <v>0</v>
      </c>
      <c r="AW414" s="159">
        <f t="shared" si="921"/>
        <v>0</v>
      </c>
      <c r="AX414" s="160">
        <f t="shared" si="921"/>
        <v>0</v>
      </c>
      <c r="AY414" s="159">
        <f t="shared" si="921"/>
        <v>0</v>
      </c>
      <c r="AZ414" s="159">
        <f t="shared" ref="AZ414:BE414" si="922">SUM(AZ415:AZ421)</f>
        <v>0</v>
      </c>
      <c r="BA414" s="160">
        <f t="shared" si="922"/>
        <v>0</v>
      </c>
      <c r="BB414" s="161">
        <f t="shared" si="922"/>
        <v>0</v>
      </c>
      <c r="BC414" s="159">
        <f t="shared" si="922"/>
        <v>0</v>
      </c>
      <c r="BD414" s="160">
        <f t="shared" si="922"/>
        <v>0</v>
      </c>
      <c r="BE414" s="161">
        <f t="shared" si="922"/>
        <v>0</v>
      </c>
      <c r="BF414" s="161">
        <f t="shared" ref="BF414:BG414" si="923">SUM(BF415:BF421)</f>
        <v>0</v>
      </c>
      <c r="BG414" s="158">
        <f t="shared" si="923"/>
        <v>0</v>
      </c>
    </row>
    <row r="415" spans="1:59" ht="13.5" hidden="1" customHeight="1" outlineLevel="1" collapsed="1" x14ac:dyDescent="0.25">
      <c r="A415" s="54"/>
      <c r="B415" s="53" t="s">
        <v>97</v>
      </c>
      <c r="C415" s="59" t="s">
        <v>110</v>
      </c>
      <c r="D415" s="157"/>
      <c r="E415" s="157"/>
      <c r="F415" s="115"/>
      <c r="G415" s="107"/>
      <c r="H415" s="108">
        <f t="shared" ref="H415:H430" si="924">G415-F415</f>
        <v>0</v>
      </c>
      <c r="I415" s="115"/>
      <c r="J415" s="107"/>
      <c r="K415" s="108">
        <f t="shared" ref="K415:K430" si="925">J415-I415</f>
        <v>0</v>
      </c>
      <c r="L415" s="115"/>
      <c r="M415" s="107"/>
      <c r="N415" s="108">
        <f t="shared" ref="N415:N430" si="926">M415-L415</f>
        <v>0</v>
      </c>
      <c r="O415" s="115">
        <f t="shared" ref="O415:P421" si="927">SUM(F415,I415,L415)</f>
        <v>0</v>
      </c>
      <c r="P415" s="107">
        <f t="shared" si="927"/>
        <v>0</v>
      </c>
      <c r="Q415" s="108">
        <f t="shared" ref="Q415:Q430" si="928">P415-O415</f>
        <v>0</v>
      </c>
      <c r="R415" s="115"/>
      <c r="S415" s="107"/>
      <c r="T415" s="108">
        <f t="shared" ref="T415:T430" si="929">S415-R415</f>
        <v>0</v>
      </c>
      <c r="U415" s="115"/>
      <c r="V415" s="107"/>
      <c r="W415" s="108">
        <f t="shared" ref="W415:W430" si="930">V415-U415</f>
        <v>0</v>
      </c>
      <c r="X415" s="115"/>
      <c r="Y415" s="107"/>
      <c r="Z415" s="108">
        <f t="shared" ref="Z415:Z430" si="931">Y415-X415</f>
        <v>0</v>
      </c>
      <c r="AA415" s="115">
        <f t="shared" ref="AA415:AB421" si="932">SUM(R415,U415,X415)</f>
        <v>0</v>
      </c>
      <c r="AB415" s="107">
        <f t="shared" si="932"/>
        <v>0</v>
      </c>
      <c r="AC415" s="108">
        <f t="shared" ref="AC415:AC430" si="933">AB415-AA415</f>
        <v>0</v>
      </c>
      <c r="AD415" s="115"/>
      <c r="AE415" s="107"/>
      <c r="AF415" s="108">
        <f t="shared" ref="AF415:AF430" si="934">AE415-AD415</f>
        <v>0</v>
      </c>
      <c r="AG415" s="115"/>
      <c r="AH415" s="107"/>
      <c r="AI415" s="108">
        <f t="shared" ref="AI415:AI430" si="935">AH415-AG415</f>
        <v>0</v>
      </c>
      <c r="AJ415" s="115"/>
      <c r="AK415" s="107"/>
      <c r="AL415" s="108">
        <f t="shared" ref="AL415:AL430" si="936">AK415-AJ415</f>
        <v>0</v>
      </c>
      <c r="AM415" s="115">
        <f t="shared" ref="AM415:AN421" si="937">SUM(AD415,AG415,AJ415)</f>
        <v>0</v>
      </c>
      <c r="AN415" s="107">
        <f t="shared" si="937"/>
        <v>0</v>
      </c>
      <c r="AO415" s="108">
        <f t="shared" ref="AO415:AO430" si="938">AN415-AM415</f>
        <v>0</v>
      </c>
      <c r="AP415" s="115"/>
      <c r="AQ415" s="107"/>
      <c r="AR415" s="108">
        <f t="shared" ref="AR415:AR430" si="939">AQ415-AP415</f>
        <v>0</v>
      </c>
      <c r="AS415" s="115"/>
      <c r="AT415" s="107"/>
      <c r="AU415" s="108">
        <f t="shared" ref="AU415:AU430" si="940">AT415-AS415</f>
        <v>0</v>
      </c>
      <c r="AV415" s="115"/>
      <c r="AW415" s="107"/>
      <c r="AX415" s="108">
        <f t="shared" ref="AX415:AX430" si="941">AW415-AV415</f>
        <v>0</v>
      </c>
      <c r="AY415" s="107">
        <f t="shared" ref="AY415:AZ421" si="942">SUM(AP415,AS415,AV415)</f>
        <v>0</v>
      </c>
      <c r="AZ415" s="107">
        <f t="shared" si="942"/>
        <v>0</v>
      </c>
      <c r="BA415" s="108">
        <f t="shared" ref="BA415:BA430" si="943">AZ415-AY415</f>
        <v>0</v>
      </c>
      <c r="BB415" s="115">
        <f t="shared" ref="BB415:BC421" si="944">SUM(F415,I415,L415,R415,U415,X415,AD415,AG415,AJ415,AP415,AS415,AV415)</f>
        <v>0</v>
      </c>
      <c r="BC415" s="107">
        <f t="shared" si="944"/>
        <v>0</v>
      </c>
      <c r="BD415" s="108">
        <f t="shared" ref="BD415:BD430" si="945">BC415-BB415</f>
        <v>0</v>
      </c>
      <c r="BE415" s="115"/>
      <c r="BF415" s="115"/>
      <c r="BG415" s="20">
        <f>BB415+BE415+BF415</f>
        <v>0</v>
      </c>
    </row>
    <row r="416" spans="1:59" ht="13.5" hidden="1" customHeight="1" outlineLevel="1" x14ac:dyDescent="0.25">
      <c r="A416" s="60"/>
      <c r="B416" s="52" t="s">
        <v>98</v>
      </c>
      <c r="C416" s="59" t="s">
        <v>110</v>
      </c>
      <c r="D416" s="20"/>
      <c r="E416" s="20"/>
      <c r="F416" s="24"/>
      <c r="G416" s="23"/>
      <c r="H416" s="22">
        <f t="shared" si="924"/>
        <v>0</v>
      </c>
      <c r="I416" s="24"/>
      <c r="J416" s="23"/>
      <c r="K416" s="22">
        <f t="shared" si="925"/>
        <v>0</v>
      </c>
      <c r="L416" s="24"/>
      <c r="M416" s="23"/>
      <c r="N416" s="22">
        <f t="shared" si="926"/>
        <v>0</v>
      </c>
      <c r="O416" s="24">
        <f t="shared" si="927"/>
        <v>0</v>
      </c>
      <c r="P416" s="23">
        <f t="shared" si="927"/>
        <v>0</v>
      </c>
      <c r="Q416" s="22">
        <f t="shared" si="928"/>
        <v>0</v>
      </c>
      <c r="R416" s="24"/>
      <c r="S416" s="23"/>
      <c r="T416" s="22">
        <f t="shared" si="929"/>
        <v>0</v>
      </c>
      <c r="U416" s="24"/>
      <c r="V416" s="23"/>
      <c r="W416" s="22">
        <f t="shared" si="930"/>
        <v>0</v>
      </c>
      <c r="X416" s="24"/>
      <c r="Y416" s="23"/>
      <c r="Z416" s="22">
        <f t="shared" si="931"/>
        <v>0</v>
      </c>
      <c r="AA416" s="24">
        <f t="shared" si="932"/>
        <v>0</v>
      </c>
      <c r="AB416" s="23">
        <f t="shared" si="932"/>
        <v>0</v>
      </c>
      <c r="AC416" s="22">
        <f t="shared" si="933"/>
        <v>0</v>
      </c>
      <c r="AD416" s="24"/>
      <c r="AE416" s="23"/>
      <c r="AF416" s="22">
        <f t="shared" si="934"/>
        <v>0</v>
      </c>
      <c r="AG416" s="24"/>
      <c r="AH416" s="23"/>
      <c r="AI416" s="22">
        <f t="shared" si="935"/>
        <v>0</v>
      </c>
      <c r="AJ416" s="24"/>
      <c r="AK416" s="23"/>
      <c r="AL416" s="22">
        <f t="shared" si="936"/>
        <v>0</v>
      </c>
      <c r="AM416" s="24">
        <f t="shared" si="937"/>
        <v>0</v>
      </c>
      <c r="AN416" s="23">
        <f t="shared" si="937"/>
        <v>0</v>
      </c>
      <c r="AO416" s="22">
        <f t="shared" si="938"/>
        <v>0</v>
      </c>
      <c r="AP416" s="24"/>
      <c r="AQ416" s="23"/>
      <c r="AR416" s="22">
        <f t="shared" si="939"/>
        <v>0</v>
      </c>
      <c r="AS416" s="24"/>
      <c r="AT416" s="23"/>
      <c r="AU416" s="22">
        <f t="shared" si="940"/>
        <v>0</v>
      </c>
      <c r="AV416" s="24"/>
      <c r="AW416" s="23"/>
      <c r="AX416" s="22">
        <f t="shared" si="941"/>
        <v>0</v>
      </c>
      <c r="AY416" s="23">
        <f t="shared" si="942"/>
        <v>0</v>
      </c>
      <c r="AZ416" s="23">
        <f t="shared" si="942"/>
        <v>0</v>
      </c>
      <c r="BA416" s="22">
        <f t="shared" si="943"/>
        <v>0</v>
      </c>
      <c r="BB416" s="24">
        <f t="shared" si="944"/>
        <v>0</v>
      </c>
      <c r="BC416" s="23">
        <f t="shared" si="944"/>
        <v>0</v>
      </c>
      <c r="BD416" s="22">
        <f t="shared" si="945"/>
        <v>0</v>
      </c>
      <c r="BE416" s="24"/>
      <c r="BF416" s="24"/>
      <c r="BG416" s="20">
        <f t="shared" ref="BG416:BG421" si="946">BB416+BE416+BF416</f>
        <v>0</v>
      </c>
    </row>
    <row r="417" spans="1:59" ht="13.5" hidden="1" customHeight="1" outlineLevel="1" x14ac:dyDescent="0.25">
      <c r="A417" s="60"/>
      <c r="B417" s="52" t="s">
        <v>99</v>
      </c>
      <c r="C417" s="59" t="s">
        <v>110</v>
      </c>
      <c r="D417" s="20"/>
      <c r="E417" s="20"/>
      <c r="F417" s="24"/>
      <c r="G417" s="23"/>
      <c r="H417" s="22">
        <f t="shared" si="924"/>
        <v>0</v>
      </c>
      <c r="I417" s="24"/>
      <c r="J417" s="23"/>
      <c r="K417" s="22">
        <f t="shared" si="925"/>
        <v>0</v>
      </c>
      <c r="L417" s="24"/>
      <c r="M417" s="23"/>
      <c r="N417" s="22">
        <f t="shared" si="926"/>
        <v>0</v>
      </c>
      <c r="O417" s="24">
        <f t="shared" si="927"/>
        <v>0</v>
      </c>
      <c r="P417" s="23">
        <f t="shared" si="927"/>
        <v>0</v>
      </c>
      <c r="Q417" s="22">
        <f t="shared" si="928"/>
        <v>0</v>
      </c>
      <c r="R417" s="24"/>
      <c r="S417" s="23"/>
      <c r="T417" s="22">
        <f t="shared" si="929"/>
        <v>0</v>
      </c>
      <c r="U417" s="24"/>
      <c r="V417" s="23"/>
      <c r="W417" s="22">
        <f t="shared" si="930"/>
        <v>0</v>
      </c>
      <c r="X417" s="24"/>
      <c r="Y417" s="23"/>
      <c r="Z417" s="22">
        <f t="shared" si="931"/>
        <v>0</v>
      </c>
      <c r="AA417" s="24">
        <f t="shared" si="932"/>
        <v>0</v>
      </c>
      <c r="AB417" s="23">
        <f t="shared" si="932"/>
        <v>0</v>
      </c>
      <c r="AC417" s="22">
        <f t="shared" si="933"/>
        <v>0</v>
      </c>
      <c r="AD417" s="24"/>
      <c r="AE417" s="23"/>
      <c r="AF417" s="22">
        <f t="shared" si="934"/>
        <v>0</v>
      </c>
      <c r="AG417" s="24"/>
      <c r="AH417" s="23"/>
      <c r="AI417" s="22">
        <f t="shared" si="935"/>
        <v>0</v>
      </c>
      <c r="AJ417" s="24"/>
      <c r="AK417" s="23"/>
      <c r="AL417" s="22">
        <f t="shared" si="936"/>
        <v>0</v>
      </c>
      <c r="AM417" s="24">
        <f t="shared" si="937"/>
        <v>0</v>
      </c>
      <c r="AN417" s="23">
        <f t="shared" si="937"/>
        <v>0</v>
      </c>
      <c r="AO417" s="22">
        <f t="shared" si="938"/>
        <v>0</v>
      </c>
      <c r="AP417" s="24"/>
      <c r="AQ417" s="23"/>
      <c r="AR417" s="22">
        <f t="shared" si="939"/>
        <v>0</v>
      </c>
      <c r="AS417" s="24"/>
      <c r="AT417" s="23"/>
      <c r="AU417" s="22">
        <f t="shared" si="940"/>
        <v>0</v>
      </c>
      <c r="AV417" s="24"/>
      <c r="AW417" s="23"/>
      <c r="AX417" s="22">
        <f t="shared" si="941"/>
        <v>0</v>
      </c>
      <c r="AY417" s="23">
        <f t="shared" si="942"/>
        <v>0</v>
      </c>
      <c r="AZ417" s="23">
        <f t="shared" si="942"/>
        <v>0</v>
      </c>
      <c r="BA417" s="22">
        <f t="shared" si="943"/>
        <v>0</v>
      </c>
      <c r="BB417" s="24">
        <f t="shared" si="944"/>
        <v>0</v>
      </c>
      <c r="BC417" s="23">
        <f t="shared" si="944"/>
        <v>0</v>
      </c>
      <c r="BD417" s="22">
        <f t="shared" si="945"/>
        <v>0</v>
      </c>
      <c r="BE417" s="24"/>
      <c r="BF417" s="24"/>
      <c r="BG417" s="20">
        <f t="shared" si="946"/>
        <v>0</v>
      </c>
    </row>
    <row r="418" spans="1:59" ht="13.5" hidden="1" customHeight="1" outlineLevel="1" x14ac:dyDescent="0.25">
      <c r="A418" s="60"/>
      <c r="B418" s="52" t="s">
        <v>100</v>
      </c>
      <c r="C418" s="59" t="s">
        <v>110</v>
      </c>
      <c r="D418" s="20"/>
      <c r="E418" s="20"/>
      <c r="F418" s="24"/>
      <c r="G418" s="23"/>
      <c r="H418" s="22">
        <f t="shared" si="924"/>
        <v>0</v>
      </c>
      <c r="I418" s="24"/>
      <c r="J418" s="23"/>
      <c r="K418" s="22">
        <f t="shared" si="925"/>
        <v>0</v>
      </c>
      <c r="L418" s="24"/>
      <c r="M418" s="23"/>
      <c r="N418" s="22">
        <f t="shared" si="926"/>
        <v>0</v>
      </c>
      <c r="O418" s="24">
        <f t="shared" si="927"/>
        <v>0</v>
      </c>
      <c r="P418" s="23">
        <f t="shared" si="927"/>
        <v>0</v>
      </c>
      <c r="Q418" s="22">
        <f t="shared" si="928"/>
        <v>0</v>
      </c>
      <c r="R418" s="24"/>
      <c r="S418" s="23"/>
      <c r="T418" s="22">
        <f t="shared" si="929"/>
        <v>0</v>
      </c>
      <c r="U418" s="24"/>
      <c r="V418" s="23"/>
      <c r="W418" s="22">
        <f t="shared" si="930"/>
        <v>0</v>
      </c>
      <c r="X418" s="24"/>
      <c r="Y418" s="23"/>
      <c r="Z418" s="22">
        <f t="shared" si="931"/>
        <v>0</v>
      </c>
      <c r="AA418" s="24">
        <f t="shared" si="932"/>
        <v>0</v>
      </c>
      <c r="AB418" s="23">
        <f t="shared" si="932"/>
        <v>0</v>
      </c>
      <c r="AC418" s="22">
        <f t="shared" si="933"/>
        <v>0</v>
      </c>
      <c r="AD418" s="24"/>
      <c r="AE418" s="23"/>
      <c r="AF418" s="22">
        <f t="shared" si="934"/>
        <v>0</v>
      </c>
      <c r="AG418" s="24"/>
      <c r="AH418" s="23"/>
      <c r="AI418" s="22">
        <f t="shared" si="935"/>
        <v>0</v>
      </c>
      <c r="AJ418" s="24"/>
      <c r="AK418" s="23"/>
      <c r="AL418" s="22">
        <f t="shared" si="936"/>
        <v>0</v>
      </c>
      <c r="AM418" s="24">
        <f t="shared" si="937"/>
        <v>0</v>
      </c>
      <c r="AN418" s="23">
        <f t="shared" si="937"/>
        <v>0</v>
      </c>
      <c r="AO418" s="22">
        <f t="shared" si="938"/>
        <v>0</v>
      </c>
      <c r="AP418" s="24"/>
      <c r="AQ418" s="23"/>
      <c r="AR418" s="22">
        <f t="shared" si="939"/>
        <v>0</v>
      </c>
      <c r="AS418" s="24"/>
      <c r="AT418" s="23"/>
      <c r="AU418" s="22">
        <f t="shared" si="940"/>
        <v>0</v>
      </c>
      <c r="AV418" s="24"/>
      <c r="AW418" s="23"/>
      <c r="AX418" s="22">
        <f t="shared" si="941"/>
        <v>0</v>
      </c>
      <c r="AY418" s="23">
        <f t="shared" si="942"/>
        <v>0</v>
      </c>
      <c r="AZ418" s="23">
        <f t="shared" si="942"/>
        <v>0</v>
      </c>
      <c r="BA418" s="22">
        <f t="shared" si="943"/>
        <v>0</v>
      </c>
      <c r="BB418" s="24">
        <f t="shared" si="944"/>
        <v>0</v>
      </c>
      <c r="BC418" s="23">
        <f t="shared" si="944"/>
        <v>0</v>
      </c>
      <c r="BD418" s="22">
        <f t="shared" si="945"/>
        <v>0</v>
      </c>
      <c r="BE418" s="24"/>
      <c r="BF418" s="24"/>
      <c r="BG418" s="20">
        <f t="shared" si="946"/>
        <v>0</v>
      </c>
    </row>
    <row r="419" spans="1:59" ht="13.5" hidden="1" customHeight="1" outlineLevel="1" x14ac:dyDescent="0.25">
      <c r="A419" s="60"/>
      <c r="B419" s="52" t="s">
        <v>101</v>
      </c>
      <c r="C419" s="59" t="s">
        <v>110</v>
      </c>
      <c r="D419" s="20"/>
      <c r="E419" s="20"/>
      <c r="F419" s="24"/>
      <c r="G419" s="23"/>
      <c r="H419" s="22">
        <f t="shared" si="924"/>
        <v>0</v>
      </c>
      <c r="I419" s="24"/>
      <c r="J419" s="23"/>
      <c r="K419" s="22">
        <f t="shared" si="925"/>
        <v>0</v>
      </c>
      <c r="L419" s="24"/>
      <c r="M419" s="23"/>
      <c r="N419" s="22">
        <f t="shared" si="926"/>
        <v>0</v>
      </c>
      <c r="O419" s="24">
        <f t="shared" si="927"/>
        <v>0</v>
      </c>
      <c r="P419" s="23">
        <f t="shared" si="927"/>
        <v>0</v>
      </c>
      <c r="Q419" s="22">
        <f t="shared" si="928"/>
        <v>0</v>
      </c>
      <c r="R419" s="24"/>
      <c r="S419" s="23"/>
      <c r="T419" s="22">
        <f t="shared" si="929"/>
        <v>0</v>
      </c>
      <c r="U419" s="24"/>
      <c r="V419" s="23"/>
      <c r="W419" s="22">
        <f t="shared" si="930"/>
        <v>0</v>
      </c>
      <c r="X419" s="24"/>
      <c r="Y419" s="23"/>
      <c r="Z419" s="22">
        <f t="shared" si="931"/>
        <v>0</v>
      </c>
      <c r="AA419" s="24">
        <f t="shared" si="932"/>
        <v>0</v>
      </c>
      <c r="AB419" s="23">
        <f t="shared" si="932"/>
        <v>0</v>
      </c>
      <c r="AC419" s="22">
        <f t="shared" si="933"/>
        <v>0</v>
      </c>
      <c r="AD419" s="24"/>
      <c r="AE419" s="23"/>
      <c r="AF419" s="22">
        <f t="shared" si="934"/>
        <v>0</v>
      </c>
      <c r="AG419" s="24"/>
      <c r="AH419" s="23"/>
      <c r="AI419" s="22">
        <f t="shared" si="935"/>
        <v>0</v>
      </c>
      <c r="AJ419" s="24"/>
      <c r="AK419" s="23"/>
      <c r="AL419" s="22">
        <f t="shared" si="936"/>
        <v>0</v>
      </c>
      <c r="AM419" s="24">
        <f t="shared" si="937"/>
        <v>0</v>
      </c>
      <c r="AN419" s="23">
        <f t="shared" si="937"/>
        <v>0</v>
      </c>
      <c r="AO419" s="22">
        <f t="shared" si="938"/>
        <v>0</v>
      </c>
      <c r="AP419" s="24"/>
      <c r="AQ419" s="23"/>
      <c r="AR419" s="22">
        <f t="shared" si="939"/>
        <v>0</v>
      </c>
      <c r="AS419" s="24"/>
      <c r="AT419" s="23"/>
      <c r="AU419" s="22">
        <f t="shared" si="940"/>
        <v>0</v>
      </c>
      <c r="AV419" s="24"/>
      <c r="AW419" s="23"/>
      <c r="AX419" s="22">
        <f t="shared" si="941"/>
        <v>0</v>
      </c>
      <c r="AY419" s="23">
        <f t="shared" si="942"/>
        <v>0</v>
      </c>
      <c r="AZ419" s="23">
        <f t="shared" si="942"/>
        <v>0</v>
      </c>
      <c r="BA419" s="22">
        <f t="shared" si="943"/>
        <v>0</v>
      </c>
      <c r="BB419" s="24">
        <f t="shared" si="944"/>
        <v>0</v>
      </c>
      <c r="BC419" s="23">
        <f t="shared" si="944"/>
        <v>0</v>
      </c>
      <c r="BD419" s="22">
        <f t="shared" si="945"/>
        <v>0</v>
      </c>
      <c r="BE419" s="24"/>
      <c r="BF419" s="24"/>
      <c r="BG419" s="20">
        <f t="shared" si="946"/>
        <v>0</v>
      </c>
    </row>
    <row r="420" spans="1:59" ht="13.5" hidden="1" customHeight="1" outlineLevel="1" x14ac:dyDescent="0.25">
      <c r="A420" s="60"/>
      <c r="B420" s="51" t="s">
        <v>102</v>
      </c>
      <c r="C420" s="59" t="s">
        <v>110</v>
      </c>
      <c r="D420" s="20"/>
      <c r="E420" s="20"/>
      <c r="F420" s="24"/>
      <c r="G420" s="23"/>
      <c r="H420" s="22">
        <f t="shared" si="924"/>
        <v>0</v>
      </c>
      <c r="I420" s="24"/>
      <c r="J420" s="23"/>
      <c r="K420" s="22">
        <f t="shared" si="925"/>
        <v>0</v>
      </c>
      <c r="L420" s="24"/>
      <c r="M420" s="23"/>
      <c r="N420" s="22">
        <f t="shared" si="926"/>
        <v>0</v>
      </c>
      <c r="O420" s="24">
        <f t="shared" si="927"/>
        <v>0</v>
      </c>
      <c r="P420" s="23">
        <f t="shared" si="927"/>
        <v>0</v>
      </c>
      <c r="Q420" s="22">
        <f t="shared" si="928"/>
        <v>0</v>
      </c>
      <c r="R420" s="24"/>
      <c r="S420" s="23"/>
      <c r="T420" s="22">
        <f t="shared" si="929"/>
        <v>0</v>
      </c>
      <c r="U420" s="24"/>
      <c r="V420" s="23"/>
      <c r="W420" s="22">
        <f t="shared" si="930"/>
        <v>0</v>
      </c>
      <c r="X420" s="24"/>
      <c r="Y420" s="23"/>
      <c r="Z420" s="22">
        <f t="shared" si="931"/>
        <v>0</v>
      </c>
      <c r="AA420" s="24">
        <f t="shared" si="932"/>
        <v>0</v>
      </c>
      <c r="AB420" s="23">
        <f t="shared" si="932"/>
        <v>0</v>
      </c>
      <c r="AC420" s="22">
        <f t="shared" si="933"/>
        <v>0</v>
      </c>
      <c r="AD420" s="24"/>
      <c r="AE420" s="23"/>
      <c r="AF420" s="22">
        <f t="shared" si="934"/>
        <v>0</v>
      </c>
      <c r="AG420" s="24"/>
      <c r="AH420" s="23"/>
      <c r="AI420" s="22">
        <f t="shared" si="935"/>
        <v>0</v>
      </c>
      <c r="AJ420" s="24"/>
      <c r="AK420" s="23"/>
      <c r="AL420" s="22">
        <f t="shared" si="936"/>
        <v>0</v>
      </c>
      <c r="AM420" s="24">
        <f t="shared" si="937"/>
        <v>0</v>
      </c>
      <c r="AN420" s="23">
        <f t="shared" si="937"/>
        <v>0</v>
      </c>
      <c r="AO420" s="22">
        <f t="shared" si="938"/>
        <v>0</v>
      </c>
      <c r="AP420" s="24"/>
      <c r="AQ420" s="23"/>
      <c r="AR420" s="22">
        <f t="shared" si="939"/>
        <v>0</v>
      </c>
      <c r="AS420" s="24"/>
      <c r="AT420" s="23"/>
      <c r="AU420" s="22">
        <f t="shared" si="940"/>
        <v>0</v>
      </c>
      <c r="AV420" s="24"/>
      <c r="AW420" s="23"/>
      <c r="AX420" s="22">
        <f t="shared" si="941"/>
        <v>0</v>
      </c>
      <c r="AY420" s="23">
        <f t="shared" si="942"/>
        <v>0</v>
      </c>
      <c r="AZ420" s="23">
        <f t="shared" si="942"/>
        <v>0</v>
      </c>
      <c r="BA420" s="22">
        <f t="shared" si="943"/>
        <v>0</v>
      </c>
      <c r="BB420" s="24">
        <f t="shared" si="944"/>
        <v>0</v>
      </c>
      <c r="BC420" s="23">
        <f t="shared" si="944"/>
        <v>0</v>
      </c>
      <c r="BD420" s="22">
        <f t="shared" si="945"/>
        <v>0</v>
      </c>
      <c r="BE420" s="24"/>
      <c r="BF420" s="24"/>
      <c r="BG420" s="20">
        <f t="shared" si="946"/>
        <v>0</v>
      </c>
    </row>
    <row r="421" spans="1:59" ht="13.5" hidden="1" customHeight="1" outlineLevel="1" thickBot="1" x14ac:dyDescent="0.3">
      <c r="A421" s="50"/>
      <c r="B421" s="49" t="s">
        <v>114</v>
      </c>
      <c r="C421" s="76" t="s">
        <v>110</v>
      </c>
      <c r="D421" s="4"/>
      <c r="E421" s="4"/>
      <c r="F421" s="7"/>
      <c r="G421" s="6"/>
      <c r="H421" s="5">
        <f t="shared" si="924"/>
        <v>0</v>
      </c>
      <c r="I421" s="7"/>
      <c r="J421" s="6"/>
      <c r="K421" s="5">
        <f t="shared" si="925"/>
        <v>0</v>
      </c>
      <c r="L421" s="7"/>
      <c r="M421" s="6"/>
      <c r="N421" s="5">
        <f t="shared" si="926"/>
        <v>0</v>
      </c>
      <c r="O421" s="7">
        <f t="shared" si="927"/>
        <v>0</v>
      </c>
      <c r="P421" s="6">
        <f t="shared" si="927"/>
        <v>0</v>
      </c>
      <c r="Q421" s="5">
        <f t="shared" si="928"/>
        <v>0</v>
      </c>
      <c r="R421" s="7"/>
      <c r="S421" s="6"/>
      <c r="T421" s="5">
        <f t="shared" si="929"/>
        <v>0</v>
      </c>
      <c r="U421" s="7"/>
      <c r="V421" s="6"/>
      <c r="W421" s="5">
        <f t="shared" si="930"/>
        <v>0</v>
      </c>
      <c r="X421" s="7"/>
      <c r="Y421" s="6"/>
      <c r="Z421" s="5">
        <f t="shared" si="931"/>
        <v>0</v>
      </c>
      <c r="AA421" s="7">
        <f t="shared" si="932"/>
        <v>0</v>
      </c>
      <c r="AB421" s="6">
        <f t="shared" si="932"/>
        <v>0</v>
      </c>
      <c r="AC421" s="5">
        <f t="shared" si="933"/>
        <v>0</v>
      </c>
      <c r="AD421" s="7"/>
      <c r="AE421" s="6"/>
      <c r="AF421" s="5">
        <f t="shared" si="934"/>
        <v>0</v>
      </c>
      <c r="AG421" s="7"/>
      <c r="AH421" s="6"/>
      <c r="AI421" s="5">
        <f t="shared" si="935"/>
        <v>0</v>
      </c>
      <c r="AJ421" s="7"/>
      <c r="AK421" s="6"/>
      <c r="AL421" s="5">
        <f t="shared" si="936"/>
        <v>0</v>
      </c>
      <c r="AM421" s="7">
        <f t="shared" si="937"/>
        <v>0</v>
      </c>
      <c r="AN421" s="6">
        <f t="shared" si="937"/>
        <v>0</v>
      </c>
      <c r="AO421" s="5">
        <f t="shared" si="938"/>
        <v>0</v>
      </c>
      <c r="AP421" s="7"/>
      <c r="AQ421" s="6"/>
      <c r="AR421" s="5">
        <f t="shared" si="939"/>
        <v>0</v>
      </c>
      <c r="AS421" s="7"/>
      <c r="AT421" s="6"/>
      <c r="AU421" s="5">
        <f t="shared" si="940"/>
        <v>0</v>
      </c>
      <c r="AV421" s="7"/>
      <c r="AW421" s="6"/>
      <c r="AX421" s="5">
        <f t="shared" si="941"/>
        <v>0</v>
      </c>
      <c r="AY421" s="6">
        <f t="shared" si="942"/>
        <v>0</v>
      </c>
      <c r="AZ421" s="6">
        <f t="shared" si="942"/>
        <v>0</v>
      </c>
      <c r="BA421" s="5">
        <f t="shared" si="943"/>
        <v>0</v>
      </c>
      <c r="BB421" s="7">
        <f t="shared" si="944"/>
        <v>0</v>
      </c>
      <c r="BC421" s="6">
        <f t="shared" si="944"/>
        <v>0</v>
      </c>
      <c r="BD421" s="5">
        <f t="shared" si="945"/>
        <v>0</v>
      </c>
      <c r="BE421" s="7"/>
      <c r="BF421" s="7"/>
      <c r="BG421" s="20">
        <f t="shared" si="946"/>
        <v>0</v>
      </c>
    </row>
    <row r="422" spans="1:59" ht="13.5" customHeight="1" collapsed="1" x14ac:dyDescent="0.25">
      <c r="A422" s="106" t="s">
        <v>115</v>
      </c>
      <c r="B422" s="105" t="s">
        <v>116</v>
      </c>
      <c r="C422" s="62" t="s">
        <v>110</v>
      </c>
      <c r="D422" s="192">
        <f>D423+D433+D452</f>
        <v>0</v>
      </c>
      <c r="E422" s="192">
        <f>E423+E433+E452</f>
        <v>0</v>
      </c>
      <c r="F422" s="195">
        <f>F423+F433+F452</f>
        <v>0</v>
      </c>
      <c r="G422" s="193">
        <f>G423+G433+G452</f>
        <v>0</v>
      </c>
      <c r="H422" s="194">
        <f t="shared" si="924"/>
        <v>0</v>
      </c>
      <c r="I422" s="195">
        <f>I423+I433+I452</f>
        <v>0</v>
      </c>
      <c r="J422" s="193">
        <f>J423+J433+J452</f>
        <v>0</v>
      </c>
      <c r="K422" s="194">
        <f t="shared" si="925"/>
        <v>0</v>
      </c>
      <c r="L422" s="195">
        <f>L423+L433+L452</f>
        <v>0</v>
      </c>
      <c r="M422" s="193">
        <f>M423+M433+M452</f>
        <v>0</v>
      </c>
      <c r="N422" s="194">
        <f t="shared" si="926"/>
        <v>0</v>
      </c>
      <c r="O422" s="195">
        <f>O423+O433+O452</f>
        <v>0</v>
      </c>
      <c r="P422" s="193">
        <f>P423+P433+P452</f>
        <v>0</v>
      </c>
      <c r="Q422" s="194">
        <f t="shared" si="928"/>
        <v>0</v>
      </c>
      <c r="R422" s="195">
        <f>R423+R433+R452</f>
        <v>0</v>
      </c>
      <c r="S422" s="193">
        <f>S423+S433+S452</f>
        <v>0</v>
      </c>
      <c r="T422" s="194">
        <f t="shared" si="929"/>
        <v>0</v>
      </c>
      <c r="U422" s="195">
        <f>U423+U433+U452</f>
        <v>0</v>
      </c>
      <c r="V422" s="193">
        <f>V423+V433+V452</f>
        <v>0</v>
      </c>
      <c r="W422" s="194">
        <f t="shared" si="930"/>
        <v>0</v>
      </c>
      <c r="X422" s="195">
        <f>X423+X433+X452</f>
        <v>0</v>
      </c>
      <c r="Y422" s="193">
        <f>Y423+Y433+Y452</f>
        <v>0</v>
      </c>
      <c r="Z422" s="194">
        <f t="shared" si="931"/>
        <v>0</v>
      </c>
      <c r="AA422" s="195">
        <f>AA423+AA433+AA452</f>
        <v>0</v>
      </c>
      <c r="AB422" s="193">
        <f>AB423+AB433+AB452</f>
        <v>0</v>
      </c>
      <c r="AC422" s="194">
        <f t="shared" si="933"/>
        <v>0</v>
      </c>
      <c r="AD422" s="195">
        <f>AD423+AD433+AD452</f>
        <v>0</v>
      </c>
      <c r="AE422" s="193">
        <f>AE423+AE433+AE452</f>
        <v>0</v>
      </c>
      <c r="AF422" s="194">
        <f t="shared" si="934"/>
        <v>0</v>
      </c>
      <c r="AG422" s="195">
        <f>AG423+AG433+AG452</f>
        <v>0</v>
      </c>
      <c r="AH422" s="193">
        <f>AH423+AH433+AH452</f>
        <v>0</v>
      </c>
      <c r="AI422" s="194">
        <f t="shared" si="935"/>
        <v>0</v>
      </c>
      <c r="AJ422" s="195">
        <f>AJ423+AJ433+AJ452</f>
        <v>0</v>
      </c>
      <c r="AK422" s="193">
        <f>AK423+AK433+AK452</f>
        <v>0</v>
      </c>
      <c r="AL422" s="194">
        <f t="shared" si="936"/>
        <v>0</v>
      </c>
      <c r="AM422" s="195">
        <f>AM423+AM433+AM452</f>
        <v>0</v>
      </c>
      <c r="AN422" s="193">
        <f>AN423+AN433+AN452</f>
        <v>0</v>
      </c>
      <c r="AO422" s="194">
        <f t="shared" si="938"/>
        <v>0</v>
      </c>
      <c r="AP422" s="195">
        <f>AP423+AP433+AP452</f>
        <v>0</v>
      </c>
      <c r="AQ422" s="193">
        <f>AQ423+AQ433+AQ452</f>
        <v>0</v>
      </c>
      <c r="AR422" s="194">
        <f t="shared" si="939"/>
        <v>0</v>
      </c>
      <c r="AS422" s="195">
        <f>AS423+AS433+AS452</f>
        <v>0</v>
      </c>
      <c r="AT422" s="193">
        <f>AT423+AT433+AT452</f>
        <v>0</v>
      </c>
      <c r="AU422" s="194">
        <f t="shared" si="940"/>
        <v>0</v>
      </c>
      <c r="AV422" s="195">
        <f>AV423+AV433+AV452</f>
        <v>0</v>
      </c>
      <c r="AW422" s="193">
        <f>AW423+AW433+AW452</f>
        <v>0</v>
      </c>
      <c r="AX422" s="194">
        <f t="shared" si="941"/>
        <v>0</v>
      </c>
      <c r="AY422" s="193">
        <f>AY423+AY433+AY452</f>
        <v>0</v>
      </c>
      <c r="AZ422" s="193">
        <f>AZ423+AZ433+AZ452</f>
        <v>0</v>
      </c>
      <c r="BA422" s="194">
        <f t="shared" si="943"/>
        <v>0</v>
      </c>
      <c r="BB422" s="195">
        <f>BB423+BB433+BB452</f>
        <v>0</v>
      </c>
      <c r="BC422" s="193">
        <f>BC423+BC433+BC452</f>
        <v>0</v>
      </c>
      <c r="BD422" s="194">
        <f t="shared" si="945"/>
        <v>0</v>
      </c>
      <c r="BE422" s="195">
        <f t="shared" ref="BE422:BF422" si="947">BE423+BE433+BE452</f>
        <v>0</v>
      </c>
      <c r="BF422" s="195">
        <f t="shared" si="947"/>
        <v>0</v>
      </c>
      <c r="BG422" s="192">
        <f t="shared" ref="BG422" si="948">BG423+BG433+BG452</f>
        <v>0</v>
      </c>
    </row>
    <row r="423" spans="1:59" s="210" customFormat="1" ht="13.5" customHeight="1" x14ac:dyDescent="0.25">
      <c r="A423" s="103"/>
      <c r="B423" s="102" t="s">
        <v>33</v>
      </c>
      <c r="C423" s="61" t="s">
        <v>110</v>
      </c>
      <c r="D423" s="188">
        <f>SUM(D424:D432)</f>
        <v>0</v>
      </c>
      <c r="E423" s="188">
        <f>SUM(E424:E432)</f>
        <v>0</v>
      </c>
      <c r="F423" s="191">
        <f>SUM(F424:F432)</f>
        <v>0</v>
      </c>
      <c r="G423" s="189">
        <f>SUM(G424:G432)</f>
        <v>0</v>
      </c>
      <c r="H423" s="190">
        <f t="shared" si="924"/>
        <v>0</v>
      </c>
      <c r="I423" s="191">
        <f>SUM(I424:I432)</f>
        <v>0</v>
      </c>
      <c r="J423" s="189">
        <f>SUM(J424:J432)</f>
        <v>0</v>
      </c>
      <c r="K423" s="190">
        <f t="shared" si="925"/>
        <v>0</v>
      </c>
      <c r="L423" s="191">
        <f>SUM(L424:L432)</f>
        <v>0</v>
      </c>
      <c r="M423" s="189">
        <f>SUM(M424:M432)</f>
        <v>0</v>
      </c>
      <c r="N423" s="190">
        <f t="shared" si="926"/>
        <v>0</v>
      </c>
      <c r="O423" s="191">
        <f>SUM(O424:O432)</f>
        <v>0</v>
      </c>
      <c r="P423" s="189">
        <f>SUM(P424:P432)</f>
        <v>0</v>
      </c>
      <c r="Q423" s="190">
        <f t="shared" si="928"/>
        <v>0</v>
      </c>
      <c r="R423" s="191">
        <f>SUM(R424:R432)</f>
        <v>0</v>
      </c>
      <c r="S423" s="189">
        <f>SUM(S424:S432)</f>
        <v>0</v>
      </c>
      <c r="T423" s="190">
        <f t="shared" si="929"/>
        <v>0</v>
      </c>
      <c r="U423" s="191">
        <f>SUM(U424:U432)</f>
        <v>0</v>
      </c>
      <c r="V423" s="189">
        <f>SUM(V424:V432)</f>
        <v>0</v>
      </c>
      <c r="W423" s="190">
        <f t="shared" si="930"/>
        <v>0</v>
      </c>
      <c r="X423" s="191">
        <f>SUM(X424:X432)</f>
        <v>0</v>
      </c>
      <c r="Y423" s="189">
        <f>SUM(Y424:Y432)</f>
        <v>0</v>
      </c>
      <c r="Z423" s="190">
        <f t="shared" si="931"/>
        <v>0</v>
      </c>
      <c r="AA423" s="191">
        <f>SUM(AA424:AA432)</f>
        <v>0</v>
      </c>
      <c r="AB423" s="189">
        <f>SUM(AB424:AB432)</f>
        <v>0</v>
      </c>
      <c r="AC423" s="190">
        <f t="shared" si="933"/>
        <v>0</v>
      </c>
      <c r="AD423" s="191">
        <f>SUM(AD424:AD432)</f>
        <v>0</v>
      </c>
      <c r="AE423" s="189">
        <f>SUM(AE424:AE432)</f>
        <v>0</v>
      </c>
      <c r="AF423" s="190">
        <f t="shared" si="934"/>
        <v>0</v>
      </c>
      <c r="AG423" s="191">
        <f>SUM(AG424:AG432)</f>
        <v>0</v>
      </c>
      <c r="AH423" s="189">
        <f>SUM(AH424:AH432)</f>
        <v>0</v>
      </c>
      <c r="AI423" s="190">
        <f t="shared" si="935"/>
        <v>0</v>
      </c>
      <c r="AJ423" s="191">
        <f>SUM(AJ424:AJ432)</f>
        <v>0</v>
      </c>
      <c r="AK423" s="189">
        <f>SUM(AK424:AK432)</f>
        <v>0</v>
      </c>
      <c r="AL423" s="190">
        <f t="shared" si="936"/>
        <v>0</v>
      </c>
      <c r="AM423" s="191">
        <f>SUM(AM424:AM432)</f>
        <v>0</v>
      </c>
      <c r="AN423" s="189">
        <f>SUM(AN424:AN432)</f>
        <v>0</v>
      </c>
      <c r="AO423" s="190">
        <f t="shared" si="938"/>
        <v>0</v>
      </c>
      <c r="AP423" s="191">
        <f>SUM(AP424:AP432)</f>
        <v>0</v>
      </c>
      <c r="AQ423" s="189">
        <f>SUM(AQ424:AQ432)</f>
        <v>0</v>
      </c>
      <c r="AR423" s="190">
        <f t="shared" si="939"/>
        <v>0</v>
      </c>
      <c r="AS423" s="191">
        <f>SUM(AS424:AS432)</f>
        <v>0</v>
      </c>
      <c r="AT423" s="189">
        <f>SUM(AT424:AT432)</f>
        <v>0</v>
      </c>
      <c r="AU423" s="190">
        <f t="shared" si="940"/>
        <v>0</v>
      </c>
      <c r="AV423" s="191">
        <f>SUM(AV424:AV432)</f>
        <v>0</v>
      </c>
      <c r="AW423" s="189">
        <f>SUM(AW424:AW432)</f>
        <v>0</v>
      </c>
      <c r="AX423" s="190">
        <f t="shared" si="941"/>
        <v>0</v>
      </c>
      <c r="AY423" s="189">
        <f>SUM(AY424:AY432)</f>
        <v>0</v>
      </c>
      <c r="AZ423" s="189">
        <f>SUM(AZ424:AZ432)</f>
        <v>0</v>
      </c>
      <c r="BA423" s="190">
        <f t="shared" si="943"/>
        <v>0</v>
      </c>
      <c r="BB423" s="191">
        <f>SUM(BB424:BB432)</f>
        <v>0</v>
      </c>
      <c r="BC423" s="189">
        <f>SUM(BC424:BC432)</f>
        <v>0</v>
      </c>
      <c r="BD423" s="190">
        <f t="shared" si="945"/>
        <v>0</v>
      </c>
      <c r="BE423" s="191">
        <f t="shared" ref="BE423:BF423" si="949">SUM(BE424:BE432)</f>
        <v>0</v>
      </c>
      <c r="BF423" s="191">
        <f t="shared" si="949"/>
        <v>0</v>
      </c>
      <c r="BG423" s="188">
        <f t="shared" ref="BG423" si="950">SUM(BG424:BG432)</f>
        <v>0</v>
      </c>
    </row>
    <row r="424" spans="1:59" ht="13.5" hidden="1" customHeight="1" outlineLevel="1" x14ac:dyDescent="0.25">
      <c r="A424" s="100"/>
      <c r="B424" s="84" t="s">
        <v>34</v>
      </c>
      <c r="C424" s="75" t="s">
        <v>110</v>
      </c>
      <c r="D424" s="20"/>
      <c r="E424" s="20"/>
      <c r="F424" s="24"/>
      <c r="G424" s="23"/>
      <c r="H424" s="22">
        <f t="shared" si="924"/>
        <v>0</v>
      </c>
      <c r="I424" s="24"/>
      <c r="J424" s="23"/>
      <c r="K424" s="22">
        <f t="shared" si="925"/>
        <v>0</v>
      </c>
      <c r="L424" s="24"/>
      <c r="M424" s="23"/>
      <c r="N424" s="22">
        <f t="shared" si="926"/>
        <v>0</v>
      </c>
      <c r="O424" s="24">
        <f t="shared" ref="O424:P432" si="951">SUM(F424,I424,L424)</f>
        <v>0</v>
      </c>
      <c r="P424" s="23">
        <f t="shared" si="951"/>
        <v>0</v>
      </c>
      <c r="Q424" s="22">
        <f t="shared" si="928"/>
        <v>0</v>
      </c>
      <c r="R424" s="24"/>
      <c r="S424" s="23"/>
      <c r="T424" s="22">
        <f t="shared" si="929"/>
        <v>0</v>
      </c>
      <c r="U424" s="24"/>
      <c r="V424" s="23"/>
      <c r="W424" s="22">
        <f t="shared" si="930"/>
        <v>0</v>
      </c>
      <c r="X424" s="24"/>
      <c r="Y424" s="23"/>
      <c r="Z424" s="22">
        <f t="shared" si="931"/>
        <v>0</v>
      </c>
      <c r="AA424" s="24">
        <f t="shared" ref="AA424:AB432" si="952">SUM(R424,U424,X424)</f>
        <v>0</v>
      </c>
      <c r="AB424" s="23">
        <f t="shared" si="952"/>
        <v>0</v>
      </c>
      <c r="AC424" s="22">
        <f t="shared" si="933"/>
        <v>0</v>
      </c>
      <c r="AD424" s="24"/>
      <c r="AE424" s="23"/>
      <c r="AF424" s="22">
        <f t="shared" si="934"/>
        <v>0</v>
      </c>
      <c r="AG424" s="24"/>
      <c r="AH424" s="23"/>
      <c r="AI424" s="22">
        <f t="shared" si="935"/>
        <v>0</v>
      </c>
      <c r="AJ424" s="24"/>
      <c r="AK424" s="23"/>
      <c r="AL424" s="22">
        <f t="shared" si="936"/>
        <v>0</v>
      </c>
      <c r="AM424" s="24">
        <f t="shared" ref="AM424:AN432" si="953">SUM(AD424,AG424,AJ424)</f>
        <v>0</v>
      </c>
      <c r="AN424" s="23">
        <f t="shared" si="953"/>
        <v>0</v>
      </c>
      <c r="AO424" s="22">
        <f t="shared" si="938"/>
        <v>0</v>
      </c>
      <c r="AP424" s="24"/>
      <c r="AQ424" s="23"/>
      <c r="AR424" s="22">
        <f t="shared" si="939"/>
        <v>0</v>
      </c>
      <c r="AS424" s="24"/>
      <c r="AT424" s="23"/>
      <c r="AU424" s="22">
        <f t="shared" si="940"/>
        <v>0</v>
      </c>
      <c r="AV424" s="24"/>
      <c r="AW424" s="23"/>
      <c r="AX424" s="22">
        <f t="shared" si="941"/>
        <v>0</v>
      </c>
      <c r="AY424" s="23">
        <f t="shared" ref="AY424:AZ432" si="954">SUM(AP424,AS424,AV424)</f>
        <v>0</v>
      </c>
      <c r="AZ424" s="23">
        <f t="shared" si="954"/>
        <v>0</v>
      </c>
      <c r="BA424" s="22">
        <f t="shared" si="943"/>
        <v>0</v>
      </c>
      <c r="BB424" s="24">
        <f t="shared" ref="BB424:BC432" si="955">SUM(F424,I424,L424,R424,U424,X424,AD424,AG424,AJ424,AP424,AS424,AV424)</f>
        <v>0</v>
      </c>
      <c r="BC424" s="23">
        <f t="shared" si="955"/>
        <v>0</v>
      </c>
      <c r="BD424" s="22">
        <f t="shared" si="945"/>
        <v>0</v>
      </c>
      <c r="BE424" s="24"/>
      <c r="BF424" s="24"/>
      <c r="BG424" s="20">
        <f>BB424+BE424+BF424</f>
        <v>0</v>
      </c>
    </row>
    <row r="425" spans="1:59" ht="13.5" hidden="1" customHeight="1" outlineLevel="1" x14ac:dyDescent="0.25">
      <c r="A425" s="100"/>
      <c r="B425" s="84" t="s">
        <v>35</v>
      </c>
      <c r="C425" s="75" t="s">
        <v>110</v>
      </c>
      <c r="D425" s="20"/>
      <c r="E425" s="20"/>
      <c r="F425" s="24"/>
      <c r="G425" s="23"/>
      <c r="H425" s="22">
        <f t="shared" si="924"/>
        <v>0</v>
      </c>
      <c r="I425" s="24"/>
      <c r="J425" s="23"/>
      <c r="K425" s="22">
        <f t="shared" si="925"/>
        <v>0</v>
      </c>
      <c r="L425" s="24"/>
      <c r="M425" s="23"/>
      <c r="N425" s="22">
        <f t="shared" si="926"/>
        <v>0</v>
      </c>
      <c r="O425" s="24">
        <f t="shared" si="951"/>
        <v>0</v>
      </c>
      <c r="P425" s="23">
        <f t="shared" si="951"/>
        <v>0</v>
      </c>
      <c r="Q425" s="22">
        <f t="shared" si="928"/>
        <v>0</v>
      </c>
      <c r="R425" s="24"/>
      <c r="S425" s="23"/>
      <c r="T425" s="22">
        <f t="shared" si="929"/>
        <v>0</v>
      </c>
      <c r="U425" s="24"/>
      <c r="V425" s="23"/>
      <c r="W425" s="22">
        <f t="shared" si="930"/>
        <v>0</v>
      </c>
      <c r="X425" s="24"/>
      <c r="Y425" s="23"/>
      <c r="Z425" s="22">
        <f t="shared" si="931"/>
        <v>0</v>
      </c>
      <c r="AA425" s="24">
        <f t="shared" si="952"/>
        <v>0</v>
      </c>
      <c r="AB425" s="23">
        <f t="shared" si="952"/>
        <v>0</v>
      </c>
      <c r="AC425" s="22">
        <f t="shared" si="933"/>
        <v>0</v>
      </c>
      <c r="AD425" s="24"/>
      <c r="AE425" s="23"/>
      <c r="AF425" s="22">
        <f t="shared" si="934"/>
        <v>0</v>
      </c>
      <c r="AG425" s="24"/>
      <c r="AH425" s="23"/>
      <c r="AI425" s="22">
        <f t="shared" si="935"/>
        <v>0</v>
      </c>
      <c r="AJ425" s="24"/>
      <c r="AK425" s="23"/>
      <c r="AL425" s="22">
        <f t="shared" si="936"/>
        <v>0</v>
      </c>
      <c r="AM425" s="24">
        <f t="shared" si="953"/>
        <v>0</v>
      </c>
      <c r="AN425" s="23">
        <f t="shared" si="953"/>
        <v>0</v>
      </c>
      <c r="AO425" s="22">
        <f t="shared" si="938"/>
        <v>0</v>
      </c>
      <c r="AP425" s="24"/>
      <c r="AQ425" s="23"/>
      <c r="AR425" s="22">
        <f t="shared" si="939"/>
        <v>0</v>
      </c>
      <c r="AS425" s="24"/>
      <c r="AT425" s="23"/>
      <c r="AU425" s="22">
        <f t="shared" si="940"/>
        <v>0</v>
      </c>
      <c r="AV425" s="24"/>
      <c r="AW425" s="23"/>
      <c r="AX425" s="22">
        <f t="shared" si="941"/>
        <v>0</v>
      </c>
      <c r="AY425" s="23">
        <f t="shared" si="954"/>
        <v>0</v>
      </c>
      <c r="AZ425" s="23">
        <f t="shared" si="954"/>
        <v>0</v>
      </c>
      <c r="BA425" s="22">
        <f t="shared" si="943"/>
        <v>0</v>
      </c>
      <c r="BB425" s="24">
        <f t="shared" si="955"/>
        <v>0</v>
      </c>
      <c r="BC425" s="23">
        <f t="shared" si="955"/>
        <v>0</v>
      </c>
      <c r="BD425" s="22">
        <f t="shared" si="945"/>
        <v>0</v>
      </c>
      <c r="BE425" s="24"/>
      <c r="BF425" s="24"/>
      <c r="BG425" s="20">
        <f t="shared" ref="BG425:BG432" si="956">BB425+BE425+BF425</f>
        <v>0</v>
      </c>
    </row>
    <row r="426" spans="1:59" ht="13.5" hidden="1" customHeight="1" outlineLevel="1" x14ac:dyDescent="0.25">
      <c r="A426" s="100"/>
      <c r="B426" s="84" t="s">
        <v>36</v>
      </c>
      <c r="C426" s="75" t="s">
        <v>110</v>
      </c>
      <c r="D426" s="20"/>
      <c r="E426" s="20"/>
      <c r="F426" s="24"/>
      <c r="G426" s="23"/>
      <c r="H426" s="22">
        <f t="shared" si="924"/>
        <v>0</v>
      </c>
      <c r="I426" s="24"/>
      <c r="J426" s="23"/>
      <c r="K426" s="22">
        <f t="shared" si="925"/>
        <v>0</v>
      </c>
      <c r="L426" s="24"/>
      <c r="M426" s="23"/>
      <c r="N426" s="22">
        <f t="shared" si="926"/>
        <v>0</v>
      </c>
      <c r="O426" s="24">
        <f t="shared" si="951"/>
        <v>0</v>
      </c>
      <c r="P426" s="23">
        <f t="shared" si="951"/>
        <v>0</v>
      </c>
      <c r="Q426" s="22">
        <f t="shared" si="928"/>
        <v>0</v>
      </c>
      <c r="R426" s="24"/>
      <c r="S426" s="23"/>
      <c r="T426" s="22">
        <f t="shared" si="929"/>
        <v>0</v>
      </c>
      <c r="U426" s="24"/>
      <c r="V426" s="23"/>
      <c r="W426" s="22">
        <f t="shared" si="930"/>
        <v>0</v>
      </c>
      <c r="X426" s="24"/>
      <c r="Y426" s="23"/>
      <c r="Z426" s="22">
        <f t="shared" si="931"/>
        <v>0</v>
      </c>
      <c r="AA426" s="24">
        <f t="shared" si="952"/>
        <v>0</v>
      </c>
      <c r="AB426" s="23">
        <f t="shared" si="952"/>
        <v>0</v>
      </c>
      <c r="AC426" s="22">
        <f t="shared" si="933"/>
        <v>0</v>
      </c>
      <c r="AD426" s="24"/>
      <c r="AE426" s="23"/>
      <c r="AF426" s="22">
        <f t="shared" si="934"/>
        <v>0</v>
      </c>
      <c r="AG426" s="24"/>
      <c r="AH426" s="23"/>
      <c r="AI426" s="22">
        <f t="shared" si="935"/>
        <v>0</v>
      </c>
      <c r="AJ426" s="24"/>
      <c r="AK426" s="23"/>
      <c r="AL426" s="22">
        <f t="shared" si="936"/>
        <v>0</v>
      </c>
      <c r="AM426" s="24">
        <f t="shared" si="953"/>
        <v>0</v>
      </c>
      <c r="AN426" s="23">
        <f t="shared" si="953"/>
        <v>0</v>
      </c>
      <c r="AO426" s="22">
        <f t="shared" si="938"/>
        <v>0</v>
      </c>
      <c r="AP426" s="24"/>
      <c r="AQ426" s="23"/>
      <c r="AR426" s="22">
        <f t="shared" si="939"/>
        <v>0</v>
      </c>
      <c r="AS426" s="24"/>
      <c r="AT426" s="23"/>
      <c r="AU426" s="22">
        <f t="shared" si="940"/>
        <v>0</v>
      </c>
      <c r="AV426" s="24"/>
      <c r="AW426" s="23"/>
      <c r="AX426" s="22">
        <f t="shared" si="941"/>
        <v>0</v>
      </c>
      <c r="AY426" s="23">
        <f t="shared" si="954"/>
        <v>0</v>
      </c>
      <c r="AZ426" s="23">
        <f t="shared" si="954"/>
        <v>0</v>
      </c>
      <c r="BA426" s="22">
        <f t="shared" si="943"/>
        <v>0</v>
      </c>
      <c r="BB426" s="24">
        <f t="shared" si="955"/>
        <v>0</v>
      </c>
      <c r="BC426" s="23">
        <f t="shared" si="955"/>
        <v>0</v>
      </c>
      <c r="BD426" s="22">
        <f t="shared" si="945"/>
        <v>0</v>
      </c>
      <c r="BE426" s="24"/>
      <c r="BF426" s="24"/>
      <c r="BG426" s="20">
        <f t="shared" si="956"/>
        <v>0</v>
      </c>
    </row>
    <row r="427" spans="1:59" ht="13.5" hidden="1" customHeight="1" outlineLevel="1" x14ac:dyDescent="0.25">
      <c r="A427" s="100"/>
      <c r="B427" s="84" t="s">
        <v>37</v>
      </c>
      <c r="C427" s="75" t="s">
        <v>110</v>
      </c>
      <c r="D427" s="20"/>
      <c r="E427" s="20"/>
      <c r="F427" s="24"/>
      <c r="G427" s="23"/>
      <c r="H427" s="22">
        <f t="shared" si="924"/>
        <v>0</v>
      </c>
      <c r="I427" s="24"/>
      <c r="J427" s="23"/>
      <c r="K427" s="22">
        <f t="shared" si="925"/>
        <v>0</v>
      </c>
      <c r="L427" s="24"/>
      <c r="M427" s="23"/>
      <c r="N427" s="22">
        <f t="shared" si="926"/>
        <v>0</v>
      </c>
      <c r="O427" s="24">
        <f t="shared" si="951"/>
        <v>0</v>
      </c>
      <c r="P427" s="23">
        <f t="shared" si="951"/>
        <v>0</v>
      </c>
      <c r="Q427" s="22">
        <f t="shared" si="928"/>
        <v>0</v>
      </c>
      <c r="R427" s="24"/>
      <c r="S427" s="23"/>
      <c r="T427" s="22">
        <f t="shared" si="929"/>
        <v>0</v>
      </c>
      <c r="U427" s="24"/>
      <c r="V427" s="23"/>
      <c r="W427" s="22">
        <f t="shared" si="930"/>
        <v>0</v>
      </c>
      <c r="X427" s="24"/>
      <c r="Y427" s="23"/>
      <c r="Z427" s="22">
        <f t="shared" si="931"/>
        <v>0</v>
      </c>
      <c r="AA427" s="24">
        <f t="shared" si="952"/>
        <v>0</v>
      </c>
      <c r="AB427" s="23">
        <f t="shared" si="952"/>
        <v>0</v>
      </c>
      <c r="AC427" s="22">
        <f t="shared" si="933"/>
        <v>0</v>
      </c>
      <c r="AD427" s="24"/>
      <c r="AE427" s="23"/>
      <c r="AF427" s="22">
        <f t="shared" si="934"/>
        <v>0</v>
      </c>
      <c r="AG427" s="24"/>
      <c r="AH427" s="23"/>
      <c r="AI427" s="22">
        <f t="shared" si="935"/>
        <v>0</v>
      </c>
      <c r="AJ427" s="24"/>
      <c r="AK427" s="23"/>
      <c r="AL427" s="22">
        <f t="shared" si="936"/>
        <v>0</v>
      </c>
      <c r="AM427" s="24">
        <f t="shared" si="953"/>
        <v>0</v>
      </c>
      <c r="AN427" s="23">
        <f t="shared" si="953"/>
        <v>0</v>
      </c>
      <c r="AO427" s="22">
        <f t="shared" si="938"/>
        <v>0</v>
      </c>
      <c r="AP427" s="24"/>
      <c r="AQ427" s="23"/>
      <c r="AR427" s="22">
        <f t="shared" si="939"/>
        <v>0</v>
      </c>
      <c r="AS427" s="24"/>
      <c r="AT427" s="23"/>
      <c r="AU427" s="22">
        <f t="shared" si="940"/>
        <v>0</v>
      </c>
      <c r="AV427" s="24"/>
      <c r="AW427" s="23"/>
      <c r="AX427" s="22">
        <f t="shared" si="941"/>
        <v>0</v>
      </c>
      <c r="AY427" s="23">
        <f t="shared" si="954"/>
        <v>0</v>
      </c>
      <c r="AZ427" s="23">
        <f t="shared" si="954"/>
        <v>0</v>
      </c>
      <c r="BA427" s="22">
        <f t="shared" si="943"/>
        <v>0</v>
      </c>
      <c r="BB427" s="24">
        <f t="shared" si="955"/>
        <v>0</v>
      </c>
      <c r="BC427" s="23">
        <f t="shared" si="955"/>
        <v>0</v>
      </c>
      <c r="BD427" s="22">
        <f t="shared" si="945"/>
        <v>0</v>
      </c>
      <c r="BE427" s="24"/>
      <c r="BF427" s="24"/>
      <c r="BG427" s="20">
        <f t="shared" si="956"/>
        <v>0</v>
      </c>
    </row>
    <row r="428" spans="1:59" ht="13.5" hidden="1" customHeight="1" outlineLevel="1" x14ac:dyDescent="0.25">
      <c r="A428" s="100"/>
      <c r="B428" s="84" t="s">
        <v>38</v>
      </c>
      <c r="C428" s="75" t="s">
        <v>110</v>
      </c>
      <c r="D428" s="20"/>
      <c r="E428" s="20"/>
      <c r="F428" s="24"/>
      <c r="G428" s="23"/>
      <c r="H428" s="22">
        <f t="shared" si="924"/>
        <v>0</v>
      </c>
      <c r="I428" s="24"/>
      <c r="J428" s="23"/>
      <c r="K428" s="22">
        <f t="shared" si="925"/>
        <v>0</v>
      </c>
      <c r="L428" s="24"/>
      <c r="M428" s="23"/>
      <c r="N428" s="22">
        <f t="shared" si="926"/>
        <v>0</v>
      </c>
      <c r="O428" s="24">
        <f t="shared" si="951"/>
        <v>0</v>
      </c>
      <c r="P428" s="23">
        <f t="shared" si="951"/>
        <v>0</v>
      </c>
      <c r="Q428" s="22">
        <f t="shared" si="928"/>
        <v>0</v>
      </c>
      <c r="R428" s="24"/>
      <c r="S428" s="23"/>
      <c r="T428" s="22">
        <f t="shared" si="929"/>
        <v>0</v>
      </c>
      <c r="U428" s="24"/>
      <c r="V428" s="23"/>
      <c r="W428" s="22">
        <f t="shared" si="930"/>
        <v>0</v>
      </c>
      <c r="X428" s="24"/>
      <c r="Y428" s="23"/>
      <c r="Z428" s="22">
        <f t="shared" si="931"/>
        <v>0</v>
      </c>
      <c r="AA428" s="24">
        <f t="shared" si="952"/>
        <v>0</v>
      </c>
      <c r="AB428" s="23">
        <f t="shared" si="952"/>
        <v>0</v>
      </c>
      <c r="AC428" s="22">
        <f t="shared" si="933"/>
        <v>0</v>
      </c>
      <c r="AD428" s="24"/>
      <c r="AE428" s="23"/>
      <c r="AF428" s="22">
        <f t="shared" si="934"/>
        <v>0</v>
      </c>
      <c r="AG428" s="24"/>
      <c r="AH428" s="23"/>
      <c r="AI428" s="22">
        <f t="shared" si="935"/>
        <v>0</v>
      </c>
      <c r="AJ428" s="24"/>
      <c r="AK428" s="23"/>
      <c r="AL428" s="22">
        <f t="shared" si="936"/>
        <v>0</v>
      </c>
      <c r="AM428" s="24">
        <f t="shared" si="953"/>
        <v>0</v>
      </c>
      <c r="AN428" s="23">
        <f t="shared" si="953"/>
        <v>0</v>
      </c>
      <c r="AO428" s="22">
        <f t="shared" si="938"/>
        <v>0</v>
      </c>
      <c r="AP428" s="24"/>
      <c r="AQ428" s="23"/>
      <c r="AR428" s="22">
        <f t="shared" si="939"/>
        <v>0</v>
      </c>
      <c r="AS428" s="24"/>
      <c r="AT428" s="23"/>
      <c r="AU428" s="22">
        <f t="shared" si="940"/>
        <v>0</v>
      </c>
      <c r="AV428" s="24"/>
      <c r="AW428" s="23"/>
      <c r="AX428" s="22">
        <f t="shared" si="941"/>
        <v>0</v>
      </c>
      <c r="AY428" s="23">
        <f t="shared" si="954"/>
        <v>0</v>
      </c>
      <c r="AZ428" s="23">
        <f t="shared" si="954"/>
        <v>0</v>
      </c>
      <c r="BA428" s="22">
        <f t="shared" si="943"/>
        <v>0</v>
      </c>
      <c r="BB428" s="24">
        <f t="shared" si="955"/>
        <v>0</v>
      </c>
      <c r="BC428" s="23">
        <f t="shared" si="955"/>
        <v>0</v>
      </c>
      <c r="BD428" s="22">
        <f t="shared" si="945"/>
        <v>0</v>
      </c>
      <c r="BE428" s="24"/>
      <c r="BF428" s="24"/>
      <c r="BG428" s="20">
        <f t="shared" si="956"/>
        <v>0</v>
      </c>
    </row>
    <row r="429" spans="1:59" ht="13.5" hidden="1" customHeight="1" outlineLevel="1" x14ac:dyDescent="0.25">
      <c r="A429" s="100"/>
      <c r="B429" s="84" t="s">
        <v>39</v>
      </c>
      <c r="C429" s="75" t="s">
        <v>110</v>
      </c>
      <c r="D429" s="20"/>
      <c r="E429" s="20"/>
      <c r="F429" s="24"/>
      <c r="G429" s="23"/>
      <c r="H429" s="22">
        <f t="shared" si="924"/>
        <v>0</v>
      </c>
      <c r="I429" s="24"/>
      <c r="J429" s="23"/>
      <c r="K429" s="22">
        <f t="shared" si="925"/>
        <v>0</v>
      </c>
      <c r="L429" s="24"/>
      <c r="M429" s="23"/>
      <c r="N429" s="22">
        <f t="shared" si="926"/>
        <v>0</v>
      </c>
      <c r="O429" s="24">
        <f t="shared" si="951"/>
        <v>0</v>
      </c>
      <c r="P429" s="23">
        <f t="shared" si="951"/>
        <v>0</v>
      </c>
      <c r="Q429" s="22">
        <f t="shared" si="928"/>
        <v>0</v>
      </c>
      <c r="R429" s="24"/>
      <c r="S429" s="23"/>
      <c r="T429" s="22">
        <f t="shared" si="929"/>
        <v>0</v>
      </c>
      <c r="U429" s="24"/>
      <c r="V429" s="23"/>
      <c r="W429" s="22">
        <f t="shared" si="930"/>
        <v>0</v>
      </c>
      <c r="X429" s="24"/>
      <c r="Y429" s="23"/>
      <c r="Z429" s="22">
        <f t="shared" si="931"/>
        <v>0</v>
      </c>
      <c r="AA429" s="24">
        <f t="shared" si="952"/>
        <v>0</v>
      </c>
      <c r="AB429" s="23">
        <f t="shared" si="952"/>
        <v>0</v>
      </c>
      <c r="AC429" s="22">
        <f t="shared" si="933"/>
        <v>0</v>
      </c>
      <c r="AD429" s="24"/>
      <c r="AE429" s="23"/>
      <c r="AF429" s="22">
        <f t="shared" si="934"/>
        <v>0</v>
      </c>
      <c r="AG429" s="24"/>
      <c r="AH429" s="23"/>
      <c r="AI429" s="22">
        <f t="shared" si="935"/>
        <v>0</v>
      </c>
      <c r="AJ429" s="24"/>
      <c r="AK429" s="23"/>
      <c r="AL429" s="22">
        <f t="shared" si="936"/>
        <v>0</v>
      </c>
      <c r="AM429" s="24">
        <f t="shared" si="953"/>
        <v>0</v>
      </c>
      <c r="AN429" s="23">
        <f t="shared" si="953"/>
        <v>0</v>
      </c>
      <c r="AO429" s="22">
        <f t="shared" si="938"/>
        <v>0</v>
      </c>
      <c r="AP429" s="24"/>
      <c r="AQ429" s="23"/>
      <c r="AR429" s="22">
        <f t="shared" si="939"/>
        <v>0</v>
      </c>
      <c r="AS429" s="24"/>
      <c r="AT429" s="23"/>
      <c r="AU429" s="22">
        <f t="shared" si="940"/>
        <v>0</v>
      </c>
      <c r="AV429" s="24"/>
      <c r="AW429" s="23"/>
      <c r="AX429" s="22">
        <f t="shared" si="941"/>
        <v>0</v>
      </c>
      <c r="AY429" s="23">
        <f t="shared" si="954"/>
        <v>0</v>
      </c>
      <c r="AZ429" s="23">
        <f t="shared" si="954"/>
        <v>0</v>
      </c>
      <c r="BA429" s="22">
        <f t="shared" si="943"/>
        <v>0</v>
      </c>
      <c r="BB429" s="24">
        <f t="shared" si="955"/>
        <v>0</v>
      </c>
      <c r="BC429" s="23">
        <f t="shared" si="955"/>
        <v>0</v>
      </c>
      <c r="BD429" s="22">
        <f t="shared" si="945"/>
        <v>0</v>
      </c>
      <c r="BE429" s="24"/>
      <c r="BF429" s="24"/>
      <c r="BG429" s="20">
        <f t="shared" si="956"/>
        <v>0</v>
      </c>
    </row>
    <row r="430" spans="1:59" ht="13.5" hidden="1" customHeight="1" outlineLevel="1" x14ac:dyDescent="0.25">
      <c r="A430" s="100"/>
      <c r="B430" s="84" t="s">
        <v>40</v>
      </c>
      <c r="C430" s="75" t="s">
        <v>110</v>
      </c>
      <c r="D430" s="20"/>
      <c r="E430" s="20"/>
      <c r="F430" s="24"/>
      <c r="G430" s="23"/>
      <c r="H430" s="22">
        <f t="shared" si="924"/>
        <v>0</v>
      </c>
      <c r="I430" s="24"/>
      <c r="J430" s="23"/>
      <c r="K430" s="22">
        <f t="shared" si="925"/>
        <v>0</v>
      </c>
      <c r="L430" s="24"/>
      <c r="M430" s="23"/>
      <c r="N430" s="22">
        <f t="shared" si="926"/>
        <v>0</v>
      </c>
      <c r="O430" s="24">
        <f t="shared" si="951"/>
        <v>0</v>
      </c>
      <c r="P430" s="23">
        <f t="shared" si="951"/>
        <v>0</v>
      </c>
      <c r="Q430" s="22">
        <f t="shared" si="928"/>
        <v>0</v>
      </c>
      <c r="R430" s="24"/>
      <c r="S430" s="23"/>
      <c r="T430" s="22">
        <f t="shared" si="929"/>
        <v>0</v>
      </c>
      <c r="U430" s="24"/>
      <c r="V430" s="23"/>
      <c r="W430" s="22">
        <f t="shared" si="930"/>
        <v>0</v>
      </c>
      <c r="X430" s="24"/>
      <c r="Y430" s="23"/>
      <c r="Z430" s="22">
        <f t="shared" si="931"/>
        <v>0</v>
      </c>
      <c r="AA430" s="24">
        <f t="shared" si="952"/>
        <v>0</v>
      </c>
      <c r="AB430" s="23">
        <f t="shared" si="952"/>
        <v>0</v>
      </c>
      <c r="AC430" s="22">
        <f t="shared" si="933"/>
        <v>0</v>
      </c>
      <c r="AD430" s="24"/>
      <c r="AE430" s="23"/>
      <c r="AF430" s="22">
        <f t="shared" si="934"/>
        <v>0</v>
      </c>
      <c r="AG430" s="24"/>
      <c r="AH430" s="23"/>
      <c r="AI430" s="22">
        <f t="shared" si="935"/>
        <v>0</v>
      </c>
      <c r="AJ430" s="24"/>
      <c r="AK430" s="23"/>
      <c r="AL430" s="22">
        <f t="shared" si="936"/>
        <v>0</v>
      </c>
      <c r="AM430" s="24">
        <f t="shared" si="953"/>
        <v>0</v>
      </c>
      <c r="AN430" s="23">
        <f t="shared" si="953"/>
        <v>0</v>
      </c>
      <c r="AO430" s="22">
        <f t="shared" si="938"/>
        <v>0</v>
      </c>
      <c r="AP430" s="24"/>
      <c r="AQ430" s="23"/>
      <c r="AR430" s="22">
        <f t="shared" si="939"/>
        <v>0</v>
      </c>
      <c r="AS430" s="24"/>
      <c r="AT430" s="23"/>
      <c r="AU430" s="22">
        <f t="shared" si="940"/>
        <v>0</v>
      </c>
      <c r="AV430" s="24"/>
      <c r="AW430" s="23"/>
      <c r="AX430" s="22">
        <f t="shared" si="941"/>
        <v>0</v>
      </c>
      <c r="AY430" s="23">
        <f t="shared" si="954"/>
        <v>0</v>
      </c>
      <c r="AZ430" s="23">
        <f t="shared" si="954"/>
        <v>0</v>
      </c>
      <c r="BA430" s="22">
        <f t="shared" si="943"/>
        <v>0</v>
      </c>
      <c r="BB430" s="24">
        <f t="shared" si="955"/>
        <v>0</v>
      </c>
      <c r="BC430" s="23">
        <f t="shared" si="955"/>
        <v>0</v>
      </c>
      <c r="BD430" s="22">
        <f t="shared" si="945"/>
        <v>0</v>
      </c>
      <c r="BE430" s="24"/>
      <c r="BF430" s="24"/>
      <c r="BG430" s="20">
        <f t="shared" si="956"/>
        <v>0</v>
      </c>
    </row>
    <row r="431" spans="1:59" ht="13.5" hidden="1" customHeight="1" outlineLevel="1" x14ac:dyDescent="0.25">
      <c r="A431" s="100"/>
      <c r="B431" s="84" t="s">
        <v>41</v>
      </c>
      <c r="C431" s="75" t="s">
        <v>110</v>
      </c>
      <c r="D431" s="20"/>
      <c r="E431" s="20"/>
      <c r="F431" s="24"/>
      <c r="G431" s="23"/>
      <c r="H431" s="22">
        <f t="shared" ref="H431:H446" si="957">G431-F431</f>
        <v>0</v>
      </c>
      <c r="I431" s="24"/>
      <c r="J431" s="23"/>
      <c r="K431" s="22">
        <f t="shared" ref="K431:K446" si="958">J431-I431</f>
        <v>0</v>
      </c>
      <c r="L431" s="24"/>
      <c r="M431" s="23"/>
      <c r="N431" s="22">
        <f t="shared" ref="N431:N446" si="959">M431-L431</f>
        <v>0</v>
      </c>
      <c r="O431" s="24">
        <f t="shared" si="951"/>
        <v>0</v>
      </c>
      <c r="P431" s="23">
        <f t="shared" si="951"/>
        <v>0</v>
      </c>
      <c r="Q431" s="22">
        <f t="shared" ref="Q431:Q446" si="960">P431-O431</f>
        <v>0</v>
      </c>
      <c r="R431" s="24"/>
      <c r="S431" s="23"/>
      <c r="T431" s="22">
        <f t="shared" ref="T431:T446" si="961">S431-R431</f>
        <v>0</v>
      </c>
      <c r="U431" s="24"/>
      <c r="V431" s="23"/>
      <c r="W431" s="22">
        <f t="shared" ref="W431:W446" si="962">V431-U431</f>
        <v>0</v>
      </c>
      <c r="X431" s="24"/>
      <c r="Y431" s="23"/>
      <c r="Z431" s="22">
        <f t="shared" ref="Z431:Z446" si="963">Y431-X431</f>
        <v>0</v>
      </c>
      <c r="AA431" s="24">
        <f t="shared" si="952"/>
        <v>0</v>
      </c>
      <c r="AB431" s="23">
        <f t="shared" si="952"/>
        <v>0</v>
      </c>
      <c r="AC431" s="22">
        <f t="shared" ref="AC431:AC446" si="964">AB431-AA431</f>
        <v>0</v>
      </c>
      <c r="AD431" s="24"/>
      <c r="AE431" s="23"/>
      <c r="AF431" s="22">
        <f t="shared" ref="AF431:AF446" si="965">AE431-AD431</f>
        <v>0</v>
      </c>
      <c r="AG431" s="24"/>
      <c r="AH431" s="23"/>
      <c r="AI431" s="22">
        <f t="shared" ref="AI431:AI446" si="966">AH431-AG431</f>
        <v>0</v>
      </c>
      <c r="AJ431" s="24"/>
      <c r="AK431" s="23"/>
      <c r="AL431" s="22">
        <f t="shared" ref="AL431:AL446" si="967">AK431-AJ431</f>
        <v>0</v>
      </c>
      <c r="AM431" s="24">
        <f t="shared" si="953"/>
        <v>0</v>
      </c>
      <c r="AN431" s="23">
        <f t="shared" si="953"/>
        <v>0</v>
      </c>
      <c r="AO431" s="22">
        <f t="shared" ref="AO431:AO446" si="968">AN431-AM431</f>
        <v>0</v>
      </c>
      <c r="AP431" s="24"/>
      <c r="AQ431" s="23"/>
      <c r="AR431" s="22">
        <f t="shared" ref="AR431:AR446" si="969">AQ431-AP431</f>
        <v>0</v>
      </c>
      <c r="AS431" s="24"/>
      <c r="AT431" s="23"/>
      <c r="AU431" s="22">
        <f t="shared" ref="AU431:AU446" si="970">AT431-AS431</f>
        <v>0</v>
      </c>
      <c r="AV431" s="24"/>
      <c r="AW431" s="23"/>
      <c r="AX431" s="22">
        <f t="shared" ref="AX431:AX446" si="971">AW431-AV431</f>
        <v>0</v>
      </c>
      <c r="AY431" s="23">
        <f t="shared" si="954"/>
        <v>0</v>
      </c>
      <c r="AZ431" s="23">
        <f t="shared" si="954"/>
        <v>0</v>
      </c>
      <c r="BA431" s="22">
        <f t="shared" ref="BA431:BA446" si="972">AZ431-AY431</f>
        <v>0</v>
      </c>
      <c r="BB431" s="24">
        <f t="shared" si="955"/>
        <v>0</v>
      </c>
      <c r="BC431" s="23">
        <f t="shared" si="955"/>
        <v>0</v>
      </c>
      <c r="BD431" s="22">
        <f t="shared" ref="BD431:BD446" si="973">BC431-BB431</f>
        <v>0</v>
      </c>
      <c r="BE431" s="24"/>
      <c r="BF431" s="24"/>
      <c r="BG431" s="20">
        <f t="shared" si="956"/>
        <v>0</v>
      </c>
    </row>
    <row r="432" spans="1:59" ht="13.5" hidden="1" customHeight="1" outlineLevel="1" x14ac:dyDescent="0.25">
      <c r="A432" s="28"/>
      <c r="B432" s="84" t="s">
        <v>42</v>
      </c>
      <c r="C432" s="75" t="s">
        <v>110</v>
      </c>
      <c r="D432" s="20"/>
      <c r="E432" s="20"/>
      <c r="F432" s="24"/>
      <c r="G432" s="23"/>
      <c r="H432" s="22">
        <f t="shared" si="957"/>
        <v>0</v>
      </c>
      <c r="I432" s="24"/>
      <c r="J432" s="23"/>
      <c r="K432" s="22">
        <f t="shared" si="958"/>
        <v>0</v>
      </c>
      <c r="L432" s="24"/>
      <c r="M432" s="23"/>
      <c r="N432" s="22">
        <f t="shared" si="959"/>
        <v>0</v>
      </c>
      <c r="O432" s="24">
        <f t="shared" si="951"/>
        <v>0</v>
      </c>
      <c r="P432" s="23">
        <f t="shared" si="951"/>
        <v>0</v>
      </c>
      <c r="Q432" s="22">
        <f t="shared" si="960"/>
        <v>0</v>
      </c>
      <c r="R432" s="24"/>
      <c r="S432" s="23"/>
      <c r="T432" s="22">
        <f t="shared" si="961"/>
        <v>0</v>
      </c>
      <c r="U432" s="24"/>
      <c r="V432" s="23"/>
      <c r="W432" s="22">
        <f t="shared" si="962"/>
        <v>0</v>
      </c>
      <c r="X432" s="24"/>
      <c r="Y432" s="23"/>
      <c r="Z432" s="22">
        <f t="shared" si="963"/>
        <v>0</v>
      </c>
      <c r="AA432" s="24">
        <f t="shared" si="952"/>
        <v>0</v>
      </c>
      <c r="AB432" s="23">
        <f t="shared" si="952"/>
        <v>0</v>
      </c>
      <c r="AC432" s="22">
        <f t="shared" si="964"/>
        <v>0</v>
      </c>
      <c r="AD432" s="24"/>
      <c r="AE432" s="23"/>
      <c r="AF432" s="22">
        <f t="shared" si="965"/>
        <v>0</v>
      </c>
      <c r="AG432" s="24"/>
      <c r="AH432" s="23"/>
      <c r="AI432" s="22">
        <f t="shared" si="966"/>
        <v>0</v>
      </c>
      <c r="AJ432" s="24"/>
      <c r="AK432" s="23"/>
      <c r="AL432" s="22">
        <f t="shared" si="967"/>
        <v>0</v>
      </c>
      <c r="AM432" s="24">
        <f t="shared" si="953"/>
        <v>0</v>
      </c>
      <c r="AN432" s="23">
        <f t="shared" si="953"/>
        <v>0</v>
      </c>
      <c r="AO432" s="22">
        <f t="shared" si="968"/>
        <v>0</v>
      </c>
      <c r="AP432" s="24"/>
      <c r="AQ432" s="23"/>
      <c r="AR432" s="22">
        <f t="shared" si="969"/>
        <v>0</v>
      </c>
      <c r="AS432" s="24"/>
      <c r="AT432" s="23"/>
      <c r="AU432" s="22">
        <f t="shared" si="970"/>
        <v>0</v>
      </c>
      <c r="AV432" s="24"/>
      <c r="AW432" s="23"/>
      <c r="AX432" s="22">
        <f t="shared" si="971"/>
        <v>0</v>
      </c>
      <c r="AY432" s="23">
        <f t="shared" si="954"/>
        <v>0</v>
      </c>
      <c r="AZ432" s="23">
        <f t="shared" si="954"/>
        <v>0</v>
      </c>
      <c r="BA432" s="22">
        <f t="shared" si="972"/>
        <v>0</v>
      </c>
      <c r="BB432" s="24">
        <f t="shared" si="955"/>
        <v>0</v>
      </c>
      <c r="BC432" s="23">
        <f t="shared" si="955"/>
        <v>0</v>
      </c>
      <c r="BD432" s="22">
        <f t="shared" si="973"/>
        <v>0</v>
      </c>
      <c r="BE432" s="24"/>
      <c r="BF432" s="24"/>
      <c r="BG432" s="20">
        <f t="shared" si="956"/>
        <v>0</v>
      </c>
    </row>
    <row r="433" spans="1:59" s="210" customFormat="1" ht="13.5" customHeight="1" collapsed="1" x14ac:dyDescent="0.25">
      <c r="A433" s="103"/>
      <c r="B433" s="102" t="s">
        <v>43</v>
      </c>
      <c r="C433" s="61" t="s">
        <v>110</v>
      </c>
      <c r="D433" s="188">
        <f>SUM(D434:D451)</f>
        <v>0</v>
      </c>
      <c r="E433" s="188">
        <f>SUM(E434:E451)</f>
        <v>0</v>
      </c>
      <c r="F433" s="191">
        <f>SUM(F434:F451)</f>
        <v>0</v>
      </c>
      <c r="G433" s="189">
        <f>SUM(G434:G451)</f>
        <v>0</v>
      </c>
      <c r="H433" s="190">
        <f t="shared" si="957"/>
        <v>0</v>
      </c>
      <c r="I433" s="191">
        <f>SUM(I434:I451)</f>
        <v>0</v>
      </c>
      <c r="J433" s="189">
        <f>SUM(J434:J451)</f>
        <v>0</v>
      </c>
      <c r="K433" s="190">
        <f t="shared" si="958"/>
        <v>0</v>
      </c>
      <c r="L433" s="191">
        <f>SUM(L434:L451)</f>
        <v>0</v>
      </c>
      <c r="M433" s="189">
        <f>SUM(M434:M451)</f>
        <v>0</v>
      </c>
      <c r="N433" s="190">
        <f t="shared" si="959"/>
        <v>0</v>
      </c>
      <c r="O433" s="191">
        <f>SUM(O434:O451)</f>
        <v>0</v>
      </c>
      <c r="P433" s="189">
        <f>SUM(P434:P451)</f>
        <v>0</v>
      </c>
      <c r="Q433" s="190">
        <f t="shared" si="960"/>
        <v>0</v>
      </c>
      <c r="R433" s="191">
        <f>SUM(R434:R451)</f>
        <v>0</v>
      </c>
      <c r="S433" s="189">
        <f>SUM(S434:S451)</f>
        <v>0</v>
      </c>
      <c r="T433" s="190">
        <f t="shared" si="961"/>
        <v>0</v>
      </c>
      <c r="U433" s="191">
        <f>SUM(U434:U451)</f>
        <v>0</v>
      </c>
      <c r="V433" s="189">
        <f>SUM(V434:V451)</f>
        <v>0</v>
      </c>
      <c r="W433" s="190">
        <f t="shared" si="962"/>
        <v>0</v>
      </c>
      <c r="X433" s="191">
        <f>SUM(X434:X451)</f>
        <v>0</v>
      </c>
      <c r="Y433" s="189">
        <f>SUM(Y434:Y451)</f>
        <v>0</v>
      </c>
      <c r="Z433" s="190">
        <f t="shared" si="963"/>
        <v>0</v>
      </c>
      <c r="AA433" s="191">
        <f>SUM(AA434:AA451)</f>
        <v>0</v>
      </c>
      <c r="AB433" s="189">
        <f>SUM(AB434:AB451)</f>
        <v>0</v>
      </c>
      <c r="AC433" s="190">
        <f t="shared" si="964"/>
        <v>0</v>
      </c>
      <c r="AD433" s="191">
        <f>SUM(AD434:AD451)</f>
        <v>0</v>
      </c>
      <c r="AE433" s="189">
        <f>SUM(AE434:AE451)</f>
        <v>0</v>
      </c>
      <c r="AF433" s="190">
        <f t="shared" si="965"/>
        <v>0</v>
      </c>
      <c r="AG433" s="191">
        <f>SUM(AG434:AG451)</f>
        <v>0</v>
      </c>
      <c r="AH433" s="189">
        <f>SUM(AH434:AH451)</f>
        <v>0</v>
      </c>
      <c r="AI433" s="190">
        <f t="shared" si="966"/>
        <v>0</v>
      </c>
      <c r="AJ433" s="191">
        <f>SUM(AJ434:AJ451)</f>
        <v>0</v>
      </c>
      <c r="AK433" s="189">
        <f>SUM(AK434:AK451)</f>
        <v>0</v>
      </c>
      <c r="AL433" s="190">
        <f t="shared" si="967"/>
        <v>0</v>
      </c>
      <c r="AM433" s="191">
        <f>SUM(AM434:AM451)</f>
        <v>0</v>
      </c>
      <c r="AN433" s="189">
        <f>SUM(AN434:AN451)</f>
        <v>0</v>
      </c>
      <c r="AO433" s="190">
        <f t="shared" si="968"/>
        <v>0</v>
      </c>
      <c r="AP433" s="191">
        <f>SUM(AP434:AP451)</f>
        <v>0</v>
      </c>
      <c r="AQ433" s="189">
        <f>SUM(AQ434:AQ451)</f>
        <v>0</v>
      </c>
      <c r="AR433" s="190">
        <f t="shared" si="969"/>
        <v>0</v>
      </c>
      <c r="AS433" s="191">
        <f>SUM(AS434:AS451)</f>
        <v>0</v>
      </c>
      <c r="AT433" s="189">
        <f>SUM(AT434:AT451)</f>
        <v>0</v>
      </c>
      <c r="AU433" s="190">
        <f t="shared" si="970"/>
        <v>0</v>
      </c>
      <c r="AV433" s="191">
        <f>SUM(AV434:AV451)</f>
        <v>0</v>
      </c>
      <c r="AW433" s="189">
        <f>SUM(AW434:AW451)</f>
        <v>0</v>
      </c>
      <c r="AX433" s="190">
        <f t="shared" si="971"/>
        <v>0</v>
      </c>
      <c r="AY433" s="189">
        <f>SUM(AY434:AY451)</f>
        <v>0</v>
      </c>
      <c r="AZ433" s="189">
        <f>SUM(AZ434:AZ451)</f>
        <v>0</v>
      </c>
      <c r="BA433" s="190">
        <f t="shared" si="972"/>
        <v>0</v>
      </c>
      <c r="BB433" s="191">
        <f>SUM(BB434:BB451)</f>
        <v>0</v>
      </c>
      <c r="BC433" s="189">
        <f>SUM(BC434:BC451)</f>
        <v>0</v>
      </c>
      <c r="BD433" s="190">
        <f t="shared" si="973"/>
        <v>0</v>
      </c>
      <c r="BE433" s="191">
        <f t="shared" ref="BE433:BF433" si="974">SUM(BE434:BE451)</f>
        <v>0</v>
      </c>
      <c r="BF433" s="191">
        <f t="shared" si="974"/>
        <v>0</v>
      </c>
      <c r="BG433" s="188">
        <f t="shared" ref="BG433" si="975">SUM(BG434:BG451)</f>
        <v>0</v>
      </c>
    </row>
    <row r="434" spans="1:59" ht="13.5" hidden="1" customHeight="1" outlineLevel="1" x14ac:dyDescent="0.25">
      <c r="A434" s="28"/>
      <c r="B434" s="84" t="s">
        <v>44</v>
      </c>
      <c r="C434" s="75" t="s">
        <v>110</v>
      </c>
      <c r="D434" s="20"/>
      <c r="E434" s="20"/>
      <c r="F434" s="24"/>
      <c r="G434" s="23"/>
      <c r="H434" s="22">
        <f t="shared" si="957"/>
        <v>0</v>
      </c>
      <c r="I434" s="24"/>
      <c r="J434" s="23"/>
      <c r="K434" s="22">
        <f t="shared" si="958"/>
        <v>0</v>
      </c>
      <c r="L434" s="24"/>
      <c r="M434" s="23"/>
      <c r="N434" s="22">
        <f t="shared" si="959"/>
        <v>0</v>
      </c>
      <c r="O434" s="24">
        <f t="shared" ref="O434:P449" si="976">SUM(F434,I434,L434)</f>
        <v>0</v>
      </c>
      <c r="P434" s="23">
        <f t="shared" si="976"/>
        <v>0</v>
      </c>
      <c r="Q434" s="22">
        <f t="shared" si="960"/>
        <v>0</v>
      </c>
      <c r="R434" s="24"/>
      <c r="S434" s="23"/>
      <c r="T434" s="22">
        <f t="shared" si="961"/>
        <v>0</v>
      </c>
      <c r="U434" s="24"/>
      <c r="V434" s="23"/>
      <c r="W434" s="22">
        <f t="shared" si="962"/>
        <v>0</v>
      </c>
      <c r="X434" s="24"/>
      <c r="Y434" s="23"/>
      <c r="Z434" s="22">
        <f t="shared" si="963"/>
        <v>0</v>
      </c>
      <c r="AA434" s="24">
        <f t="shared" ref="AA434:AB449" si="977">SUM(R434,U434,X434)</f>
        <v>0</v>
      </c>
      <c r="AB434" s="23">
        <f t="shared" si="977"/>
        <v>0</v>
      </c>
      <c r="AC434" s="22">
        <f t="shared" si="964"/>
        <v>0</v>
      </c>
      <c r="AD434" s="24"/>
      <c r="AE434" s="23"/>
      <c r="AF434" s="22">
        <f t="shared" si="965"/>
        <v>0</v>
      </c>
      <c r="AG434" s="24"/>
      <c r="AH434" s="23"/>
      <c r="AI434" s="22">
        <f t="shared" si="966"/>
        <v>0</v>
      </c>
      <c r="AJ434" s="24"/>
      <c r="AK434" s="23"/>
      <c r="AL434" s="22">
        <f t="shared" si="967"/>
        <v>0</v>
      </c>
      <c r="AM434" s="24">
        <f t="shared" ref="AM434:AN449" si="978">SUM(AD434,AG434,AJ434)</f>
        <v>0</v>
      </c>
      <c r="AN434" s="23">
        <f t="shared" si="978"/>
        <v>0</v>
      </c>
      <c r="AO434" s="22">
        <f t="shared" si="968"/>
        <v>0</v>
      </c>
      <c r="AP434" s="24"/>
      <c r="AQ434" s="23"/>
      <c r="AR434" s="22">
        <f t="shared" si="969"/>
        <v>0</v>
      </c>
      <c r="AS434" s="24"/>
      <c r="AT434" s="23"/>
      <c r="AU434" s="22">
        <f t="shared" si="970"/>
        <v>0</v>
      </c>
      <c r="AV434" s="24"/>
      <c r="AW434" s="23"/>
      <c r="AX434" s="22">
        <f t="shared" si="971"/>
        <v>0</v>
      </c>
      <c r="AY434" s="23">
        <f t="shared" ref="AY434:AZ449" si="979">SUM(AP434,AS434,AV434)</f>
        <v>0</v>
      </c>
      <c r="AZ434" s="23">
        <f t="shared" si="979"/>
        <v>0</v>
      </c>
      <c r="BA434" s="22">
        <f t="shared" si="972"/>
        <v>0</v>
      </c>
      <c r="BB434" s="24">
        <f t="shared" ref="BB434:BC449" si="980">SUM(F434,I434,L434,R434,U434,X434,AD434,AG434,AJ434,AP434,AS434,AV434)</f>
        <v>0</v>
      </c>
      <c r="BC434" s="23">
        <f t="shared" si="980"/>
        <v>0</v>
      </c>
      <c r="BD434" s="22">
        <f t="shared" si="973"/>
        <v>0</v>
      </c>
      <c r="BE434" s="24"/>
      <c r="BF434" s="24"/>
      <c r="BG434" s="20">
        <f>BB434+BE434+BF434</f>
        <v>0</v>
      </c>
    </row>
    <row r="435" spans="1:59" ht="13.5" hidden="1" customHeight="1" outlineLevel="1" x14ac:dyDescent="0.25">
      <c r="A435" s="28"/>
      <c r="B435" s="84" t="s">
        <v>45</v>
      </c>
      <c r="C435" s="75" t="s">
        <v>110</v>
      </c>
      <c r="D435" s="20"/>
      <c r="E435" s="20"/>
      <c r="F435" s="24"/>
      <c r="G435" s="23"/>
      <c r="H435" s="22">
        <f t="shared" si="957"/>
        <v>0</v>
      </c>
      <c r="I435" s="24"/>
      <c r="J435" s="23"/>
      <c r="K435" s="22">
        <f t="shared" si="958"/>
        <v>0</v>
      </c>
      <c r="L435" s="24"/>
      <c r="M435" s="23"/>
      <c r="N435" s="22">
        <f t="shared" si="959"/>
        <v>0</v>
      </c>
      <c r="O435" s="24">
        <f t="shared" si="976"/>
        <v>0</v>
      </c>
      <c r="P435" s="23">
        <f t="shared" si="976"/>
        <v>0</v>
      </c>
      <c r="Q435" s="22">
        <f t="shared" si="960"/>
        <v>0</v>
      </c>
      <c r="R435" s="24"/>
      <c r="S435" s="23"/>
      <c r="T435" s="22">
        <f t="shared" si="961"/>
        <v>0</v>
      </c>
      <c r="U435" s="24"/>
      <c r="V435" s="23"/>
      <c r="W435" s="22">
        <f t="shared" si="962"/>
        <v>0</v>
      </c>
      <c r="X435" s="24"/>
      <c r="Y435" s="23"/>
      <c r="Z435" s="22">
        <f t="shared" si="963"/>
        <v>0</v>
      </c>
      <c r="AA435" s="24">
        <f t="shared" si="977"/>
        <v>0</v>
      </c>
      <c r="AB435" s="23">
        <f t="shared" si="977"/>
        <v>0</v>
      </c>
      <c r="AC435" s="22">
        <f t="shared" si="964"/>
        <v>0</v>
      </c>
      <c r="AD435" s="24"/>
      <c r="AE435" s="23"/>
      <c r="AF435" s="22">
        <f t="shared" si="965"/>
        <v>0</v>
      </c>
      <c r="AG435" s="24"/>
      <c r="AH435" s="23"/>
      <c r="AI435" s="22">
        <f t="shared" si="966"/>
        <v>0</v>
      </c>
      <c r="AJ435" s="24"/>
      <c r="AK435" s="23"/>
      <c r="AL435" s="22">
        <f t="shared" si="967"/>
        <v>0</v>
      </c>
      <c r="AM435" s="24">
        <f t="shared" si="978"/>
        <v>0</v>
      </c>
      <c r="AN435" s="23">
        <f t="shared" si="978"/>
        <v>0</v>
      </c>
      <c r="AO435" s="22">
        <f t="shared" si="968"/>
        <v>0</v>
      </c>
      <c r="AP435" s="24"/>
      <c r="AQ435" s="23"/>
      <c r="AR435" s="22">
        <f t="shared" si="969"/>
        <v>0</v>
      </c>
      <c r="AS435" s="24"/>
      <c r="AT435" s="23"/>
      <c r="AU435" s="22">
        <f t="shared" si="970"/>
        <v>0</v>
      </c>
      <c r="AV435" s="24"/>
      <c r="AW435" s="23"/>
      <c r="AX435" s="22">
        <f t="shared" si="971"/>
        <v>0</v>
      </c>
      <c r="AY435" s="23">
        <f t="shared" si="979"/>
        <v>0</v>
      </c>
      <c r="AZ435" s="23">
        <f t="shared" si="979"/>
        <v>0</v>
      </c>
      <c r="BA435" s="22">
        <f t="shared" si="972"/>
        <v>0</v>
      </c>
      <c r="BB435" s="24">
        <f t="shared" si="980"/>
        <v>0</v>
      </c>
      <c r="BC435" s="23">
        <f t="shared" si="980"/>
        <v>0</v>
      </c>
      <c r="BD435" s="22">
        <f t="shared" si="973"/>
        <v>0</v>
      </c>
      <c r="BE435" s="24"/>
      <c r="BF435" s="24"/>
      <c r="BG435" s="20">
        <f t="shared" ref="BG435:BG451" si="981">BB435+BE435+BF435</f>
        <v>0</v>
      </c>
    </row>
    <row r="436" spans="1:59" ht="13.5" hidden="1" customHeight="1" outlineLevel="1" x14ac:dyDescent="0.25">
      <c r="A436" s="28"/>
      <c r="B436" s="84" t="s">
        <v>46</v>
      </c>
      <c r="C436" s="75" t="s">
        <v>110</v>
      </c>
      <c r="D436" s="20"/>
      <c r="E436" s="20"/>
      <c r="F436" s="24"/>
      <c r="G436" s="23"/>
      <c r="H436" s="22">
        <f t="shared" si="957"/>
        <v>0</v>
      </c>
      <c r="I436" s="24"/>
      <c r="J436" s="23"/>
      <c r="K436" s="22">
        <f t="shared" si="958"/>
        <v>0</v>
      </c>
      <c r="L436" s="24"/>
      <c r="M436" s="23"/>
      <c r="N436" s="22">
        <f t="shared" si="959"/>
        <v>0</v>
      </c>
      <c r="O436" s="24">
        <f t="shared" si="976"/>
        <v>0</v>
      </c>
      <c r="P436" s="23">
        <f t="shared" si="976"/>
        <v>0</v>
      </c>
      <c r="Q436" s="22">
        <f t="shared" si="960"/>
        <v>0</v>
      </c>
      <c r="R436" s="24"/>
      <c r="S436" s="23"/>
      <c r="T436" s="22">
        <f t="shared" si="961"/>
        <v>0</v>
      </c>
      <c r="U436" s="24"/>
      <c r="V436" s="23"/>
      <c r="W436" s="22">
        <f t="shared" si="962"/>
        <v>0</v>
      </c>
      <c r="X436" s="24"/>
      <c r="Y436" s="23"/>
      <c r="Z436" s="22">
        <f t="shared" si="963"/>
        <v>0</v>
      </c>
      <c r="AA436" s="24">
        <f t="shared" si="977"/>
        <v>0</v>
      </c>
      <c r="AB436" s="23">
        <f t="shared" si="977"/>
        <v>0</v>
      </c>
      <c r="AC436" s="22">
        <f t="shared" si="964"/>
        <v>0</v>
      </c>
      <c r="AD436" s="24"/>
      <c r="AE436" s="23"/>
      <c r="AF436" s="22">
        <f t="shared" si="965"/>
        <v>0</v>
      </c>
      <c r="AG436" s="24"/>
      <c r="AH436" s="23"/>
      <c r="AI436" s="22">
        <f t="shared" si="966"/>
        <v>0</v>
      </c>
      <c r="AJ436" s="24"/>
      <c r="AK436" s="23"/>
      <c r="AL436" s="22">
        <f t="shared" si="967"/>
        <v>0</v>
      </c>
      <c r="AM436" s="24">
        <f t="shared" si="978"/>
        <v>0</v>
      </c>
      <c r="AN436" s="23">
        <f t="shared" si="978"/>
        <v>0</v>
      </c>
      <c r="AO436" s="22">
        <f t="shared" si="968"/>
        <v>0</v>
      </c>
      <c r="AP436" s="24"/>
      <c r="AQ436" s="23"/>
      <c r="AR436" s="22">
        <f t="shared" si="969"/>
        <v>0</v>
      </c>
      <c r="AS436" s="24"/>
      <c r="AT436" s="23"/>
      <c r="AU436" s="22">
        <f t="shared" si="970"/>
        <v>0</v>
      </c>
      <c r="AV436" s="24"/>
      <c r="AW436" s="23"/>
      <c r="AX436" s="22">
        <f t="shared" si="971"/>
        <v>0</v>
      </c>
      <c r="AY436" s="23">
        <f t="shared" si="979"/>
        <v>0</v>
      </c>
      <c r="AZ436" s="23">
        <f t="shared" si="979"/>
        <v>0</v>
      </c>
      <c r="BA436" s="22">
        <f t="shared" si="972"/>
        <v>0</v>
      </c>
      <c r="BB436" s="24">
        <f t="shared" si="980"/>
        <v>0</v>
      </c>
      <c r="BC436" s="23">
        <f t="shared" si="980"/>
        <v>0</v>
      </c>
      <c r="BD436" s="22">
        <f t="shared" si="973"/>
        <v>0</v>
      </c>
      <c r="BE436" s="24"/>
      <c r="BF436" s="24"/>
      <c r="BG436" s="20">
        <f t="shared" si="981"/>
        <v>0</v>
      </c>
    </row>
    <row r="437" spans="1:59" ht="13.5" hidden="1" customHeight="1" outlineLevel="1" x14ac:dyDescent="0.25">
      <c r="A437" s="28"/>
      <c r="B437" s="84" t="s">
        <v>47</v>
      </c>
      <c r="C437" s="75" t="s">
        <v>110</v>
      </c>
      <c r="D437" s="20"/>
      <c r="E437" s="20"/>
      <c r="F437" s="24"/>
      <c r="G437" s="23"/>
      <c r="H437" s="22">
        <f t="shared" si="957"/>
        <v>0</v>
      </c>
      <c r="I437" s="24"/>
      <c r="J437" s="23"/>
      <c r="K437" s="22">
        <f t="shared" si="958"/>
        <v>0</v>
      </c>
      <c r="L437" s="24"/>
      <c r="M437" s="23"/>
      <c r="N437" s="22">
        <f t="shared" si="959"/>
        <v>0</v>
      </c>
      <c r="O437" s="24">
        <f t="shared" si="976"/>
        <v>0</v>
      </c>
      <c r="P437" s="23">
        <f t="shared" si="976"/>
        <v>0</v>
      </c>
      <c r="Q437" s="22">
        <f t="shared" si="960"/>
        <v>0</v>
      </c>
      <c r="R437" s="24"/>
      <c r="S437" s="23"/>
      <c r="T437" s="22">
        <f t="shared" si="961"/>
        <v>0</v>
      </c>
      <c r="U437" s="24"/>
      <c r="V437" s="23"/>
      <c r="W437" s="22">
        <f t="shared" si="962"/>
        <v>0</v>
      </c>
      <c r="X437" s="24"/>
      <c r="Y437" s="23"/>
      <c r="Z437" s="22">
        <f t="shared" si="963"/>
        <v>0</v>
      </c>
      <c r="AA437" s="24">
        <f t="shared" si="977"/>
        <v>0</v>
      </c>
      <c r="AB437" s="23">
        <f t="shared" si="977"/>
        <v>0</v>
      </c>
      <c r="AC437" s="22">
        <f t="shared" si="964"/>
        <v>0</v>
      </c>
      <c r="AD437" s="24"/>
      <c r="AE437" s="23"/>
      <c r="AF437" s="22">
        <f t="shared" si="965"/>
        <v>0</v>
      </c>
      <c r="AG437" s="24"/>
      <c r="AH437" s="23"/>
      <c r="AI437" s="22">
        <f t="shared" si="966"/>
        <v>0</v>
      </c>
      <c r="AJ437" s="24"/>
      <c r="AK437" s="23"/>
      <c r="AL437" s="22">
        <f t="shared" si="967"/>
        <v>0</v>
      </c>
      <c r="AM437" s="24">
        <f t="shared" si="978"/>
        <v>0</v>
      </c>
      <c r="AN437" s="23">
        <f t="shared" si="978"/>
        <v>0</v>
      </c>
      <c r="AO437" s="22">
        <f t="shared" si="968"/>
        <v>0</v>
      </c>
      <c r="AP437" s="24"/>
      <c r="AQ437" s="23"/>
      <c r="AR437" s="22">
        <f t="shared" si="969"/>
        <v>0</v>
      </c>
      <c r="AS437" s="24"/>
      <c r="AT437" s="23"/>
      <c r="AU437" s="22">
        <f t="shared" si="970"/>
        <v>0</v>
      </c>
      <c r="AV437" s="24"/>
      <c r="AW437" s="23"/>
      <c r="AX437" s="22">
        <f t="shared" si="971"/>
        <v>0</v>
      </c>
      <c r="AY437" s="23">
        <f t="shared" si="979"/>
        <v>0</v>
      </c>
      <c r="AZ437" s="23">
        <f t="shared" si="979"/>
        <v>0</v>
      </c>
      <c r="BA437" s="22">
        <f t="shared" si="972"/>
        <v>0</v>
      </c>
      <c r="BB437" s="24">
        <f t="shared" si="980"/>
        <v>0</v>
      </c>
      <c r="BC437" s="23">
        <f t="shared" si="980"/>
        <v>0</v>
      </c>
      <c r="BD437" s="22">
        <f t="shared" si="973"/>
        <v>0</v>
      </c>
      <c r="BE437" s="24"/>
      <c r="BF437" s="24"/>
      <c r="BG437" s="20">
        <f t="shared" si="981"/>
        <v>0</v>
      </c>
    </row>
    <row r="438" spans="1:59" ht="13.5" hidden="1" customHeight="1" outlineLevel="1" x14ac:dyDescent="0.25">
      <c r="A438" s="28"/>
      <c r="B438" s="84" t="s">
        <v>48</v>
      </c>
      <c r="C438" s="75" t="s">
        <v>110</v>
      </c>
      <c r="D438" s="20"/>
      <c r="E438" s="20"/>
      <c r="F438" s="24"/>
      <c r="G438" s="23"/>
      <c r="H438" s="22">
        <f t="shared" si="957"/>
        <v>0</v>
      </c>
      <c r="I438" s="24"/>
      <c r="J438" s="23"/>
      <c r="K438" s="22">
        <f t="shared" si="958"/>
        <v>0</v>
      </c>
      <c r="L438" s="24"/>
      <c r="M438" s="23"/>
      <c r="N438" s="22">
        <f t="shared" si="959"/>
        <v>0</v>
      </c>
      <c r="O438" s="24">
        <f t="shared" si="976"/>
        <v>0</v>
      </c>
      <c r="P438" s="23">
        <f t="shared" si="976"/>
        <v>0</v>
      </c>
      <c r="Q438" s="22">
        <f t="shared" si="960"/>
        <v>0</v>
      </c>
      <c r="R438" s="24"/>
      <c r="S438" s="23"/>
      <c r="T438" s="22">
        <f t="shared" si="961"/>
        <v>0</v>
      </c>
      <c r="U438" s="24"/>
      <c r="V438" s="23"/>
      <c r="W438" s="22">
        <f t="shared" si="962"/>
        <v>0</v>
      </c>
      <c r="X438" s="24"/>
      <c r="Y438" s="23"/>
      <c r="Z438" s="22">
        <f t="shared" si="963"/>
        <v>0</v>
      </c>
      <c r="AA438" s="24">
        <f t="shared" si="977"/>
        <v>0</v>
      </c>
      <c r="AB438" s="23">
        <f t="shared" si="977"/>
        <v>0</v>
      </c>
      <c r="AC438" s="22">
        <f t="shared" si="964"/>
        <v>0</v>
      </c>
      <c r="AD438" s="24"/>
      <c r="AE438" s="23"/>
      <c r="AF438" s="22">
        <f t="shared" si="965"/>
        <v>0</v>
      </c>
      <c r="AG438" s="24"/>
      <c r="AH438" s="23"/>
      <c r="AI438" s="22">
        <f t="shared" si="966"/>
        <v>0</v>
      </c>
      <c r="AJ438" s="24"/>
      <c r="AK438" s="23"/>
      <c r="AL438" s="22">
        <f t="shared" si="967"/>
        <v>0</v>
      </c>
      <c r="AM438" s="24">
        <f t="shared" si="978"/>
        <v>0</v>
      </c>
      <c r="AN438" s="23">
        <f t="shared" si="978"/>
        <v>0</v>
      </c>
      <c r="AO438" s="22">
        <f t="shared" si="968"/>
        <v>0</v>
      </c>
      <c r="AP438" s="24"/>
      <c r="AQ438" s="23"/>
      <c r="AR438" s="22">
        <f t="shared" si="969"/>
        <v>0</v>
      </c>
      <c r="AS438" s="24"/>
      <c r="AT438" s="23"/>
      <c r="AU438" s="22">
        <f t="shared" si="970"/>
        <v>0</v>
      </c>
      <c r="AV438" s="24"/>
      <c r="AW438" s="23"/>
      <c r="AX438" s="22">
        <f t="shared" si="971"/>
        <v>0</v>
      </c>
      <c r="AY438" s="23">
        <f t="shared" si="979"/>
        <v>0</v>
      </c>
      <c r="AZ438" s="23">
        <f t="shared" si="979"/>
        <v>0</v>
      </c>
      <c r="BA438" s="22">
        <f t="shared" si="972"/>
        <v>0</v>
      </c>
      <c r="BB438" s="24">
        <f t="shared" si="980"/>
        <v>0</v>
      </c>
      <c r="BC438" s="23">
        <f t="shared" si="980"/>
        <v>0</v>
      </c>
      <c r="BD438" s="22">
        <f t="shared" si="973"/>
        <v>0</v>
      </c>
      <c r="BE438" s="24"/>
      <c r="BF438" s="24"/>
      <c r="BG438" s="20">
        <f t="shared" si="981"/>
        <v>0</v>
      </c>
    </row>
    <row r="439" spans="1:59" ht="13.5" hidden="1" customHeight="1" outlineLevel="1" x14ac:dyDescent="0.25">
      <c r="A439" s="28"/>
      <c r="B439" s="84" t="s">
        <v>49</v>
      </c>
      <c r="C439" s="75" t="s">
        <v>110</v>
      </c>
      <c r="D439" s="20"/>
      <c r="E439" s="20"/>
      <c r="F439" s="24"/>
      <c r="G439" s="23"/>
      <c r="H439" s="22">
        <f t="shared" si="957"/>
        <v>0</v>
      </c>
      <c r="I439" s="24"/>
      <c r="J439" s="23"/>
      <c r="K439" s="22">
        <f t="shared" si="958"/>
        <v>0</v>
      </c>
      <c r="L439" s="24"/>
      <c r="M439" s="23"/>
      <c r="N439" s="22">
        <f t="shared" si="959"/>
        <v>0</v>
      </c>
      <c r="O439" s="24">
        <f t="shared" si="976"/>
        <v>0</v>
      </c>
      <c r="P439" s="23">
        <f t="shared" si="976"/>
        <v>0</v>
      </c>
      <c r="Q439" s="22">
        <f t="shared" si="960"/>
        <v>0</v>
      </c>
      <c r="R439" s="24"/>
      <c r="S439" s="23"/>
      <c r="T439" s="22">
        <f t="shared" si="961"/>
        <v>0</v>
      </c>
      <c r="U439" s="24"/>
      <c r="V439" s="23"/>
      <c r="W439" s="22">
        <f t="shared" si="962"/>
        <v>0</v>
      </c>
      <c r="X439" s="24"/>
      <c r="Y439" s="23"/>
      <c r="Z439" s="22">
        <f t="shared" si="963"/>
        <v>0</v>
      </c>
      <c r="AA439" s="24">
        <f t="shared" si="977"/>
        <v>0</v>
      </c>
      <c r="AB439" s="23">
        <f t="shared" si="977"/>
        <v>0</v>
      </c>
      <c r="AC439" s="22">
        <f t="shared" si="964"/>
        <v>0</v>
      </c>
      <c r="AD439" s="24"/>
      <c r="AE439" s="23"/>
      <c r="AF439" s="22">
        <f t="shared" si="965"/>
        <v>0</v>
      </c>
      <c r="AG439" s="24"/>
      <c r="AH439" s="23"/>
      <c r="AI439" s="22">
        <f t="shared" si="966"/>
        <v>0</v>
      </c>
      <c r="AJ439" s="24"/>
      <c r="AK439" s="23"/>
      <c r="AL439" s="22">
        <f t="shared" si="967"/>
        <v>0</v>
      </c>
      <c r="AM439" s="24">
        <f t="shared" si="978"/>
        <v>0</v>
      </c>
      <c r="AN439" s="23">
        <f t="shared" si="978"/>
        <v>0</v>
      </c>
      <c r="AO439" s="22">
        <f t="shared" si="968"/>
        <v>0</v>
      </c>
      <c r="AP439" s="24"/>
      <c r="AQ439" s="23"/>
      <c r="AR439" s="22">
        <f t="shared" si="969"/>
        <v>0</v>
      </c>
      <c r="AS439" s="24"/>
      <c r="AT439" s="23"/>
      <c r="AU439" s="22">
        <f t="shared" si="970"/>
        <v>0</v>
      </c>
      <c r="AV439" s="24"/>
      <c r="AW439" s="23"/>
      <c r="AX439" s="22">
        <f t="shared" si="971"/>
        <v>0</v>
      </c>
      <c r="AY439" s="23">
        <f t="shared" si="979"/>
        <v>0</v>
      </c>
      <c r="AZ439" s="23">
        <f t="shared" si="979"/>
        <v>0</v>
      </c>
      <c r="BA439" s="22">
        <f t="shared" si="972"/>
        <v>0</v>
      </c>
      <c r="BB439" s="24">
        <f t="shared" si="980"/>
        <v>0</v>
      </c>
      <c r="BC439" s="23">
        <f t="shared" si="980"/>
        <v>0</v>
      </c>
      <c r="BD439" s="22">
        <f t="shared" si="973"/>
        <v>0</v>
      </c>
      <c r="BE439" s="24"/>
      <c r="BF439" s="24"/>
      <c r="BG439" s="20">
        <f t="shared" si="981"/>
        <v>0</v>
      </c>
    </row>
    <row r="440" spans="1:59" ht="13.5" hidden="1" customHeight="1" outlineLevel="1" x14ac:dyDescent="0.25">
      <c r="A440" s="28"/>
      <c r="B440" s="84" t="s">
        <v>50</v>
      </c>
      <c r="C440" s="75" t="s">
        <v>110</v>
      </c>
      <c r="D440" s="20"/>
      <c r="E440" s="20"/>
      <c r="F440" s="24"/>
      <c r="G440" s="23"/>
      <c r="H440" s="22">
        <f t="shared" si="957"/>
        <v>0</v>
      </c>
      <c r="I440" s="24"/>
      <c r="J440" s="23"/>
      <c r="K440" s="22">
        <f t="shared" si="958"/>
        <v>0</v>
      </c>
      <c r="L440" s="24"/>
      <c r="M440" s="23"/>
      <c r="N440" s="22">
        <f t="shared" si="959"/>
        <v>0</v>
      </c>
      <c r="O440" s="24">
        <f t="shared" si="976"/>
        <v>0</v>
      </c>
      <c r="P440" s="23">
        <f t="shared" si="976"/>
        <v>0</v>
      </c>
      <c r="Q440" s="22">
        <f t="shared" si="960"/>
        <v>0</v>
      </c>
      <c r="R440" s="24"/>
      <c r="S440" s="23"/>
      <c r="T440" s="22">
        <f t="shared" si="961"/>
        <v>0</v>
      </c>
      <c r="U440" s="24"/>
      <c r="V440" s="23"/>
      <c r="W440" s="22">
        <f t="shared" si="962"/>
        <v>0</v>
      </c>
      <c r="X440" s="24"/>
      <c r="Y440" s="23"/>
      <c r="Z440" s="22">
        <f t="shared" si="963"/>
        <v>0</v>
      </c>
      <c r="AA440" s="24">
        <f t="shared" si="977"/>
        <v>0</v>
      </c>
      <c r="AB440" s="23">
        <f t="shared" si="977"/>
        <v>0</v>
      </c>
      <c r="AC440" s="22">
        <f t="shared" si="964"/>
        <v>0</v>
      </c>
      <c r="AD440" s="24"/>
      <c r="AE440" s="23"/>
      <c r="AF440" s="22">
        <f t="shared" si="965"/>
        <v>0</v>
      </c>
      <c r="AG440" s="24"/>
      <c r="AH440" s="23"/>
      <c r="AI440" s="22">
        <f t="shared" si="966"/>
        <v>0</v>
      </c>
      <c r="AJ440" s="24"/>
      <c r="AK440" s="23"/>
      <c r="AL440" s="22">
        <f t="shared" si="967"/>
        <v>0</v>
      </c>
      <c r="AM440" s="24">
        <f t="shared" si="978"/>
        <v>0</v>
      </c>
      <c r="AN440" s="23">
        <f t="shared" si="978"/>
        <v>0</v>
      </c>
      <c r="AO440" s="22">
        <f t="shared" si="968"/>
        <v>0</v>
      </c>
      <c r="AP440" s="24"/>
      <c r="AQ440" s="23"/>
      <c r="AR440" s="22">
        <f t="shared" si="969"/>
        <v>0</v>
      </c>
      <c r="AS440" s="24"/>
      <c r="AT440" s="23"/>
      <c r="AU440" s="22">
        <f t="shared" si="970"/>
        <v>0</v>
      </c>
      <c r="AV440" s="24"/>
      <c r="AW440" s="23"/>
      <c r="AX440" s="22">
        <f t="shared" si="971"/>
        <v>0</v>
      </c>
      <c r="AY440" s="23">
        <f t="shared" si="979"/>
        <v>0</v>
      </c>
      <c r="AZ440" s="23">
        <f t="shared" si="979"/>
        <v>0</v>
      </c>
      <c r="BA440" s="22">
        <f t="shared" si="972"/>
        <v>0</v>
      </c>
      <c r="BB440" s="24">
        <f t="shared" si="980"/>
        <v>0</v>
      </c>
      <c r="BC440" s="23">
        <f t="shared" si="980"/>
        <v>0</v>
      </c>
      <c r="BD440" s="22">
        <f t="shared" si="973"/>
        <v>0</v>
      </c>
      <c r="BE440" s="24"/>
      <c r="BF440" s="24"/>
      <c r="BG440" s="20">
        <f t="shared" si="981"/>
        <v>0</v>
      </c>
    </row>
    <row r="441" spans="1:59" ht="13.5" hidden="1" customHeight="1" outlineLevel="1" x14ac:dyDescent="0.25">
      <c r="A441" s="28"/>
      <c r="B441" s="84" t="s">
        <v>51</v>
      </c>
      <c r="C441" s="75" t="s">
        <v>110</v>
      </c>
      <c r="D441" s="20"/>
      <c r="E441" s="20"/>
      <c r="F441" s="24"/>
      <c r="G441" s="23"/>
      <c r="H441" s="22">
        <f t="shared" si="957"/>
        <v>0</v>
      </c>
      <c r="I441" s="24"/>
      <c r="J441" s="23"/>
      <c r="K441" s="22">
        <f t="shared" si="958"/>
        <v>0</v>
      </c>
      <c r="L441" s="24"/>
      <c r="M441" s="23"/>
      <c r="N441" s="22">
        <f t="shared" si="959"/>
        <v>0</v>
      </c>
      <c r="O441" s="24">
        <f t="shared" si="976"/>
        <v>0</v>
      </c>
      <c r="P441" s="23">
        <f t="shared" si="976"/>
        <v>0</v>
      </c>
      <c r="Q441" s="22">
        <f t="shared" si="960"/>
        <v>0</v>
      </c>
      <c r="R441" s="24"/>
      <c r="S441" s="23"/>
      <c r="T441" s="22">
        <f t="shared" si="961"/>
        <v>0</v>
      </c>
      <c r="U441" s="24"/>
      <c r="V441" s="23"/>
      <c r="W441" s="22">
        <f t="shared" si="962"/>
        <v>0</v>
      </c>
      <c r="X441" s="24"/>
      <c r="Y441" s="23"/>
      <c r="Z441" s="22">
        <f t="shared" si="963"/>
        <v>0</v>
      </c>
      <c r="AA441" s="24">
        <f t="shared" si="977"/>
        <v>0</v>
      </c>
      <c r="AB441" s="23">
        <f t="shared" si="977"/>
        <v>0</v>
      </c>
      <c r="AC441" s="22">
        <f t="shared" si="964"/>
        <v>0</v>
      </c>
      <c r="AD441" s="24"/>
      <c r="AE441" s="23"/>
      <c r="AF441" s="22">
        <f t="shared" si="965"/>
        <v>0</v>
      </c>
      <c r="AG441" s="24"/>
      <c r="AH441" s="23"/>
      <c r="AI441" s="22">
        <f t="shared" si="966"/>
        <v>0</v>
      </c>
      <c r="AJ441" s="24"/>
      <c r="AK441" s="23"/>
      <c r="AL441" s="22">
        <f t="shared" si="967"/>
        <v>0</v>
      </c>
      <c r="AM441" s="24">
        <f t="shared" si="978"/>
        <v>0</v>
      </c>
      <c r="AN441" s="23">
        <f t="shared" si="978"/>
        <v>0</v>
      </c>
      <c r="AO441" s="22">
        <f t="shared" si="968"/>
        <v>0</v>
      </c>
      <c r="AP441" s="24"/>
      <c r="AQ441" s="23"/>
      <c r="AR441" s="22">
        <f t="shared" si="969"/>
        <v>0</v>
      </c>
      <c r="AS441" s="24"/>
      <c r="AT441" s="23"/>
      <c r="AU441" s="22">
        <f t="shared" si="970"/>
        <v>0</v>
      </c>
      <c r="AV441" s="24"/>
      <c r="AW441" s="23"/>
      <c r="AX441" s="22">
        <f t="shared" si="971"/>
        <v>0</v>
      </c>
      <c r="AY441" s="23">
        <f t="shared" si="979"/>
        <v>0</v>
      </c>
      <c r="AZ441" s="23">
        <f t="shared" si="979"/>
        <v>0</v>
      </c>
      <c r="BA441" s="22">
        <f t="shared" si="972"/>
        <v>0</v>
      </c>
      <c r="BB441" s="24">
        <f t="shared" si="980"/>
        <v>0</v>
      </c>
      <c r="BC441" s="23">
        <f t="shared" si="980"/>
        <v>0</v>
      </c>
      <c r="BD441" s="22">
        <f t="shared" si="973"/>
        <v>0</v>
      </c>
      <c r="BE441" s="24"/>
      <c r="BF441" s="24"/>
      <c r="BG441" s="20">
        <f t="shared" si="981"/>
        <v>0</v>
      </c>
    </row>
    <row r="442" spans="1:59" ht="13.5" hidden="1" customHeight="1" outlineLevel="1" x14ac:dyDescent="0.25">
      <c r="A442" s="28"/>
      <c r="B442" s="84" t="s">
        <v>52</v>
      </c>
      <c r="C442" s="75" t="s">
        <v>110</v>
      </c>
      <c r="D442" s="20"/>
      <c r="E442" s="20"/>
      <c r="F442" s="24"/>
      <c r="G442" s="23"/>
      <c r="H442" s="22">
        <f t="shared" si="957"/>
        <v>0</v>
      </c>
      <c r="I442" s="24"/>
      <c r="J442" s="23"/>
      <c r="K442" s="22">
        <f t="shared" si="958"/>
        <v>0</v>
      </c>
      <c r="L442" s="24"/>
      <c r="M442" s="23"/>
      <c r="N442" s="22">
        <f t="shared" si="959"/>
        <v>0</v>
      </c>
      <c r="O442" s="24">
        <f t="shared" si="976"/>
        <v>0</v>
      </c>
      <c r="P442" s="23">
        <f t="shared" si="976"/>
        <v>0</v>
      </c>
      <c r="Q442" s="22">
        <f t="shared" si="960"/>
        <v>0</v>
      </c>
      <c r="R442" s="24"/>
      <c r="S442" s="23"/>
      <c r="T442" s="22">
        <f t="shared" si="961"/>
        <v>0</v>
      </c>
      <c r="U442" s="24"/>
      <c r="V442" s="23"/>
      <c r="W442" s="22">
        <f t="shared" si="962"/>
        <v>0</v>
      </c>
      <c r="X442" s="24"/>
      <c r="Y442" s="23"/>
      <c r="Z442" s="22">
        <f t="shared" si="963"/>
        <v>0</v>
      </c>
      <c r="AA442" s="24">
        <f t="shared" si="977"/>
        <v>0</v>
      </c>
      <c r="AB442" s="23">
        <f t="shared" si="977"/>
        <v>0</v>
      </c>
      <c r="AC442" s="22">
        <f t="shared" si="964"/>
        <v>0</v>
      </c>
      <c r="AD442" s="24"/>
      <c r="AE442" s="23"/>
      <c r="AF442" s="22">
        <f t="shared" si="965"/>
        <v>0</v>
      </c>
      <c r="AG442" s="24"/>
      <c r="AH442" s="23"/>
      <c r="AI442" s="22">
        <f t="shared" si="966"/>
        <v>0</v>
      </c>
      <c r="AJ442" s="24"/>
      <c r="AK442" s="23"/>
      <c r="AL442" s="22">
        <f t="shared" si="967"/>
        <v>0</v>
      </c>
      <c r="AM442" s="24">
        <f t="shared" si="978"/>
        <v>0</v>
      </c>
      <c r="AN442" s="23">
        <f t="shared" si="978"/>
        <v>0</v>
      </c>
      <c r="AO442" s="22">
        <f t="shared" si="968"/>
        <v>0</v>
      </c>
      <c r="AP442" s="24"/>
      <c r="AQ442" s="23"/>
      <c r="AR442" s="22">
        <f t="shared" si="969"/>
        <v>0</v>
      </c>
      <c r="AS442" s="24"/>
      <c r="AT442" s="23"/>
      <c r="AU442" s="22">
        <f t="shared" si="970"/>
        <v>0</v>
      </c>
      <c r="AV442" s="24"/>
      <c r="AW442" s="23"/>
      <c r="AX442" s="22">
        <f t="shared" si="971"/>
        <v>0</v>
      </c>
      <c r="AY442" s="23">
        <f t="shared" si="979"/>
        <v>0</v>
      </c>
      <c r="AZ442" s="23">
        <f t="shared" si="979"/>
        <v>0</v>
      </c>
      <c r="BA442" s="22">
        <f t="shared" si="972"/>
        <v>0</v>
      </c>
      <c r="BB442" s="24">
        <f t="shared" si="980"/>
        <v>0</v>
      </c>
      <c r="BC442" s="23">
        <f t="shared" si="980"/>
        <v>0</v>
      </c>
      <c r="BD442" s="22">
        <f t="shared" si="973"/>
        <v>0</v>
      </c>
      <c r="BE442" s="24"/>
      <c r="BF442" s="24"/>
      <c r="BG442" s="20">
        <f t="shared" si="981"/>
        <v>0</v>
      </c>
    </row>
    <row r="443" spans="1:59" ht="13.5" hidden="1" customHeight="1" outlineLevel="1" x14ac:dyDescent="0.25">
      <c r="A443" s="28"/>
      <c r="B443" s="84" t="s">
        <v>53</v>
      </c>
      <c r="C443" s="75" t="s">
        <v>110</v>
      </c>
      <c r="D443" s="20"/>
      <c r="E443" s="20"/>
      <c r="F443" s="24"/>
      <c r="G443" s="23"/>
      <c r="H443" s="22">
        <f t="shared" si="957"/>
        <v>0</v>
      </c>
      <c r="I443" s="24"/>
      <c r="J443" s="23"/>
      <c r="K443" s="22">
        <f t="shared" si="958"/>
        <v>0</v>
      </c>
      <c r="L443" s="24"/>
      <c r="M443" s="23"/>
      <c r="N443" s="22">
        <f t="shared" si="959"/>
        <v>0</v>
      </c>
      <c r="O443" s="24">
        <f t="shared" si="976"/>
        <v>0</v>
      </c>
      <c r="P443" s="23">
        <f t="shared" si="976"/>
        <v>0</v>
      </c>
      <c r="Q443" s="22">
        <f t="shared" si="960"/>
        <v>0</v>
      </c>
      <c r="R443" s="24"/>
      <c r="S443" s="23"/>
      <c r="T443" s="22">
        <f t="shared" si="961"/>
        <v>0</v>
      </c>
      <c r="U443" s="24"/>
      <c r="V443" s="23"/>
      <c r="W443" s="22">
        <f t="shared" si="962"/>
        <v>0</v>
      </c>
      <c r="X443" s="24"/>
      <c r="Y443" s="23"/>
      <c r="Z443" s="22">
        <f t="shared" si="963"/>
        <v>0</v>
      </c>
      <c r="AA443" s="24">
        <f t="shared" si="977"/>
        <v>0</v>
      </c>
      <c r="AB443" s="23">
        <f t="shared" si="977"/>
        <v>0</v>
      </c>
      <c r="AC443" s="22">
        <f t="shared" si="964"/>
        <v>0</v>
      </c>
      <c r="AD443" s="24"/>
      <c r="AE443" s="23"/>
      <c r="AF443" s="22">
        <f t="shared" si="965"/>
        <v>0</v>
      </c>
      <c r="AG443" s="24"/>
      <c r="AH443" s="23"/>
      <c r="AI443" s="22">
        <f t="shared" si="966"/>
        <v>0</v>
      </c>
      <c r="AJ443" s="24"/>
      <c r="AK443" s="23"/>
      <c r="AL443" s="22">
        <f t="shared" si="967"/>
        <v>0</v>
      </c>
      <c r="AM443" s="24">
        <f t="shared" si="978"/>
        <v>0</v>
      </c>
      <c r="AN443" s="23">
        <f t="shared" si="978"/>
        <v>0</v>
      </c>
      <c r="AO443" s="22">
        <f t="shared" si="968"/>
        <v>0</v>
      </c>
      <c r="AP443" s="24"/>
      <c r="AQ443" s="23"/>
      <c r="AR443" s="22">
        <f t="shared" si="969"/>
        <v>0</v>
      </c>
      <c r="AS443" s="24"/>
      <c r="AT443" s="23"/>
      <c r="AU443" s="22">
        <f t="shared" si="970"/>
        <v>0</v>
      </c>
      <c r="AV443" s="24"/>
      <c r="AW443" s="23"/>
      <c r="AX443" s="22">
        <f t="shared" si="971"/>
        <v>0</v>
      </c>
      <c r="AY443" s="23">
        <f t="shared" si="979"/>
        <v>0</v>
      </c>
      <c r="AZ443" s="23">
        <f t="shared" si="979"/>
        <v>0</v>
      </c>
      <c r="BA443" s="22">
        <f t="shared" si="972"/>
        <v>0</v>
      </c>
      <c r="BB443" s="24">
        <f t="shared" si="980"/>
        <v>0</v>
      </c>
      <c r="BC443" s="23">
        <f t="shared" si="980"/>
        <v>0</v>
      </c>
      <c r="BD443" s="22">
        <f t="shared" si="973"/>
        <v>0</v>
      </c>
      <c r="BE443" s="24"/>
      <c r="BF443" s="24"/>
      <c r="BG443" s="20">
        <f t="shared" si="981"/>
        <v>0</v>
      </c>
    </row>
    <row r="444" spans="1:59" ht="13.5" hidden="1" customHeight="1" outlineLevel="1" x14ac:dyDescent="0.25">
      <c r="A444" s="28"/>
      <c r="B444" s="84" t="s">
        <v>54</v>
      </c>
      <c r="C444" s="75" t="s">
        <v>110</v>
      </c>
      <c r="D444" s="20"/>
      <c r="E444" s="20"/>
      <c r="F444" s="24"/>
      <c r="G444" s="23"/>
      <c r="H444" s="22">
        <f t="shared" si="957"/>
        <v>0</v>
      </c>
      <c r="I444" s="24"/>
      <c r="J444" s="23"/>
      <c r="K444" s="22">
        <f t="shared" si="958"/>
        <v>0</v>
      </c>
      <c r="L444" s="24"/>
      <c r="M444" s="23"/>
      <c r="N444" s="22">
        <f t="shared" si="959"/>
        <v>0</v>
      </c>
      <c r="O444" s="24">
        <f t="shared" si="976"/>
        <v>0</v>
      </c>
      <c r="P444" s="23">
        <f t="shared" si="976"/>
        <v>0</v>
      </c>
      <c r="Q444" s="22">
        <f t="shared" si="960"/>
        <v>0</v>
      </c>
      <c r="R444" s="24"/>
      <c r="S444" s="23"/>
      <c r="T444" s="22">
        <f t="shared" si="961"/>
        <v>0</v>
      </c>
      <c r="U444" s="24"/>
      <c r="V444" s="23"/>
      <c r="W444" s="22">
        <f t="shared" si="962"/>
        <v>0</v>
      </c>
      <c r="X444" s="24"/>
      <c r="Y444" s="23"/>
      <c r="Z444" s="22">
        <f t="shared" si="963"/>
        <v>0</v>
      </c>
      <c r="AA444" s="24">
        <f t="shared" si="977"/>
        <v>0</v>
      </c>
      <c r="AB444" s="23">
        <f t="shared" si="977"/>
        <v>0</v>
      </c>
      <c r="AC444" s="22">
        <f t="shared" si="964"/>
        <v>0</v>
      </c>
      <c r="AD444" s="24"/>
      <c r="AE444" s="23"/>
      <c r="AF444" s="22">
        <f t="shared" si="965"/>
        <v>0</v>
      </c>
      <c r="AG444" s="24"/>
      <c r="AH444" s="23"/>
      <c r="AI444" s="22">
        <f t="shared" si="966"/>
        <v>0</v>
      </c>
      <c r="AJ444" s="24"/>
      <c r="AK444" s="23"/>
      <c r="AL444" s="22">
        <f t="shared" si="967"/>
        <v>0</v>
      </c>
      <c r="AM444" s="24">
        <f t="shared" si="978"/>
        <v>0</v>
      </c>
      <c r="AN444" s="23">
        <f t="shared" si="978"/>
        <v>0</v>
      </c>
      <c r="AO444" s="22">
        <f t="shared" si="968"/>
        <v>0</v>
      </c>
      <c r="AP444" s="24"/>
      <c r="AQ444" s="23"/>
      <c r="AR444" s="22">
        <f t="shared" si="969"/>
        <v>0</v>
      </c>
      <c r="AS444" s="24"/>
      <c r="AT444" s="23"/>
      <c r="AU444" s="22">
        <f t="shared" si="970"/>
        <v>0</v>
      </c>
      <c r="AV444" s="24"/>
      <c r="AW444" s="23"/>
      <c r="AX444" s="22">
        <f t="shared" si="971"/>
        <v>0</v>
      </c>
      <c r="AY444" s="23">
        <f t="shared" si="979"/>
        <v>0</v>
      </c>
      <c r="AZ444" s="23">
        <f t="shared" si="979"/>
        <v>0</v>
      </c>
      <c r="BA444" s="22">
        <f t="shared" si="972"/>
        <v>0</v>
      </c>
      <c r="BB444" s="24">
        <f t="shared" si="980"/>
        <v>0</v>
      </c>
      <c r="BC444" s="23">
        <f t="shared" si="980"/>
        <v>0</v>
      </c>
      <c r="BD444" s="22">
        <f t="shared" si="973"/>
        <v>0</v>
      </c>
      <c r="BE444" s="24"/>
      <c r="BF444" s="24"/>
      <c r="BG444" s="20">
        <f t="shared" si="981"/>
        <v>0</v>
      </c>
    </row>
    <row r="445" spans="1:59" ht="13.5" hidden="1" customHeight="1" outlineLevel="1" x14ac:dyDescent="0.25">
      <c r="A445" s="82"/>
      <c r="B445" s="84" t="s">
        <v>55</v>
      </c>
      <c r="C445" s="74" t="s">
        <v>110</v>
      </c>
      <c r="D445" s="20"/>
      <c r="E445" s="20"/>
      <c r="F445" s="24"/>
      <c r="G445" s="23"/>
      <c r="H445" s="22">
        <f t="shared" si="957"/>
        <v>0</v>
      </c>
      <c r="I445" s="24"/>
      <c r="J445" s="23"/>
      <c r="K445" s="22">
        <f t="shared" si="958"/>
        <v>0</v>
      </c>
      <c r="L445" s="24"/>
      <c r="M445" s="23"/>
      <c r="N445" s="22">
        <f t="shared" si="959"/>
        <v>0</v>
      </c>
      <c r="O445" s="24">
        <f t="shared" si="976"/>
        <v>0</v>
      </c>
      <c r="P445" s="23">
        <f t="shared" si="976"/>
        <v>0</v>
      </c>
      <c r="Q445" s="22">
        <f t="shared" si="960"/>
        <v>0</v>
      </c>
      <c r="R445" s="24"/>
      <c r="S445" s="23"/>
      <c r="T445" s="22">
        <f t="shared" si="961"/>
        <v>0</v>
      </c>
      <c r="U445" s="24"/>
      <c r="V445" s="23"/>
      <c r="W445" s="22">
        <f t="shared" si="962"/>
        <v>0</v>
      </c>
      <c r="X445" s="24"/>
      <c r="Y445" s="23"/>
      <c r="Z445" s="22">
        <f t="shared" si="963"/>
        <v>0</v>
      </c>
      <c r="AA445" s="24">
        <f t="shared" si="977"/>
        <v>0</v>
      </c>
      <c r="AB445" s="23">
        <f t="shared" si="977"/>
        <v>0</v>
      </c>
      <c r="AC445" s="22">
        <f t="shared" si="964"/>
        <v>0</v>
      </c>
      <c r="AD445" s="24"/>
      <c r="AE445" s="23"/>
      <c r="AF445" s="22">
        <f t="shared" si="965"/>
        <v>0</v>
      </c>
      <c r="AG445" s="24"/>
      <c r="AH445" s="23"/>
      <c r="AI445" s="22">
        <f t="shared" si="966"/>
        <v>0</v>
      </c>
      <c r="AJ445" s="24"/>
      <c r="AK445" s="23"/>
      <c r="AL445" s="22">
        <f t="shared" si="967"/>
        <v>0</v>
      </c>
      <c r="AM445" s="24">
        <f t="shared" si="978"/>
        <v>0</v>
      </c>
      <c r="AN445" s="23">
        <f t="shared" si="978"/>
        <v>0</v>
      </c>
      <c r="AO445" s="22">
        <f t="shared" si="968"/>
        <v>0</v>
      </c>
      <c r="AP445" s="24"/>
      <c r="AQ445" s="23"/>
      <c r="AR445" s="22">
        <f t="shared" si="969"/>
        <v>0</v>
      </c>
      <c r="AS445" s="24"/>
      <c r="AT445" s="23"/>
      <c r="AU445" s="22">
        <f t="shared" si="970"/>
        <v>0</v>
      </c>
      <c r="AV445" s="24"/>
      <c r="AW445" s="23"/>
      <c r="AX445" s="22">
        <f t="shared" si="971"/>
        <v>0</v>
      </c>
      <c r="AY445" s="23">
        <f t="shared" si="979"/>
        <v>0</v>
      </c>
      <c r="AZ445" s="23">
        <f t="shared" si="979"/>
        <v>0</v>
      </c>
      <c r="BA445" s="22">
        <f t="shared" si="972"/>
        <v>0</v>
      </c>
      <c r="BB445" s="24">
        <f t="shared" si="980"/>
        <v>0</v>
      </c>
      <c r="BC445" s="23">
        <f t="shared" si="980"/>
        <v>0</v>
      </c>
      <c r="BD445" s="22">
        <f t="shared" si="973"/>
        <v>0</v>
      </c>
      <c r="BE445" s="24"/>
      <c r="BF445" s="24"/>
      <c r="BG445" s="20">
        <f t="shared" si="981"/>
        <v>0</v>
      </c>
    </row>
    <row r="446" spans="1:59" ht="13.5" hidden="1" customHeight="1" outlineLevel="1" x14ac:dyDescent="0.25">
      <c r="A446" s="82"/>
      <c r="B446" s="99" t="s">
        <v>56</v>
      </c>
      <c r="C446" s="74" t="s">
        <v>110</v>
      </c>
      <c r="D446" s="20"/>
      <c r="E446" s="20"/>
      <c r="F446" s="24"/>
      <c r="G446" s="23"/>
      <c r="H446" s="22">
        <f t="shared" si="957"/>
        <v>0</v>
      </c>
      <c r="I446" s="24"/>
      <c r="J446" s="23"/>
      <c r="K446" s="22">
        <f t="shared" si="958"/>
        <v>0</v>
      </c>
      <c r="L446" s="24"/>
      <c r="M446" s="23"/>
      <c r="N446" s="22">
        <f t="shared" si="959"/>
        <v>0</v>
      </c>
      <c r="O446" s="24">
        <f t="shared" si="976"/>
        <v>0</v>
      </c>
      <c r="P446" s="23">
        <f t="shared" si="976"/>
        <v>0</v>
      </c>
      <c r="Q446" s="22">
        <f t="shared" si="960"/>
        <v>0</v>
      </c>
      <c r="R446" s="24"/>
      <c r="S446" s="23"/>
      <c r="T446" s="22">
        <f t="shared" si="961"/>
        <v>0</v>
      </c>
      <c r="U446" s="24"/>
      <c r="V446" s="23"/>
      <c r="W446" s="22">
        <f t="shared" si="962"/>
        <v>0</v>
      </c>
      <c r="X446" s="24"/>
      <c r="Y446" s="23"/>
      <c r="Z446" s="22">
        <f t="shared" si="963"/>
        <v>0</v>
      </c>
      <c r="AA446" s="24">
        <f t="shared" si="977"/>
        <v>0</v>
      </c>
      <c r="AB446" s="23">
        <f t="shared" si="977"/>
        <v>0</v>
      </c>
      <c r="AC446" s="22">
        <f t="shared" si="964"/>
        <v>0</v>
      </c>
      <c r="AD446" s="24"/>
      <c r="AE446" s="23"/>
      <c r="AF446" s="22">
        <f t="shared" si="965"/>
        <v>0</v>
      </c>
      <c r="AG446" s="24"/>
      <c r="AH446" s="23"/>
      <c r="AI446" s="22">
        <f t="shared" si="966"/>
        <v>0</v>
      </c>
      <c r="AJ446" s="24"/>
      <c r="AK446" s="23"/>
      <c r="AL446" s="22">
        <f t="shared" si="967"/>
        <v>0</v>
      </c>
      <c r="AM446" s="24">
        <f t="shared" si="978"/>
        <v>0</v>
      </c>
      <c r="AN446" s="23">
        <f t="shared" si="978"/>
        <v>0</v>
      </c>
      <c r="AO446" s="22">
        <f t="shared" si="968"/>
        <v>0</v>
      </c>
      <c r="AP446" s="24"/>
      <c r="AQ446" s="23"/>
      <c r="AR446" s="22">
        <f t="shared" si="969"/>
        <v>0</v>
      </c>
      <c r="AS446" s="24"/>
      <c r="AT446" s="23"/>
      <c r="AU446" s="22">
        <f t="shared" si="970"/>
        <v>0</v>
      </c>
      <c r="AV446" s="24"/>
      <c r="AW446" s="23"/>
      <c r="AX446" s="22">
        <f t="shared" si="971"/>
        <v>0</v>
      </c>
      <c r="AY446" s="23">
        <f t="shared" si="979"/>
        <v>0</v>
      </c>
      <c r="AZ446" s="23">
        <f t="shared" si="979"/>
        <v>0</v>
      </c>
      <c r="BA446" s="22">
        <f t="shared" si="972"/>
        <v>0</v>
      </c>
      <c r="BB446" s="24">
        <f t="shared" si="980"/>
        <v>0</v>
      </c>
      <c r="BC446" s="23">
        <f t="shared" si="980"/>
        <v>0</v>
      </c>
      <c r="BD446" s="22">
        <f t="shared" si="973"/>
        <v>0</v>
      </c>
      <c r="BE446" s="24"/>
      <c r="BF446" s="24"/>
      <c r="BG446" s="20">
        <f t="shared" si="981"/>
        <v>0</v>
      </c>
    </row>
    <row r="447" spans="1:59" ht="13.5" hidden="1" customHeight="1" outlineLevel="1" x14ac:dyDescent="0.25">
      <c r="A447" s="82"/>
      <c r="B447" s="84" t="s">
        <v>57</v>
      </c>
      <c r="C447" s="74" t="s">
        <v>110</v>
      </c>
      <c r="D447" s="20"/>
      <c r="E447" s="20"/>
      <c r="F447" s="24"/>
      <c r="G447" s="23"/>
      <c r="H447" s="22">
        <f t="shared" ref="H447:H462" si="982">G447-F447</f>
        <v>0</v>
      </c>
      <c r="I447" s="24"/>
      <c r="J447" s="23"/>
      <c r="K447" s="22">
        <f t="shared" ref="K447:K462" si="983">J447-I447</f>
        <v>0</v>
      </c>
      <c r="L447" s="24"/>
      <c r="M447" s="23"/>
      <c r="N447" s="22">
        <f t="shared" ref="N447:N462" si="984">M447-L447</f>
        <v>0</v>
      </c>
      <c r="O447" s="24">
        <f t="shared" si="976"/>
        <v>0</v>
      </c>
      <c r="P447" s="23">
        <f t="shared" si="976"/>
        <v>0</v>
      </c>
      <c r="Q447" s="22">
        <f t="shared" ref="Q447:Q462" si="985">P447-O447</f>
        <v>0</v>
      </c>
      <c r="R447" s="24"/>
      <c r="S447" s="23"/>
      <c r="T447" s="22">
        <f t="shared" ref="T447:T462" si="986">S447-R447</f>
        <v>0</v>
      </c>
      <c r="U447" s="24"/>
      <c r="V447" s="23"/>
      <c r="W447" s="22">
        <f t="shared" ref="W447:W462" si="987">V447-U447</f>
        <v>0</v>
      </c>
      <c r="X447" s="24"/>
      <c r="Y447" s="23"/>
      <c r="Z447" s="22">
        <f t="shared" ref="Z447:Z462" si="988">Y447-X447</f>
        <v>0</v>
      </c>
      <c r="AA447" s="24">
        <f t="shared" si="977"/>
        <v>0</v>
      </c>
      <c r="AB447" s="23">
        <f t="shared" si="977"/>
        <v>0</v>
      </c>
      <c r="AC447" s="22">
        <f t="shared" ref="AC447:AC462" si="989">AB447-AA447</f>
        <v>0</v>
      </c>
      <c r="AD447" s="24"/>
      <c r="AE447" s="23"/>
      <c r="AF447" s="22">
        <f t="shared" ref="AF447:AF462" si="990">AE447-AD447</f>
        <v>0</v>
      </c>
      <c r="AG447" s="24"/>
      <c r="AH447" s="23"/>
      <c r="AI447" s="22">
        <f t="shared" ref="AI447:AI462" si="991">AH447-AG447</f>
        <v>0</v>
      </c>
      <c r="AJ447" s="24"/>
      <c r="AK447" s="23"/>
      <c r="AL447" s="22">
        <f t="shared" ref="AL447:AL462" si="992">AK447-AJ447</f>
        <v>0</v>
      </c>
      <c r="AM447" s="24">
        <f t="shared" si="978"/>
        <v>0</v>
      </c>
      <c r="AN447" s="23">
        <f t="shared" si="978"/>
        <v>0</v>
      </c>
      <c r="AO447" s="22">
        <f t="shared" ref="AO447:AO462" si="993">AN447-AM447</f>
        <v>0</v>
      </c>
      <c r="AP447" s="24"/>
      <c r="AQ447" s="23"/>
      <c r="AR447" s="22">
        <f t="shared" ref="AR447:AR462" si="994">AQ447-AP447</f>
        <v>0</v>
      </c>
      <c r="AS447" s="24"/>
      <c r="AT447" s="23"/>
      <c r="AU447" s="22">
        <f t="shared" ref="AU447:AU462" si="995">AT447-AS447</f>
        <v>0</v>
      </c>
      <c r="AV447" s="24"/>
      <c r="AW447" s="23"/>
      <c r="AX447" s="22">
        <f t="shared" ref="AX447:AX462" si="996">AW447-AV447</f>
        <v>0</v>
      </c>
      <c r="AY447" s="23">
        <f t="shared" si="979"/>
        <v>0</v>
      </c>
      <c r="AZ447" s="23">
        <f t="shared" si="979"/>
        <v>0</v>
      </c>
      <c r="BA447" s="22">
        <f t="shared" ref="BA447:BA462" si="997">AZ447-AY447</f>
        <v>0</v>
      </c>
      <c r="BB447" s="24">
        <f t="shared" si="980"/>
        <v>0</v>
      </c>
      <c r="BC447" s="23">
        <f t="shared" si="980"/>
        <v>0</v>
      </c>
      <c r="BD447" s="22">
        <f t="shared" ref="BD447:BD462" si="998">BC447-BB447</f>
        <v>0</v>
      </c>
      <c r="BE447" s="24"/>
      <c r="BF447" s="24"/>
      <c r="BG447" s="20">
        <f t="shared" si="981"/>
        <v>0</v>
      </c>
    </row>
    <row r="448" spans="1:59" ht="13.5" hidden="1" customHeight="1" outlineLevel="1" x14ac:dyDescent="0.25">
      <c r="A448" s="82"/>
      <c r="B448" s="99" t="s">
        <v>58</v>
      </c>
      <c r="C448" s="74" t="s">
        <v>110</v>
      </c>
      <c r="D448" s="157"/>
      <c r="E448" s="157"/>
      <c r="F448" s="115"/>
      <c r="G448" s="107"/>
      <c r="H448" s="108">
        <f t="shared" si="982"/>
        <v>0</v>
      </c>
      <c r="I448" s="115"/>
      <c r="J448" s="107"/>
      <c r="K448" s="108">
        <f t="shared" si="983"/>
        <v>0</v>
      </c>
      <c r="L448" s="115"/>
      <c r="M448" s="107"/>
      <c r="N448" s="108">
        <f t="shared" si="984"/>
        <v>0</v>
      </c>
      <c r="O448" s="115">
        <f t="shared" si="976"/>
        <v>0</v>
      </c>
      <c r="P448" s="107">
        <f t="shared" si="976"/>
        <v>0</v>
      </c>
      <c r="Q448" s="108">
        <f t="shared" si="985"/>
        <v>0</v>
      </c>
      <c r="R448" s="115"/>
      <c r="S448" s="107"/>
      <c r="T448" s="108">
        <f t="shared" si="986"/>
        <v>0</v>
      </c>
      <c r="U448" s="115"/>
      <c r="V448" s="107"/>
      <c r="W448" s="108">
        <f t="shared" si="987"/>
        <v>0</v>
      </c>
      <c r="X448" s="115"/>
      <c r="Y448" s="107"/>
      <c r="Z448" s="108">
        <f t="shared" si="988"/>
        <v>0</v>
      </c>
      <c r="AA448" s="115">
        <f t="shared" si="977"/>
        <v>0</v>
      </c>
      <c r="AB448" s="107">
        <f t="shared" si="977"/>
        <v>0</v>
      </c>
      <c r="AC448" s="108">
        <f t="shared" si="989"/>
        <v>0</v>
      </c>
      <c r="AD448" s="115"/>
      <c r="AE448" s="107"/>
      <c r="AF448" s="108">
        <f t="shared" si="990"/>
        <v>0</v>
      </c>
      <c r="AG448" s="115"/>
      <c r="AH448" s="107"/>
      <c r="AI448" s="108">
        <f t="shared" si="991"/>
        <v>0</v>
      </c>
      <c r="AJ448" s="115"/>
      <c r="AK448" s="107"/>
      <c r="AL448" s="108">
        <f t="shared" si="992"/>
        <v>0</v>
      </c>
      <c r="AM448" s="115">
        <f t="shared" si="978"/>
        <v>0</v>
      </c>
      <c r="AN448" s="107">
        <f t="shared" si="978"/>
        <v>0</v>
      </c>
      <c r="AO448" s="108">
        <f t="shared" si="993"/>
        <v>0</v>
      </c>
      <c r="AP448" s="115"/>
      <c r="AQ448" s="107"/>
      <c r="AR448" s="108">
        <f t="shared" si="994"/>
        <v>0</v>
      </c>
      <c r="AS448" s="115"/>
      <c r="AT448" s="107"/>
      <c r="AU448" s="108">
        <f t="shared" si="995"/>
        <v>0</v>
      </c>
      <c r="AV448" s="115"/>
      <c r="AW448" s="107"/>
      <c r="AX448" s="108">
        <f t="shared" si="996"/>
        <v>0</v>
      </c>
      <c r="AY448" s="107">
        <f t="shared" si="979"/>
        <v>0</v>
      </c>
      <c r="AZ448" s="107">
        <f t="shared" si="979"/>
        <v>0</v>
      </c>
      <c r="BA448" s="108">
        <f t="shared" si="997"/>
        <v>0</v>
      </c>
      <c r="BB448" s="115">
        <f t="shared" si="980"/>
        <v>0</v>
      </c>
      <c r="BC448" s="107">
        <f t="shared" si="980"/>
        <v>0</v>
      </c>
      <c r="BD448" s="108">
        <f t="shared" si="998"/>
        <v>0</v>
      </c>
      <c r="BE448" s="115"/>
      <c r="BF448" s="115"/>
      <c r="BG448" s="20">
        <f t="shared" si="981"/>
        <v>0</v>
      </c>
    </row>
    <row r="449" spans="1:59" ht="13.5" hidden="1" customHeight="1" outlineLevel="1" x14ac:dyDescent="0.25">
      <c r="A449" s="82"/>
      <c r="B449" s="84" t="s">
        <v>59</v>
      </c>
      <c r="C449" s="74" t="s">
        <v>110</v>
      </c>
      <c r="D449" s="157"/>
      <c r="E449" s="157"/>
      <c r="F449" s="115"/>
      <c r="G449" s="107"/>
      <c r="H449" s="108">
        <f t="shared" si="982"/>
        <v>0</v>
      </c>
      <c r="I449" s="115"/>
      <c r="J449" s="107"/>
      <c r="K449" s="108">
        <f t="shared" si="983"/>
        <v>0</v>
      </c>
      <c r="L449" s="115"/>
      <c r="M449" s="107"/>
      <c r="N449" s="108">
        <f t="shared" si="984"/>
        <v>0</v>
      </c>
      <c r="O449" s="115">
        <f t="shared" si="976"/>
        <v>0</v>
      </c>
      <c r="P449" s="107">
        <f t="shared" si="976"/>
        <v>0</v>
      </c>
      <c r="Q449" s="108">
        <f t="shared" si="985"/>
        <v>0</v>
      </c>
      <c r="R449" s="115"/>
      <c r="S449" s="107"/>
      <c r="T449" s="108">
        <f t="shared" si="986"/>
        <v>0</v>
      </c>
      <c r="U449" s="115"/>
      <c r="V449" s="107"/>
      <c r="W449" s="108">
        <f t="shared" si="987"/>
        <v>0</v>
      </c>
      <c r="X449" s="115"/>
      <c r="Y449" s="107"/>
      <c r="Z449" s="108">
        <f t="shared" si="988"/>
        <v>0</v>
      </c>
      <c r="AA449" s="115">
        <f t="shared" si="977"/>
        <v>0</v>
      </c>
      <c r="AB449" s="107">
        <f t="shared" si="977"/>
        <v>0</v>
      </c>
      <c r="AC449" s="108">
        <f t="shared" si="989"/>
        <v>0</v>
      </c>
      <c r="AD449" s="115"/>
      <c r="AE449" s="107"/>
      <c r="AF449" s="108">
        <f t="shared" si="990"/>
        <v>0</v>
      </c>
      <c r="AG449" s="115"/>
      <c r="AH449" s="107"/>
      <c r="AI449" s="108">
        <f t="shared" si="991"/>
        <v>0</v>
      </c>
      <c r="AJ449" s="115"/>
      <c r="AK449" s="107"/>
      <c r="AL449" s="108">
        <f t="shared" si="992"/>
        <v>0</v>
      </c>
      <c r="AM449" s="115">
        <f t="shared" si="978"/>
        <v>0</v>
      </c>
      <c r="AN449" s="107">
        <f t="shared" si="978"/>
        <v>0</v>
      </c>
      <c r="AO449" s="108">
        <f t="shared" si="993"/>
        <v>0</v>
      </c>
      <c r="AP449" s="115"/>
      <c r="AQ449" s="107"/>
      <c r="AR449" s="108">
        <f t="shared" si="994"/>
        <v>0</v>
      </c>
      <c r="AS449" s="115"/>
      <c r="AT449" s="107"/>
      <c r="AU449" s="108">
        <f t="shared" si="995"/>
        <v>0</v>
      </c>
      <c r="AV449" s="115"/>
      <c r="AW449" s="107"/>
      <c r="AX449" s="108">
        <f t="shared" si="996"/>
        <v>0</v>
      </c>
      <c r="AY449" s="107">
        <f t="shared" si="979"/>
        <v>0</v>
      </c>
      <c r="AZ449" s="107">
        <f t="shared" si="979"/>
        <v>0</v>
      </c>
      <c r="BA449" s="108">
        <f t="shared" si="997"/>
        <v>0</v>
      </c>
      <c r="BB449" s="115">
        <f t="shared" si="980"/>
        <v>0</v>
      </c>
      <c r="BC449" s="107">
        <f t="shared" si="980"/>
        <v>0</v>
      </c>
      <c r="BD449" s="108">
        <f t="shared" si="998"/>
        <v>0</v>
      </c>
      <c r="BE449" s="115"/>
      <c r="BF449" s="115"/>
      <c r="BG449" s="20">
        <f t="shared" si="981"/>
        <v>0</v>
      </c>
    </row>
    <row r="450" spans="1:59" ht="13.5" hidden="1" customHeight="1" outlineLevel="1" x14ac:dyDescent="0.25">
      <c r="A450" s="82"/>
      <c r="B450" s="99" t="s">
        <v>60</v>
      </c>
      <c r="C450" s="74" t="s">
        <v>110</v>
      </c>
      <c r="D450" s="157"/>
      <c r="E450" s="157"/>
      <c r="F450" s="115"/>
      <c r="G450" s="107"/>
      <c r="H450" s="108">
        <f t="shared" si="982"/>
        <v>0</v>
      </c>
      <c r="I450" s="115"/>
      <c r="J450" s="107"/>
      <c r="K450" s="108">
        <f t="shared" si="983"/>
        <v>0</v>
      </c>
      <c r="L450" s="115"/>
      <c r="M450" s="107"/>
      <c r="N450" s="108">
        <f t="shared" si="984"/>
        <v>0</v>
      </c>
      <c r="O450" s="115">
        <f>SUM(F450,I450,L450)</f>
        <v>0</v>
      </c>
      <c r="P450" s="107">
        <f>SUM(G450,J450,M450)</f>
        <v>0</v>
      </c>
      <c r="Q450" s="108">
        <f t="shared" si="985"/>
        <v>0</v>
      </c>
      <c r="R450" s="115"/>
      <c r="S450" s="107"/>
      <c r="T450" s="108">
        <f t="shared" si="986"/>
        <v>0</v>
      </c>
      <c r="U450" s="115"/>
      <c r="V450" s="107"/>
      <c r="W450" s="108">
        <f t="shared" si="987"/>
        <v>0</v>
      </c>
      <c r="X450" s="115"/>
      <c r="Y450" s="107"/>
      <c r="Z450" s="108">
        <f t="shared" si="988"/>
        <v>0</v>
      </c>
      <c r="AA450" s="115">
        <f>SUM(R450,U450,X450)</f>
        <v>0</v>
      </c>
      <c r="AB450" s="107">
        <f>SUM(S450,V450,Y450)</f>
        <v>0</v>
      </c>
      <c r="AC450" s="108">
        <f t="shared" si="989"/>
        <v>0</v>
      </c>
      <c r="AD450" s="115"/>
      <c r="AE450" s="107"/>
      <c r="AF450" s="108">
        <f t="shared" si="990"/>
        <v>0</v>
      </c>
      <c r="AG450" s="115"/>
      <c r="AH450" s="107"/>
      <c r="AI450" s="108">
        <f t="shared" si="991"/>
        <v>0</v>
      </c>
      <c r="AJ450" s="115"/>
      <c r="AK450" s="107"/>
      <c r="AL450" s="108">
        <f t="shared" si="992"/>
        <v>0</v>
      </c>
      <c r="AM450" s="115">
        <f>SUM(AD450,AG450,AJ450)</f>
        <v>0</v>
      </c>
      <c r="AN450" s="107">
        <f>SUM(AE450,AH450,AK450)</f>
        <v>0</v>
      </c>
      <c r="AO450" s="108">
        <f t="shared" si="993"/>
        <v>0</v>
      </c>
      <c r="AP450" s="115"/>
      <c r="AQ450" s="107"/>
      <c r="AR450" s="108">
        <f t="shared" si="994"/>
        <v>0</v>
      </c>
      <c r="AS450" s="115"/>
      <c r="AT450" s="107"/>
      <c r="AU450" s="108">
        <f t="shared" si="995"/>
        <v>0</v>
      </c>
      <c r="AV450" s="115"/>
      <c r="AW450" s="107"/>
      <c r="AX450" s="108">
        <f t="shared" si="996"/>
        <v>0</v>
      </c>
      <c r="AY450" s="107">
        <f>SUM(AP450,AS450,AV450)</f>
        <v>0</v>
      </c>
      <c r="AZ450" s="107">
        <f>SUM(AQ450,AT450,AW450)</f>
        <v>0</v>
      </c>
      <c r="BA450" s="108">
        <f t="shared" si="997"/>
        <v>0</v>
      </c>
      <c r="BB450" s="115">
        <f>SUM(F450,I450,L450,R450,U450,X450,AD450,AG450,AJ450,AP450,AS450,AV450)</f>
        <v>0</v>
      </c>
      <c r="BC450" s="107">
        <f>SUM(G450,J450,M450,S450,V450,Y450,AE450,AH450,AK450,AQ450,AT450,AW450)</f>
        <v>0</v>
      </c>
      <c r="BD450" s="108">
        <f t="shared" si="998"/>
        <v>0</v>
      </c>
      <c r="BE450" s="115"/>
      <c r="BF450" s="115"/>
      <c r="BG450" s="20">
        <f t="shared" si="981"/>
        <v>0</v>
      </c>
    </row>
    <row r="451" spans="1:59" ht="13.5" hidden="1" customHeight="1" outlineLevel="1" x14ac:dyDescent="0.25">
      <c r="A451" s="82"/>
      <c r="B451" s="84" t="s">
        <v>61</v>
      </c>
      <c r="C451" s="74" t="s">
        <v>110</v>
      </c>
      <c r="D451" s="157"/>
      <c r="E451" s="157"/>
      <c r="F451" s="115"/>
      <c r="G451" s="107"/>
      <c r="H451" s="108">
        <f t="shared" si="982"/>
        <v>0</v>
      </c>
      <c r="I451" s="115"/>
      <c r="J451" s="107"/>
      <c r="K451" s="108">
        <f t="shared" si="983"/>
        <v>0</v>
      </c>
      <c r="L451" s="115"/>
      <c r="M451" s="107"/>
      <c r="N451" s="108">
        <f t="shared" si="984"/>
        <v>0</v>
      </c>
      <c r="O451" s="115">
        <f>SUM(F451,I451,L451)</f>
        <v>0</v>
      </c>
      <c r="P451" s="107">
        <f>SUM(G451,J451,M451)</f>
        <v>0</v>
      </c>
      <c r="Q451" s="108">
        <f t="shared" si="985"/>
        <v>0</v>
      </c>
      <c r="R451" s="115"/>
      <c r="S451" s="107"/>
      <c r="T451" s="108">
        <f t="shared" si="986"/>
        <v>0</v>
      </c>
      <c r="U451" s="115"/>
      <c r="V451" s="107"/>
      <c r="W451" s="108">
        <f t="shared" si="987"/>
        <v>0</v>
      </c>
      <c r="X451" s="115"/>
      <c r="Y451" s="107"/>
      <c r="Z451" s="108">
        <f t="shared" si="988"/>
        <v>0</v>
      </c>
      <c r="AA451" s="115">
        <f>SUM(R451,U451,X451)</f>
        <v>0</v>
      </c>
      <c r="AB451" s="107">
        <f>SUM(S451,V451,Y451)</f>
        <v>0</v>
      </c>
      <c r="AC451" s="108">
        <f t="shared" si="989"/>
        <v>0</v>
      </c>
      <c r="AD451" s="115"/>
      <c r="AE451" s="107"/>
      <c r="AF451" s="108">
        <f t="shared" si="990"/>
        <v>0</v>
      </c>
      <c r="AG451" s="115"/>
      <c r="AH451" s="107"/>
      <c r="AI451" s="108">
        <f t="shared" si="991"/>
        <v>0</v>
      </c>
      <c r="AJ451" s="115"/>
      <c r="AK451" s="107"/>
      <c r="AL451" s="108">
        <f t="shared" si="992"/>
        <v>0</v>
      </c>
      <c r="AM451" s="115">
        <f>SUM(AD451,AG451,AJ451)</f>
        <v>0</v>
      </c>
      <c r="AN451" s="107">
        <f>SUM(AE451,AH451,AK451)</f>
        <v>0</v>
      </c>
      <c r="AO451" s="108">
        <f t="shared" si="993"/>
        <v>0</v>
      </c>
      <c r="AP451" s="115"/>
      <c r="AQ451" s="107"/>
      <c r="AR451" s="108">
        <f t="shared" si="994"/>
        <v>0</v>
      </c>
      <c r="AS451" s="115"/>
      <c r="AT451" s="107"/>
      <c r="AU451" s="108">
        <f t="shared" si="995"/>
        <v>0</v>
      </c>
      <c r="AV451" s="115"/>
      <c r="AW451" s="107"/>
      <c r="AX451" s="108">
        <f t="shared" si="996"/>
        <v>0</v>
      </c>
      <c r="AY451" s="107">
        <f>SUM(AP451,AS451,AV451)</f>
        <v>0</v>
      </c>
      <c r="AZ451" s="107">
        <f>SUM(AQ451,AT451,AW451)</f>
        <v>0</v>
      </c>
      <c r="BA451" s="108">
        <f t="shared" si="997"/>
        <v>0</v>
      </c>
      <c r="BB451" s="115">
        <f>SUM(F451,I451,L451,R451,U451,X451,AD451,AG451,AJ451,AP451,AS451,AV451)</f>
        <v>0</v>
      </c>
      <c r="BC451" s="107">
        <f>SUM(G451,J451,M451,S451,V451,Y451,AE451,AH451,AK451,AQ451,AT451,AW451)</f>
        <v>0</v>
      </c>
      <c r="BD451" s="108">
        <f t="shared" si="998"/>
        <v>0</v>
      </c>
      <c r="BE451" s="115"/>
      <c r="BF451" s="115"/>
      <c r="BG451" s="20">
        <f t="shared" si="981"/>
        <v>0</v>
      </c>
    </row>
    <row r="452" spans="1:59" s="210" customFormat="1" ht="13.5" customHeight="1" collapsed="1" thickBot="1" x14ac:dyDescent="0.3">
      <c r="A452" s="85"/>
      <c r="B452" s="95" t="s">
        <v>62</v>
      </c>
      <c r="C452" s="88" t="s">
        <v>110</v>
      </c>
      <c r="D452" s="93">
        <f>SUM(D453)</f>
        <v>0</v>
      </c>
      <c r="E452" s="93">
        <f>SUM(E453)</f>
        <v>0</v>
      </c>
      <c r="F452" s="187">
        <f>SUM(F453)</f>
        <v>0</v>
      </c>
      <c r="G452" s="92">
        <f>SUM(G453)</f>
        <v>0</v>
      </c>
      <c r="H452" s="91">
        <f t="shared" si="982"/>
        <v>0</v>
      </c>
      <c r="I452" s="187">
        <f>SUM(I453)</f>
        <v>0</v>
      </c>
      <c r="J452" s="92">
        <f>SUM(J453)</f>
        <v>0</v>
      </c>
      <c r="K452" s="91">
        <f t="shared" si="983"/>
        <v>0</v>
      </c>
      <c r="L452" s="187">
        <f>SUM(L453)</f>
        <v>0</v>
      </c>
      <c r="M452" s="92">
        <f>SUM(M453)</f>
        <v>0</v>
      </c>
      <c r="N452" s="91">
        <f t="shared" si="984"/>
        <v>0</v>
      </c>
      <c r="O452" s="187">
        <f>SUM(O453)</f>
        <v>0</v>
      </c>
      <c r="P452" s="92">
        <f>SUM(P453)</f>
        <v>0</v>
      </c>
      <c r="Q452" s="91">
        <f t="shared" si="985"/>
        <v>0</v>
      </c>
      <c r="R452" s="187">
        <f>SUM(R453)</f>
        <v>0</v>
      </c>
      <c r="S452" s="92">
        <f>SUM(S453)</f>
        <v>0</v>
      </c>
      <c r="T452" s="91">
        <f t="shared" si="986"/>
        <v>0</v>
      </c>
      <c r="U452" s="187">
        <f>SUM(U453)</f>
        <v>0</v>
      </c>
      <c r="V452" s="92">
        <f>SUM(V453)</f>
        <v>0</v>
      </c>
      <c r="W452" s="91">
        <f t="shared" si="987"/>
        <v>0</v>
      </c>
      <c r="X452" s="187">
        <f>SUM(X453)</f>
        <v>0</v>
      </c>
      <c r="Y452" s="92">
        <f>SUM(Y453)</f>
        <v>0</v>
      </c>
      <c r="Z452" s="91">
        <f t="shared" si="988"/>
        <v>0</v>
      </c>
      <c r="AA452" s="187">
        <f>SUM(AA453)</f>
        <v>0</v>
      </c>
      <c r="AB452" s="92">
        <f>SUM(AB453)</f>
        <v>0</v>
      </c>
      <c r="AC452" s="91">
        <f t="shared" si="989"/>
        <v>0</v>
      </c>
      <c r="AD452" s="187">
        <f>SUM(AD453)</f>
        <v>0</v>
      </c>
      <c r="AE452" s="92">
        <f>SUM(AE453)</f>
        <v>0</v>
      </c>
      <c r="AF452" s="91">
        <f t="shared" si="990"/>
        <v>0</v>
      </c>
      <c r="AG452" s="187">
        <f>SUM(AG453)</f>
        <v>0</v>
      </c>
      <c r="AH452" s="92">
        <f>SUM(AH453)</f>
        <v>0</v>
      </c>
      <c r="AI452" s="91">
        <f t="shared" si="991"/>
        <v>0</v>
      </c>
      <c r="AJ452" s="187">
        <f>SUM(AJ453)</f>
        <v>0</v>
      </c>
      <c r="AK452" s="92">
        <f>SUM(AK453)</f>
        <v>0</v>
      </c>
      <c r="AL452" s="91">
        <f t="shared" si="992"/>
        <v>0</v>
      </c>
      <c r="AM452" s="187">
        <f>SUM(AM453)</f>
        <v>0</v>
      </c>
      <c r="AN452" s="92">
        <f>SUM(AN453)</f>
        <v>0</v>
      </c>
      <c r="AO452" s="91">
        <f t="shared" si="993"/>
        <v>0</v>
      </c>
      <c r="AP452" s="187">
        <f>SUM(AP453)</f>
        <v>0</v>
      </c>
      <c r="AQ452" s="92">
        <f>SUM(AQ453)</f>
        <v>0</v>
      </c>
      <c r="AR452" s="91">
        <f t="shared" si="994"/>
        <v>0</v>
      </c>
      <c r="AS452" s="187">
        <f>SUM(AS453)</f>
        <v>0</v>
      </c>
      <c r="AT452" s="92">
        <f>SUM(AT453)</f>
        <v>0</v>
      </c>
      <c r="AU452" s="91">
        <f t="shared" si="995"/>
        <v>0</v>
      </c>
      <c r="AV452" s="187">
        <f>SUM(AV453)</f>
        <v>0</v>
      </c>
      <c r="AW452" s="92">
        <f>SUM(AW453)</f>
        <v>0</v>
      </c>
      <c r="AX452" s="91">
        <f t="shared" si="996"/>
        <v>0</v>
      </c>
      <c r="AY452" s="92">
        <f>SUM(AY453)</f>
        <v>0</v>
      </c>
      <c r="AZ452" s="92">
        <f>SUM(AZ453)</f>
        <v>0</v>
      </c>
      <c r="BA452" s="91">
        <f t="shared" si="997"/>
        <v>0</v>
      </c>
      <c r="BB452" s="187">
        <f>SUM(BB453)</f>
        <v>0</v>
      </c>
      <c r="BC452" s="92">
        <f>SUM(BC453)</f>
        <v>0</v>
      </c>
      <c r="BD452" s="91">
        <f t="shared" si="998"/>
        <v>0</v>
      </c>
      <c r="BE452" s="187">
        <f t="shared" ref="BE452:BG452" si="999">SUM(BE453)</f>
        <v>0</v>
      </c>
      <c r="BF452" s="187">
        <f t="shared" si="999"/>
        <v>0</v>
      </c>
      <c r="BG452" s="93">
        <f t="shared" si="999"/>
        <v>0</v>
      </c>
    </row>
    <row r="453" spans="1:59" ht="13.5" hidden="1" customHeight="1" outlineLevel="1" thickBot="1" x14ac:dyDescent="0.3">
      <c r="A453" s="11"/>
      <c r="B453" s="84" t="s">
        <v>63</v>
      </c>
      <c r="C453" s="73" t="s">
        <v>110</v>
      </c>
      <c r="D453" s="20"/>
      <c r="E453" s="20"/>
      <c r="F453" s="24"/>
      <c r="G453" s="23"/>
      <c r="H453" s="22">
        <f t="shared" si="982"/>
        <v>0</v>
      </c>
      <c r="I453" s="24"/>
      <c r="J453" s="23"/>
      <c r="K453" s="22">
        <f t="shared" si="983"/>
        <v>0</v>
      </c>
      <c r="L453" s="24"/>
      <c r="M453" s="23"/>
      <c r="N453" s="22">
        <f t="shared" si="984"/>
        <v>0</v>
      </c>
      <c r="O453" s="24">
        <f>SUM(F453,I453,L453)</f>
        <v>0</v>
      </c>
      <c r="P453" s="23">
        <f>SUM(G453,J453,M453)</f>
        <v>0</v>
      </c>
      <c r="Q453" s="22">
        <f t="shared" si="985"/>
        <v>0</v>
      </c>
      <c r="R453" s="24"/>
      <c r="S453" s="23"/>
      <c r="T453" s="22">
        <f t="shared" si="986"/>
        <v>0</v>
      </c>
      <c r="U453" s="24"/>
      <c r="V453" s="23"/>
      <c r="W453" s="22">
        <f t="shared" si="987"/>
        <v>0</v>
      </c>
      <c r="X453" s="24"/>
      <c r="Y453" s="23"/>
      <c r="Z453" s="22">
        <f t="shared" si="988"/>
        <v>0</v>
      </c>
      <c r="AA453" s="24">
        <f>SUM(R453,U453,X453)</f>
        <v>0</v>
      </c>
      <c r="AB453" s="23">
        <f>SUM(S453,V453,Y453)</f>
        <v>0</v>
      </c>
      <c r="AC453" s="22">
        <f t="shared" si="989"/>
        <v>0</v>
      </c>
      <c r="AD453" s="24"/>
      <c r="AE453" s="23"/>
      <c r="AF453" s="22">
        <f t="shared" si="990"/>
        <v>0</v>
      </c>
      <c r="AG453" s="24"/>
      <c r="AH453" s="23"/>
      <c r="AI453" s="22">
        <f t="shared" si="991"/>
        <v>0</v>
      </c>
      <c r="AJ453" s="24"/>
      <c r="AK453" s="23"/>
      <c r="AL453" s="22">
        <f t="shared" si="992"/>
        <v>0</v>
      </c>
      <c r="AM453" s="24">
        <f>SUM(AD453,AG453,AJ453)</f>
        <v>0</v>
      </c>
      <c r="AN453" s="23">
        <f>SUM(AE453,AH453,AK453)</f>
        <v>0</v>
      </c>
      <c r="AO453" s="22">
        <f t="shared" si="993"/>
        <v>0</v>
      </c>
      <c r="AP453" s="24"/>
      <c r="AQ453" s="23"/>
      <c r="AR453" s="22">
        <f t="shared" si="994"/>
        <v>0</v>
      </c>
      <c r="AS453" s="24"/>
      <c r="AT453" s="23"/>
      <c r="AU453" s="22">
        <f t="shared" si="995"/>
        <v>0</v>
      </c>
      <c r="AV453" s="24"/>
      <c r="AW453" s="23"/>
      <c r="AX453" s="22">
        <f t="shared" si="996"/>
        <v>0</v>
      </c>
      <c r="AY453" s="23">
        <f>SUM(AP453,AS453,AV453)</f>
        <v>0</v>
      </c>
      <c r="AZ453" s="23">
        <f>SUM(AQ453,AT453,AW453)</f>
        <v>0</v>
      </c>
      <c r="BA453" s="22">
        <f t="shared" si="997"/>
        <v>0</v>
      </c>
      <c r="BB453" s="24">
        <f>SUM(F453,I453,L453,R453,U453,X453,AD453,AG453,AJ453,AP453,AS453,AV453)</f>
        <v>0</v>
      </c>
      <c r="BC453" s="23">
        <f>SUM(G453,J453,M453,S453,V453,Y453,AE453,AH453,AK453,AQ453,AT453,AW453)</f>
        <v>0</v>
      </c>
      <c r="BD453" s="22">
        <f t="shared" si="998"/>
        <v>0</v>
      </c>
      <c r="BE453" s="24"/>
      <c r="BF453" s="24"/>
      <c r="BG453" s="20">
        <f>BB453+BE453+BF453</f>
        <v>0</v>
      </c>
    </row>
    <row r="454" spans="1:59" ht="13.5" customHeight="1" collapsed="1" x14ac:dyDescent="0.25">
      <c r="A454" s="106" t="s">
        <v>117</v>
      </c>
      <c r="B454" s="105" t="s">
        <v>118</v>
      </c>
      <c r="C454" s="62" t="s">
        <v>110</v>
      </c>
      <c r="D454" s="192">
        <f>D455+D465+D484</f>
        <v>0</v>
      </c>
      <c r="E454" s="192">
        <f>E455+E465+E484</f>
        <v>0</v>
      </c>
      <c r="F454" s="195">
        <f>F455+F465+F484</f>
        <v>0</v>
      </c>
      <c r="G454" s="193">
        <f>G455+G465+G484</f>
        <v>0</v>
      </c>
      <c r="H454" s="194">
        <f t="shared" si="982"/>
        <v>0</v>
      </c>
      <c r="I454" s="195">
        <f>I455+I465+I484</f>
        <v>0</v>
      </c>
      <c r="J454" s="193">
        <f>J455+J465+J484</f>
        <v>0</v>
      </c>
      <c r="K454" s="194">
        <f t="shared" si="983"/>
        <v>0</v>
      </c>
      <c r="L454" s="195">
        <f>L455+L465+L484</f>
        <v>0</v>
      </c>
      <c r="M454" s="193">
        <f>M455+M465+M484</f>
        <v>0</v>
      </c>
      <c r="N454" s="194">
        <f t="shared" si="984"/>
        <v>0</v>
      </c>
      <c r="O454" s="195">
        <f>O455+O465+O484</f>
        <v>0</v>
      </c>
      <c r="P454" s="193">
        <f>P455+P465+P484</f>
        <v>0</v>
      </c>
      <c r="Q454" s="194">
        <f t="shared" si="985"/>
        <v>0</v>
      </c>
      <c r="R454" s="195">
        <f>R455+R465+R484</f>
        <v>0</v>
      </c>
      <c r="S454" s="193">
        <f>S455+S465+S484</f>
        <v>0</v>
      </c>
      <c r="T454" s="194">
        <f t="shared" si="986"/>
        <v>0</v>
      </c>
      <c r="U454" s="195">
        <f>U455+U465+U484</f>
        <v>0</v>
      </c>
      <c r="V454" s="193">
        <f>V455+V465+V484</f>
        <v>0</v>
      </c>
      <c r="W454" s="194">
        <f t="shared" si="987"/>
        <v>0</v>
      </c>
      <c r="X454" s="195">
        <f>X455+X465+X484</f>
        <v>0</v>
      </c>
      <c r="Y454" s="193">
        <f>Y455+Y465+Y484</f>
        <v>0</v>
      </c>
      <c r="Z454" s="194">
        <f t="shared" si="988"/>
        <v>0</v>
      </c>
      <c r="AA454" s="195">
        <f>AA455+AA465+AA484</f>
        <v>0</v>
      </c>
      <c r="AB454" s="193">
        <f>AB455+AB465+AB484</f>
        <v>0</v>
      </c>
      <c r="AC454" s="194">
        <f t="shared" si="989"/>
        <v>0</v>
      </c>
      <c r="AD454" s="195">
        <f>AD455+AD465+AD484</f>
        <v>0</v>
      </c>
      <c r="AE454" s="193">
        <f>AE455+AE465+AE484</f>
        <v>0</v>
      </c>
      <c r="AF454" s="194">
        <f t="shared" si="990"/>
        <v>0</v>
      </c>
      <c r="AG454" s="195">
        <f>AG455+AG465+AG484</f>
        <v>0</v>
      </c>
      <c r="AH454" s="193">
        <f>AH455+AH465+AH484</f>
        <v>0</v>
      </c>
      <c r="AI454" s="194">
        <f t="shared" si="991"/>
        <v>0</v>
      </c>
      <c r="AJ454" s="195">
        <f>AJ455+AJ465+AJ484</f>
        <v>0</v>
      </c>
      <c r="AK454" s="193">
        <f>AK455+AK465+AK484</f>
        <v>0</v>
      </c>
      <c r="AL454" s="194">
        <f t="shared" si="992"/>
        <v>0</v>
      </c>
      <c r="AM454" s="195">
        <f>AM455+AM465+AM484</f>
        <v>0</v>
      </c>
      <c r="AN454" s="193">
        <f>AN455+AN465+AN484</f>
        <v>0</v>
      </c>
      <c r="AO454" s="194">
        <f t="shared" si="993"/>
        <v>0</v>
      </c>
      <c r="AP454" s="195">
        <f>AP455+AP465+AP484</f>
        <v>0</v>
      </c>
      <c r="AQ454" s="193">
        <f>AQ455+AQ465+AQ484</f>
        <v>0</v>
      </c>
      <c r="AR454" s="194">
        <f t="shared" si="994"/>
        <v>0</v>
      </c>
      <c r="AS454" s="195">
        <f>AS455+AS465+AS484</f>
        <v>0</v>
      </c>
      <c r="AT454" s="193">
        <f>AT455+AT465+AT484</f>
        <v>0</v>
      </c>
      <c r="AU454" s="194">
        <f t="shared" si="995"/>
        <v>0</v>
      </c>
      <c r="AV454" s="195">
        <f>AV455+AV465+AV484</f>
        <v>0</v>
      </c>
      <c r="AW454" s="193">
        <f>AW455+AW465+AW484</f>
        <v>0</v>
      </c>
      <c r="AX454" s="194">
        <f t="shared" si="996"/>
        <v>0</v>
      </c>
      <c r="AY454" s="193">
        <f>AY455+AY465+AY484</f>
        <v>0</v>
      </c>
      <c r="AZ454" s="193">
        <f>AZ455+AZ465+AZ484</f>
        <v>0</v>
      </c>
      <c r="BA454" s="194">
        <f t="shared" si="997"/>
        <v>0</v>
      </c>
      <c r="BB454" s="195">
        <f>BB455+BB465+BB484</f>
        <v>0</v>
      </c>
      <c r="BC454" s="193">
        <f>BC455+BC465+BC484</f>
        <v>0</v>
      </c>
      <c r="BD454" s="194">
        <f t="shared" si="998"/>
        <v>0</v>
      </c>
      <c r="BE454" s="195">
        <f t="shared" ref="BE454:BF454" si="1000">BE455+BE465+BE484</f>
        <v>0</v>
      </c>
      <c r="BF454" s="195">
        <f t="shared" si="1000"/>
        <v>0</v>
      </c>
      <c r="BG454" s="192">
        <f t="shared" ref="BG454" si="1001">BG455+BG465+BG484</f>
        <v>0</v>
      </c>
    </row>
    <row r="455" spans="1:59" s="210" customFormat="1" ht="13.5" customHeight="1" x14ac:dyDescent="0.25">
      <c r="A455" s="103"/>
      <c r="B455" s="102" t="s">
        <v>33</v>
      </c>
      <c r="C455" s="61" t="s">
        <v>110</v>
      </c>
      <c r="D455" s="188">
        <f>SUM(D456:D464)</f>
        <v>0</v>
      </c>
      <c r="E455" s="188">
        <f>SUM(E456:E464)</f>
        <v>0</v>
      </c>
      <c r="F455" s="191">
        <f>SUM(F456:F464)</f>
        <v>0</v>
      </c>
      <c r="G455" s="189">
        <f>SUM(G456:G464)</f>
        <v>0</v>
      </c>
      <c r="H455" s="190">
        <f t="shared" si="982"/>
        <v>0</v>
      </c>
      <c r="I455" s="191">
        <f>SUM(I456:I464)</f>
        <v>0</v>
      </c>
      <c r="J455" s="189">
        <f>SUM(J456:J464)</f>
        <v>0</v>
      </c>
      <c r="K455" s="190">
        <f t="shared" si="983"/>
        <v>0</v>
      </c>
      <c r="L455" s="191">
        <f>SUM(L456:L464)</f>
        <v>0</v>
      </c>
      <c r="M455" s="189">
        <f>SUM(M456:M464)</f>
        <v>0</v>
      </c>
      <c r="N455" s="190">
        <f t="shared" si="984"/>
        <v>0</v>
      </c>
      <c r="O455" s="191">
        <f>SUM(O456:O464)</f>
        <v>0</v>
      </c>
      <c r="P455" s="189">
        <f>SUM(P456:P464)</f>
        <v>0</v>
      </c>
      <c r="Q455" s="190">
        <f t="shared" si="985"/>
        <v>0</v>
      </c>
      <c r="R455" s="191">
        <f>SUM(R456:R464)</f>
        <v>0</v>
      </c>
      <c r="S455" s="189">
        <f>SUM(S456:S464)</f>
        <v>0</v>
      </c>
      <c r="T455" s="190">
        <f t="shared" si="986"/>
        <v>0</v>
      </c>
      <c r="U455" s="191">
        <f>SUM(U456:U464)</f>
        <v>0</v>
      </c>
      <c r="V455" s="189">
        <f>SUM(V456:V464)</f>
        <v>0</v>
      </c>
      <c r="W455" s="190">
        <f t="shared" si="987"/>
        <v>0</v>
      </c>
      <c r="X455" s="191">
        <f>SUM(X456:X464)</f>
        <v>0</v>
      </c>
      <c r="Y455" s="189">
        <f>SUM(Y456:Y464)</f>
        <v>0</v>
      </c>
      <c r="Z455" s="190">
        <f t="shared" si="988"/>
        <v>0</v>
      </c>
      <c r="AA455" s="191">
        <f>SUM(AA456:AA464)</f>
        <v>0</v>
      </c>
      <c r="AB455" s="189">
        <f>SUM(AB456:AB464)</f>
        <v>0</v>
      </c>
      <c r="AC455" s="190">
        <f t="shared" si="989"/>
        <v>0</v>
      </c>
      <c r="AD455" s="191">
        <f>SUM(AD456:AD464)</f>
        <v>0</v>
      </c>
      <c r="AE455" s="189">
        <f>SUM(AE456:AE464)</f>
        <v>0</v>
      </c>
      <c r="AF455" s="190">
        <f t="shared" si="990"/>
        <v>0</v>
      </c>
      <c r="AG455" s="191">
        <f>SUM(AG456:AG464)</f>
        <v>0</v>
      </c>
      <c r="AH455" s="189">
        <f>SUM(AH456:AH464)</f>
        <v>0</v>
      </c>
      <c r="AI455" s="190">
        <f t="shared" si="991"/>
        <v>0</v>
      </c>
      <c r="AJ455" s="191">
        <f>SUM(AJ456:AJ464)</f>
        <v>0</v>
      </c>
      <c r="AK455" s="189">
        <f>SUM(AK456:AK464)</f>
        <v>0</v>
      </c>
      <c r="AL455" s="190">
        <f t="shared" si="992"/>
        <v>0</v>
      </c>
      <c r="AM455" s="191">
        <f>SUM(AM456:AM464)</f>
        <v>0</v>
      </c>
      <c r="AN455" s="189">
        <f>SUM(AN456:AN464)</f>
        <v>0</v>
      </c>
      <c r="AO455" s="190">
        <f t="shared" si="993"/>
        <v>0</v>
      </c>
      <c r="AP455" s="191">
        <f>SUM(AP456:AP464)</f>
        <v>0</v>
      </c>
      <c r="AQ455" s="189">
        <f>SUM(AQ456:AQ464)</f>
        <v>0</v>
      </c>
      <c r="AR455" s="190">
        <f t="shared" si="994"/>
        <v>0</v>
      </c>
      <c r="AS455" s="191">
        <f>SUM(AS456:AS464)</f>
        <v>0</v>
      </c>
      <c r="AT455" s="189">
        <f>SUM(AT456:AT464)</f>
        <v>0</v>
      </c>
      <c r="AU455" s="190">
        <f t="shared" si="995"/>
        <v>0</v>
      </c>
      <c r="AV455" s="191">
        <f>SUM(AV456:AV464)</f>
        <v>0</v>
      </c>
      <c r="AW455" s="189">
        <f>SUM(AW456:AW464)</f>
        <v>0</v>
      </c>
      <c r="AX455" s="190">
        <f t="shared" si="996"/>
        <v>0</v>
      </c>
      <c r="AY455" s="189">
        <f>SUM(AY456:AY464)</f>
        <v>0</v>
      </c>
      <c r="AZ455" s="189">
        <f>SUM(AZ456:AZ464)</f>
        <v>0</v>
      </c>
      <c r="BA455" s="190">
        <f t="shared" si="997"/>
        <v>0</v>
      </c>
      <c r="BB455" s="191">
        <f>SUM(BB456:BB464)</f>
        <v>0</v>
      </c>
      <c r="BC455" s="189">
        <f>SUM(BC456:BC464)</f>
        <v>0</v>
      </c>
      <c r="BD455" s="190">
        <f t="shared" si="998"/>
        <v>0</v>
      </c>
      <c r="BE455" s="191">
        <f t="shared" ref="BE455:BF455" si="1002">SUM(BE456:BE464)</f>
        <v>0</v>
      </c>
      <c r="BF455" s="191">
        <f t="shared" si="1002"/>
        <v>0</v>
      </c>
      <c r="BG455" s="188">
        <f t="shared" ref="BG455" si="1003">SUM(BG456:BG464)</f>
        <v>0</v>
      </c>
    </row>
    <row r="456" spans="1:59" ht="13.5" hidden="1" customHeight="1" outlineLevel="1" x14ac:dyDescent="0.25">
      <c r="A456" s="100"/>
      <c r="B456" s="84" t="s">
        <v>34</v>
      </c>
      <c r="C456" s="75" t="s">
        <v>110</v>
      </c>
      <c r="D456" s="20"/>
      <c r="E456" s="20"/>
      <c r="F456" s="24"/>
      <c r="G456" s="23"/>
      <c r="H456" s="22">
        <f t="shared" si="982"/>
        <v>0</v>
      </c>
      <c r="I456" s="24"/>
      <c r="J456" s="23"/>
      <c r="K456" s="22">
        <f t="shared" si="983"/>
        <v>0</v>
      </c>
      <c r="L456" s="24"/>
      <c r="M456" s="23"/>
      <c r="N456" s="22">
        <f t="shared" si="984"/>
        <v>0</v>
      </c>
      <c r="O456" s="24">
        <f t="shared" ref="O456:P464" si="1004">SUM(F456,I456,L456)</f>
        <v>0</v>
      </c>
      <c r="P456" s="23">
        <f t="shared" si="1004"/>
        <v>0</v>
      </c>
      <c r="Q456" s="22">
        <f t="shared" si="985"/>
        <v>0</v>
      </c>
      <c r="R456" s="24"/>
      <c r="S456" s="23"/>
      <c r="T456" s="22">
        <f t="shared" si="986"/>
        <v>0</v>
      </c>
      <c r="U456" s="24"/>
      <c r="V456" s="23"/>
      <c r="W456" s="22">
        <f t="shared" si="987"/>
        <v>0</v>
      </c>
      <c r="X456" s="24"/>
      <c r="Y456" s="23"/>
      <c r="Z456" s="22">
        <f t="shared" si="988"/>
        <v>0</v>
      </c>
      <c r="AA456" s="24">
        <f t="shared" ref="AA456:AB464" si="1005">SUM(R456,U456,X456)</f>
        <v>0</v>
      </c>
      <c r="AB456" s="23">
        <f t="shared" si="1005"/>
        <v>0</v>
      </c>
      <c r="AC456" s="22">
        <f t="shared" si="989"/>
        <v>0</v>
      </c>
      <c r="AD456" s="24"/>
      <c r="AE456" s="23"/>
      <c r="AF456" s="22">
        <f t="shared" si="990"/>
        <v>0</v>
      </c>
      <c r="AG456" s="24"/>
      <c r="AH456" s="23"/>
      <c r="AI456" s="22">
        <f t="shared" si="991"/>
        <v>0</v>
      </c>
      <c r="AJ456" s="24"/>
      <c r="AK456" s="23"/>
      <c r="AL456" s="22">
        <f t="shared" si="992"/>
        <v>0</v>
      </c>
      <c r="AM456" s="24">
        <f t="shared" ref="AM456:AN464" si="1006">SUM(AD456,AG456,AJ456)</f>
        <v>0</v>
      </c>
      <c r="AN456" s="23">
        <f t="shared" si="1006"/>
        <v>0</v>
      </c>
      <c r="AO456" s="22">
        <f t="shared" si="993"/>
        <v>0</v>
      </c>
      <c r="AP456" s="24"/>
      <c r="AQ456" s="23"/>
      <c r="AR456" s="22">
        <f t="shared" si="994"/>
        <v>0</v>
      </c>
      <c r="AS456" s="24"/>
      <c r="AT456" s="23"/>
      <c r="AU456" s="22">
        <f t="shared" si="995"/>
        <v>0</v>
      </c>
      <c r="AV456" s="24"/>
      <c r="AW456" s="23"/>
      <c r="AX456" s="22">
        <f t="shared" si="996"/>
        <v>0</v>
      </c>
      <c r="AY456" s="23">
        <f t="shared" ref="AY456:AZ464" si="1007">SUM(AP456,AS456,AV456)</f>
        <v>0</v>
      </c>
      <c r="AZ456" s="23">
        <f t="shared" si="1007"/>
        <v>0</v>
      </c>
      <c r="BA456" s="22">
        <f t="shared" si="997"/>
        <v>0</v>
      </c>
      <c r="BB456" s="24">
        <f t="shared" ref="BB456:BC464" si="1008">SUM(F456,I456,L456,R456,U456,X456,AD456,AG456,AJ456,AP456,AS456,AV456)</f>
        <v>0</v>
      </c>
      <c r="BC456" s="23">
        <f t="shared" si="1008"/>
        <v>0</v>
      </c>
      <c r="BD456" s="22">
        <f t="shared" si="998"/>
        <v>0</v>
      </c>
      <c r="BE456" s="24"/>
      <c r="BF456" s="24"/>
      <c r="BG456" s="20">
        <f>BB456+BE456+BF456</f>
        <v>0</v>
      </c>
    </row>
    <row r="457" spans="1:59" ht="13.5" hidden="1" customHeight="1" outlineLevel="1" x14ac:dyDescent="0.25">
      <c r="A457" s="100"/>
      <c r="B457" s="84" t="s">
        <v>35</v>
      </c>
      <c r="C457" s="75" t="s">
        <v>110</v>
      </c>
      <c r="D457" s="20"/>
      <c r="E457" s="20"/>
      <c r="F457" s="24"/>
      <c r="G457" s="23"/>
      <c r="H457" s="22">
        <f t="shared" si="982"/>
        <v>0</v>
      </c>
      <c r="I457" s="24"/>
      <c r="J457" s="23"/>
      <c r="K457" s="22">
        <f t="shared" si="983"/>
        <v>0</v>
      </c>
      <c r="L457" s="24"/>
      <c r="M457" s="23"/>
      <c r="N457" s="22">
        <f t="shared" si="984"/>
        <v>0</v>
      </c>
      <c r="O457" s="24">
        <f t="shared" si="1004"/>
        <v>0</v>
      </c>
      <c r="P457" s="23">
        <f t="shared" si="1004"/>
        <v>0</v>
      </c>
      <c r="Q457" s="22">
        <f t="shared" si="985"/>
        <v>0</v>
      </c>
      <c r="R457" s="24"/>
      <c r="S457" s="23"/>
      <c r="T457" s="22">
        <f t="shared" si="986"/>
        <v>0</v>
      </c>
      <c r="U457" s="24"/>
      <c r="V457" s="23"/>
      <c r="W457" s="22">
        <f t="shared" si="987"/>
        <v>0</v>
      </c>
      <c r="X457" s="24"/>
      <c r="Y457" s="23"/>
      <c r="Z457" s="22">
        <f t="shared" si="988"/>
        <v>0</v>
      </c>
      <c r="AA457" s="24">
        <f t="shared" si="1005"/>
        <v>0</v>
      </c>
      <c r="AB457" s="23">
        <f t="shared" si="1005"/>
        <v>0</v>
      </c>
      <c r="AC457" s="22">
        <f t="shared" si="989"/>
        <v>0</v>
      </c>
      <c r="AD457" s="24"/>
      <c r="AE457" s="23"/>
      <c r="AF457" s="22">
        <f t="shared" si="990"/>
        <v>0</v>
      </c>
      <c r="AG457" s="24"/>
      <c r="AH457" s="23"/>
      <c r="AI457" s="22">
        <f t="shared" si="991"/>
        <v>0</v>
      </c>
      <c r="AJ457" s="24"/>
      <c r="AK457" s="23"/>
      <c r="AL457" s="22">
        <f t="shared" si="992"/>
        <v>0</v>
      </c>
      <c r="AM457" s="24">
        <f t="shared" si="1006"/>
        <v>0</v>
      </c>
      <c r="AN457" s="23">
        <f t="shared" si="1006"/>
        <v>0</v>
      </c>
      <c r="AO457" s="22">
        <f t="shared" si="993"/>
        <v>0</v>
      </c>
      <c r="AP457" s="24"/>
      <c r="AQ457" s="23"/>
      <c r="AR457" s="22">
        <f t="shared" si="994"/>
        <v>0</v>
      </c>
      <c r="AS457" s="24"/>
      <c r="AT457" s="23"/>
      <c r="AU457" s="22">
        <f t="shared" si="995"/>
        <v>0</v>
      </c>
      <c r="AV457" s="24"/>
      <c r="AW457" s="23"/>
      <c r="AX457" s="22">
        <f t="shared" si="996"/>
        <v>0</v>
      </c>
      <c r="AY457" s="23">
        <f t="shared" si="1007"/>
        <v>0</v>
      </c>
      <c r="AZ457" s="23">
        <f t="shared" si="1007"/>
        <v>0</v>
      </c>
      <c r="BA457" s="22">
        <f t="shared" si="997"/>
        <v>0</v>
      </c>
      <c r="BB457" s="24">
        <f t="shared" si="1008"/>
        <v>0</v>
      </c>
      <c r="BC457" s="23">
        <f t="shared" si="1008"/>
        <v>0</v>
      </c>
      <c r="BD457" s="22">
        <f t="shared" si="998"/>
        <v>0</v>
      </c>
      <c r="BE457" s="24"/>
      <c r="BF457" s="24"/>
      <c r="BG457" s="20">
        <f t="shared" ref="BG457:BG464" si="1009">BB457+BE457+BF457</f>
        <v>0</v>
      </c>
    </row>
    <row r="458" spans="1:59" ht="13.5" hidden="1" customHeight="1" outlineLevel="1" x14ac:dyDescent="0.25">
      <c r="A458" s="100"/>
      <c r="B458" s="84" t="s">
        <v>36</v>
      </c>
      <c r="C458" s="75" t="s">
        <v>110</v>
      </c>
      <c r="D458" s="20"/>
      <c r="E458" s="20"/>
      <c r="F458" s="24"/>
      <c r="G458" s="23"/>
      <c r="H458" s="22">
        <f t="shared" si="982"/>
        <v>0</v>
      </c>
      <c r="I458" s="24"/>
      <c r="J458" s="23"/>
      <c r="K458" s="22">
        <f t="shared" si="983"/>
        <v>0</v>
      </c>
      <c r="L458" s="24"/>
      <c r="M458" s="23"/>
      <c r="N458" s="22">
        <f t="shared" si="984"/>
        <v>0</v>
      </c>
      <c r="O458" s="24">
        <f t="shared" si="1004"/>
        <v>0</v>
      </c>
      <c r="P458" s="23">
        <f t="shared" si="1004"/>
        <v>0</v>
      </c>
      <c r="Q458" s="22">
        <f t="shared" si="985"/>
        <v>0</v>
      </c>
      <c r="R458" s="24"/>
      <c r="S458" s="23"/>
      <c r="T458" s="22">
        <f t="shared" si="986"/>
        <v>0</v>
      </c>
      <c r="U458" s="24"/>
      <c r="V458" s="23"/>
      <c r="W458" s="22">
        <f t="shared" si="987"/>
        <v>0</v>
      </c>
      <c r="X458" s="24"/>
      <c r="Y458" s="23"/>
      <c r="Z458" s="22">
        <f t="shared" si="988"/>
        <v>0</v>
      </c>
      <c r="AA458" s="24">
        <f t="shared" si="1005"/>
        <v>0</v>
      </c>
      <c r="AB458" s="23">
        <f t="shared" si="1005"/>
        <v>0</v>
      </c>
      <c r="AC458" s="22">
        <f t="shared" si="989"/>
        <v>0</v>
      </c>
      <c r="AD458" s="24"/>
      <c r="AE458" s="23"/>
      <c r="AF458" s="22">
        <f t="shared" si="990"/>
        <v>0</v>
      </c>
      <c r="AG458" s="24"/>
      <c r="AH458" s="23"/>
      <c r="AI458" s="22">
        <f t="shared" si="991"/>
        <v>0</v>
      </c>
      <c r="AJ458" s="24"/>
      <c r="AK458" s="23"/>
      <c r="AL458" s="22">
        <f t="shared" si="992"/>
        <v>0</v>
      </c>
      <c r="AM458" s="24">
        <f t="shared" si="1006"/>
        <v>0</v>
      </c>
      <c r="AN458" s="23">
        <f t="shared" si="1006"/>
        <v>0</v>
      </c>
      <c r="AO458" s="22">
        <f t="shared" si="993"/>
        <v>0</v>
      </c>
      <c r="AP458" s="24"/>
      <c r="AQ458" s="23"/>
      <c r="AR458" s="22">
        <f t="shared" si="994"/>
        <v>0</v>
      </c>
      <c r="AS458" s="24"/>
      <c r="AT458" s="23"/>
      <c r="AU458" s="22">
        <f t="shared" si="995"/>
        <v>0</v>
      </c>
      <c r="AV458" s="24"/>
      <c r="AW458" s="23"/>
      <c r="AX458" s="22">
        <f t="shared" si="996"/>
        <v>0</v>
      </c>
      <c r="AY458" s="23">
        <f t="shared" si="1007"/>
        <v>0</v>
      </c>
      <c r="AZ458" s="23">
        <f t="shared" si="1007"/>
        <v>0</v>
      </c>
      <c r="BA458" s="22">
        <f t="shared" si="997"/>
        <v>0</v>
      </c>
      <c r="BB458" s="24">
        <f t="shared" si="1008"/>
        <v>0</v>
      </c>
      <c r="BC458" s="23">
        <f t="shared" si="1008"/>
        <v>0</v>
      </c>
      <c r="BD458" s="22">
        <f t="shared" si="998"/>
        <v>0</v>
      </c>
      <c r="BE458" s="24"/>
      <c r="BF458" s="24"/>
      <c r="BG458" s="20">
        <f t="shared" si="1009"/>
        <v>0</v>
      </c>
    </row>
    <row r="459" spans="1:59" ht="13.5" hidden="1" customHeight="1" outlineLevel="1" x14ac:dyDescent="0.25">
      <c r="A459" s="100"/>
      <c r="B459" s="84" t="s">
        <v>37</v>
      </c>
      <c r="C459" s="75" t="s">
        <v>110</v>
      </c>
      <c r="D459" s="20"/>
      <c r="E459" s="20"/>
      <c r="F459" s="24"/>
      <c r="G459" s="23"/>
      <c r="H459" s="22">
        <f t="shared" si="982"/>
        <v>0</v>
      </c>
      <c r="I459" s="24"/>
      <c r="J459" s="23"/>
      <c r="K459" s="22">
        <f t="shared" si="983"/>
        <v>0</v>
      </c>
      <c r="L459" s="24"/>
      <c r="M459" s="23"/>
      <c r="N459" s="22">
        <f t="shared" si="984"/>
        <v>0</v>
      </c>
      <c r="O459" s="24">
        <f t="shared" si="1004"/>
        <v>0</v>
      </c>
      <c r="P459" s="23">
        <f t="shared" si="1004"/>
        <v>0</v>
      </c>
      <c r="Q459" s="22">
        <f t="shared" si="985"/>
        <v>0</v>
      </c>
      <c r="R459" s="24"/>
      <c r="S459" s="23"/>
      <c r="T459" s="22">
        <f t="shared" si="986"/>
        <v>0</v>
      </c>
      <c r="U459" s="24"/>
      <c r="V459" s="23"/>
      <c r="W459" s="22">
        <f t="shared" si="987"/>
        <v>0</v>
      </c>
      <c r="X459" s="24"/>
      <c r="Y459" s="23"/>
      <c r="Z459" s="22">
        <f t="shared" si="988"/>
        <v>0</v>
      </c>
      <c r="AA459" s="24">
        <f t="shared" si="1005"/>
        <v>0</v>
      </c>
      <c r="AB459" s="23">
        <f t="shared" si="1005"/>
        <v>0</v>
      </c>
      <c r="AC459" s="22">
        <f t="shared" si="989"/>
        <v>0</v>
      </c>
      <c r="AD459" s="24"/>
      <c r="AE459" s="23"/>
      <c r="AF459" s="22">
        <f t="shared" si="990"/>
        <v>0</v>
      </c>
      <c r="AG459" s="24"/>
      <c r="AH459" s="23"/>
      <c r="AI459" s="22">
        <f t="shared" si="991"/>
        <v>0</v>
      </c>
      <c r="AJ459" s="24"/>
      <c r="AK459" s="23"/>
      <c r="AL459" s="22">
        <f t="shared" si="992"/>
        <v>0</v>
      </c>
      <c r="AM459" s="24">
        <f t="shared" si="1006"/>
        <v>0</v>
      </c>
      <c r="AN459" s="23">
        <f t="shared" si="1006"/>
        <v>0</v>
      </c>
      <c r="AO459" s="22">
        <f t="shared" si="993"/>
        <v>0</v>
      </c>
      <c r="AP459" s="24"/>
      <c r="AQ459" s="23"/>
      <c r="AR459" s="22">
        <f t="shared" si="994"/>
        <v>0</v>
      </c>
      <c r="AS459" s="24"/>
      <c r="AT459" s="23"/>
      <c r="AU459" s="22">
        <f t="shared" si="995"/>
        <v>0</v>
      </c>
      <c r="AV459" s="24"/>
      <c r="AW459" s="23"/>
      <c r="AX459" s="22">
        <f t="shared" si="996"/>
        <v>0</v>
      </c>
      <c r="AY459" s="23">
        <f t="shared" si="1007"/>
        <v>0</v>
      </c>
      <c r="AZ459" s="23">
        <f t="shared" si="1007"/>
        <v>0</v>
      </c>
      <c r="BA459" s="22">
        <f t="shared" si="997"/>
        <v>0</v>
      </c>
      <c r="BB459" s="24">
        <f t="shared" si="1008"/>
        <v>0</v>
      </c>
      <c r="BC459" s="23">
        <f t="shared" si="1008"/>
        <v>0</v>
      </c>
      <c r="BD459" s="22">
        <f t="shared" si="998"/>
        <v>0</v>
      </c>
      <c r="BE459" s="24"/>
      <c r="BF459" s="24"/>
      <c r="BG459" s="20">
        <f t="shared" si="1009"/>
        <v>0</v>
      </c>
    </row>
    <row r="460" spans="1:59" ht="13.5" hidden="1" customHeight="1" outlineLevel="1" x14ac:dyDescent="0.25">
      <c r="A460" s="100"/>
      <c r="B460" s="84" t="s">
        <v>38</v>
      </c>
      <c r="C460" s="75" t="s">
        <v>110</v>
      </c>
      <c r="D460" s="20"/>
      <c r="E460" s="20"/>
      <c r="F460" s="24"/>
      <c r="G460" s="23"/>
      <c r="H460" s="22">
        <f t="shared" si="982"/>
        <v>0</v>
      </c>
      <c r="I460" s="24"/>
      <c r="J460" s="23"/>
      <c r="K460" s="22">
        <f t="shared" si="983"/>
        <v>0</v>
      </c>
      <c r="L460" s="24"/>
      <c r="M460" s="23"/>
      <c r="N460" s="22">
        <f t="shared" si="984"/>
        <v>0</v>
      </c>
      <c r="O460" s="24">
        <f t="shared" si="1004"/>
        <v>0</v>
      </c>
      <c r="P460" s="23">
        <f t="shared" si="1004"/>
        <v>0</v>
      </c>
      <c r="Q460" s="22">
        <f t="shared" si="985"/>
        <v>0</v>
      </c>
      <c r="R460" s="24"/>
      <c r="S460" s="23"/>
      <c r="T460" s="22">
        <f t="shared" si="986"/>
        <v>0</v>
      </c>
      <c r="U460" s="24"/>
      <c r="V460" s="23"/>
      <c r="W460" s="22">
        <f t="shared" si="987"/>
        <v>0</v>
      </c>
      <c r="X460" s="24"/>
      <c r="Y460" s="23"/>
      <c r="Z460" s="22">
        <f t="shared" si="988"/>
        <v>0</v>
      </c>
      <c r="AA460" s="24">
        <f t="shared" si="1005"/>
        <v>0</v>
      </c>
      <c r="AB460" s="23">
        <f t="shared" si="1005"/>
        <v>0</v>
      </c>
      <c r="AC460" s="22">
        <f t="shared" si="989"/>
        <v>0</v>
      </c>
      <c r="AD460" s="24"/>
      <c r="AE460" s="23"/>
      <c r="AF460" s="22">
        <f t="shared" si="990"/>
        <v>0</v>
      </c>
      <c r="AG460" s="24"/>
      <c r="AH460" s="23"/>
      <c r="AI460" s="22">
        <f t="shared" si="991"/>
        <v>0</v>
      </c>
      <c r="AJ460" s="24"/>
      <c r="AK460" s="23"/>
      <c r="AL460" s="22">
        <f t="shared" si="992"/>
        <v>0</v>
      </c>
      <c r="AM460" s="24">
        <f t="shared" si="1006"/>
        <v>0</v>
      </c>
      <c r="AN460" s="23">
        <f t="shared" si="1006"/>
        <v>0</v>
      </c>
      <c r="AO460" s="22">
        <f t="shared" si="993"/>
        <v>0</v>
      </c>
      <c r="AP460" s="24"/>
      <c r="AQ460" s="23"/>
      <c r="AR460" s="22">
        <f t="shared" si="994"/>
        <v>0</v>
      </c>
      <c r="AS460" s="24"/>
      <c r="AT460" s="23"/>
      <c r="AU460" s="22">
        <f t="shared" si="995"/>
        <v>0</v>
      </c>
      <c r="AV460" s="24"/>
      <c r="AW460" s="23"/>
      <c r="AX460" s="22">
        <f t="shared" si="996"/>
        <v>0</v>
      </c>
      <c r="AY460" s="23">
        <f t="shared" si="1007"/>
        <v>0</v>
      </c>
      <c r="AZ460" s="23">
        <f t="shared" si="1007"/>
        <v>0</v>
      </c>
      <c r="BA460" s="22">
        <f t="shared" si="997"/>
        <v>0</v>
      </c>
      <c r="BB460" s="24">
        <f t="shared" si="1008"/>
        <v>0</v>
      </c>
      <c r="BC460" s="23">
        <f t="shared" si="1008"/>
        <v>0</v>
      </c>
      <c r="BD460" s="22">
        <f t="shared" si="998"/>
        <v>0</v>
      </c>
      <c r="BE460" s="24"/>
      <c r="BF460" s="24"/>
      <c r="BG460" s="20">
        <f t="shared" si="1009"/>
        <v>0</v>
      </c>
    </row>
    <row r="461" spans="1:59" ht="13.5" hidden="1" customHeight="1" outlineLevel="1" x14ac:dyDescent="0.25">
      <c r="A461" s="100"/>
      <c r="B461" s="84" t="s">
        <v>39</v>
      </c>
      <c r="C461" s="75" t="s">
        <v>110</v>
      </c>
      <c r="D461" s="20"/>
      <c r="E461" s="20"/>
      <c r="F461" s="24"/>
      <c r="G461" s="23"/>
      <c r="H461" s="22">
        <f t="shared" si="982"/>
        <v>0</v>
      </c>
      <c r="I461" s="24"/>
      <c r="J461" s="23"/>
      <c r="K461" s="22">
        <f t="shared" si="983"/>
        <v>0</v>
      </c>
      <c r="L461" s="24"/>
      <c r="M461" s="23"/>
      <c r="N461" s="22">
        <f t="shared" si="984"/>
        <v>0</v>
      </c>
      <c r="O461" s="24">
        <f t="shared" si="1004"/>
        <v>0</v>
      </c>
      <c r="P461" s="23">
        <f t="shared" si="1004"/>
        <v>0</v>
      </c>
      <c r="Q461" s="22">
        <f t="shared" si="985"/>
        <v>0</v>
      </c>
      <c r="R461" s="24"/>
      <c r="S461" s="23"/>
      <c r="T461" s="22">
        <f t="shared" si="986"/>
        <v>0</v>
      </c>
      <c r="U461" s="24"/>
      <c r="V461" s="23"/>
      <c r="W461" s="22">
        <f t="shared" si="987"/>
        <v>0</v>
      </c>
      <c r="X461" s="24"/>
      <c r="Y461" s="23"/>
      <c r="Z461" s="22">
        <f t="shared" si="988"/>
        <v>0</v>
      </c>
      <c r="AA461" s="24">
        <f t="shared" si="1005"/>
        <v>0</v>
      </c>
      <c r="AB461" s="23">
        <f t="shared" si="1005"/>
        <v>0</v>
      </c>
      <c r="AC461" s="22">
        <f t="shared" si="989"/>
        <v>0</v>
      </c>
      <c r="AD461" s="24"/>
      <c r="AE461" s="23"/>
      <c r="AF461" s="22">
        <f t="shared" si="990"/>
        <v>0</v>
      </c>
      <c r="AG461" s="24"/>
      <c r="AH461" s="23"/>
      <c r="AI461" s="22">
        <f t="shared" si="991"/>
        <v>0</v>
      </c>
      <c r="AJ461" s="24"/>
      <c r="AK461" s="23"/>
      <c r="AL461" s="22">
        <f t="shared" si="992"/>
        <v>0</v>
      </c>
      <c r="AM461" s="24">
        <f t="shared" si="1006"/>
        <v>0</v>
      </c>
      <c r="AN461" s="23">
        <f t="shared" si="1006"/>
        <v>0</v>
      </c>
      <c r="AO461" s="22">
        <f t="shared" si="993"/>
        <v>0</v>
      </c>
      <c r="AP461" s="24"/>
      <c r="AQ461" s="23"/>
      <c r="AR461" s="22">
        <f t="shared" si="994"/>
        <v>0</v>
      </c>
      <c r="AS461" s="24"/>
      <c r="AT461" s="23"/>
      <c r="AU461" s="22">
        <f t="shared" si="995"/>
        <v>0</v>
      </c>
      <c r="AV461" s="24"/>
      <c r="AW461" s="23"/>
      <c r="AX461" s="22">
        <f t="shared" si="996"/>
        <v>0</v>
      </c>
      <c r="AY461" s="23">
        <f t="shared" si="1007"/>
        <v>0</v>
      </c>
      <c r="AZ461" s="23">
        <f t="shared" si="1007"/>
        <v>0</v>
      </c>
      <c r="BA461" s="22">
        <f t="shared" si="997"/>
        <v>0</v>
      </c>
      <c r="BB461" s="24">
        <f t="shared" si="1008"/>
        <v>0</v>
      </c>
      <c r="BC461" s="23">
        <f t="shared" si="1008"/>
        <v>0</v>
      </c>
      <c r="BD461" s="22">
        <f t="shared" si="998"/>
        <v>0</v>
      </c>
      <c r="BE461" s="24"/>
      <c r="BF461" s="24"/>
      <c r="BG461" s="20">
        <f t="shared" si="1009"/>
        <v>0</v>
      </c>
    </row>
    <row r="462" spans="1:59" ht="13.5" hidden="1" customHeight="1" outlineLevel="1" x14ac:dyDescent="0.25">
      <c r="A462" s="100"/>
      <c r="B462" s="84" t="s">
        <v>40</v>
      </c>
      <c r="C462" s="75" t="s">
        <v>110</v>
      </c>
      <c r="D462" s="20"/>
      <c r="E462" s="20"/>
      <c r="F462" s="24"/>
      <c r="G462" s="23"/>
      <c r="H462" s="22">
        <f t="shared" si="982"/>
        <v>0</v>
      </c>
      <c r="I462" s="24"/>
      <c r="J462" s="23"/>
      <c r="K462" s="22">
        <f t="shared" si="983"/>
        <v>0</v>
      </c>
      <c r="L462" s="24"/>
      <c r="M462" s="23"/>
      <c r="N462" s="22">
        <f t="shared" si="984"/>
        <v>0</v>
      </c>
      <c r="O462" s="24">
        <f t="shared" si="1004"/>
        <v>0</v>
      </c>
      <c r="P462" s="23">
        <f t="shared" si="1004"/>
        <v>0</v>
      </c>
      <c r="Q462" s="22">
        <f t="shared" si="985"/>
        <v>0</v>
      </c>
      <c r="R462" s="24"/>
      <c r="S462" s="23"/>
      <c r="T462" s="22">
        <f t="shared" si="986"/>
        <v>0</v>
      </c>
      <c r="U462" s="24"/>
      <c r="V462" s="23"/>
      <c r="W462" s="22">
        <f t="shared" si="987"/>
        <v>0</v>
      </c>
      <c r="X462" s="24"/>
      <c r="Y462" s="23"/>
      <c r="Z462" s="22">
        <f t="shared" si="988"/>
        <v>0</v>
      </c>
      <c r="AA462" s="24">
        <f t="shared" si="1005"/>
        <v>0</v>
      </c>
      <c r="AB462" s="23">
        <f t="shared" si="1005"/>
        <v>0</v>
      </c>
      <c r="AC462" s="22">
        <f t="shared" si="989"/>
        <v>0</v>
      </c>
      <c r="AD462" s="24"/>
      <c r="AE462" s="23"/>
      <c r="AF462" s="22">
        <f t="shared" si="990"/>
        <v>0</v>
      </c>
      <c r="AG462" s="24"/>
      <c r="AH462" s="23"/>
      <c r="AI462" s="22">
        <f t="shared" si="991"/>
        <v>0</v>
      </c>
      <c r="AJ462" s="24"/>
      <c r="AK462" s="23"/>
      <c r="AL462" s="22">
        <f t="shared" si="992"/>
        <v>0</v>
      </c>
      <c r="AM462" s="24">
        <f t="shared" si="1006"/>
        <v>0</v>
      </c>
      <c r="AN462" s="23">
        <f t="shared" si="1006"/>
        <v>0</v>
      </c>
      <c r="AO462" s="22">
        <f t="shared" si="993"/>
        <v>0</v>
      </c>
      <c r="AP462" s="24"/>
      <c r="AQ462" s="23"/>
      <c r="AR462" s="22">
        <f t="shared" si="994"/>
        <v>0</v>
      </c>
      <c r="AS462" s="24"/>
      <c r="AT462" s="23"/>
      <c r="AU462" s="22">
        <f t="shared" si="995"/>
        <v>0</v>
      </c>
      <c r="AV462" s="24"/>
      <c r="AW462" s="23"/>
      <c r="AX462" s="22">
        <f t="shared" si="996"/>
        <v>0</v>
      </c>
      <c r="AY462" s="23">
        <f t="shared" si="1007"/>
        <v>0</v>
      </c>
      <c r="AZ462" s="23">
        <f t="shared" si="1007"/>
        <v>0</v>
      </c>
      <c r="BA462" s="22">
        <f t="shared" si="997"/>
        <v>0</v>
      </c>
      <c r="BB462" s="24">
        <f t="shared" si="1008"/>
        <v>0</v>
      </c>
      <c r="BC462" s="23">
        <f t="shared" si="1008"/>
        <v>0</v>
      </c>
      <c r="BD462" s="22">
        <f t="shared" si="998"/>
        <v>0</v>
      </c>
      <c r="BE462" s="24"/>
      <c r="BF462" s="24"/>
      <c r="BG462" s="20">
        <f t="shared" si="1009"/>
        <v>0</v>
      </c>
    </row>
    <row r="463" spans="1:59" ht="13.5" hidden="1" customHeight="1" outlineLevel="1" x14ac:dyDescent="0.25">
      <c r="A463" s="100"/>
      <c r="B463" s="84" t="s">
        <v>41</v>
      </c>
      <c r="C463" s="75" t="s">
        <v>110</v>
      </c>
      <c r="D463" s="20"/>
      <c r="E463" s="20"/>
      <c r="F463" s="24"/>
      <c r="G463" s="23"/>
      <c r="H463" s="22">
        <f t="shared" ref="H463:H478" si="1010">G463-F463</f>
        <v>0</v>
      </c>
      <c r="I463" s="24"/>
      <c r="J463" s="23"/>
      <c r="K463" s="22">
        <f t="shared" ref="K463:K478" si="1011">J463-I463</f>
        <v>0</v>
      </c>
      <c r="L463" s="24"/>
      <c r="M463" s="23"/>
      <c r="N463" s="22">
        <f t="shared" ref="N463:N478" si="1012">M463-L463</f>
        <v>0</v>
      </c>
      <c r="O463" s="24">
        <f t="shared" si="1004"/>
        <v>0</v>
      </c>
      <c r="P463" s="23">
        <f t="shared" si="1004"/>
        <v>0</v>
      </c>
      <c r="Q463" s="22">
        <f t="shared" ref="Q463:Q478" si="1013">P463-O463</f>
        <v>0</v>
      </c>
      <c r="R463" s="24"/>
      <c r="S463" s="23"/>
      <c r="T463" s="22">
        <f t="shared" ref="T463:T478" si="1014">S463-R463</f>
        <v>0</v>
      </c>
      <c r="U463" s="24"/>
      <c r="V463" s="23"/>
      <c r="W463" s="22">
        <f t="shared" ref="W463:W478" si="1015">V463-U463</f>
        <v>0</v>
      </c>
      <c r="X463" s="24"/>
      <c r="Y463" s="23"/>
      <c r="Z463" s="22">
        <f t="shared" ref="Z463:Z478" si="1016">Y463-X463</f>
        <v>0</v>
      </c>
      <c r="AA463" s="24">
        <f t="shared" si="1005"/>
        <v>0</v>
      </c>
      <c r="AB463" s="23">
        <f t="shared" si="1005"/>
        <v>0</v>
      </c>
      <c r="AC463" s="22">
        <f t="shared" ref="AC463:AC478" si="1017">AB463-AA463</f>
        <v>0</v>
      </c>
      <c r="AD463" s="24"/>
      <c r="AE463" s="23"/>
      <c r="AF463" s="22">
        <f t="shared" ref="AF463:AF478" si="1018">AE463-AD463</f>
        <v>0</v>
      </c>
      <c r="AG463" s="24"/>
      <c r="AH463" s="23"/>
      <c r="AI463" s="22">
        <f t="shared" ref="AI463:AI478" si="1019">AH463-AG463</f>
        <v>0</v>
      </c>
      <c r="AJ463" s="24"/>
      <c r="AK463" s="23"/>
      <c r="AL463" s="22">
        <f t="shared" ref="AL463:AL478" si="1020">AK463-AJ463</f>
        <v>0</v>
      </c>
      <c r="AM463" s="24">
        <f t="shared" si="1006"/>
        <v>0</v>
      </c>
      <c r="AN463" s="23">
        <f t="shared" si="1006"/>
        <v>0</v>
      </c>
      <c r="AO463" s="22">
        <f t="shared" ref="AO463:AO478" si="1021">AN463-AM463</f>
        <v>0</v>
      </c>
      <c r="AP463" s="24"/>
      <c r="AQ463" s="23"/>
      <c r="AR463" s="22">
        <f t="shared" ref="AR463:AR478" si="1022">AQ463-AP463</f>
        <v>0</v>
      </c>
      <c r="AS463" s="24"/>
      <c r="AT463" s="23"/>
      <c r="AU463" s="22">
        <f t="shared" ref="AU463:AU478" si="1023">AT463-AS463</f>
        <v>0</v>
      </c>
      <c r="AV463" s="24"/>
      <c r="AW463" s="23"/>
      <c r="AX463" s="22">
        <f t="shared" ref="AX463:AX478" si="1024">AW463-AV463</f>
        <v>0</v>
      </c>
      <c r="AY463" s="23">
        <f t="shared" si="1007"/>
        <v>0</v>
      </c>
      <c r="AZ463" s="23">
        <f t="shared" si="1007"/>
        <v>0</v>
      </c>
      <c r="BA463" s="22">
        <f t="shared" ref="BA463:BA478" si="1025">AZ463-AY463</f>
        <v>0</v>
      </c>
      <c r="BB463" s="24">
        <f t="shared" si="1008"/>
        <v>0</v>
      </c>
      <c r="BC463" s="23">
        <f t="shared" si="1008"/>
        <v>0</v>
      </c>
      <c r="BD463" s="22">
        <f t="shared" ref="BD463:BD478" si="1026">BC463-BB463</f>
        <v>0</v>
      </c>
      <c r="BE463" s="24"/>
      <c r="BF463" s="24"/>
      <c r="BG463" s="20">
        <f t="shared" si="1009"/>
        <v>0</v>
      </c>
    </row>
    <row r="464" spans="1:59" ht="13.5" hidden="1" customHeight="1" outlineLevel="1" x14ac:dyDescent="0.25">
      <c r="A464" s="28"/>
      <c r="B464" s="84" t="s">
        <v>42</v>
      </c>
      <c r="C464" s="75" t="s">
        <v>110</v>
      </c>
      <c r="D464" s="20"/>
      <c r="E464" s="20"/>
      <c r="F464" s="24"/>
      <c r="G464" s="23"/>
      <c r="H464" s="22">
        <f t="shared" si="1010"/>
        <v>0</v>
      </c>
      <c r="I464" s="24"/>
      <c r="J464" s="23"/>
      <c r="K464" s="22">
        <f t="shared" si="1011"/>
        <v>0</v>
      </c>
      <c r="L464" s="24"/>
      <c r="M464" s="23"/>
      <c r="N464" s="22">
        <f t="shared" si="1012"/>
        <v>0</v>
      </c>
      <c r="O464" s="24">
        <f t="shared" si="1004"/>
        <v>0</v>
      </c>
      <c r="P464" s="23">
        <f t="shared" si="1004"/>
        <v>0</v>
      </c>
      <c r="Q464" s="22">
        <f t="shared" si="1013"/>
        <v>0</v>
      </c>
      <c r="R464" s="24"/>
      <c r="S464" s="23"/>
      <c r="T464" s="22">
        <f t="shared" si="1014"/>
        <v>0</v>
      </c>
      <c r="U464" s="24"/>
      <c r="V464" s="23"/>
      <c r="W464" s="22">
        <f t="shared" si="1015"/>
        <v>0</v>
      </c>
      <c r="X464" s="24"/>
      <c r="Y464" s="23"/>
      <c r="Z464" s="22">
        <f t="shared" si="1016"/>
        <v>0</v>
      </c>
      <c r="AA464" s="24">
        <f t="shared" si="1005"/>
        <v>0</v>
      </c>
      <c r="AB464" s="23">
        <f t="shared" si="1005"/>
        <v>0</v>
      </c>
      <c r="AC464" s="22">
        <f t="shared" si="1017"/>
        <v>0</v>
      </c>
      <c r="AD464" s="24"/>
      <c r="AE464" s="23"/>
      <c r="AF464" s="22">
        <f t="shared" si="1018"/>
        <v>0</v>
      </c>
      <c r="AG464" s="24"/>
      <c r="AH464" s="23"/>
      <c r="AI464" s="22">
        <f t="shared" si="1019"/>
        <v>0</v>
      </c>
      <c r="AJ464" s="24"/>
      <c r="AK464" s="23"/>
      <c r="AL464" s="22">
        <f t="shared" si="1020"/>
        <v>0</v>
      </c>
      <c r="AM464" s="24">
        <f t="shared" si="1006"/>
        <v>0</v>
      </c>
      <c r="AN464" s="23">
        <f t="shared" si="1006"/>
        <v>0</v>
      </c>
      <c r="AO464" s="22">
        <f t="shared" si="1021"/>
        <v>0</v>
      </c>
      <c r="AP464" s="24"/>
      <c r="AQ464" s="23"/>
      <c r="AR464" s="22">
        <f t="shared" si="1022"/>
        <v>0</v>
      </c>
      <c r="AS464" s="24"/>
      <c r="AT464" s="23"/>
      <c r="AU464" s="22">
        <f t="shared" si="1023"/>
        <v>0</v>
      </c>
      <c r="AV464" s="24"/>
      <c r="AW464" s="23"/>
      <c r="AX464" s="22">
        <f t="shared" si="1024"/>
        <v>0</v>
      </c>
      <c r="AY464" s="23">
        <f t="shared" si="1007"/>
        <v>0</v>
      </c>
      <c r="AZ464" s="23">
        <f t="shared" si="1007"/>
        <v>0</v>
      </c>
      <c r="BA464" s="22">
        <f t="shared" si="1025"/>
        <v>0</v>
      </c>
      <c r="BB464" s="24">
        <f t="shared" si="1008"/>
        <v>0</v>
      </c>
      <c r="BC464" s="23">
        <f t="shared" si="1008"/>
        <v>0</v>
      </c>
      <c r="BD464" s="22">
        <f t="shared" si="1026"/>
        <v>0</v>
      </c>
      <c r="BE464" s="24"/>
      <c r="BF464" s="24"/>
      <c r="BG464" s="20">
        <f t="shared" si="1009"/>
        <v>0</v>
      </c>
    </row>
    <row r="465" spans="1:59" s="210" customFormat="1" ht="13.5" customHeight="1" collapsed="1" x14ac:dyDescent="0.25">
      <c r="A465" s="103"/>
      <c r="B465" s="102" t="s">
        <v>43</v>
      </c>
      <c r="C465" s="61" t="s">
        <v>110</v>
      </c>
      <c r="D465" s="188">
        <f>SUM(D466:D483)</f>
        <v>0</v>
      </c>
      <c r="E465" s="188">
        <f>SUM(E466:E483)</f>
        <v>0</v>
      </c>
      <c r="F465" s="191">
        <f>SUM(F466:F483)</f>
        <v>0</v>
      </c>
      <c r="G465" s="189">
        <f>SUM(G466:G483)</f>
        <v>0</v>
      </c>
      <c r="H465" s="190">
        <f t="shared" si="1010"/>
        <v>0</v>
      </c>
      <c r="I465" s="191">
        <f>SUM(I466:I483)</f>
        <v>0</v>
      </c>
      <c r="J465" s="189">
        <f>SUM(J466:J483)</f>
        <v>0</v>
      </c>
      <c r="K465" s="190">
        <f t="shared" si="1011"/>
        <v>0</v>
      </c>
      <c r="L465" s="191">
        <f>SUM(L466:L483)</f>
        <v>0</v>
      </c>
      <c r="M465" s="189">
        <f>SUM(M466:M483)</f>
        <v>0</v>
      </c>
      <c r="N465" s="190">
        <f t="shared" si="1012"/>
        <v>0</v>
      </c>
      <c r="O465" s="191">
        <f>SUM(O466:O483)</f>
        <v>0</v>
      </c>
      <c r="P465" s="189">
        <f>SUM(P466:P483)</f>
        <v>0</v>
      </c>
      <c r="Q465" s="190">
        <f t="shared" si="1013"/>
        <v>0</v>
      </c>
      <c r="R465" s="191">
        <f>SUM(R466:R483)</f>
        <v>0</v>
      </c>
      <c r="S465" s="189">
        <f>SUM(S466:S483)</f>
        <v>0</v>
      </c>
      <c r="T465" s="190">
        <f t="shared" si="1014"/>
        <v>0</v>
      </c>
      <c r="U465" s="191">
        <f>SUM(U466:U483)</f>
        <v>0</v>
      </c>
      <c r="V465" s="189">
        <f>SUM(V466:V483)</f>
        <v>0</v>
      </c>
      <c r="W465" s="190">
        <f t="shared" si="1015"/>
        <v>0</v>
      </c>
      <c r="X465" s="191">
        <f>SUM(X466:X483)</f>
        <v>0</v>
      </c>
      <c r="Y465" s="189">
        <f>SUM(Y466:Y483)</f>
        <v>0</v>
      </c>
      <c r="Z465" s="190">
        <f t="shared" si="1016"/>
        <v>0</v>
      </c>
      <c r="AA465" s="191">
        <f>SUM(AA466:AA483)</f>
        <v>0</v>
      </c>
      <c r="AB465" s="189">
        <f>SUM(AB466:AB483)</f>
        <v>0</v>
      </c>
      <c r="AC465" s="190">
        <f t="shared" si="1017"/>
        <v>0</v>
      </c>
      <c r="AD465" s="191">
        <f>SUM(AD466:AD483)</f>
        <v>0</v>
      </c>
      <c r="AE465" s="189">
        <f>SUM(AE466:AE483)</f>
        <v>0</v>
      </c>
      <c r="AF465" s="190">
        <f t="shared" si="1018"/>
        <v>0</v>
      </c>
      <c r="AG465" s="191">
        <f>SUM(AG466:AG483)</f>
        <v>0</v>
      </c>
      <c r="AH465" s="189">
        <f>SUM(AH466:AH483)</f>
        <v>0</v>
      </c>
      <c r="AI465" s="190">
        <f t="shared" si="1019"/>
        <v>0</v>
      </c>
      <c r="AJ465" s="191">
        <f>SUM(AJ466:AJ483)</f>
        <v>0</v>
      </c>
      <c r="AK465" s="189">
        <f>SUM(AK466:AK483)</f>
        <v>0</v>
      </c>
      <c r="AL465" s="190">
        <f t="shared" si="1020"/>
        <v>0</v>
      </c>
      <c r="AM465" s="191">
        <f>SUM(AM466:AM483)</f>
        <v>0</v>
      </c>
      <c r="AN465" s="189">
        <f>SUM(AN466:AN483)</f>
        <v>0</v>
      </c>
      <c r="AO465" s="190">
        <f t="shared" si="1021"/>
        <v>0</v>
      </c>
      <c r="AP465" s="191">
        <f>SUM(AP466:AP483)</f>
        <v>0</v>
      </c>
      <c r="AQ465" s="189">
        <f>SUM(AQ466:AQ483)</f>
        <v>0</v>
      </c>
      <c r="AR465" s="190">
        <f t="shared" si="1022"/>
        <v>0</v>
      </c>
      <c r="AS465" s="191">
        <f>SUM(AS466:AS483)</f>
        <v>0</v>
      </c>
      <c r="AT465" s="189">
        <f>SUM(AT466:AT483)</f>
        <v>0</v>
      </c>
      <c r="AU465" s="190">
        <f t="shared" si="1023"/>
        <v>0</v>
      </c>
      <c r="AV465" s="191">
        <f>SUM(AV466:AV483)</f>
        <v>0</v>
      </c>
      <c r="AW465" s="189">
        <f>SUM(AW466:AW483)</f>
        <v>0</v>
      </c>
      <c r="AX465" s="190">
        <f t="shared" si="1024"/>
        <v>0</v>
      </c>
      <c r="AY465" s="189">
        <f>SUM(AY466:AY483)</f>
        <v>0</v>
      </c>
      <c r="AZ465" s="189">
        <f>SUM(AZ466:AZ483)</f>
        <v>0</v>
      </c>
      <c r="BA465" s="190">
        <f t="shared" si="1025"/>
        <v>0</v>
      </c>
      <c r="BB465" s="191">
        <f>SUM(BB466:BB483)</f>
        <v>0</v>
      </c>
      <c r="BC465" s="189">
        <f>SUM(BC466:BC483)</f>
        <v>0</v>
      </c>
      <c r="BD465" s="190">
        <f t="shared" si="1026"/>
        <v>0</v>
      </c>
      <c r="BE465" s="191">
        <f t="shared" ref="BE465:BF465" si="1027">SUM(BE466:BE483)</f>
        <v>0</v>
      </c>
      <c r="BF465" s="191">
        <f t="shared" si="1027"/>
        <v>0</v>
      </c>
      <c r="BG465" s="188">
        <f t="shared" ref="BG465" si="1028">SUM(BG466:BG483)</f>
        <v>0</v>
      </c>
    </row>
    <row r="466" spans="1:59" ht="13.5" hidden="1" customHeight="1" outlineLevel="1" x14ac:dyDescent="0.25">
      <c r="A466" s="28"/>
      <c r="B466" s="84" t="s">
        <v>44</v>
      </c>
      <c r="C466" s="75" t="s">
        <v>110</v>
      </c>
      <c r="D466" s="20"/>
      <c r="E466" s="20"/>
      <c r="F466" s="24"/>
      <c r="G466" s="23"/>
      <c r="H466" s="22">
        <f t="shared" si="1010"/>
        <v>0</v>
      </c>
      <c r="I466" s="24"/>
      <c r="J466" s="23"/>
      <c r="K466" s="22">
        <f t="shared" si="1011"/>
        <v>0</v>
      </c>
      <c r="L466" s="24"/>
      <c r="M466" s="23"/>
      <c r="N466" s="22">
        <f t="shared" si="1012"/>
        <v>0</v>
      </c>
      <c r="O466" s="24">
        <f t="shared" ref="O466:P481" si="1029">SUM(F466,I466,L466)</f>
        <v>0</v>
      </c>
      <c r="P466" s="23">
        <f t="shared" si="1029"/>
        <v>0</v>
      </c>
      <c r="Q466" s="22">
        <f t="shared" si="1013"/>
        <v>0</v>
      </c>
      <c r="R466" s="24"/>
      <c r="S466" s="23"/>
      <c r="T466" s="22">
        <f t="shared" si="1014"/>
        <v>0</v>
      </c>
      <c r="U466" s="24"/>
      <c r="V466" s="23"/>
      <c r="W466" s="22">
        <f t="shared" si="1015"/>
        <v>0</v>
      </c>
      <c r="X466" s="24"/>
      <c r="Y466" s="23"/>
      <c r="Z466" s="22">
        <f t="shared" si="1016"/>
        <v>0</v>
      </c>
      <c r="AA466" s="24">
        <f t="shared" ref="AA466:AB481" si="1030">SUM(R466,U466,X466)</f>
        <v>0</v>
      </c>
      <c r="AB466" s="23">
        <f t="shared" si="1030"/>
        <v>0</v>
      </c>
      <c r="AC466" s="22">
        <f t="shared" si="1017"/>
        <v>0</v>
      </c>
      <c r="AD466" s="24"/>
      <c r="AE466" s="23"/>
      <c r="AF466" s="22">
        <f t="shared" si="1018"/>
        <v>0</v>
      </c>
      <c r="AG466" s="24"/>
      <c r="AH466" s="23"/>
      <c r="AI466" s="22">
        <f t="shared" si="1019"/>
        <v>0</v>
      </c>
      <c r="AJ466" s="24"/>
      <c r="AK466" s="23"/>
      <c r="AL466" s="22">
        <f t="shared" si="1020"/>
        <v>0</v>
      </c>
      <c r="AM466" s="24">
        <f t="shared" ref="AM466:AN481" si="1031">SUM(AD466,AG466,AJ466)</f>
        <v>0</v>
      </c>
      <c r="AN466" s="23">
        <f t="shared" si="1031"/>
        <v>0</v>
      </c>
      <c r="AO466" s="22">
        <f t="shared" si="1021"/>
        <v>0</v>
      </c>
      <c r="AP466" s="24"/>
      <c r="AQ466" s="23"/>
      <c r="AR466" s="22">
        <f t="shared" si="1022"/>
        <v>0</v>
      </c>
      <c r="AS466" s="24"/>
      <c r="AT466" s="23"/>
      <c r="AU466" s="22">
        <f t="shared" si="1023"/>
        <v>0</v>
      </c>
      <c r="AV466" s="24"/>
      <c r="AW466" s="23"/>
      <c r="AX466" s="22">
        <f t="shared" si="1024"/>
        <v>0</v>
      </c>
      <c r="AY466" s="23">
        <f t="shared" ref="AY466:AZ481" si="1032">SUM(AP466,AS466,AV466)</f>
        <v>0</v>
      </c>
      <c r="AZ466" s="23">
        <f t="shared" si="1032"/>
        <v>0</v>
      </c>
      <c r="BA466" s="22">
        <f t="shared" si="1025"/>
        <v>0</v>
      </c>
      <c r="BB466" s="24">
        <f t="shared" ref="BB466:BC481" si="1033">SUM(F466,I466,L466,R466,U466,X466,AD466,AG466,AJ466,AP466,AS466,AV466)</f>
        <v>0</v>
      </c>
      <c r="BC466" s="23">
        <f t="shared" si="1033"/>
        <v>0</v>
      </c>
      <c r="BD466" s="22">
        <f t="shared" si="1026"/>
        <v>0</v>
      </c>
      <c r="BE466" s="24"/>
      <c r="BF466" s="24"/>
      <c r="BG466" s="20">
        <f>BB466+BE466+BF466</f>
        <v>0</v>
      </c>
    </row>
    <row r="467" spans="1:59" ht="13.5" hidden="1" customHeight="1" outlineLevel="1" x14ac:dyDescent="0.25">
      <c r="A467" s="28"/>
      <c r="B467" s="84" t="s">
        <v>45</v>
      </c>
      <c r="C467" s="75" t="s">
        <v>110</v>
      </c>
      <c r="D467" s="20"/>
      <c r="E467" s="20"/>
      <c r="F467" s="24"/>
      <c r="G467" s="23"/>
      <c r="H467" s="22">
        <f t="shared" si="1010"/>
        <v>0</v>
      </c>
      <c r="I467" s="24"/>
      <c r="J467" s="23"/>
      <c r="K467" s="22">
        <f t="shared" si="1011"/>
        <v>0</v>
      </c>
      <c r="L467" s="24"/>
      <c r="M467" s="23"/>
      <c r="N467" s="22">
        <f t="shared" si="1012"/>
        <v>0</v>
      </c>
      <c r="O467" s="24">
        <f t="shared" si="1029"/>
        <v>0</v>
      </c>
      <c r="P467" s="23">
        <f t="shared" si="1029"/>
        <v>0</v>
      </c>
      <c r="Q467" s="22">
        <f t="shared" si="1013"/>
        <v>0</v>
      </c>
      <c r="R467" s="24"/>
      <c r="S467" s="23"/>
      <c r="T467" s="22">
        <f t="shared" si="1014"/>
        <v>0</v>
      </c>
      <c r="U467" s="24"/>
      <c r="V467" s="23"/>
      <c r="W467" s="22">
        <f t="shared" si="1015"/>
        <v>0</v>
      </c>
      <c r="X467" s="24"/>
      <c r="Y467" s="23"/>
      <c r="Z467" s="22">
        <f t="shared" si="1016"/>
        <v>0</v>
      </c>
      <c r="AA467" s="24">
        <f t="shared" si="1030"/>
        <v>0</v>
      </c>
      <c r="AB467" s="23">
        <f t="shared" si="1030"/>
        <v>0</v>
      </c>
      <c r="AC467" s="22">
        <f t="shared" si="1017"/>
        <v>0</v>
      </c>
      <c r="AD467" s="24"/>
      <c r="AE467" s="23"/>
      <c r="AF467" s="22">
        <f t="shared" si="1018"/>
        <v>0</v>
      </c>
      <c r="AG467" s="24"/>
      <c r="AH467" s="23"/>
      <c r="AI467" s="22">
        <f t="shared" si="1019"/>
        <v>0</v>
      </c>
      <c r="AJ467" s="24"/>
      <c r="AK467" s="23"/>
      <c r="AL467" s="22">
        <f t="shared" si="1020"/>
        <v>0</v>
      </c>
      <c r="AM467" s="24">
        <f t="shared" si="1031"/>
        <v>0</v>
      </c>
      <c r="AN467" s="23">
        <f t="shared" si="1031"/>
        <v>0</v>
      </c>
      <c r="AO467" s="22">
        <f t="shared" si="1021"/>
        <v>0</v>
      </c>
      <c r="AP467" s="24"/>
      <c r="AQ467" s="23"/>
      <c r="AR467" s="22">
        <f t="shared" si="1022"/>
        <v>0</v>
      </c>
      <c r="AS467" s="24"/>
      <c r="AT467" s="23"/>
      <c r="AU467" s="22">
        <f t="shared" si="1023"/>
        <v>0</v>
      </c>
      <c r="AV467" s="24"/>
      <c r="AW467" s="23"/>
      <c r="AX467" s="22">
        <f t="shared" si="1024"/>
        <v>0</v>
      </c>
      <c r="AY467" s="23">
        <f t="shared" si="1032"/>
        <v>0</v>
      </c>
      <c r="AZ467" s="23">
        <f t="shared" si="1032"/>
        <v>0</v>
      </c>
      <c r="BA467" s="22">
        <f t="shared" si="1025"/>
        <v>0</v>
      </c>
      <c r="BB467" s="24">
        <f t="shared" si="1033"/>
        <v>0</v>
      </c>
      <c r="BC467" s="23">
        <f t="shared" si="1033"/>
        <v>0</v>
      </c>
      <c r="BD467" s="22">
        <f t="shared" si="1026"/>
        <v>0</v>
      </c>
      <c r="BE467" s="24"/>
      <c r="BF467" s="24"/>
      <c r="BG467" s="20">
        <f t="shared" ref="BG467:BG483" si="1034">BB467+BE467+BF467</f>
        <v>0</v>
      </c>
    </row>
    <row r="468" spans="1:59" ht="13.5" hidden="1" customHeight="1" outlineLevel="1" x14ac:dyDescent="0.25">
      <c r="A468" s="28"/>
      <c r="B468" s="84" t="s">
        <v>46</v>
      </c>
      <c r="C468" s="75" t="s">
        <v>110</v>
      </c>
      <c r="D468" s="20"/>
      <c r="E468" s="20"/>
      <c r="F468" s="24"/>
      <c r="G468" s="23"/>
      <c r="H468" s="22">
        <f t="shared" si="1010"/>
        <v>0</v>
      </c>
      <c r="I468" s="24"/>
      <c r="J468" s="23"/>
      <c r="K468" s="22">
        <f t="shared" si="1011"/>
        <v>0</v>
      </c>
      <c r="L468" s="24"/>
      <c r="M468" s="23"/>
      <c r="N468" s="22">
        <f t="shared" si="1012"/>
        <v>0</v>
      </c>
      <c r="O468" s="24">
        <f t="shared" si="1029"/>
        <v>0</v>
      </c>
      <c r="P468" s="23">
        <f t="shared" si="1029"/>
        <v>0</v>
      </c>
      <c r="Q468" s="22">
        <f t="shared" si="1013"/>
        <v>0</v>
      </c>
      <c r="R468" s="24"/>
      <c r="S468" s="23"/>
      <c r="T468" s="22">
        <f t="shared" si="1014"/>
        <v>0</v>
      </c>
      <c r="U468" s="24"/>
      <c r="V468" s="23"/>
      <c r="W468" s="22">
        <f t="shared" si="1015"/>
        <v>0</v>
      </c>
      <c r="X468" s="24"/>
      <c r="Y468" s="23"/>
      <c r="Z468" s="22">
        <f t="shared" si="1016"/>
        <v>0</v>
      </c>
      <c r="AA468" s="24">
        <f t="shared" si="1030"/>
        <v>0</v>
      </c>
      <c r="AB468" s="23">
        <f t="shared" si="1030"/>
        <v>0</v>
      </c>
      <c r="AC468" s="22">
        <f t="shared" si="1017"/>
        <v>0</v>
      </c>
      <c r="AD468" s="24"/>
      <c r="AE468" s="23"/>
      <c r="AF468" s="22">
        <f t="shared" si="1018"/>
        <v>0</v>
      </c>
      <c r="AG468" s="24"/>
      <c r="AH468" s="23"/>
      <c r="AI468" s="22">
        <f t="shared" si="1019"/>
        <v>0</v>
      </c>
      <c r="AJ468" s="24"/>
      <c r="AK468" s="23"/>
      <c r="AL468" s="22">
        <f t="shared" si="1020"/>
        <v>0</v>
      </c>
      <c r="AM468" s="24">
        <f t="shared" si="1031"/>
        <v>0</v>
      </c>
      <c r="AN468" s="23">
        <f t="shared" si="1031"/>
        <v>0</v>
      </c>
      <c r="AO468" s="22">
        <f t="shared" si="1021"/>
        <v>0</v>
      </c>
      <c r="AP468" s="24"/>
      <c r="AQ468" s="23"/>
      <c r="AR468" s="22">
        <f t="shared" si="1022"/>
        <v>0</v>
      </c>
      <c r="AS468" s="24"/>
      <c r="AT468" s="23"/>
      <c r="AU468" s="22">
        <f t="shared" si="1023"/>
        <v>0</v>
      </c>
      <c r="AV468" s="24"/>
      <c r="AW468" s="23"/>
      <c r="AX468" s="22">
        <f t="shared" si="1024"/>
        <v>0</v>
      </c>
      <c r="AY468" s="23">
        <f t="shared" si="1032"/>
        <v>0</v>
      </c>
      <c r="AZ468" s="23">
        <f t="shared" si="1032"/>
        <v>0</v>
      </c>
      <c r="BA468" s="22">
        <f t="shared" si="1025"/>
        <v>0</v>
      </c>
      <c r="BB468" s="24">
        <f t="shared" si="1033"/>
        <v>0</v>
      </c>
      <c r="BC468" s="23">
        <f t="shared" si="1033"/>
        <v>0</v>
      </c>
      <c r="BD468" s="22">
        <f t="shared" si="1026"/>
        <v>0</v>
      </c>
      <c r="BE468" s="24"/>
      <c r="BF468" s="24"/>
      <c r="BG468" s="20">
        <f t="shared" si="1034"/>
        <v>0</v>
      </c>
    </row>
    <row r="469" spans="1:59" ht="13.5" hidden="1" customHeight="1" outlineLevel="1" x14ac:dyDescent="0.25">
      <c r="A469" s="28"/>
      <c r="B469" s="84" t="s">
        <v>47</v>
      </c>
      <c r="C469" s="75" t="s">
        <v>110</v>
      </c>
      <c r="D469" s="20"/>
      <c r="E469" s="20"/>
      <c r="F469" s="24"/>
      <c r="G469" s="23"/>
      <c r="H469" s="22">
        <f t="shared" si="1010"/>
        <v>0</v>
      </c>
      <c r="I469" s="24"/>
      <c r="J469" s="23"/>
      <c r="K469" s="22">
        <f t="shared" si="1011"/>
        <v>0</v>
      </c>
      <c r="L469" s="24"/>
      <c r="M469" s="23"/>
      <c r="N469" s="22">
        <f t="shared" si="1012"/>
        <v>0</v>
      </c>
      <c r="O469" s="24">
        <f t="shared" si="1029"/>
        <v>0</v>
      </c>
      <c r="P469" s="23">
        <f t="shared" si="1029"/>
        <v>0</v>
      </c>
      <c r="Q469" s="22">
        <f t="shared" si="1013"/>
        <v>0</v>
      </c>
      <c r="R469" s="24"/>
      <c r="S469" s="23"/>
      <c r="T469" s="22">
        <f t="shared" si="1014"/>
        <v>0</v>
      </c>
      <c r="U469" s="24"/>
      <c r="V469" s="23"/>
      <c r="W469" s="22">
        <f t="shared" si="1015"/>
        <v>0</v>
      </c>
      <c r="X469" s="24"/>
      <c r="Y469" s="23"/>
      <c r="Z469" s="22">
        <f t="shared" si="1016"/>
        <v>0</v>
      </c>
      <c r="AA469" s="24">
        <f t="shared" si="1030"/>
        <v>0</v>
      </c>
      <c r="AB469" s="23">
        <f t="shared" si="1030"/>
        <v>0</v>
      </c>
      <c r="AC469" s="22">
        <f t="shared" si="1017"/>
        <v>0</v>
      </c>
      <c r="AD469" s="24"/>
      <c r="AE469" s="23"/>
      <c r="AF469" s="22">
        <f t="shared" si="1018"/>
        <v>0</v>
      </c>
      <c r="AG469" s="24"/>
      <c r="AH469" s="23"/>
      <c r="AI469" s="22">
        <f t="shared" si="1019"/>
        <v>0</v>
      </c>
      <c r="AJ469" s="24"/>
      <c r="AK469" s="23"/>
      <c r="AL469" s="22">
        <f t="shared" si="1020"/>
        <v>0</v>
      </c>
      <c r="AM469" s="24">
        <f t="shared" si="1031"/>
        <v>0</v>
      </c>
      <c r="AN469" s="23">
        <f t="shared" si="1031"/>
        <v>0</v>
      </c>
      <c r="AO469" s="22">
        <f t="shared" si="1021"/>
        <v>0</v>
      </c>
      <c r="AP469" s="24"/>
      <c r="AQ469" s="23"/>
      <c r="AR469" s="22">
        <f t="shared" si="1022"/>
        <v>0</v>
      </c>
      <c r="AS469" s="24"/>
      <c r="AT469" s="23"/>
      <c r="AU469" s="22">
        <f t="shared" si="1023"/>
        <v>0</v>
      </c>
      <c r="AV469" s="24"/>
      <c r="AW469" s="23"/>
      <c r="AX469" s="22">
        <f t="shared" si="1024"/>
        <v>0</v>
      </c>
      <c r="AY469" s="23">
        <f t="shared" si="1032"/>
        <v>0</v>
      </c>
      <c r="AZ469" s="23">
        <f t="shared" si="1032"/>
        <v>0</v>
      </c>
      <c r="BA469" s="22">
        <f t="shared" si="1025"/>
        <v>0</v>
      </c>
      <c r="BB469" s="24">
        <f t="shared" si="1033"/>
        <v>0</v>
      </c>
      <c r="BC469" s="23">
        <f t="shared" si="1033"/>
        <v>0</v>
      </c>
      <c r="BD469" s="22">
        <f t="shared" si="1026"/>
        <v>0</v>
      </c>
      <c r="BE469" s="24"/>
      <c r="BF469" s="24"/>
      <c r="BG469" s="20">
        <f t="shared" si="1034"/>
        <v>0</v>
      </c>
    </row>
    <row r="470" spans="1:59" ht="13.5" hidden="1" customHeight="1" outlineLevel="1" x14ac:dyDescent="0.25">
      <c r="A470" s="28"/>
      <c r="B470" s="84" t="s">
        <v>48</v>
      </c>
      <c r="C470" s="75" t="s">
        <v>110</v>
      </c>
      <c r="D470" s="20"/>
      <c r="E470" s="20"/>
      <c r="F470" s="24"/>
      <c r="G470" s="23"/>
      <c r="H470" s="22">
        <f t="shared" si="1010"/>
        <v>0</v>
      </c>
      <c r="I470" s="24"/>
      <c r="J470" s="23"/>
      <c r="K470" s="22">
        <f t="shared" si="1011"/>
        <v>0</v>
      </c>
      <c r="L470" s="24"/>
      <c r="M470" s="23"/>
      <c r="N470" s="22">
        <f t="shared" si="1012"/>
        <v>0</v>
      </c>
      <c r="O470" s="24">
        <f t="shared" si="1029"/>
        <v>0</v>
      </c>
      <c r="P470" s="23">
        <f t="shared" si="1029"/>
        <v>0</v>
      </c>
      <c r="Q470" s="22">
        <f t="shared" si="1013"/>
        <v>0</v>
      </c>
      <c r="R470" s="24"/>
      <c r="S470" s="23"/>
      <c r="T470" s="22">
        <f t="shared" si="1014"/>
        <v>0</v>
      </c>
      <c r="U470" s="24"/>
      <c r="V470" s="23"/>
      <c r="W470" s="22">
        <f t="shared" si="1015"/>
        <v>0</v>
      </c>
      <c r="X470" s="24"/>
      <c r="Y470" s="23"/>
      <c r="Z470" s="22">
        <f t="shared" si="1016"/>
        <v>0</v>
      </c>
      <c r="AA470" s="24">
        <f t="shared" si="1030"/>
        <v>0</v>
      </c>
      <c r="AB470" s="23">
        <f t="shared" si="1030"/>
        <v>0</v>
      </c>
      <c r="AC470" s="22">
        <f t="shared" si="1017"/>
        <v>0</v>
      </c>
      <c r="AD470" s="24"/>
      <c r="AE470" s="23"/>
      <c r="AF470" s="22">
        <f t="shared" si="1018"/>
        <v>0</v>
      </c>
      <c r="AG470" s="24"/>
      <c r="AH470" s="23"/>
      <c r="AI470" s="22">
        <f t="shared" si="1019"/>
        <v>0</v>
      </c>
      <c r="AJ470" s="24"/>
      <c r="AK470" s="23"/>
      <c r="AL470" s="22">
        <f t="shared" si="1020"/>
        <v>0</v>
      </c>
      <c r="AM470" s="24">
        <f t="shared" si="1031"/>
        <v>0</v>
      </c>
      <c r="AN470" s="23">
        <f t="shared" si="1031"/>
        <v>0</v>
      </c>
      <c r="AO470" s="22">
        <f t="shared" si="1021"/>
        <v>0</v>
      </c>
      <c r="AP470" s="24"/>
      <c r="AQ470" s="23"/>
      <c r="AR470" s="22">
        <f t="shared" si="1022"/>
        <v>0</v>
      </c>
      <c r="AS470" s="24"/>
      <c r="AT470" s="23"/>
      <c r="AU470" s="22">
        <f t="shared" si="1023"/>
        <v>0</v>
      </c>
      <c r="AV470" s="24"/>
      <c r="AW470" s="23"/>
      <c r="AX470" s="22">
        <f t="shared" si="1024"/>
        <v>0</v>
      </c>
      <c r="AY470" s="23">
        <f t="shared" si="1032"/>
        <v>0</v>
      </c>
      <c r="AZ470" s="23">
        <f t="shared" si="1032"/>
        <v>0</v>
      </c>
      <c r="BA470" s="22">
        <f t="shared" si="1025"/>
        <v>0</v>
      </c>
      <c r="BB470" s="24">
        <f t="shared" si="1033"/>
        <v>0</v>
      </c>
      <c r="BC470" s="23">
        <f t="shared" si="1033"/>
        <v>0</v>
      </c>
      <c r="BD470" s="22">
        <f t="shared" si="1026"/>
        <v>0</v>
      </c>
      <c r="BE470" s="24"/>
      <c r="BF470" s="24"/>
      <c r="BG470" s="20">
        <f t="shared" si="1034"/>
        <v>0</v>
      </c>
    </row>
    <row r="471" spans="1:59" ht="13.5" hidden="1" customHeight="1" outlineLevel="1" x14ac:dyDescent="0.25">
      <c r="A471" s="28"/>
      <c r="B471" s="84" t="s">
        <v>49</v>
      </c>
      <c r="C471" s="75" t="s">
        <v>110</v>
      </c>
      <c r="D471" s="20"/>
      <c r="E471" s="20"/>
      <c r="F471" s="24"/>
      <c r="G471" s="23"/>
      <c r="H471" s="22">
        <f t="shared" si="1010"/>
        <v>0</v>
      </c>
      <c r="I471" s="24"/>
      <c r="J471" s="23"/>
      <c r="K471" s="22">
        <f t="shared" si="1011"/>
        <v>0</v>
      </c>
      <c r="L471" s="24"/>
      <c r="M471" s="23"/>
      <c r="N471" s="22">
        <f t="shared" si="1012"/>
        <v>0</v>
      </c>
      <c r="O471" s="24">
        <f t="shared" si="1029"/>
        <v>0</v>
      </c>
      <c r="P471" s="23">
        <f t="shared" si="1029"/>
        <v>0</v>
      </c>
      <c r="Q471" s="22">
        <f t="shared" si="1013"/>
        <v>0</v>
      </c>
      <c r="R471" s="24"/>
      <c r="S471" s="23"/>
      <c r="T471" s="22">
        <f t="shared" si="1014"/>
        <v>0</v>
      </c>
      <c r="U471" s="24"/>
      <c r="V471" s="23"/>
      <c r="W471" s="22">
        <f t="shared" si="1015"/>
        <v>0</v>
      </c>
      <c r="X471" s="24"/>
      <c r="Y471" s="23"/>
      <c r="Z471" s="22">
        <f t="shared" si="1016"/>
        <v>0</v>
      </c>
      <c r="AA471" s="24">
        <f t="shared" si="1030"/>
        <v>0</v>
      </c>
      <c r="AB471" s="23">
        <f t="shared" si="1030"/>
        <v>0</v>
      </c>
      <c r="AC471" s="22">
        <f t="shared" si="1017"/>
        <v>0</v>
      </c>
      <c r="AD471" s="24"/>
      <c r="AE471" s="23"/>
      <c r="AF471" s="22">
        <f t="shared" si="1018"/>
        <v>0</v>
      </c>
      <c r="AG471" s="24"/>
      <c r="AH471" s="23"/>
      <c r="AI471" s="22">
        <f t="shared" si="1019"/>
        <v>0</v>
      </c>
      <c r="AJ471" s="24"/>
      <c r="AK471" s="23"/>
      <c r="AL471" s="22">
        <f t="shared" si="1020"/>
        <v>0</v>
      </c>
      <c r="AM471" s="24">
        <f t="shared" si="1031"/>
        <v>0</v>
      </c>
      <c r="AN471" s="23">
        <f t="shared" si="1031"/>
        <v>0</v>
      </c>
      <c r="AO471" s="22">
        <f t="shared" si="1021"/>
        <v>0</v>
      </c>
      <c r="AP471" s="24"/>
      <c r="AQ471" s="23"/>
      <c r="AR471" s="22">
        <f t="shared" si="1022"/>
        <v>0</v>
      </c>
      <c r="AS471" s="24"/>
      <c r="AT471" s="23"/>
      <c r="AU471" s="22">
        <f t="shared" si="1023"/>
        <v>0</v>
      </c>
      <c r="AV471" s="24"/>
      <c r="AW471" s="23"/>
      <c r="AX471" s="22">
        <f t="shared" si="1024"/>
        <v>0</v>
      </c>
      <c r="AY471" s="23">
        <f t="shared" si="1032"/>
        <v>0</v>
      </c>
      <c r="AZ471" s="23">
        <f t="shared" si="1032"/>
        <v>0</v>
      </c>
      <c r="BA471" s="22">
        <f t="shared" si="1025"/>
        <v>0</v>
      </c>
      <c r="BB471" s="24">
        <f t="shared" si="1033"/>
        <v>0</v>
      </c>
      <c r="BC471" s="23">
        <f t="shared" si="1033"/>
        <v>0</v>
      </c>
      <c r="BD471" s="22">
        <f t="shared" si="1026"/>
        <v>0</v>
      </c>
      <c r="BE471" s="24"/>
      <c r="BF471" s="24"/>
      <c r="BG471" s="20">
        <f t="shared" si="1034"/>
        <v>0</v>
      </c>
    </row>
    <row r="472" spans="1:59" ht="13.5" hidden="1" customHeight="1" outlineLevel="1" x14ac:dyDescent="0.25">
      <c r="A472" s="28"/>
      <c r="B472" s="84" t="s">
        <v>50</v>
      </c>
      <c r="C472" s="75" t="s">
        <v>110</v>
      </c>
      <c r="D472" s="20"/>
      <c r="E472" s="20"/>
      <c r="F472" s="24"/>
      <c r="G472" s="23"/>
      <c r="H472" s="22">
        <f t="shared" si="1010"/>
        <v>0</v>
      </c>
      <c r="I472" s="24"/>
      <c r="J472" s="23"/>
      <c r="K472" s="22">
        <f t="shared" si="1011"/>
        <v>0</v>
      </c>
      <c r="L472" s="24"/>
      <c r="M472" s="23"/>
      <c r="N472" s="22">
        <f t="shared" si="1012"/>
        <v>0</v>
      </c>
      <c r="O472" s="24">
        <f t="shared" si="1029"/>
        <v>0</v>
      </c>
      <c r="P472" s="23">
        <f t="shared" si="1029"/>
        <v>0</v>
      </c>
      <c r="Q472" s="22">
        <f t="shared" si="1013"/>
        <v>0</v>
      </c>
      <c r="R472" s="24"/>
      <c r="S472" s="23"/>
      <c r="T472" s="22">
        <f t="shared" si="1014"/>
        <v>0</v>
      </c>
      <c r="U472" s="24"/>
      <c r="V472" s="23"/>
      <c r="W472" s="22">
        <f t="shared" si="1015"/>
        <v>0</v>
      </c>
      <c r="X472" s="24"/>
      <c r="Y472" s="23"/>
      <c r="Z472" s="22">
        <f t="shared" si="1016"/>
        <v>0</v>
      </c>
      <c r="AA472" s="24">
        <f t="shared" si="1030"/>
        <v>0</v>
      </c>
      <c r="AB472" s="23">
        <f t="shared" si="1030"/>
        <v>0</v>
      </c>
      <c r="AC472" s="22">
        <f t="shared" si="1017"/>
        <v>0</v>
      </c>
      <c r="AD472" s="24"/>
      <c r="AE472" s="23"/>
      <c r="AF472" s="22">
        <f t="shared" si="1018"/>
        <v>0</v>
      </c>
      <c r="AG472" s="24"/>
      <c r="AH472" s="23"/>
      <c r="AI472" s="22">
        <f t="shared" si="1019"/>
        <v>0</v>
      </c>
      <c r="AJ472" s="24"/>
      <c r="AK472" s="23"/>
      <c r="AL472" s="22">
        <f t="shared" si="1020"/>
        <v>0</v>
      </c>
      <c r="AM472" s="24">
        <f t="shared" si="1031"/>
        <v>0</v>
      </c>
      <c r="AN472" s="23">
        <f t="shared" si="1031"/>
        <v>0</v>
      </c>
      <c r="AO472" s="22">
        <f t="shared" si="1021"/>
        <v>0</v>
      </c>
      <c r="AP472" s="24"/>
      <c r="AQ472" s="23"/>
      <c r="AR472" s="22">
        <f t="shared" si="1022"/>
        <v>0</v>
      </c>
      <c r="AS472" s="24"/>
      <c r="AT472" s="23"/>
      <c r="AU472" s="22">
        <f t="shared" si="1023"/>
        <v>0</v>
      </c>
      <c r="AV472" s="24"/>
      <c r="AW472" s="23"/>
      <c r="AX472" s="22">
        <f t="shared" si="1024"/>
        <v>0</v>
      </c>
      <c r="AY472" s="23">
        <f t="shared" si="1032"/>
        <v>0</v>
      </c>
      <c r="AZ472" s="23">
        <f t="shared" si="1032"/>
        <v>0</v>
      </c>
      <c r="BA472" s="22">
        <f t="shared" si="1025"/>
        <v>0</v>
      </c>
      <c r="BB472" s="24">
        <f t="shared" si="1033"/>
        <v>0</v>
      </c>
      <c r="BC472" s="23">
        <f t="shared" si="1033"/>
        <v>0</v>
      </c>
      <c r="BD472" s="22">
        <f t="shared" si="1026"/>
        <v>0</v>
      </c>
      <c r="BE472" s="24"/>
      <c r="BF472" s="24"/>
      <c r="BG472" s="20">
        <f t="shared" si="1034"/>
        <v>0</v>
      </c>
    </row>
    <row r="473" spans="1:59" ht="13.5" hidden="1" customHeight="1" outlineLevel="1" x14ac:dyDescent="0.25">
      <c r="A473" s="28"/>
      <c r="B473" s="84" t="s">
        <v>51</v>
      </c>
      <c r="C473" s="75" t="s">
        <v>110</v>
      </c>
      <c r="D473" s="20"/>
      <c r="E473" s="20"/>
      <c r="F473" s="24"/>
      <c r="G473" s="23"/>
      <c r="H473" s="22">
        <f t="shared" si="1010"/>
        <v>0</v>
      </c>
      <c r="I473" s="24"/>
      <c r="J473" s="23"/>
      <c r="K473" s="22">
        <f t="shared" si="1011"/>
        <v>0</v>
      </c>
      <c r="L473" s="24"/>
      <c r="M473" s="23"/>
      <c r="N473" s="22">
        <f t="shared" si="1012"/>
        <v>0</v>
      </c>
      <c r="O473" s="24">
        <f t="shared" si="1029"/>
        <v>0</v>
      </c>
      <c r="P473" s="23">
        <f t="shared" si="1029"/>
        <v>0</v>
      </c>
      <c r="Q473" s="22">
        <f t="shared" si="1013"/>
        <v>0</v>
      </c>
      <c r="R473" s="24"/>
      <c r="S473" s="23"/>
      <c r="T473" s="22">
        <f t="shared" si="1014"/>
        <v>0</v>
      </c>
      <c r="U473" s="24"/>
      <c r="V473" s="23"/>
      <c r="W473" s="22">
        <f t="shared" si="1015"/>
        <v>0</v>
      </c>
      <c r="X473" s="24"/>
      <c r="Y473" s="23"/>
      <c r="Z473" s="22">
        <f t="shared" si="1016"/>
        <v>0</v>
      </c>
      <c r="AA473" s="24">
        <f t="shared" si="1030"/>
        <v>0</v>
      </c>
      <c r="AB473" s="23">
        <f t="shared" si="1030"/>
        <v>0</v>
      </c>
      <c r="AC473" s="22">
        <f t="shared" si="1017"/>
        <v>0</v>
      </c>
      <c r="AD473" s="24"/>
      <c r="AE473" s="23"/>
      <c r="AF473" s="22">
        <f t="shared" si="1018"/>
        <v>0</v>
      </c>
      <c r="AG473" s="24"/>
      <c r="AH473" s="23"/>
      <c r="AI473" s="22">
        <f t="shared" si="1019"/>
        <v>0</v>
      </c>
      <c r="AJ473" s="24"/>
      <c r="AK473" s="23"/>
      <c r="AL473" s="22">
        <f t="shared" si="1020"/>
        <v>0</v>
      </c>
      <c r="AM473" s="24">
        <f t="shared" si="1031"/>
        <v>0</v>
      </c>
      <c r="AN473" s="23">
        <f t="shared" si="1031"/>
        <v>0</v>
      </c>
      <c r="AO473" s="22">
        <f t="shared" si="1021"/>
        <v>0</v>
      </c>
      <c r="AP473" s="24"/>
      <c r="AQ473" s="23"/>
      <c r="AR473" s="22">
        <f t="shared" si="1022"/>
        <v>0</v>
      </c>
      <c r="AS473" s="24"/>
      <c r="AT473" s="23"/>
      <c r="AU473" s="22">
        <f t="shared" si="1023"/>
        <v>0</v>
      </c>
      <c r="AV473" s="24"/>
      <c r="AW473" s="23"/>
      <c r="AX473" s="22">
        <f t="shared" si="1024"/>
        <v>0</v>
      </c>
      <c r="AY473" s="23">
        <f t="shared" si="1032"/>
        <v>0</v>
      </c>
      <c r="AZ473" s="23">
        <f t="shared" si="1032"/>
        <v>0</v>
      </c>
      <c r="BA473" s="22">
        <f t="shared" si="1025"/>
        <v>0</v>
      </c>
      <c r="BB473" s="24">
        <f t="shared" si="1033"/>
        <v>0</v>
      </c>
      <c r="BC473" s="23">
        <f t="shared" si="1033"/>
        <v>0</v>
      </c>
      <c r="BD473" s="22">
        <f t="shared" si="1026"/>
        <v>0</v>
      </c>
      <c r="BE473" s="24"/>
      <c r="BF473" s="24"/>
      <c r="BG473" s="20">
        <f t="shared" si="1034"/>
        <v>0</v>
      </c>
    </row>
    <row r="474" spans="1:59" ht="13.5" hidden="1" customHeight="1" outlineLevel="1" x14ac:dyDescent="0.25">
      <c r="A474" s="28"/>
      <c r="B474" s="84" t="s">
        <v>52</v>
      </c>
      <c r="C474" s="75" t="s">
        <v>110</v>
      </c>
      <c r="D474" s="20"/>
      <c r="E474" s="20"/>
      <c r="F474" s="24"/>
      <c r="G474" s="23"/>
      <c r="H474" s="22">
        <f t="shared" si="1010"/>
        <v>0</v>
      </c>
      <c r="I474" s="24"/>
      <c r="J474" s="23"/>
      <c r="K474" s="22">
        <f t="shared" si="1011"/>
        <v>0</v>
      </c>
      <c r="L474" s="24"/>
      <c r="M474" s="23"/>
      <c r="N474" s="22">
        <f t="shared" si="1012"/>
        <v>0</v>
      </c>
      <c r="O474" s="24">
        <f t="shared" si="1029"/>
        <v>0</v>
      </c>
      <c r="P474" s="23">
        <f t="shared" si="1029"/>
        <v>0</v>
      </c>
      <c r="Q474" s="22">
        <f t="shared" si="1013"/>
        <v>0</v>
      </c>
      <c r="R474" s="24"/>
      <c r="S474" s="23"/>
      <c r="T474" s="22">
        <f t="shared" si="1014"/>
        <v>0</v>
      </c>
      <c r="U474" s="24"/>
      <c r="V474" s="23"/>
      <c r="W474" s="22">
        <f t="shared" si="1015"/>
        <v>0</v>
      </c>
      <c r="X474" s="24"/>
      <c r="Y474" s="23"/>
      <c r="Z474" s="22">
        <f t="shared" si="1016"/>
        <v>0</v>
      </c>
      <c r="AA474" s="24">
        <f t="shared" si="1030"/>
        <v>0</v>
      </c>
      <c r="AB474" s="23">
        <f t="shared" si="1030"/>
        <v>0</v>
      </c>
      <c r="AC474" s="22">
        <f t="shared" si="1017"/>
        <v>0</v>
      </c>
      <c r="AD474" s="24"/>
      <c r="AE474" s="23"/>
      <c r="AF474" s="22">
        <f t="shared" si="1018"/>
        <v>0</v>
      </c>
      <c r="AG474" s="24"/>
      <c r="AH474" s="23"/>
      <c r="AI474" s="22">
        <f t="shared" si="1019"/>
        <v>0</v>
      </c>
      <c r="AJ474" s="24"/>
      <c r="AK474" s="23"/>
      <c r="AL474" s="22">
        <f t="shared" si="1020"/>
        <v>0</v>
      </c>
      <c r="AM474" s="24">
        <f t="shared" si="1031"/>
        <v>0</v>
      </c>
      <c r="AN474" s="23">
        <f t="shared" si="1031"/>
        <v>0</v>
      </c>
      <c r="AO474" s="22">
        <f t="shared" si="1021"/>
        <v>0</v>
      </c>
      <c r="AP474" s="24"/>
      <c r="AQ474" s="23"/>
      <c r="AR474" s="22">
        <f t="shared" si="1022"/>
        <v>0</v>
      </c>
      <c r="AS474" s="24"/>
      <c r="AT474" s="23"/>
      <c r="AU474" s="22">
        <f t="shared" si="1023"/>
        <v>0</v>
      </c>
      <c r="AV474" s="24"/>
      <c r="AW474" s="23"/>
      <c r="AX474" s="22">
        <f t="shared" si="1024"/>
        <v>0</v>
      </c>
      <c r="AY474" s="23">
        <f t="shared" si="1032"/>
        <v>0</v>
      </c>
      <c r="AZ474" s="23">
        <f t="shared" si="1032"/>
        <v>0</v>
      </c>
      <c r="BA474" s="22">
        <f t="shared" si="1025"/>
        <v>0</v>
      </c>
      <c r="BB474" s="24">
        <f t="shared" si="1033"/>
        <v>0</v>
      </c>
      <c r="BC474" s="23">
        <f t="shared" si="1033"/>
        <v>0</v>
      </c>
      <c r="BD474" s="22">
        <f t="shared" si="1026"/>
        <v>0</v>
      </c>
      <c r="BE474" s="24"/>
      <c r="BF474" s="24"/>
      <c r="BG474" s="20">
        <f t="shared" si="1034"/>
        <v>0</v>
      </c>
    </row>
    <row r="475" spans="1:59" ht="13.5" hidden="1" customHeight="1" outlineLevel="1" x14ac:dyDescent="0.25">
      <c r="A475" s="28"/>
      <c r="B475" s="84" t="s">
        <v>53</v>
      </c>
      <c r="C475" s="75" t="s">
        <v>110</v>
      </c>
      <c r="D475" s="20"/>
      <c r="E475" s="20"/>
      <c r="F475" s="24"/>
      <c r="G475" s="23"/>
      <c r="H475" s="22">
        <f t="shared" si="1010"/>
        <v>0</v>
      </c>
      <c r="I475" s="24"/>
      <c r="J475" s="23"/>
      <c r="K475" s="22">
        <f t="shared" si="1011"/>
        <v>0</v>
      </c>
      <c r="L475" s="24"/>
      <c r="M475" s="23"/>
      <c r="N475" s="22">
        <f t="shared" si="1012"/>
        <v>0</v>
      </c>
      <c r="O475" s="24">
        <f t="shared" si="1029"/>
        <v>0</v>
      </c>
      <c r="P475" s="23">
        <f t="shared" si="1029"/>
        <v>0</v>
      </c>
      <c r="Q475" s="22">
        <f t="shared" si="1013"/>
        <v>0</v>
      </c>
      <c r="R475" s="24"/>
      <c r="S475" s="23"/>
      <c r="T475" s="22">
        <f t="shared" si="1014"/>
        <v>0</v>
      </c>
      <c r="U475" s="24"/>
      <c r="V475" s="23"/>
      <c r="W475" s="22">
        <f t="shared" si="1015"/>
        <v>0</v>
      </c>
      <c r="X475" s="24"/>
      <c r="Y475" s="23"/>
      <c r="Z475" s="22">
        <f t="shared" si="1016"/>
        <v>0</v>
      </c>
      <c r="AA475" s="24">
        <f t="shared" si="1030"/>
        <v>0</v>
      </c>
      <c r="AB475" s="23">
        <f t="shared" si="1030"/>
        <v>0</v>
      </c>
      <c r="AC475" s="22">
        <f t="shared" si="1017"/>
        <v>0</v>
      </c>
      <c r="AD475" s="24"/>
      <c r="AE475" s="23"/>
      <c r="AF475" s="22">
        <f t="shared" si="1018"/>
        <v>0</v>
      </c>
      <c r="AG475" s="24"/>
      <c r="AH475" s="23"/>
      <c r="AI475" s="22">
        <f t="shared" si="1019"/>
        <v>0</v>
      </c>
      <c r="AJ475" s="24"/>
      <c r="AK475" s="23"/>
      <c r="AL475" s="22">
        <f t="shared" si="1020"/>
        <v>0</v>
      </c>
      <c r="AM475" s="24">
        <f t="shared" si="1031"/>
        <v>0</v>
      </c>
      <c r="AN475" s="23">
        <f t="shared" si="1031"/>
        <v>0</v>
      </c>
      <c r="AO475" s="22">
        <f t="shared" si="1021"/>
        <v>0</v>
      </c>
      <c r="AP475" s="24"/>
      <c r="AQ475" s="23"/>
      <c r="AR475" s="22">
        <f t="shared" si="1022"/>
        <v>0</v>
      </c>
      <c r="AS475" s="24"/>
      <c r="AT475" s="23"/>
      <c r="AU475" s="22">
        <f t="shared" si="1023"/>
        <v>0</v>
      </c>
      <c r="AV475" s="24"/>
      <c r="AW475" s="23"/>
      <c r="AX475" s="22">
        <f t="shared" si="1024"/>
        <v>0</v>
      </c>
      <c r="AY475" s="23">
        <f t="shared" si="1032"/>
        <v>0</v>
      </c>
      <c r="AZ475" s="23">
        <f t="shared" si="1032"/>
        <v>0</v>
      </c>
      <c r="BA475" s="22">
        <f t="shared" si="1025"/>
        <v>0</v>
      </c>
      <c r="BB475" s="24">
        <f t="shared" si="1033"/>
        <v>0</v>
      </c>
      <c r="BC475" s="23">
        <f t="shared" si="1033"/>
        <v>0</v>
      </c>
      <c r="BD475" s="22">
        <f t="shared" si="1026"/>
        <v>0</v>
      </c>
      <c r="BE475" s="24"/>
      <c r="BF475" s="24"/>
      <c r="BG475" s="20">
        <f t="shared" si="1034"/>
        <v>0</v>
      </c>
    </row>
    <row r="476" spans="1:59" ht="13.5" hidden="1" customHeight="1" outlineLevel="1" x14ac:dyDescent="0.25">
      <c r="A476" s="28"/>
      <c r="B476" s="84" t="s">
        <v>54</v>
      </c>
      <c r="C476" s="75" t="s">
        <v>110</v>
      </c>
      <c r="D476" s="20"/>
      <c r="E476" s="20"/>
      <c r="F476" s="24"/>
      <c r="G476" s="23"/>
      <c r="H476" s="22">
        <f t="shared" si="1010"/>
        <v>0</v>
      </c>
      <c r="I476" s="24"/>
      <c r="J476" s="23"/>
      <c r="K476" s="22">
        <f t="shared" si="1011"/>
        <v>0</v>
      </c>
      <c r="L476" s="24"/>
      <c r="M476" s="23"/>
      <c r="N476" s="22">
        <f t="shared" si="1012"/>
        <v>0</v>
      </c>
      <c r="O476" s="24">
        <f t="shared" si="1029"/>
        <v>0</v>
      </c>
      <c r="P476" s="23">
        <f t="shared" si="1029"/>
        <v>0</v>
      </c>
      <c r="Q476" s="22">
        <f t="shared" si="1013"/>
        <v>0</v>
      </c>
      <c r="R476" s="24"/>
      <c r="S476" s="23"/>
      <c r="T476" s="22">
        <f t="shared" si="1014"/>
        <v>0</v>
      </c>
      <c r="U476" s="24"/>
      <c r="V476" s="23"/>
      <c r="W476" s="22">
        <f t="shared" si="1015"/>
        <v>0</v>
      </c>
      <c r="X476" s="24"/>
      <c r="Y476" s="23"/>
      <c r="Z476" s="22">
        <f t="shared" si="1016"/>
        <v>0</v>
      </c>
      <c r="AA476" s="24">
        <f t="shared" si="1030"/>
        <v>0</v>
      </c>
      <c r="AB476" s="23">
        <f t="shared" si="1030"/>
        <v>0</v>
      </c>
      <c r="AC476" s="22">
        <f t="shared" si="1017"/>
        <v>0</v>
      </c>
      <c r="AD476" s="24"/>
      <c r="AE476" s="23"/>
      <c r="AF476" s="22">
        <f t="shared" si="1018"/>
        <v>0</v>
      </c>
      <c r="AG476" s="24"/>
      <c r="AH476" s="23"/>
      <c r="AI476" s="22">
        <f t="shared" si="1019"/>
        <v>0</v>
      </c>
      <c r="AJ476" s="24"/>
      <c r="AK476" s="23"/>
      <c r="AL476" s="22">
        <f t="shared" si="1020"/>
        <v>0</v>
      </c>
      <c r="AM476" s="24">
        <f t="shared" si="1031"/>
        <v>0</v>
      </c>
      <c r="AN476" s="23">
        <f t="shared" si="1031"/>
        <v>0</v>
      </c>
      <c r="AO476" s="22">
        <f t="shared" si="1021"/>
        <v>0</v>
      </c>
      <c r="AP476" s="24"/>
      <c r="AQ476" s="23"/>
      <c r="AR476" s="22">
        <f t="shared" si="1022"/>
        <v>0</v>
      </c>
      <c r="AS476" s="24"/>
      <c r="AT476" s="23"/>
      <c r="AU476" s="22">
        <f t="shared" si="1023"/>
        <v>0</v>
      </c>
      <c r="AV476" s="24"/>
      <c r="AW476" s="23"/>
      <c r="AX476" s="22">
        <f t="shared" si="1024"/>
        <v>0</v>
      </c>
      <c r="AY476" s="23">
        <f t="shared" si="1032"/>
        <v>0</v>
      </c>
      <c r="AZ476" s="23">
        <f t="shared" si="1032"/>
        <v>0</v>
      </c>
      <c r="BA476" s="22">
        <f t="shared" si="1025"/>
        <v>0</v>
      </c>
      <c r="BB476" s="24">
        <f t="shared" si="1033"/>
        <v>0</v>
      </c>
      <c r="BC476" s="23">
        <f t="shared" si="1033"/>
        <v>0</v>
      </c>
      <c r="BD476" s="22">
        <f t="shared" si="1026"/>
        <v>0</v>
      </c>
      <c r="BE476" s="24"/>
      <c r="BF476" s="24"/>
      <c r="BG476" s="20">
        <f t="shared" si="1034"/>
        <v>0</v>
      </c>
    </row>
    <row r="477" spans="1:59" ht="13.5" hidden="1" customHeight="1" outlineLevel="1" x14ac:dyDescent="0.25">
      <c r="A477" s="82"/>
      <c r="B477" s="84" t="s">
        <v>55</v>
      </c>
      <c r="C477" s="74" t="s">
        <v>110</v>
      </c>
      <c r="D477" s="20"/>
      <c r="E477" s="20"/>
      <c r="F477" s="24"/>
      <c r="G477" s="23"/>
      <c r="H477" s="22">
        <f t="shared" si="1010"/>
        <v>0</v>
      </c>
      <c r="I477" s="24"/>
      <c r="J477" s="23"/>
      <c r="K477" s="22">
        <f t="shared" si="1011"/>
        <v>0</v>
      </c>
      <c r="L477" s="24"/>
      <c r="M477" s="23"/>
      <c r="N477" s="22">
        <f t="shared" si="1012"/>
        <v>0</v>
      </c>
      <c r="O477" s="24">
        <f t="shared" si="1029"/>
        <v>0</v>
      </c>
      <c r="P477" s="23">
        <f t="shared" si="1029"/>
        <v>0</v>
      </c>
      <c r="Q477" s="22">
        <f t="shared" si="1013"/>
        <v>0</v>
      </c>
      <c r="R477" s="24"/>
      <c r="S477" s="23"/>
      <c r="T477" s="22">
        <f t="shared" si="1014"/>
        <v>0</v>
      </c>
      <c r="U477" s="24"/>
      <c r="V477" s="23"/>
      <c r="W477" s="22">
        <f t="shared" si="1015"/>
        <v>0</v>
      </c>
      <c r="X477" s="24"/>
      <c r="Y477" s="23"/>
      <c r="Z477" s="22">
        <f t="shared" si="1016"/>
        <v>0</v>
      </c>
      <c r="AA477" s="24">
        <f t="shared" si="1030"/>
        <v>0</v>
      </c>
      <c r="AB477" s="23">
        <f t="shared" si="1030"/>
        <v>0</v>
      </c>
      <c r="AC477" s="22">
        <f t="shared" si="1017"/>
        <v>0</v>
      </c>
      <c r="AD477" s="24"/>
      <c r="AE477" s="23"/>
      <c r="AF477" s="22">
        <f t="shared" si="1018"/>
        <v>0</v>
      </c>
      <c r="AG477" s="24"/>
      <c r="AH477" s="23"/>
      <c r="AI477" s="22">
        <f t="shared" si="1019"/>
        <v>0</v>
      </c>
      <c r="AJ477" s="24"/>
      <c r="AK477" s="23"/>
      <c r="AL477" s="22">
        <f t="shared" si="1020"/>
        <v>0</v>
      </c>
      <c r="AM477" s="24">
        <f t="shared" si="1031"/>
        <v>0</v>
      </c>
      <c r="AN477" s="23">
        <f t="shared" si="1031"/>
        <v>0</v>
      </c>
      <c r="AO477" s="22">
        <f t="shared" si="1021"/>
        <v>0</v>
      </c>
      <c r="AP477" s="24"/>
      <c r="AQ477" s="23"/>
      <c r="AR477" s="22">
        <f t="shared" si="1022"/>
        <v>0</v>
      </c>
      <c r="AS477" s="24"/>
      <c r="AT477" s="23"/>
      <c r="AU477" s="22">
        <f t="shared" si="1023"/>
        <v>0</v>
      </c>
      <c r="AV477" s="24"/>
      <c r="AW477" s="23"/>
      <c r="AX477" s="22">
        <f t="shared" si="1024"/>
        <v>0</v>
      </c>
      <c r="AY477" s="23">
        <f t="shared" si="1032"/>
        <v>0</v>
      </c>
      <c r="AZ477" s="23">
        <f t="shared" si="1032"/>
        <v>0</v>
      </c>
      <c r="BA477" s="22">
        <f t="shared" si="1025"/>
        <v>0</v>
      </c>
      <c r="BB477" s="24">
        <f t="shared" si="1033"/>
        <v>0</v>
      </c>
      <c r="BC477" s="23">
        <f t="shared" si="1033"/>
        <v>0</v>
      </c>
      <c r="BD477" s="22">
        <f t="shared" si="1026"/>
        <v>0</v>
      </c>
      <c r="BE477" s="24"/>
      <c r="BF477" s="24"/>
      <c r="BG477" s="20">
        <f t="shared" si="1034"/>
        <v>0</v>
      </c>
    </row>
    <row r="478" spans="1:59" ht="13.5" hidden="1" customHeight="1" outlineLevel="1" x14ac:dyDescent="0.25">
      <c r="A478" s="82"/>
      <c r="B478" s="99" t="s">
        <v>56</v>
      </c>
      <c r="C478" s="74" t="s">
        <v>110</v>
      </c>
      <c r="D478" s="20"/>
      <c r="E478" s="20"/>
      <c r="F478" s="24"/>
      <c r="G478" s="23"/>
      <c r="H478" s="22">
        <f t="shared" si="1010"/>
        <v>0</v>
      </c>
      <c r="I478" s="24"/>
      <c r="J478" s="23"/>
      <c r="K478" s="22">
        <f t="shared" si="1011"/>
        <v>0</v>
      </c>
      <c r="L478" s="24"/>
      <c r="M478" s="23"/>
      <c r="N478" s="22">
        <f t="shared" si="1012"/>
        <v>0</v>
      </c>
      <c r="O478" s="24">
        <f t="shared" si="1029"/>
        <v>0</v>
      </c>
      <c r="P478" s="23">
        <f t="shared" si="1029"/>
        <v>0</v>
      </c>
      <c r="Q478" s="22">
        <f t="shared" si="1013"/>
        <v>0</v>
      </c>
      <c r="R478" s="24"/>
      <c r="S478" s="23"/>
      <c r="T478" s="22">
        <f t="shared" si="1014"/>
        <v>0</v>
      </c>
      <c r="U478" s="24"/>
      <c r="V478" s="23"/>
      <c r="W478" s="22">
        <f t="shared" si="1015"/>
        <v>0</v>
      </c>
      <c r="X478" s="24"/>
      <c r="Y478" s="23"/>
      <c r="Z478" s="22">
        <f t="shared" si="1016"/>
        <v>0</v>
      </c>
      <c r="AA478" s="24">
        <f t="shared" si="1030"/>
        <v>0</v>
      </c>
      <c r="AB478" s="23">
        <f t="shared" si="1030"/>
        <v>0</v>
      </c>
      <c r="AC478" s="22">
        <f t="shared" si="1017"/>
        <v>0</v>
      </c>
      <c r="AD478" s="24"/>
      <c r="AE478" s="23"/>
      <c r="AF478" s="22">
        <f t="shared" si="1018"/>
        <v>0</v>
      </c>
      <c r="AG478" s="24"/>
      <c r="AH478" s="23"/>
      <c r="AI478" s="22">
        <f t="shared" si="1019"/>
        <v>0</v>
      </c>
      <c r="AJ478" s="24"/>
      <c r="AK478" s="23"/>
      <c r="AL478" s="22">
        <f t="shared" si="1020"/>
        <v>0</v>
      </c>
      <c r="AM478" s="24">
        <f t="shared" si="1031"/>
        <v>0</v>
      </c>
      <c r="AN478" s="23">
        <f t="shared" si="1031"/>
        <v>0</v>
      </c>
      <c r="AO478" s="22">
        <f t="shared" si="1021"/>
        <v>0</v>
      </c>
      <c r="AP478" s="24"/>
      <c r="AQ478" s="23"/>
      <c r="AR478" s="22">
        <f t="shared" si="1022"/>
        <v>0</v>
      </c>
      <c r="AS478" s="24"/>
      <c r="AT478" s="23"/>
      <c r="AU478" s="22">
        <f t="shared" si="1023"/>
        <v>0</v>
      </c>
      <c r="AV478" s="24"/>
      <c r="AW478" s="23"/>
      <c r="AX478" s="22">
        <f t="shared" si="1024"/>
        <v>0</v>
      </c>
      <c r="AY478" s="23">
        <f t="shared" si="1032"/>
        <v>0</v>
      </c>
      <c r="AZ478" s="23">
        <f t="shared" si="1032"/>
        <v>0</v>
      </c>
      <c r="BA478" s="22">
        <f t="shared" si="1025"/>
        <v>0</v>
      </c>
      <c r="BB478" s="24">
        <f t="shared" si="1033"/>
        <v>0</v>
      </c>
      <c r="BC478" s="23">
        <f t="shared" si="1033"/>
        <v>0</v>
      </c>
      <c r="BD478" s="22">
        <f t="shared" si="1026"/>
        <v>0</v>
      </c>
      <c r="BE478" s="24"/>
      <c r="BF478" s="24"/>
      <c r="BG478" s="20">
        <f t="shared" si="1034"/>
        <v>0</v>
      </c>
    </row>
    <row r="479" spans="1:59" ht="13.5" hidden="1" customHeight="1" outlineLevel="1" x14ac:dyDescent="0.25">
      <c r="A479" s="82"/>
      <c r="B479" s="84" t="s">
        <v>57</v>
      </c>
      <c r="C479" s="74" t="s">
        <v>110</v>
      </c>
      <c r="D479" s="20"/>
      <c r="E479" s="20"/>
      <c r="F479" s="24"/>
      <c r="G479" s="23"/>
      <c r="H479" s="22">
        <f t="shared" ref="H479:H485" si="1035">G479-F479</f>
        <v>0</v>
      </c>
      <c r="I479" s="24"/>
      <c r="J479" s="23"/>
      <c r="K479" s="22">
        <f t="shared" ref="K479:K485" si="1036">J479-I479</f>
        <v>0</v>
      </c>
      <c r="L479" s="24"/>
      <c r="M479" s="23"/>
      <c r="N479" s="22">
        <f t="shared" ref="N479:N485" si="1037">M479-L479</f>
        <v>0</v>
      </c>
      <c r="O479" s="24">
        <f t="shared" si="1029"/>
        <v>0</v>
      </c>
      <c r="P479" s="23">
        <f t="shared" si="1029"/>
        <v>0</v>
      </c>
      <c r="Q479" s="22">
        <f t="shared" ref="Q479:Q485" si="1038">P479-O479</f>
        <v>0</v>
      </c>
      <c r="R479" s="24"/>
      <c r="S479" s="23"/>
      <c r="T479" s="22">
        <f t="shared" ref="T479:T485" si="1039">S479-R479</f>
        <v>0</v>
      </c>
      <c r="U479" s="24"/>
      <c r="V479" s="23"/>
      <c r="W479" s="22">
        <f t="shared" ref="W479:W485" si="1040">V479-U479</f>
        <v>0</v>
      </c>
      <c r="X479" s="24"/>
      <c r="Y479" s="23"/>
      <c r="Z479" s="22">
        <f t="shared" ref="Z479:Z485" si="1041">Y479-X479</f>
        <v>0</v>
      </c>
      <c r="AA479" s="24">
        <f t="shared" si="1030"/>
        <v>0</v>
      </c>
      <c r="AB479" s="23">
        <f t="shared" si="1030"/>
        <v>0</v>
      </c>
      <c r="AC479" s="22">
        <f t="shared" ref="AC479:AC485" si="1042">AB479-AA479</f>
        <v>0</v>
      </c>
      <c r="AD479" s="24"/>
      <c r="AE479" s="23"/>
      <c r="AF479" s="22">
        <f t="shared" ref="AF479:AF485" si="1043">AE479-AD479</f>
        <v>0</v>
      </c>
      <c r="AG479" s="24"/>
      <c r="AH479" s="23"/>
      <c r="AI479" s="22">
        <f t="shared" ref="AI479:AI485" si="1044">AH479-AG479</f>
        <v>0</v>
      </c>
      <c r="AJ479" s="24"/>
      <c r="AK479" s="23"/>
      <c r="AL479" s="22">
        <f t="shared" ref="AL479:AL485" si="1045">AK479-AJ479</f>
        <v>0</v>
      </c>
      <c r="AM479" s="24">
        <f t="shared" si="1031"/>
        <v>0</v>
      </c>
      <c r="AN479" s="23">
        <f t="shared" si="1031"/>
        <v>0</v>
      </c>
      <c r="AO479" s="22">
        <f t="shared" ref="AO479:AO485" si="1046">AN479-AM479</f>
        <v>0</v>
      </c>
      <c r="AP479" s="24"/>
      <c r="AQ479" s="23"/>
      <c r="AR479" s="22">
        <f t="shared" ref="AR479:AR485" si="1047">AQ479-AP479</f>
        <v>0</v>
      </c>
      <c r="AS479" s="24"/>
      <c r="AT479" s="23"/>
      <c r="AU479" s="22">
        <f t="shared" ref="AU479:AU485" si="1048">AT479-AS479</f>
        <v>0</v>
      </c>
      <c r="AV479" s="24"/>
      <c r="AW479" s="23"/>
      <c r="AX479" s="22">
        <f t="shared" ref="AX479:AX485" si="1049">AW479-AV479</f>
        <v>0</v>
      </c>
      <c r="AY479" s="23">
        <f t="shared" si="1032"/>
        <v>0</v>
      </c>
      <c r="AZ479" s="23">
        <f t="shared" si="1032"/>
        <v>0</v>
      </c>
      <c r="BA479" s="22">
        <f t="shared" ref="BA479:BA485" si="1050">AZ479-AY479</f>
        <v>0</v>
      </c>
      <c r="BB479" s="24">
        <f t="shared" si="1033"/>
        <v>0</v>
      </c>
      <c r="BC479" s="23">
        <f t="shared" si="1033"/>
        <v>0</v>
      </c>
      <c r="BD479" s="22">
        <f t="shared" ref="BD479:BD485" si="1051">BC479-BB479</f>
        <v>0</v>
      </c>
      <c r="BE479" s="24"/>
      <c r="BF479" s="24"/>
      <c r="BG479" s="20">
        <f t="shared" si="1034"/>
        <v>0</v>
      </c>
    </row>
    <row r="480" spans="1:59" ht="13.5" hidden="1" customHeight="1" outlineLevel="1" x14ac:dyDescent="0.25">
      <c r="A480" s="82"/>
      <c r="B480" s="99" t="s">
        <v>58</v>
      </c>
      <c r="C480" s="74" t="s">
        <v>110</v>
      </c>
      <c r="D480" s="157"/>
      <c r="E480" s="157"/>
      <c r="F480" s="115"/>
      <c r="G480" s="107"/>
      <c r="H480" s="108">
        <f t="shared" si="1035"/>
        <v>0</v>
      </c>
      <c r="I480" s="115"/>
      <c r="J480" s="107"/>
      <c r="K480" s="108">
        <f t="shared" si="1036"/>
        <v>0</v>
      </c>
      <c r="L480" s="115"/>
      <c r="M480" s="107"/>
      <c r="N480" s="108">
        <f t="shared" si="1037"/>
        <v>0</v>
      </c>
      <c r="O480" s="115">
        <f t="shared" si="1029"/>
        <v>0</v>
      </c>
      <c r="P480" s="107">
        <f t="shared" si="1029"/>
        <v>0</v>
      </c>
      <c r="Q480" s="108">
        <f t="shared" si="1038"/>
        <v>0</v>
      </c>
      <c r="R480" s="115"/>
      <c r="S480" s="107"/>
      <c r="T480" s="108">
        <f t="shared" si="1039"/>
        <v>0</v>
      </c>
      <c r="U480" s="115"/>
      <c r="V480" s="107"/>
      <c r="W480" s="108">
        <f t="shared" si="1040"/>
        <v>0</v>
      </c>
      <c r="X480" s="115"/>
      <c r="Y480" s="107"/>
      <c r="Z480" s="108">
        <f t="shared" si="1041"/>
        <v>0</v>
      </c>
      <c r="AA480" s="115">
        <f t="shared" si="1030"/>
        <v>0</v>
      </c>
      <c r="AB480" s="107">
        <f t="shared" si="1030"/>
        <v>0</v>
      </c>
      <c r="AC480" s="108">
        <f t="shared" si="1042"/>
        <v>0</v>
      </c>
      <c r="AD480" s="115"/>
      <c r="AE480" s="107"/>
      <c r="AF480" s="108">
        <f t="shared" si="1043"/>
        <v>0</v>
      </c>
      <c r="AG480" s="115"/>
      <c r="AH480" s="107"/>
      <c r="AI480" s="108">
        <f t="shared" si="1044"/>
        <v>0</v>
      </c>
      <c r="AJ480" s="115"/>
      <c r="AK480" s="107"/>
      <c r="AL480" s="108">
        <f t="shared" si="1045"/>
        <v>0</v>
      </c>
      <c r="AM480" s="115">
        <f t="shared" si="1031"/>
        <v>0</v>
      </c>
      <c r="AN480" s="107">
        <f t="shared" si="1031"/>
        <v>0</v>
      </c>
      <c r="AO480" s="108">
        <f t="shared" si="1046"/>
        <v>0</v>
      </c>
      <c r="AP480" s="115"/>
      <c r="AQ480" s="107"/>
      <c r="AR480" s="108">
        <f t="shared" si="1047"/>
        <v>0</v>
      </c>
      <c r="AS480" s="115"/>
      <c r="AT480" s="107"/>
      <c r="AU480" s="108">
        <f t="shared" si="1048"/>
        <v>0</v>
      </c>
      <c r="AV480" s="115"/>
      <c r="AW480" s="107"/>
      <c r="AX480" s="108">
        <f t="shared" si="1049"/>
        <v>0</v>
      </c>
      <c r="AY480" s="107">
        <f t="shared" si="1032"/>
        <v>0</v>
      </c>
      <c r="AZ480" s="107">
        <f t="shared" si="1032"/>
        <v>0</v>
      </c>
      <c r="BA480" s="108">
        <f t="shared" si="1050"/>
        <v>0</v>
      </c>
      <c r="BB480" s="115">
        <f t="shared" si="1033"/>
        <v>0</v>
      </c>
      <c r="BC480" s="107">
        <f t="shared" si="1033"/>
        <v>0</v>
      </c>
      <c r="BD480" s="108">
        <f t="shared" si="1051"/>
        <v>0</v>
      </c>
      <c r="BE480" s="115"/>
      <c r="BF480" s="115"/>
      <c r="BG480" s="20">
        <f t="shared" si="1034"/>
        <v>0</v>
      </c>
    </row>
    <row r="481" spans="1:59" ht="13.5" hidden="1" customHeight="1" outlineLevel="1" x14ac:dyDescent="0.25">
      <c r="A481" s="82"/>
      <c r="B481" s="84" t="s">
        <v>59</v>
      </c>
      <c r="C481" s="74" t="s">
        <v>110</v>
      </c>
      <c r="D481" s="157"/>
      <c r="E481" s="157"/>
      <c r="F481" s="115"/>
      <c r="G481" s="107"/>
      <c r="H481" s="108">
        <f t="shared" si="1035"/>
        <v>0</v>
      </c>
      <c r="I481" s="115"/>
      <c r="J481" s="107"/>
      <c r="K481" s="108">
        <f t="shared" si="1036"/>
        <v>0</v>
      </c>
      <c r="L481" s="115"/>
      <c r="M481" s="107"/>
      <c r="N481" s="108">
        <f t="shared" si="1037"/>
        <v>0</v>
      </c>
      <c r="O481" s="115">
        <f t="shared" si="1029"/>
        <v>0</v>
      </c>
      <c r="P481" s="107">
        <f t="shared" si="1029"/>
        <v>0</v>
      </c>
      <c r="Q481" s="108">
        <f t="shared" si="1038"/>
        <v>0</v>
      </c>
      <c r="R481" s="115"/>
      <c r="S481" s="107"/>
      <c r="T481" s="108">
        <f t="shared" si="1039"/>
        <v>0</v>
      </c>
      <c r="U481" s="115"/>
      <c r="V481" s="107"/>
      <c r="W481" s="108">
        <f t="shared" si="1040"/>
        <v>0</v>
      </c>
      <c r="X481" s="115"/>
      <c r="Y481" s="107"/>
      <c r="Z481" s="108">
        <f t="shared" si="1041"/>
        <v>0</v>
      </c>
      <c r="AA481" s="115">
        <f t="shared" si="1030"/>
        <v>0</v>
      </c>
      <c r="AB481" s="107">
        <f t="shared" si="1030"/>
        <v>0</v>
      </c>
      <c r="AC481" s="108">
        <f t="shared" si="1042"/>
        <v>0</v>
      </c>
      <c r="AD481" s="115"/>
      <c r="AE481" s="107"/>
      <c r="AF481" s="108">
        <f t="shared" si="1043"/>
        <v>0</v>
      </c>
      <c r="AG481" s="115"/>
      <c r="AH481" s="107"/>
      <c r="AI481" s="108">
        <f t="shared" si="1044"/>
        <v>0</v>
      </c>
      <c r="AJ481" s="115"/>
      <c r="AK481" s="107"/>
      <c r="AL481" s="108">
        <f t="shared" si="1045"/>
        <v>0</v>
      </c>
      <c r="AM481" s="115">
        <f t="shared" si="1031"/>
        <v>0</v>
      </c>
      <c r="AN481" s="107">
        <f t="shared" si="1031"/>
        <v>0</v>
      </c>
      <c r="AO481" s="108">
        <f t="shared" si="1046"/>
        <v>0</v>
      </c>
      <c r="AP481" s="115"/>
      <c r="AQ481" s="107"/>
      <c r="AR481" s="108">
        <f t="shared" si="1047"/>
        <v>0</v>
      </c>
      <c r="AS481" s="115"/>
      <c r="AT481" s="107"/>
      <c r="AU481" s="108">
        <f t="shared" si="1048"/>
        <v>0</v>
      </c>
      <c r="AV481" s="115"/>
      <c r="AW481" s="107"/>
      <c r="AX481" s="108">
        <f t="shared" si="1049"/>
        <v>0</v>
      </c>
      <c r="AY481" s="107">
        <f t="shared" si="1032"/>
        <v>0</v>
      </c>
      <c r="AZ481" s="107">
        <f t="shared" si="1032"/>
        <v>0</v>
      </c>
      <c r="BA481" s="108">
        <f t="shared" si="1050"/>
        <v>0</v>
      </c>
      <c r="BB481" s="115">
        <f t="shared" si="1033"/>
        <v>0</v>
      </c>
      <c r="BC481" s="107">
        <f t="shared" si="1033"/>
        <v>0</v>
      </c>
      <c r="BD481" s="108">
        <f t="shared" si="1051"/>
        <v>0</v>
      </c>
      <c r="BE481" s="115"/>
      <c r="BF481" s="115"/>
      <c r="BG481" s="20">
        <f t="shared" si="1034"/>
        <v>0</v>
      </c>
    </row>
    <row r="482" spans="1:59" ht="13.5" hidden="1" customHeight="1" outlineLevel="1" x14ac:dyDescent="0.25">
      <c r="A482" s="82"/>
      <c r="B482" s="99" t="s">
        <v>60</v>
      </c>
      <c r="C482" s="74" t="s">
        <v>110</v>
      </c>
      <c r="D482" s="157"/>
      <c r="E482" s="157"/>
      <c r="F482" s="115"/>
      <c r="G482" s="107"/>
      <c r="H482" s="108">
        <f t="shared" si="1035"/>
        <v>0</v>
      </c>
      <c r="I482" s="115"/>
      <c r="J482" s="107"/>
      <c r="K482" s="108">
        <f t="shared" si="1036"/>
        <v>0</v>
      </c>
      <c r="L482" s="115"/>
      <c r="M482" s="107"/>
      <c r="N482" s="108">
        <f t="shared" si="1037"/>
        <v>0</v>
      </c>
      <c r="O482" s="115">
        <f>SUM(F482,I482,L482)</f>
        <v>0</v>
      </c>
      <c r="P482" s="107">
        <f>SUM(G482,J482,M482)</f>
        <v>0</v>
      </c>
      <c r="Q482" s="108">
        <f t="shared" si="1038"/>
        <v>0</v>
      </c>
      <c r="R482" s="115"/>
      <c r="S482" s="107"/>
      <c r="T482" s="108">
        <f t="shared" si="1039"/>
        <v>0</v>
      </c>
      <c r="U482" s="115"/>
      <c r="V482" s="107"/>
      <c r="W482" s="108">
        <f t="shared" si="1040"/>
        <v>0</v>
      </c>
      <c r="X482" s="115"/>
      <c r="Y482" s="107"/>
      <c r="Z482" s="108">
        <f t="shared" si="1041"/>
        <v>0</v>
      </c>
      <c r="AA482" s="115">
        <f>SUM(R482,U482,X482)</f>
        <v>0</v>
      </c>
      <c r="AB482" s="107">
        <f>SUM(S482,V482,Y482)</f>
        <v>0</v>
      </c>
      <c r="AC482" s="108">
        <f t="shared" si="1042"/>
        <v>0</v>
      </c>
      <c r="AD482" s="115"/>
      <c r="AE482" s="107"/>
      <c r="AF482" s="108">
        <f t="shared" si="1043"/>
        <v>0</v>
      </c>
      <c r="AG482" s="115"/>
      <c r="AH482" s="107"/>
      <c r="AI482" s="108">
        <f t="shared" si="1044"/>
        <v>0</v>
      </c>
      <c r="AJ482" s="115"/>
      <c r="AK482" s="107"/>
      <c r="AL482" s="108">
        <f t="shared" si="1045"/>
        <v>0</v>
      </c>
      <c r="AM482" s="115">
        <f>SUM(AD482,AG482,AJ482)</f>
        <v>0</v>
      </c>
      <c r="AN482" s="107">
        <f>SUM(AE482,AH482,AK482)</f>
        <v>0</v>
      </c>
      <c r="AO482" s="108">
        <f t="shared" si="1046"/>
        <v>0</v>
      </c>
      <c r="AP482" s="115"/>
      <c r="AQ482" s="107"/>
      <c r="AR482" s="108">
        <f t="shared" si="1047"/>
        <v>0</v>
      </c>
      <c r="AS482" s="115"/>
      <c r="AT482" s="107"/>
      <c r="AU482" s="108">
        <f t="shared" si="1048"/>
        <v>0</v>
      </c>
      <c r="AV482" s="115"/>
      <c r="AW482" s="107"/>
      <c r="AX482" s="108">
        <f t="shared" si="1049"/>
        <v>0</v>
      </c>
      <c r="AY482" s="107">
        <f>SUM(AP482,AS482,AV482)</f>
        <v>0</v>
      </c>
      <c r="AZ482" s="107">
        <f>SUM(AQ482,AT482,AW482)</f>
        <v>0</v>
      </c>
      <c r="BA482" s="108">
        <f t="shared" si="1050"/>
        <v>0</v>
      </c>
      <c r="BB482" s="115">
        <f>SUM(F482,I482,L482,R482,U482,X482,AD482,AG482,AJ482,AP482,AS482,AV482)</f>
        <v>0</v>
      </c>
      <c r="BC482" s="107">
        <f>SUM(G482,J482,M482,S482,V482,Y482,AE482,AH482,AK482,AQ482,AT482,AW482)</f>
        <v>0</v>
      </c>
      <c r="BD482" s="108">
        <f t="shared" si="1051"/>
        <v>0</v>
      </c>
      <c r="BE482" s="115"/>
      <c r="BF482" s="115"/>
      <c r="BG482" s="20">
        <f t="shared" si="1034"/>
        <v>0</v>
      </c>
    </row>
    <row r="483" spans="1:59" ht="13.5" hidden="1" customHeight="1" outlineLevel="1" x14ac:dyDescent="0.25">
      <c r="A483" s="82"/>
      <c r="B483" s="84" t="s">
        <v>61</v>
      </c>
      <c r="C483" s="74" t="s">
        <v>110</v>
      </c>
      <c r="D483" s="157"/>
      <c r="E483" s="157"/>
      <c r="F483" s="115"/>
      <c r="G483" s="107"/>
      <c r="H483" s="108">
        <f t="shared" si="1035"/>
        <v>0</v>
      </c>
      <c r="I483" s="115"/>
      <c r="J483" s="107"/>
      <c r="K483" s="108">
        <f t="shared" si="1036"/>
        <v>0</v>
      </c>
      <c r="L483" s="115"/>
      <c r="M483" s="107"/>
      <c r="N483" s="108">
        <f t="shared" si="1037"/>
        <v>0</v>
      </c>
      <c r="O483" s="115">
        <f>SUM(F483,I483,L483)</f>
        <v>0</v>
      </c>
      <c r="P483" s="107">
        <f>SUM(G483,J483,M483)</f>
        <v>0</v>
      </c>
      <c r="Q483" s="108">
        <f t="shared" si="1038"/>
        <v>0</v>
      </c>
      <c r="R483" s="115"/>
      <c r="S483" s="107"/>
      <c r="T483" s="108">
        <f t="shared" si="1039"/>
        <v>0</v>
      </c>
      <c r="U483" s="115"/>
      <c r="V483" s="107"/>
      <c r="W483" s="108">
        <f t="shared" si="1040"/>
        <v>0</v>
      </c>
      <c r="X483" s="115"/>
      <c r="Y483" s="107"/>
      <c r="Z483" s="108">
        <f t="shared" si="1041"/>
        <v>0</v>
      </c>
      <c r="AA483" s="115">
        <f>SUM(R483,U483,X483)</f>
        <v>0</v>
      </c>
      <c r="AB483" s="107">
        <f>SUM(S483,V483,Y483)</f>
        <v>0</v>
      </c>
      <c r="AC483" s="108">
        <f t="shared" si="1042"/>
        <v>0</v>
      </c>
      <c r="AD483" s="115"/>
      <c r="AE483" s="107"/>
      <c r="AF483" s="108">
        <f t="shared" si="1043"/>
        <v>0</v>
      </c>
      <c r="AG483" s="115"/>
      <c r="AH483" s="107"/>
      <c r="AI483" s="108">
        <f t="shared" si="1044"/>
        <v>0</v>
      </c>
      <c r="AJ483" s="115"/>
      <c r="AK483" s="107"/>
      <c r="AL483" s="108">
        <f t="shared" si="1045"/>
        <v>0</v>
      </c>
      <c r="AM483" s="115">
        <f>SUM(AD483,AG483,AJ483)</f>
        <v>0</v>
      </c>
      <c r="AN483" s="107">
        <f>SUM(AE483,AH483,AK483)</f>
        <v>0</v>
      </c>
      <c r="AO483" s="108">
        <f t="shared" si="1046"/>
        <v>0</v>
      </c>
      <c r="AP483" s="115"/>
      <c r="AQ483" s="107"/>
      <c r="AR483" s="108">
        <f t="shared" si="1047"/>
        <v>0</v>
      </c>
      <c r="AS483" s="115"/>
      <c r="AT483" s="107"/>
      <c r="AU483" s="108">
        <f t="shared" si="1048"/>
        <v>0</v>
      </c>
      <c r="AV483" s="115"/>
      <c r="AW483" s="107"/>
      <c r="AX483" s="108">
        <f t="shared" si="1049"/>
        <v>0</v>
      </c>
      <c r="AY483" s="107">
        <f>SUM(AP483,AS483,AV483)</f>
        <v>0</v>
      </c>
      <c r="AZ483" s="107">
        <f>SUM(AQ483,AT483,AW483)</f>
        <v>0</v>
      </c>
      <c r="BA483" s="108">
        <f t="shared" si="1050"/>
        <v>0</v>
      </c>
      <c r="BB483" s="115">
        <f>SUM(F483,I483,L483,R483,U483,X483,AD483,AG483,AJ483,AP483,AS483,AV483)</f>
        <v>0</v>
      </c>
      <c r="BC483" s="107">
        <f>SUM(G483,J483,M483,S483,V483,Y483,AE483,AH483,AK483,AQ483,AT483,AW483)</f>
        <v>0</v>
      </c>
      <c r="BD483" s="108">
        <f t="shared" si="1051"/>
        <v>0</v>
      </c>
      <c r="BE483" s="115"/>
      <c r="BF483" s="115"/>
      <c r="BG483" s="20">
        <f t="shared" si="1034"/>
        <v>0</v>
      </c>
    </row>
    <row r="484" spans="1:59" s="210" customFormat="1" ht="13.5" customHeight="1" collapsed="1" thickBot="1" x14ac:dyDescent="0.3">
      <c r="A484" s="85"/>
      <c r="B484" s="95" t="s">
        <v>62</v>
      </c>
      <c r="C484" s="88" t="s">
        <v>110</v>
      </c>
      <c r="D484" s="93">
        <f>SUM(D485)</f>
        <v>0</v>
      </c>
      <c r="E484" s="93">
        <f>SUM(E485)</f>
        <v>0</v>
      </c>
      <c r="F484" s="187">
        <f>SUM(F485)</f>
        <v>0</v>
      </c>
      <c r="G484" s="92">
        <f>SUM(G485)</f>
        <v>0</v>
      </c>
      <c r="H484" s="91">
        <f t="shared" si="1035"/>
        <v>0</v>
      </c>
      <c r="I484" s="187">
        <f>SUM(I485)</f>
        <v>0</v>
      </c>
      <c r="J484" s="92">
        <f>SUM(J485)</f>
        <v>0</v>
      </c>
      <c r="K484" s="91">
        <f t="shared" si="1036"/>
        <v>0</v>
      </c>
      <c r="L484" s="187">
        <f>SUM(L485)</f>
        <v>0</v>
      </c>
      <c r="M484" s="92">
        <f>SUM(M485)</f>
        <v>0</v>
      </c>
      <c r="N484" s="91">
        <f t="shared" si="1037"/>
        <v>0</v>
      </c>
      <c r="O484" s="187">
        <f>SUM(O485)</f>
        <v>0</v>
      </c>
      <c r="P484" s="92">
        <f>SUM(P485)</f>
        <v>0</v>
      </c>
      <c r="Q484" s="91">
        <f t="shared" si="1038"/>
        <v>0</v>
      </c>
      <c r="R484" s="187">
        <f>SUM(R485)</f>
        <v>0</v>
      </c>
      <c r="S484" s="92">
        <f>SUM(S485)</f>
        <v>0</v>
      </c>
      <c r="T484" s="91">
        <f t="shared" si="1039"/>
        <v>0</v>
      </c>
      <c r="U484" s="187">
        <f>SUM(U485)</f>
        <v>0</v>
      </c>
      <c r="V484" s="92">
        <f>SUM(V485)</f>
        <v>0</v>
      </c>
      <c r="W484" s="91">
        <f t="shared" si="1040"/>
        <v>0</v>
      </c>
      <c r="X484" s="187">
        <f>SUM(X485)</f>
        <v>0</v>
      </c>
      <c r="Y484" s="92">
        <f>SUM(Y485)</f>
        <v>0</v>
      </c>
      <c r="Z484" s="91">
        <f t="shared" si="1041"/>
        <v>0</v>
      </c>
      <c r="AA484" s="187">
        <f>SUM(AA485)</f>
        <v>0</v>
      </c>
      <c r="AB484" s="92">
        <f>SUM(AB485)</f>
        <v>0</v>
      </c>
      <c r="AC484" s="91">
        <f t="shared" si="1042"/>
        <v>0</v>
      </c>
      <c r="AD484" s="187">
        <f>SUM(AD485)</f>
        <v>0</v>
      </c>
      <c r="AE484" s="92">
        <f>SUM(AE485)</f>
        <v>0</v>
      </c>
      <c r="AF484" s="91">
        <f t="shared" si="1043"/>
        <v>0</v>
      </c>
      <c r="AG484" s="187">
        <f>SUM(AG485)</f>
        <v>0</v>
      </c>
      <c r="AH484" s="92">
        <f>SUM(AH485)</f>
        <v>0</v>
      </c>
      <c r="AI484" s="91">
        <f t="shared" si="1044"/>
        <v>0</v>
      </c>
      <c r="AJ484" s="187">
        <f>SUM(AJ485)</f>
        <v>0</v>
      </c>
      <c r="AK484" s="92">
        <f>SUM(AK485)</f>
        <v>0</v>
      </c>
      <c r="AL484" s="91">
        <f t="shared" si="1045"/>
        <v>0</v>
      </c>
      <c r="AM484" s="187">
        <f>SUM(AM485)</f>
        <v>0</v>
      </c>
      <c r="AN484" s="92">
        <f>SUM(AN485)</f>
        <v>0</v>
      </c>
      <c r="AO484" s="91">
        <f t="shared" si="1046"/>
        <v>0</v>
      </c>
      <c r="AP484" s="187">
        <f>SUM(AP485)</f>
        <v>0</v>
      </c>
      <c r="AQ484" s="92">
        <f>SUM(AQ485)</f>
        <v>0</v>
      </c>
      <c r="AR484" s="91">
        <f t="shared" si="1047"/>
        <v>0</v>
      </c>
      <c r="AS484" s="187">
        <f>SUM(AS485)</f>
        <v>0</v>
      </c>
      <c r="AT484" s="92">
        <f>SUM(AT485)</f>
        <v>0</v>
      </c>
      <c r="AU484" s="91">
        <f t="shared" si="1048"/>
        <v>0</v>
      </c>
      <c r="AV484" s="187">
        <f>SUM(AV485)</f>
        <v>0</v>
      </c>
      <c r="AW484" s="92">
        <f>SUM(AW485)</f>
        <v>0</v>
      </c>
      <c r="AX484" s="91">
        <f t="shared" si="1049"/>
        <v>0</v>
      </c>
      <c r="AY484" s="92">
        <f>SUM(AY485)</f>
        <v>0</v>
      </c>
      <c r="AZ484" s="92">
        <f>SUM(AZ485)</f>
        <v>0</v>
      </c>
      <c r="BA484" s="91">
        <f t="shared" si="1050"/>
        <v>0</v>
      </c>
      <c r="BB484" s="187">
        <f>SUM(BB485)</f>
        <v>0</v>
      </c>
      <c r="BC484" s="92">
        <f>SUM(BC485)</f>
        <v>0</v>
      </c>
      <c r="BD484" s="91">
        <f t="shared" si="1051"/>
        <v>0</v>
      </c>
      <c r="BE484" s="187">
        <f t="shared" ref="BE484:BG484" si="1052">SUM(BE485)</f>
        <v>0</v>
      </c>
      <c r="BF484" s="187">
        <f t="shared" si="1052"/>
        <v>0</v>
      </c>
      <c r="BG484" s="93">
        <f t="shared" si="1052"/>
        <v>0</v>
      </c>
    </row>
    <row r="485" spans="1:59" ht="13.5" hidden="1" customHeight="1" outlineLevel="1" thickBot="1" x14ac:dyDescent="0.3">
      <c r="A485" s="11"/>
      <c r="B485" s="48" t="s">
        <v>63</v>
      </c>
      <c r="C485" s="73" t="s">
        <v>110</v>
      </c>
      <c r="D485" s="4"/>
      <c r="E485" s="4"/>
      <c r="F485" s="7"/>
      <c r="G485" s="6"/>
      <c r="H485" s="5">
        <f t="shared" si="1035"/>
        <v>0</v>
      </c>
      <c r="I485" s="7"/>
      <c r="J485" s="6"/>
      <c r="K485" s="5">
        <f t="shared" si="1036"/>
        <v>0</v>
      </c>
      <c r="L485" s="7"/>
      <c r="M485" s="6"/>
      <c r="N485" s="5">
        <f t="shared" si="1037"/>
        <v>0</v>
      </c>
      <c r="O485" s="7">
        <f>SUM(F485,I485,L485)</f>
        <v>0</v>
      </c>
      <c r="P485" s="6">
        <f>SUM(G485,J485,M485)</f>
        <v>0</v>
      </c>
      <c r="Q485" s="5">
        <f t="shared" si="1038"/>
        <v>0</v>
      </c>
      <c r="R485" s="7"/>
      <c r="S485" s="6"/>
      <c r="T485" s="5">
        <f t="shared" si="1039"/>
        <v>0</v>
      </c>
      <c r="U485" s="7"/>
      <c r="V485" s="6"/>
      <c r="W485" s="5">
        <f t="shared" si="1040"/>
        <v>0</v>
      </c>
      <c r="X485" s="7"/>
      <c r="Y485" s="6"/>
      <c r="Z485" s="5">
        <f t="shared" si="1041"/>
        <v>0</v>
      </c>
      <c r="AA485" s="7">
        <f>SUM(R485,U485,X485)</f>
        <v>0</v>
      </c>
      <c r="AB485" s="6">
        <f>SUM(S485,V485,Y485)</f>
        <v>0</v>
      </c>
      <c r="AC485" s="5">
        <f t="shared" si="1042"/>
        <v>0</v>
      </c>
      <c r="AD485" s="7"/>
      <c r="AE485" s="6"/>
      <c r="AF485" s="5">
        <f t="shared" si="1043"/>
        <v>0</v>
      </c>
      <c r="AG485" s="7"/>
      <c r="AH485" s="6"/>
      <c r="AI485" s="5">
        <f t="shared" si="1044"/>
        <v>0</v>
      </c>
      <c r="AJ485" s="7"/>
      <c r="AK485" s="6"/>
      <c r="AL485" s="5">
        <f t="shared" si="1045"/>
        <v>0</v>
      </c>
      <c r="AM485" s="7">
        <f>SUM(AD485,AG485,AJ485)</f>
        <v>0</v>
      </c>
      <c r="AN485" s="6">
        <f>SUM(AE485,AH485,AK485)</f>
        <v>0</v>
      </c>
      <c r="AO485" s="5">
        <f t="shared" si="1046"/>
        <v>0</v>
      </c>
      <c r="AP485" s="7"/>
      <c r="AQ485" s="6"/>
      <c r="AR485" s="5">
        <f t="shared" si="1047"/>
        <v>0</v>
      </c>
      <c r="AS485" s="7"/>
      <c r="AT485" s="6"/>
      <c r="AU485" s="5">
        <f t="shared" si="1048"/>
        <v>0</v>
      </c>
      <c r="AV485" s="7"/>
      <c r="AW485" s="6"/>
      <c r="AX485" s="5">
        <f t="shared" si="1049"/>
        <v>0</v>
      </c>
      <c r="AY485" s="6">
        <f>SUM(AP485,AS485,AV485)</f>
        <v>0</v>
      </c>
      <c r="AZ485" s="6">
        <f>SUM(AQ485,AT485,AW485)</f>
        <v>0</v>
      </c>
      <c r="BA485" s="5">
        <f t="shared" si="1050"/>
        <v>0</v>
      </c>
      <c r="BB485" s="7">
        <f>SUM(F485,I485,L485,R485,U485,X485,AD485,AG485,AJ485,AP485,AS485,AV485)</f>
        <v>0</v>
      </c>
      <c r="BC485" s="6">
        <f>SUM(G485,J485,M485,S485,V485,Y485,AE485,AH485,AK485,AQ485,AT485,AW485)</f>
        <v>0</v>
      </c>
      <c r="BD485" s="5">
        <f t="shared" si="1051"/>
        <v>0</v>
      </c>
      <c r="BE485" s="7"/>
      <c r="BF485" s="7"/>
      <c r="BG485" s="4">
        <f>BB485+BE485+BF485</f>
        <v>0</v>
      </c>
    </row>
    <row r="486" spans="1:59" ht="13.5" customHeight="1" collapsed="1" thickBot="1" x14ac:dyDescent="0.3">
      <c r="A486" s="235"/>
      <c r="B486" s="236"/>
      <c r="C486" s="237"/>
      <c r="D486" s="247"/>
      <c r="E486" s="247"/>
      <c r="F486" s="238"/>
      <c r="G486" s="239"/>
      <c r="H486" s="240"/>
      <c r="I486" s="238"/>
      <c r="J486" s="239"/>
      <c r="K486" s="240"/>
      <c r="L486" s="238"/>
      <c r="M486" s="239"/>
      <c r="N486" s="240"/>
      <c r="O486" s="238"/>
      <c r="P486" s="239"/>
      <c r="Q486" s="240"/>
      <c r="R486" s="238"/>
      <c r="S486" s="239"/>
      <c r="T486" s="240"/>
      <c r="U486" s="238"/>
      <c r="V486" s="239"/>
      <c r="W486" s="240"/>
      <c r="X486" s="238"/>
      <c r="Y486" s="239"/>
      <c r="Z486" s="240"/>
      <c r="AA486" s="238"/>
      <c r="AB486" s="239"/>
      <c r="AC486" s="240"/>
      <c r="AD486" s="238"/>
      <c r="AE486" s="239"/>
      <c r="AF486" s="240"/>
      <c r="AG486" s="238"/>
      <c r="AH486" s="239"/>
      <c r="AI486" s="240"/>
      <c r="AJ486" s="238"/>
      <c r="AK486" s="239"/>
      <c r="AL486" s="240"/>
      <c r="AM486" s="238"/>
      <c r="AN486" s="239"/>
      <c r="AO486" s="240"/>
      <c r="AP486" s="238"/>
      <c r="AQ486" s="239"/>
      <c r="AR486" s="240"/>
      <c r="AS486" s="238"/>
      <c r="AT486" s="239"/>
      <c r="AU486" s="240"/>
      <c r="AV486" s="238"/>
      <c r="AW486" s="239"/>
      <c r="AX486" s="240"/>
      <c r="AY486" s="238"/>
      <c r="AZ486" s="239"/>
      <c r="BA486" s="240"/>
      <c r="BB486" s="238"/>
      <c r="BC486" s="239"/>
      <c r="BD486" s="240"/>
      <c r="BE486" s="241"/>
      <c r="BF486" s="241"/>
      <c r="BG486" s="247"/>
    </row>
    <row r="487" spans="1:59" ht="13.5" customHeight="1" thickBot="1" x14ac:dyDescent="0.3">
      <c r="A487" s="270" t="s">
        <v>119</v>
      </c>
      <c r="B487" s="271"/>
      <c r="C487" s="271"/>
      <c r="D487" s="37"/>
      <c r="E487" s="37"/>
      <c r="F487" s="40"/>
      <c r="G487" s="39"/>
      <c r="H487" s="38"/>
      <c r="I487" s="40"/>
      <c r="J487" s="39"/>
      <c r="K487" s="38"/>
      <c r="L487" s="40"/>
      <c r="M487" s="39"/>
      <c r="N487" s="38"/>
      <c r="O487" s="40"/>
      <c r="P487" s="39"/>
      <c r="Q487" s="38"/>
      <c r="R487" s="40"/>
      <c r="S487" s="39"/>
      <c r="T487" s="38"/>
      <c r="U487" s="40"/>
      <c r="V487" s="39"/>
      <c r="W487" s="38"/>
      <c r="X487" s="40"/>
      <c r="Y487" s="39"/>
      <c r="Z487" s="38"/>
      <c r="AA487" s="40"/>
      <c r="AB487" s="39"/>
      <c r="AC487" s="38"/>
      <c r="AD487" s="40"/>
      <c r="AE487" s="39"/>
      <c r="AF487" s="38"/>
      <c r="AG487" s="40"/>
      <c r="AH487" s="39"/>
      <c r="AI487" s="38"/>
      <c r="AJ487" s="40"/>
      <c r="AK487" s="39"/>
      <c r="AL487" s="38"/>
      <c r="AM487" s="40"/>
      <c r="AN487" s="39"/>
      <c r="AO487" s="38"/>
      <c r="AP487" s="40"/>
      <c r="AQ487" s="39"/>
      <c r="AR487" s="38"/>
      <c r="AS487" s="40"/>
      <c r="AT487" s="39"/>
      <c r="AU487" s="38"/>
      <c r="AV487" s="40"/>
      <c r="AW487" s="39"/>
      <c r="AX487" s="38"/>
      <c r="AY487" s="39"/>
      <c r="AZ487" s="39"/>
      <c r="BA487" s="38"/>
      <c r="BB487" s="40"/>
      <c r="BC487" s="39"/>
      <c r="BD487" s="38"/>
      <c r="BE487" s="40"/>
      <c r="BF487" s="40"/>
      <c r="BG487" s="37"/>
    </row>
    <row r="488" spans="1:59" ht="13.5" customHeight="1" thickBot="1" x14ac:dyDescent="0.3">
      <c r="A488" s="235"/>
      <c r="B488" s="236"/>
      <c r="C488" s="237"/>
      <c r="D488" s="242"/>
      <c r="E488" s="242"/>
      <c r="F488" s="238"/>
      <c r="G488" s="239"/>
      <c r="H488" s="240"/>
      <c r="I488" s="238"/>
      <c r="J488" s="239"/>
      <c r="K488" s="240"/>
      <c r="L488" s="238"/>
      <c r="M488" s="239"/>
      <c r="N488" s="240"/>
      <c r="O488" s="238"/>
      <c r="P488" s="239"/>
      <c r="Q488" s="240"/>
      <c r="R488" s="238"/>
      <c r="S488" s="239"/>
      <c r="T488" s="240"/>
      <c r="U488" s="238"/>
      <c r="V488" s="239"/>
      <c r="W488" s="240"/>
      <c r="X488" s="238"/>
      <c r="Y488" s="239"/>
      <c r="Z488" s="240"/>
      <c r="AA488" s="238"/>
      <c r="AB488" s="239"/>
      <c r="AC488" s="240"/>
      <c r="AD488" s="238"/>
      <c r="AE488" s="239"/>
      <c r="AF488" s="240"/>
      <c r="AG488" s="238"/>
      <c r="AH488" s="239"/>
      <c r="AI488" s="240"/>
      <c r="AJ488" s="238"/>
      <c r="AK488" s="239"/>
      <c r="AL488" s="240"/>
      <c r="AM488" s="238"/>
      <c r="AN488" s="239"/>
      <c r="AO488" s="240"/>
      <c r="AP488" s="238"/>
      <c r="AQ488" s="239"/>
      <c r="AR488" s="240"/>
      <c r="AS488" s="238"/>
      <c r="AT488" s="239"/>
      <c r="AU488" s="240"/>
      <c r="AV488" s="238"/>
      <c r="AW488" s="239"/>
      <c r="AX488" s="240"/>
      <c r="AY488" s="238"/>
      <c r="AZ488" s="239"/>
      <c r="BA488" s="240"/>
      <c r="BB488" s="238"/>
      <c r="BC488" s="239"/>
      <c r="BD488" s="240"/>
      <c r="BE488" s="243"/>
      <c r="BF488" s="243"/>
      <c r="BG488" s="242"/>
    </row>
    <row r="489" spans="1:59" ht="13.5" customHeight="1" x14ac:dyDescent="0.25">
      <c r="A489" s="47" t="s">
        <v>120</v>
      </c>
      <c r="B489" s="105" t="s">
        <v>121</v>
      </c>
      <c r="C489" s="104" t="s">
        <v>110</v>
      </c>
      <c r="D489" s="192">
        <f t="shared" ref="D489:G504" si="1053">IF(D522=0,0,D$521+D522+D554)</f>
        <v>0</v>
      </c>
      <c r="E489" s="192">
        <f t="shared" si="1053"/>
        <v>0</v>
      </c>
      <c r="F489" s="195">
        <f t="shared" si="1053"/>
        <v>0</v>
      </c>
      <c r="G489" s="193">
        <f t="shared" si="1053"/>
        <v>0</v>
      </c>
      <c r="H489" s="194">
        <f t="shared" ref="H489:H504" si="1054">G489-F489</f>
        <v>0</v>
      </c>
      <c r="I489" s="195">
        <f t="shared" ref="I489:J504" si="1055">IF(I522=0,0,I$521+I522+I554)</f>
        <v>0</v>
      </c>
      <c r="J489" s="193">
        <f t="shared" si="1055"/>
        <v>0</v>
      </c>
      <c r="K489" s="194">
        <f t="shared" ref="K489:K504" si="1056">J489-I489</f>
        <v>0</v>
      </c>
      <c r="L489" s="195">
        <f t="shared" ref="L489:M504" si="1057">IF(L522=0,0,L$521+L522+L554)</f>
        <v>0</v>
      </c>
      <c r="M489" s="193">
        <f t="shared" si="1057"/>
        <v>0</v>
      </c>
      <c r="N489" s="194">
        <f t="shared" ref="N489:N504" si="1058">M489-L489</f>
        <v>0</v>
      </c>
      <c r="O489" s="195">
        <f t="shared" ref="O489:P504" si="1059">IF(O522=0,0,O$521+O522+O554)</f>
        <v>0</v>
      </c>
      <c r="P489" s="193">
        <f t="shared" si="1059"/>
        <v>0</v>
      </c>
      <c r="Q489" s="194">
        <f t="shared" ref="Q489:Q504" si="1060">P489-O489</f>
        <v>0</v>
      </c>
      <c r="R489" s="195">
        <f t="shared" ref="R489:S504" si="1061">IF(R522=0,0,R$521+R522+R554)</f>
        <v>0</v>
      </c>
      <c r="S489" s="193">
        <f t="shared" si="1061"/>
        <v>0</v>
      </c>
      <c r="T489" s="194">
        <f t="shared" ref="T489:T504" si="1062">S489-R489</f>
        <v>0</v>
      </c>
      <c r="U489" s="195">
        <f t="shared" ref="U489:V504" si="1063">IF(U522=0,0,U$521+U522+U554)</f>
        <v>0</v>
      </c>
      <c r="V489" s="193">
        <f t="shared" si="1063"/>
        <v>0</v>
      </c>
      <c r="W489" s="194">
        <f t="shared" ref="W489:W504" si="1064">V489-U489</f>
        <v>0</v>
      </c>
      <c r="X489" s="195">
        <f t="shared" ref="X489:Y504" si="1065">IF(X522=0,0,X$521+X522+X554)</f>
        <v>0</v>
      </c>
      <c r="Y489" s="193">
        <f t="shared" si="1065"/>
        <v>0</v>
      </c>
      <c r="Z489" s="194">
        <f t="shared" ref="Z489:Z504" si="1066">Y489-X489</f>
        <v>0</v>
      </c>
      <c r="AA489" s="195">
        <f t="shared" ref="AA489:AB504" si="1067">IF(AA522=0,0,AA$521+AA522+AA554)</f>
        <v>0</v>
      </c>
      <c r="AB489" s="193">
        <f t="shared" si="1067"/>
        <v>0</v>
      </c>
      <c r="AC489" s="194">
        <f t="shared" ref="AC489:AC504" si="1068">AB489-AA489</f>
        <v>0</v>
      </c>
      <c r="AD489" s="195">
        <f t="shared" ref="AD489:AE504" si="1069">IF(AD522=0,0,AD$521+AD522+AD554)</f>
        <v>0</v>
      </c>
      <c r="AE489" s="193">
        <f t="shared" si="1069"/>
        <v>0</v>
      </c>
      <c r="AF489" s="194">
        <f t="shared" ref="AF489:AF504" si="1070">AE489-AD489</f>
        <v>0</v>
      </c>
      <c r="AG489" s="195">
        <f t="shared" ref="AG489:AH504" si="1071">IF(AG522=0,0,AG$521+AG522+AG554)</f>
        <v>0</v>
      </c>
      <c r="AH489" s="193">
        <f t="shared" si="1071"/>
        <v>0</v>
      </c>
      <c r="AI489" s="194">
        <f t="shared" ref="AI489:AI504" si="1072">AH489-AG489</f>
        <v>0</v>
      </c>
      <c r="AJ489" s="195">
        <f t="shared" ref="AJ489:AK504" si="1073">IF(AJ522=0,0,AJ$521+AJ522+AJ554)</f>
        <v>0</v>
      </c>
      <c r="AK489" s="193">
        <f t="shared" si="1073"/>
        <v>0</v>
      </c>
      <c r="AL489" s="194">
        <f t="shared" ref="AL489:AL504" si="1074">AK489-AJ489</f>
        <v>0</v>
      </c>
      <c r="AM489" s="195">
        <f t="shared" ref="AM489:AN504" si="1075">IF(AM522=0,0,AM$521+AM522+AM554)</f>
        <v>0</v>
      </c>
      <c r="AN489" s="193">
        <f t="shared" si="1075"/>
        <v>0</v>
      </c>
      <c r="AO489" s="194">
        <f t="shared" ref="AO489:AO504" si="1076">AN489-AM489</f>
        <v>0</v>
      </c>
      <c r="AP489" s="195">
        <f t="shared" ref="AP489:AQ504" si="1077">IF(AP522=0,0,AP$521+AP522+AP554)</f>
        <v>0</v>
      </c>
      <c r="AQ489" s="193">
        <f t="shared" si="1077"/>
        <v>0</v>
      </c>
      <c r="AR489" s="194">
        <f t="shared" ref="AR489:AR504" si="1078">AQ489-AP489</f>
        <v>0</v>
      </c>
      <c r="AS489" s="195">
        <f t="shared" ref="AS489:AT504" si="1079">IF(AS522=0,0,AS$521+AS522+AS554)</f>
        <v>0</v>
      </c>
      <c r="AT489" s="193">
        <f t="shared" si="1079"/>
        <v>0</v>
      </c>
      <c r="AU489" s="194">
        <f t="shared" ref="AU489:AU504" si="1080">AT489-AS489</f>
        <v>0</v>
      </c>
      <c r="AV489" s="195">
        <f t="shared" ref="AV489:AW504" si="1081">IF(AV522=0,0,AV$521+AV522+AV554)</f>
        <v>0</v>
      </c>
      <c r="AW489" s="193">
        <f t="shared" si="1081"/>
        <v>0</v>
      </c>
      <c r="AX489" s="194">
        <f t="shared" ref="AX489:AX504" si="1082">AW489-AV489</f>
        <v>0</v>
      </c>
      <c r="AY489" s="193">
        <f t="shared" ref="AY489:AZ504" si="1083">IF(AY522=0,0,AY$521+AY522+AY554)</f>
        <v>0</v>
      </c>
      <c r="AZ489" s="193">
        <f t="shared" si="1083"/>
        <v>0</v>
      </c>
      <c r="BA489" s="194">
        <f t="shared" ref="BA489:BA504" si="1084">AZ489-AY489</f>
        <v>0</v>
      </c>
      <c r="BB489" s="195">
        <f t="shared" ref="BB489:BC504" si="1085">IF(BB522=0,0,BB$521+BB522+BB554)</f>
        <v>0</v>
      </c>
      <c r="BC489" s="193">
        <f t="shared" si="1085"/>
        <v>0</v>
      </c>
      <c r="BD489" s="194">
        <f t="shared" ref="BD489:BD504" si="1086">BC489-BB489</f>
        <v>0</v>
      </c>
      <c r="BE489" s="195">
        <f t="shared" ref="BE489:BF503" si="1087">IF(BE522=0,0,BE$521+BE522+BE554)</f>
        <v>0</v>
      </c>
      <c r="BF489" s="195">
        <f t="shared" si="1087"/>
        <v>0</v>
      </c>
      <c r="BG489" s="192">
        <f t="shared" ref="BG489" si="1088">IF(BG522=0,0,BG$521+BG522+BG554)</f>
        <v>0</v>
      </c>
    </row>
    <row r="490" spans="1:59" s="210" customFormat="1" ht="13.5" customHeight="1" x14ac:dyDescent="0.25">
      <c r="A490" s="103"/>
      <c r="B490" s="102" t="s">
        <v>33</v>
      </c>
      <c r="C490" s="77" t="s">
        <v>110</v>
      </c>
      <c r="D490" s="188">
        <f t="shared" si="1053"/>
        <v>0</v>
      </c>
      <c r="E490" s="188">
        <f t="shared" si="1053"/>
        <v>0</v>
      </c>
      <c r="F490" s="191">
        <f t="shared" si="1053"/>
        <v>0</v>
      </c>
      <c r="G490" s="189">
        <f t="shared" si="1053"/>
        <v>0</v>
      </c>
      <c r="H490" s="190">
        <f t="shared" si="1054"/>
        <v>0</v>
      </c>
      <c r="I490" s="191">
        <f t="shared" si="1055"/>
        <v>0</v>
      </c>
      <c r="J490" s="189">
        <f t="shared" si="1055"/>
        <v>0</v>
      </c>
      <c r="K490" s="190">
        <f t="shared" si="1056"/>
        <v>0</v>
      </c>
      <c r="L490" s="191">
        <f t="shared" si="1057"/>
        <v>0</v>
      </c>
      <c r="M490" s="189">
        <f t="shared" si="1057"/>
        <v>0</v>
      </c>
      <c r="N490" s="190">
        <f t="shared" si="1058"/>
        <v>0</v>
      </c>
      <c r="O490" s="191">
        <f t="shared" si="1059"/>
        <v>0</v>
      </c>
      <c r="P490" s="189">
        <f t="shared" si="1059"/>
        <v>0</v>
      </c>
      <c r="Q490" s="190">
        <f t="shared" si="1060"/>
        <v>0</v>
      </c>
      <c r="R490" s="191">
        <f t="shared" si="1061"/>
        <v>0</v>
      </c>
      <c r="S490" s="189">
        <f t="shared" si="1061"/>
        <v>0</v>
      </c>
      <c r="T490" s="190">
        <f t="shared" si="1062"/>
        <v>0</v>
      </c>
      <c r="U490" s="191">
        <f t="shared" si="1063"/>
        <v>0</v>
      </c>
      <c r="V490" s="189">
        <f t="shared" si="1063"/>
        <v>0</v>
      </c>
      <c r="W490" s="190">
        <f t="shared" si="1064"/>
        <v>0</v>
      </c>
      <c r="X490" s="191">
        <f t="shared" si="1065"/>
        <v>0</v>
      </c>
      <c r="Y490" s="189">
        <f t="shared" si="1065"/>
        <v>0</v>
      </c>
      <c r="Z490" s="190">
        <f t="shared" si="1066"/>
        <v>0</v>
      </c>
      <c r="AA490" s="191">
        <f t="shared" si="1067"/>
        <v>0</v>
      </c>
      <c r="AB490" s="189">
        <f t="shared" si="1067"/>
        <v>0</v>
      </c>
      <c r="AC490" s="190">
        <f t="shared" si="1068"/>
        <v>0</v>
      </c>
      <c r="AD490" s="191">
        <f t="shared" si="1069"/>
        <v>0</v>
      </c>
      <c r="AE490" s="189">
        <f t="shared" si="1069"/>
        <v>0</v>
      </c>
      <c r="AF490" s="190">
        <f t="shared" si="1070"/>
        <v>0</v>
      </c>
      <c r="AG490" s="191">
        <f t="shared" si="1071"/>
        <v>0</v>
      </c>
      <c r="AH490" s="189">
        <f t="shared" si="1071"/>
        <v>0</v>
      </c>
      <c r="AI490" s="190">
        <f t="shared" si="1072"/>
        <v>0</v>
      </c>
      <c r="AJ490" s="191">
        <f t="shared" si="1073"/>
        <v>0</v>
      </c>
      <c r="AK490" s="189">
        <f t="shared" si="1073"/>
        <v>0</v>
      </c>
      <c r="AL490" s="190">
        <f t="shared" si="1074"/>
        <v>0</v>
      </c>
      <c r="AM490" s="191">
        <f t="shared" si="1075"/>
        <v>0</v>
      </c>
      <c r="AN490" s="189">
        <f t="shared" si="1075"/>
        <v>0</v>
      </c>
      <c r="AO490" s="190">
        <f t="shared" si="1076"/>
        <v>0</v>
      </c>
      <c r="AP490" s="191">
        <f t="shared" si="1077"/>
        <v>0</v>
      </c>
      <c r="AQ490" s="189">
        <f t="shared" si="1077"/>
        <v>0</v>
      </c>
      <c r="AR490" s="190">
        <f t="shared" si="1078"/>
        <v>0</v>
      </c>
      <c r="AS490" s="191">
        <f t="shared" si="1079"/>
        <v>0</v>
      </c>
      <c r="AT490" s="189">
        <f t="shared" si="1079"/>
        <v>0</v>
      </c>
      <c r="AU490" s="190">
        <f t="shared" si="1080"/>
        <v>0</v>
      </c>
      <c r="AV490" s="191">
        <f t="shared" si="1081"/>
        <v>0</v>
      </c>
      <c r="AW490" s="189">
        <f t="shared" si="1081"/>
        <v>0</v>
      </c>
      <c r="AX490" s="190">
        <f t="shared" si="1082"/>
        <v>0</v>
      </c>
      <c r="AY490" s="189">
        <f t="shared" si="1083"/>
        <v>0</v>
      </c>
      <c r="AZ490" s="189">
        <f t="shared" si="1083"/>
        <v>0</v>
      </c>
      <c r="BA490" s="190">
        <f t="shared" si="1084"/>
        <v>0</v>
      </c>
      <c r="BB490" s="191">
        <f t="shared" si="1085"/>
        <v>0</v>
      </c>
      <c r="BC490" s="189">
        <f t="shared" si="1085"/>
        <v>0</v>
      </c>
      <c r="BD490" s="190">
        <f t="shared" si="1086"/>
        <v>0</v>
      </c>
      <c r="BE490" s="191">
        <f t="shared" si="1087"/>
        <v>0</v>
      </c>
      <c r="BF490" s="191">
        <f t="shared" si="1087"/>
        <v>0</v>
      </c>
      <c r="BG490" s="188">
        <f t="shared" ref="BG490" si="1089">IF(BG523=0,0,BG$521+BG523+BG555)</f>
        <v>0</v>
      </c>
    </row>
    <row r="491" spans="1:59" ht="13.5" hidden="1" customHeight="1" outlineLevel="1" x14ac:dyDescent="0.25">
      <c r="A491" s="60"/>
      <c r="B491" s="84" t="s">
        <v>34</v>
      </c>
      <c r="C491" s="26" t="s">
        <v>110</v>
      </c>
      <c r="D491" s="20">
        <f t="shared" si="1053"/>
        <v>0</v>
      </c>
      <c r="E491" s="20">
        <f t="shared" si="1053"/>
        <v>0</v>
      </c>
      <c r="F491" s="24">
        <f t="shared" si="1053"/>
        <v>0</v>
      </c>
      <c r="G491" s="23">
        <f t="shared" si="1053"/>
        <v>0</v>
      </c>
      <c r="H491" s="22">
        <f t="shared" si="1054"/>
        <v>0</v>
      </c>
      <c r="I491" s="24">
        <f t="shared" si="1055"/>
        <v>0</v>
      </c>
      <c r="J491" s="23">
        <f t="shared" si="1055"/>
        <v>0</v>
      </c>
      <c r="K491" s="22">
        <f t="shared" si="1056"/>
        <v>0</v>
      </c>
      <c r="L491" s="24">
        <f t="shared" si="1057"/>
        <v>0</v>
      </c>
      <c r="M491" s="23">
        <f t="shared" si="1057"/>
        <v>0</v>
      </c>
      <c r="N491" s="22">
        <f t="shared" si="1058"/>
        <v>0</v>
      </c>
      <c r="O491" s="24">
        <f t="shared" si="1059"/>
        <v>0</v>
      </c>
      <c r="P491" s="23">
        <f t="shared" si="1059"/>
        <v>0</v>
      </c>
      <c r="Q491" s="22">
        <f t="shared" si="1060"/>
        <v>0</v>
      </c>
      <c r="R491" s="24">
        <f t="shared" si="1061"/>
        <v>0</v>
      </c>
      <c r="S491" s="23">
        <f t="shared" si="1061"/>
        <v>0</v>
      </c>
      <c r="T491" s="22">
        <f t="shared" si="1062"/>
        <v>0</v>
      </c>
      <c r="U491" s="24">
        <f t="shared" si="1063"/>
        <v>0</v>
      </c>
      <c r="V491" s="23">
        <f t="shared" si="1063"/>
        <v>0</v>
      </c>
      <c r="W491" s="22">
        <f t="shared" si="1064"/>
        <v>0</v>
      </c>
      <c r="X491" s="24">
        <f t="shared" si="1065"/>
        <v>0</v>
      </c>
      <c r="Y491" s="23">
        <f t="shared" si="1065"/>
        <v>0</v>
      </c>
      <c r="Z491" s="22">
        <f t="shared" si="1066"/>
        <v>0</v>
      </c>
      <c r="AA491" s="24">
        <f t="shared" si="1067"/>
        <v>0</v>
      </c>
      <c r="AB491" s="23">
        <f t="shared" si="1067"/>
        <v>0</v>
      </c>
      <c r="AC491" s="22">
        <f t="shared" si="1068"/>
        <v>0</v>
      </c>
      <c r="AD491" s="24">
        <f t="shared" si="1069"/>
        <v>0</v>
      </c>
      <c r="AE491" s="23">
        <f t="shared" si="1069"/>
        <v>0</v>
      </c>
      <c r="AF491" s="22">
        <f t="shared" si="1070"/>
        <v>0</v>
      </c>
      <c r="AG491" s="24">
        <f t="shared" si="1071"/>
        <v>0</v>
      </c>
      <c r="AH491" s="23">
        <f t="shared" si="1071"/>
        <v>0</v>
      </c>
      <c r="AI491" s="22">
        <f t="shared" si="1072"/>
        <v>0</v>
      </c>
      <c r="AJ491" s="24">
        <f t="shared" si="1073"/>
        <v>0</v>
      </c>
      <c r="AK491" s="23">
        <f t="shared" si="1073"/>
        <v>0</v>
      </c>
      <c r="AL491" s="22">
        <f t="shared" si="1074"/>
        <v>0</v>
      </c>
      <c r="AM491" s="24">
        <f t="shared" si="1075"/>
        <v>0</v>
      </c>
      <c r="AN491" s="23">
        <f t="shared" si="1075"/>
        <v>0</v>
      </c>
      <c r="AO491" s="22">
        <f t="shared" si="1076"/>
        <v>0</v>
      </c>
      <c r="AP491" s="24">
        <f t="shared" si="1077"/>
        <v>0</v>
      </c>
      <c r="AQ491" s="23">
        <f t="shared" si="1077"/>
        <v>0</v>
      </c>
      <c r="AR491" s="22">
        <f t="shared" si="1078"/>
        <v>0</v>
      </c>
      <c r="AS491" s="24">
        <f t="shared" si="1079"/>
        <v>0</v>
      </c>
      <c r="AT491" s="23">
        <f t="shared" si="1079"/>
        <v>0</v>
      </c>
      <c r="AU491" s="22">
        <f t="shared" si="1080"/>
        <v>0</v>
      </c>
      <c r="AV491" s="24">
        <f t="shared" si="1081"/>
        <v>0</v>
      </c>
      <c r="AW491" s="23">
        <f t="shared" si="1081"/>
        <v>0</v>
      </c>
      <c r="AX491" s="22">
        <f t="shared" si="1082"/>
        <v>0</v>
      </c>
      <c r="AY491" s="23">
        <f t="shared" si="1083"/>
        <v>0</v>
      </c>
      <c r="AZ491" s="23">
        <f t="shared" si="1083"/>
        <v>0</v>
      </c>
      <c r="BA491" s="22">
        <f t="shared" si="1084"/>
        <v>0</v>
      </c>
      <c r="BB491" s="24">
        <f t="shared" si="1085"/>
        <v>0</v>
      </c>
      <c r="BC491" s="23">
        <f t="shared" si="1085"/>
        <v>0</v>
      </c>
      <c r="BD491" s="22">
        <f t="shared" si="1086"/>
        <v>0</v>
      </c>
      <c r="BE491" s="24">
        <f t="shared" si="1087"/>
        <v>0</v>
      </c>
      <c r="BF491" s="24">
        <f t="shared" si="1087"/>
        <v>0</v>
      </c>
      <c r="BG491" s="20">
        <f t="shared" ref="BG491" si="1090">IF(BG524=0,0,BG$521+BG524+BG556)</f>
        <v>0</v>
      </c>
    </row>
    <row r="492" spans="1:59" ht="13.5" hidden="1" customHeight="1" outlineLevel="1" x14ac:dyDescent="0.25">
      <c r="A492" s="60"/>
      <c r="B492" s="84" t="s">
        <v>35</v>
      </c>
      <c r="C492" s="26" t="s">
        <v>110</v>
      </c>
      <c r="D492" s="20">
        <f t="shared" si="1053"/>
        <v>0</v>
      </c>
      <c r="E492" s="20">
        <f t="shared" si="1053"/>
        <v>0</v>
      </c>
      <c r="F492" s="24">
        <f t="shared" si="1053"/>
        <v>0</v>
      </c>
      <c r="G492" s="23">
        <f t="shared" si="1053"/>
        <v>0</v>
      </c>
      <c r="H492" s="22">
        <f t="shared" si="1054"/>
        <v>0</v>
      </c>
      <c r="I492" s="24">
        <f t="shared" si="1055"/>
        <v>0</v>
      </c>
      <c r="J492" s="23">
        <f t="shared" si="1055"/>
        <v>0</v>
      </c>
      <c r="K492" s="22">
        <f t="shared" si="1056"/>
        <v>0</v>
      </c>
      <c r="L492" s="24">
        <f t="shared" si="1057"/>
        <v>0</v>
      </c>
      <c r="M492" s="23">
        <f t="shared" si="1057"/>
        <v>0</v>
      </c>
      <c r="N492" s="22">
        <f t="shared" si="1058"/>
        <v>0</v>
      </c>
      <c r="O492" s="24">
        <f t="shared" si="1059"/>
        <v>0</v>
      </c>
      <c r="P492" s="23">
        <f t="shared" si="1059"/>
        <v>0</v>
      </c>
      <c r="Q492" s="22">
        <f t="shared" si="1060"/>
        <v>0</v>
      </c>
      <c r="R492" s="24">
        <f t="shared" si="1061"/>
        <v>0</v>
      </c>
      <c r="S492" s="23">
        <f t="shared" si="1061"/>
        <v>0</v>
      </c>
      <c r="T492" s="22">
        <f t="shared" si="1062"/>
        <v>0</v>
      </c>
      <c r="U492" s="24">
        <f t="shared" si="1063"/>
        <v>0</v>
      </c>
      <c r="V492" s="23">
        <f t="shared" si="1063"/>
        <v>0</v>
      </c>
      <c r="W492" s="22">
        <f t="shared" si="1064"/>
        <v>0</v>
      </c>
      <c r="X492" s="24">
        <f t="shared" si="1065"/>
        <v>0</v>
      </c>
      <c r="Y492" s="23">
        <f t="shared" si="1065"/>
        <v>0</v>
      </c>
      <c r="Z492" s="22">
        <f t="shared" si="1066"/>
        <v>0</v>
      </c>
      <c r="AA492" s="24">
        <f t="shared" si="1067"/>
        <v>0</v>
      </c>
      <c r="AB492" s="23">
        <f t="shared" si="1067"/>
        <v>0</v>
      </c>
      <c r="AC492" s="22">
        <f t="shared" si="1068"/>
        <v>0</v>
      </c>
      <c r="AD492" s="24">
        <f t="shared" si="1069"/>
        <v>0</v>
      </c>
      <c r="AE492" s="23">
        <f t="shared" si="1069"/>
        <v>0</v>
      </c>
      <c r="AF492" s="22">
        <f t="shared" si="1070"/>
        <v>0</v>
      </c>
      <c r="AG492" s="24">
        <f t="shared" si="1071"/>
        <v>0</v>
      </c>
      <c r="AH492" s="23">
        <f t="shared" si="1071"/>
        <v>0</v>
      </c>
      <c r="AI492" s="22">
        <f t="shared" si="1072"/>
        <v>0</v>
      </c>
      <c r="AJ492" s="24">
        <f t="shared" si="1073"/>
        <v>0</v>
      </c>
      <c r="AK492" s="23">
        <f t="shared" si="1073"/>
        <v>0</v>
      </c>
      <c r="AL492" s="22">
        <f t="shared" si="1074"/>
        <v>0</v>
      </c>
      <c r="AM492" s="24">
        <f t="shared" si="1075"/>
        <v>0</v>
      </c>
      <c r="AN492" s="23">
        <f t="shared" si="1075"/>
        <v>0</v>
      </c>
      <c r="AO492" s="22">
        <f t="shared" si="1076"/>
        <v>0</v>
      </c>
      <c r="AP492" s="24">
        <f t="shared" si="1077"/>
        <v>0</v>
      </c>
      <c r="AQ492" s="23">
        <f t="shared" si="1077"/>
        <v>0</v>
      </c>
      <c r="AR492" s="22">
        <f t="shared" si="1078"/>
        <v>0</v>
      </c>
      <c r="AS492" s="24">
        <f t="shared" si="1079"/>
        <v>0</v>
      </c>
      <c r="AT492" s="23">
        <f t="shared" si="1079"/>
        <v>0</v>
      </c>
      <c r="AU492" s="22">
        <f t="shared" si="1080"/>
        <v>0</v>
      </c>
      <c r="AV492" s="24">
        <f t="shared" si="1081"/>
        <v>0</v>
      </c>
      <c r="AW492" s="23">
        <f t="shared" si="1081"/>
        <v>0</v>
      </c>
      <c r="AX492" s="22">
        <f t="shared" si="1082"/>
        <v>0</v>
      </c>
      <c r="AY492" s="23">
        <f t="shared" si="1083"/>
        <v>0</v>
      </c>
      <c r="AZ492" s="23">
        <f t="shared" si="1083"/>
        <v>0</v>
      </c>
      <c r="BA492" s="22">
        <f t="shared" si="1084"/>
        <v>0</v>
      </c>
      <c r="BB492" s="24">
        <f t="shared" si="1085"/>
        <v>0</v>
      </c>
      <c r="BC492" s="23">
        <f t="shared" si="1085"/>
        <v>0</v>
      </c>
      <c r="BD492" s="22">
        <f t="shared" si="1086"/>
        <v>0</v>
      </c>
      <c r="BE492" s="24">
        <f t="shared" si="1087"/>
        <v>0</v>
      </c>
      <c r="BF492" s="24">
        <f t="shared" si="1087"/>
        <v>0</v>
      </c>
      <c r="BG492" s="20">
        <f t="shared" ref="BG492" si="1091">IF(BG525=0,0,BG$521+BG525+BG557)</f>
        <v>0</v>
      </c>
    </row>
    <row r="493" spans="1:59" ht="13.5" hidden="1" customHeight="1" outlineLevel="1" x14ac:dyDescent="0.25">
      <c r="A493" s="60"/>
      <c r="B493" s="84" t="s">
        <v>36</v>
      </c>
      <c r="C493" s="26" t="s">
        <v>110</v>
      </c>
      <c r="D493" s="20">
        <f t="shared" si="1053"/>
        <v>0</v>
      </c>
      <c r="E493" s="20">
        <f t="shared" si="1053"/>
        <v>0</v>
      </c>
      <c r="F493" s="24">
        <f t="shared" si="1053"/>
        <v>0</v>
      </c>
      <c r="G493" s="23">
        <f t="shared" si="1053"/>
        <v>0</v>
      </c>
      <c r="H493" s="22">
        <f t="shared" si="1054"/>
        <v>0</v>
      </c>
      <c r="I493" s="24">
        <f t="shared" si="1055"/>
        <v>0</v>
      </c>
      <c r="J493" s="23">
        <f t="shared" si="1055"/>
        <v>0</v>
      </c>
      <c r="K493" s="22">
        <f t="shared" si="1056"/>
        <v>0</v>
      </c>
      <c r="L493" s="24">
        <f t="shared" si="1057"/>
        <v>0</v>
      </c>
      <c r="M493" s="23">
        <f t="shared" si="1057"/>
        <v>0</v>
      </c>
      <c r="N493" s="22">
        <f t="shared" si="1058"/>
        <v>0</v>
      </c>
      <c r="O493" s="24">
        <f t="shared" si="1059"/>
        <v>0</v>
      </c>
      <c r="P493" s="23">
        <f t="shared" si="1059"/>
        <v>0</v>
      </c>
      <c r="Q493" s="22">
        <f t="shared" si="1060"/>
        <v>0</v>
      </c>
      <c r="R493" s="24">
        <f t="shared" si="1061"/>
        <v>0</v>
      </c>
      <c r="S493" s="23">
        <f t="shared" si="1061"/>
        <v>0</v>
      </c>
      <c r="T493" s="22">
        <f t="shared" si="1062"/>
        <v>0</v>
      </c>
      <c r="U493" s="24">
        <f t="shared" si="1063"/>
        <v>0</v>
      </c>
      <c r="V493" s="23">
        <f t="shared" si="1063"/>
        <v>0</v>
      </c>
      <c r="W493" s="22">
        <f t="shared" si="1064"/>
        <v>0</v>
      </c>
      <c r="X493" s="24">
        <f t="shared" si="1065"/>
        <v>0</v>
      </c>
      <c r="Y493" s="23">
        <f t="shared" si="1065"/>
        <v>0</v>
      </c>
      <c r="Z493" s="22">
        <f t="shared" si="1066"/>
        <v>0</v>
      </c>
      <c r="AA493" s="24">
        <f t="shared" si="1067"/>
        <v>0</v>
      </c>
      <c r="AB493" s="23">
        <f t="shared" si="1067"/>
        <v>0</v>
      </c>
      <c r="AC493" s="22">
        <f t="shared" si="1068"/>
        <v>0</v>
      </c>
      <c r="AD493" s="24">
        <f t="shared" si="1069"/>
        <v>0</v>
      </c>
      <c r="AE493" s="23">
        <f t="shared" si="1069"/>
        <v>0</v>
      </c>
      <c r="AF493" s="22">
        <f t="shared" si="1070"/>
        <v>0</v>
      </c>
      <c r="AG493" s="24">
        <f t="shared" si="1071"/>
        <v>0</v>
      </c>
      <c r="AH493" s="23">
        <f t="shared" si="1071"/>
        <v>0</v>
      </c>
      <c r="AI493" s="22">
        <f t="shared" si="1072"/>
        <v>0</v>
      </c>
      <c r="AJ493" s="24">
        <f t="shared" si="1073"/>
        <v>0</v>
      </c>
      <c r="AK493" s="23">
        <f t="shared" si="1073"/>
        <v>0</v>
      </c>
      <c r="AL493" s="22">
        <f t="shared" si="1074"/>
        <v>0</v>
      </c>
      <c r="AM493" s="24">
        <f t="shared" si="1075"/>
        <v>0</v>
      </c>
      <c r="AN493" s="23">
        <f t="shared" si="1075"/>
        <v>0</v>
      </c>
      <c r="AO493" s="22">
        <f t="shared" si="1076"/>
        <v>0</v>
      </c>
      <c r="AP493" s="24">
        <f t="shared" si="1077"/>
        <v>0</v>
      </c>
      <c r="AQ493" s="23">
        <f t="shared" si="1077"/>
        <v>0</v>
      </c>
      <c r="AR493" s="22">
        <f t="shared" si="1078"/>
        <v>0</v>
      </c>
      <c r="AS493" s="24">
        <f t="shared" si="1079"/>
        <v>0</v>
      </c>
      <c r="AT493" s="23">
        <f t="shared" si="1079"/>
        <v>0</v>
      </c>
      <c r="AU493" s="22">
        <f t="shared" si="1080"/>
        <v>0</v>
      </c>
      <c r="AV493" s="24">
        <f t="shared" si="1081"/>
        <v>0</v>
      </c>
      <c r="AW493" s="23">
        <f t="shared" si="1081"/>
        <v>0</v>
      </c>
      <c r="AX493" s="22">
        <f t="shared" si="1082"/>
        <v>0</v>
      </c>
      <c r="AY493" s="23">
        <f t="shared" si="1083"/>
        <v>0</v>
      </c>
      <c r="AZ493" s="23">
        <f t="shared" si="1083"/>
        <v>0</v>
      </c>
      <c r="BA493" s="22">
        <f t="shared" si="1084"/>
        <v>0</v>
      </c>
      <c r="BB493" s="24">
        <f t="shared" si="1085"/>
        <v>0</v>
      </c>
      <c r="BC493" s="23">
        <f t="shared" si="1085"/>
        <v>0</v>
      </c>
      <c r="BD493" s="22">
        <f t="shared" si="1086"/>
        <v>0</v>
      </c>
      <c r="BE493" s="24">
        <f t="shared" si="1087"/>
        <v>0</v>
      </c>
      <c r="BF493" s="24">
        <f t="shared" si="1087"/>
        <v>0</v>
      </c>
      <c r="BG493" s="20">
        <f t="shared" ref="BG493" si="1092">IF(BG526=0,0,BG$521+BG526+BG558)</f>
        <v>0</v>
      </c>
    </row>
    <row r="494" spans="1:59" ht="13.5" hidden="1" customHeight="1" outlineLevel="1" x14ac:dyDescent="0.25">
      <c r="A494" s="60"/>
      <c r="B494" s="84" t="s">
        <v>37</v>
      </c>
      <c r="C494" s="26" t="s">
        <v>110</v>
      </c>
      <c r="D494" s="20">
        <f t="shared" si="1053"/>
        <v>0</v>
      </c>
      <c r="E494" s="20">
        <f t="shared" si="1053"/>
        <v>0</v>
      </c>
      <c r="F494" s="24">
        <f t="shared" si="1053"/>
        <v>0</v>
      </c>
      <c r="G494" s="23">
        <f t="shared" si="1053"/>
        <v>0</v>
      </c>
      <c r="H494" s="22">
        <f t="shared" si="1054"/>
        <v>0</v>
      </c>
      <c r="I494" s="24">
        <f t="shared" si="1055"/>
        <v>0</v>
      </c>
      <c r="J494" s="23">
        <f t="shared" si="1055"/>
        <v>0</v>
      </c>
      <c r="K494" s="22">
        <f t="shared" si="1056"/>
        <v>0</v>
      </c>
      <c r="L494" s="24">
        <f t="shared" si="1057"/>
        <v>0</v>
      </c>
      <c r="M494" s="23">
        <f t="shared" si="1057"/>
        <v>0</v>
      </c>
      <c r="N494" s="22">
        <f t="shared" si="1058"/>
        <v>0</v>
      </c>
      <c r="O494" s="24">
        <f t="shared" si="1059"/>
        <v>0</v>
      </c>
      <c r="P494" s="23">
        <f t="shared" si="1059"/>
        <v>0</v>
      </c>
      <c r="Q494" s="22">
        <f t="shared" si="1060"/>
        <v>0</v>
      </c>
      <c r="R494" s="24">
        <f t="shared" si="1061"/>
        <v>0</v>
      </c>
      <c r="S494" s="23">
        <f t="shared" si="1061"/>
        <v>0</v>
      </c>
      <c r="T494" s="22">
        <f t="shared" si="1062"/>
        <v>0</v>
      </c>
      <c r="U494" s="24">
        <f t="shared" si="1063"/>
        <v>0</v>
      </c>
      <c r="V494" s="23">
        <f t="shared" si="1063"/>
        <v>0</v>
      </c>
      <c r="W494" s="22">
        <f t="shared" si="1064"/>
        <v>0</v>
      </c>
      <c r="X494" s="24">
        <f t="shared" si="1065"/>
        <v>0</v>
      </c>
      <c r="Y494" s="23">
        <f t="shared" si="1065"/>
        <v>0</v>
      </c>
      <c r="Z494" s="22">
        <f t="shared" si="1066"/>
        <v>0</v>
      </c>
      <c r="AA494" s="24">
        <f t="shared" si="1067"/>
        <v>0</v>
      </c>
      <c r="AB494" s="23">
        <f t="shared" si="1067"/>
        <v>0</v>
      </c>
      <c r="AC494" s="22">
        <f t="shared" si="1068"/>
        <v>0</v>
      </c>
      <c r="AD494" s="24">
        <f t="shared" si="1069"/>
        <v>0</v>
      </c>
      <c r="AE494" s="23">
        <f t="shared" si="1069"/>
        <v>0</v>
      </c>
      <c r="AF494" s="22">
        <f t="shared" si="1070"/>
        <v>0</v>
      </c>
      <c r="AG494" s="24">
        <f t="shared" si="1071"/>
        <v>0</v>
      </c>
      <c r="AH494" s="23">
        <f t="shared" si="1071"/>
        <v>0</v>
      </c>
      <c r="AI494" s="22">
        <f t="shared" si="1072"/>
        <v>0</v>
      </c>
      <c r="AJ494" s="24">
        <f t="shared" si="1073"/>
        <v>0</v>
      </c>
      <c r="AK494" s="23">
        <f t="shared" si="1073"/>
        <v>0</v>
      </c>
      <c r="AL494" s="22">
        <f t="shared" si="1074"/>
        <v>0</v>
      </c>
      <c r="AM494" s="24">
        <f t="shared" si="1075"/>
        <v>0</v>
      </c>
      <c r="AN494" s="23">
        <f t="shared" si="1075"/>
        <v>0</v>
      </c>
      <c r="AO494" s="22">
        <f t="shared" si="1076"/>
        <v>0</v>
      </c>
      <c r="AP494" s="24">
        <f t="shared" si="1077"/>
        <v>0</v>
      </c>
      <c r="AQ494" s="23">
        <f t="shared" si="1077"/>
        <v>0</v>
      </c>
      <c r="AR494" s="22">
        <f t="shared" si="1078"/>
        <v>0</v>
      </c>
      <c r="AS494" s="24">
        <f t="shared" si="1079"/>
        <v>0</v>
      </c>
      <c r="AT494" s="23">
        <f t="shared" si="1079"/>
        <v>0</v>
      </c>
      <c r="AU494" s="22">
        <f t="shared" si="1080"/>
        <v>0</v>
      </c>
      <c r="AV494" s="24">
        <f t="shared" si="1081"/>
        <v>0</v>
      </c>
      <c r="AW494" s="23">
        <f t="shared" si="1081"/>
        <v>0</v>
      </c>
      <c r="AX494" s="22">
        <f t="shared" si="1082"/>
        <v>0</v>
      </c>
      <c r="AY494" s="23">
        <f t="shared" si="1083"/>
        <v>0</v>
      </c>
      <c r="AZ494" s="23">
        <f t="shared" si="1083"/>
        <v>0</v>
      </c>
      <c r="BA494" s="22">
        <f t="shared" si="1084"/>
        <v>0</v>
      </c>
      <c r="BB494" s="24">
        <f t="shared" si="1085"/>
        <v>0</v>
      </c>
      <c r="BC494" s="23">
        <f t="shared" si="1085"/>
        <v>0</v>
      </c>
      <c r="BD494" s="22">
        <f t="shared" si="1086"/>
        <v>0</v>
      </c>
      <c r="BE494" s="24">
        <f t="shared" si="1087"/>
        <v>0</v>
      </c>
      <c r="BF494" s="24">
        <f t="shared" si="1087"/>
        <v>0</v>
      </c>
      <c r="BG494" s="20">
        <f t="shared" ref="BG494" si="1093">IF(BG527=0,0,BG$521+BG527+BG559)</f>
        <v>0</v>
      </c>
    </row>
    <row r="495" spans="1:59" ht="13.5" hidden="1" customHeight="1" outlineLevel="1" x14ac:dyDescent="0.25">
      <c r="A495" s="60"/>
      <c r="B495" s="84" t="s">
        <v>38</v>
      </c>
      <c r="C495" s="26" t="s">
        <v>110</v>
      </c>
      <c r="D495" s="20">
        <f t="shared" si="1053"/>
        <v>0</v>
      </c>
      <c r="E495" s="20">
        <f t="shared" si="1053"/>
        <v>0</v>
      </c>
      <c r="F495" s="24">
        <f t="shared" si="1053"/>
        <v>0</v>
      </c>
      <c r="G495" s="23">
        <f t="shared" si="1053"/>
        <v>0</v>
      </c>
      <c r="H495" s="22">
        <f t="shared" si="1054"/>
        <v>0</v>
      </c>
      <c r="I495" s="24">
        <f t="shared" si="1055"/>
        <v>0</v>
      </c>
      <c r="J495" s="23">
        <f t="shared" si="1055"/>
        <v>0</v>
      </c>
      <c r="K495" s="22">
        <f t="shared" si="1056"/>
        <v>0</v>
      </c>
      <c r="L495" s="24">
        <f t="shared" si="1057"/>
        <v>0</v>
      </c>
      <c r="M495" s="23">
        <f t="shared" si="1057"/>
        <v>0</v>
      </c>
      <c r="N495" s="22">
        <f t="shared" si="1058"/>
        <v>0</v>
      </c>
      <c r="O495" s="24">
        <f t="shared" si="1059"/>
        <v>0</v>
      </c>
      <c r="P495" s="23">
        <f t="shared" si="1059"/>
        <v>0</v>
      </c>
      <c r="Q495" s="22">
        <f t="shared" si="1060"/>
        <v>0</v>
      </c>
      <c r="R495" s="24">
        <f t="shared" si="1061"/>
        <v>0</v>
      </c>
      <c r="S495" s="23">
        <f t="shared" si="1061"/>
        <v>0</v>
      </c>
      <c r="T495" s="22">
        <f t="shared" si="1062"/>
        <v>0</v>
      </c>
      <c r="U495" s="24">
        <f t="shared" si="1063"/>
        <v>0</v>
      </c>
      <c r="V495" s="23">
        <f t="shared" si="1063"/>
        <v>0</v>
      </c>
      <c r="W495" s="22">
        <f t="shared" si="1064"/>
        <v>0</v>
      </c>
      <c r="X495" s="24">
        <f t="shared" si="1065"/>
        <v>0</v>
      </c>
      <c r="Y495" s="23">
        <f t="shared" si="1065"/>
        <v>0</v>
      </c>
      <c r="Z495" s="22">
        <f t="shared" si="1066"/>
        <v>0</v>
      </c>
      <c r="AA495" s="24">
        <f t="shared" si="1067"/>
        <v>0</v>
      </c>
      <c r="AB495" s="23">
        <f t="shared" si="1067"/>
        <v>0</v>
      </c>
      <c r="AC495" s="22">
        <f t="shared" si="1068"/>
        <v>0</v>
      </c>
      <c r="AD495" s="24">
        <f t="shared" si="1069"/>
        <v>0</v>
      </c>
      <c r="AE495" s="23">
        <f t="shared" si="1069"/>
        <v>0</v>
      </c>
      <c r="AF495" s="22">
        <f t="shared" si="1070"/>
        <v>0</v>
      </c>
      <c r="AG495" s="24">
        <f t="shared" si="1071"/>
        <v>0</v>
      </c>
      <c r="AH495" s="23">
        <f t="shared" si="1071"/>
        <v>0</v>
      </c>
      <c r="AI495" s="22">
        <f t="shared" si="1072"/>
        <v>0</v>
      </c>
      <c r="AJ495" s="24">
        <f t="shared" si="1073"/>
        <v>0</v>
      </c>
      <c r="AK495" s="23">
        <f t="shared" si="1073"/>
        <v>0</v>
      </c>
      <c r="AL495" s="22">
        <f t="shared" si="1074"/>
        <v>0</v>
      </c>
      <c r="AM495" s="24">
        <f t="shared" si="1075"/>
        <v>0</v>
      </c>
      <c r="AN495" s="23">
        <f t="shared" si="1075"/>
        <v>0</v>
      </c>
      <c r="AO495" s="22">
        <f t="shared" si="1076"/>
        <v>0</v>
      </c>
      <c r="AP495" s="24">
        <f t="shared" si="1077"/>
        <v>0</v>
      </c>
      <c r="AQ495" s="23">
        <f t="shared" si="1077"/>
        <v>0</v>
      </c>
      <c r="AR495" s="22">
        <f t="shared" si="1078"/>
        <v>0</v>
      </c>
      <c r="AS495" s="24">
        <f t="shared" si="1079"/>
        <v>0</v>
      </c>
      <c r="AT495" s="23">
        <f t="shared" si="1079"/>
        <v>0</v>
      </c>
      <c r="AU495" s="22">
        <f t="shared" si="1080"/>
        <v>0</v>
      </c>
      <c r="AV495" s="24">
        <f t="shared" si="1081"/>
        <v>0</v>
      </c>
      <c r="AW495" s="23">
        <f t="shared" si="1081"/>
        <v>0</v>
      </c>
      <c r="AX495" s="22">
        <f t="shared" si="1082"/>
        <v>0</v>
      </c>
      <c r="AY495" s="23">
        <f t="shared" si="1083"/>
        <v>0</v>
      </c>
      <c r="AZ495" s="23">
        <f t="shared" si="1083"/>
        <v>0</v>
      </c>
      <c r="BA495" s="22">
        <f t="shared" si="1084"/>
        <v>0</v>
      </c>
      <c r="BB495" s="24">
        <f t="shared" si="1085"/>
        <v>0</v>
      </c>
      <c r="BC495" s="23">
        <f t="shared" si="1085"/>
        <v>0</v>
      </c>
      <c r="BD495" s="22">
        <f t="shared" si="1086"/>
        <v>0</v>
      </c>
      <c r="BE495" s="24">
        <f t="shared" si="1087"/>
        <v>0</v>
      </c>
      <c r="BF495" s="24">
        <f t="shared" si="1087"/>
        <v>0</v>
      </c>
      <c r="BG495" s="20">
        <f t="shared" ref="BG495" si="1094">IF(BG528=0,0,BG$521+BG528+BG560)</f>
        <v>0</v>
      </c>
    </row>
    <row r="496" spans="1:59" ht="13.5" hidden="1" customHeight="1" outlineLevel="1" x14ac:dyDescent="0.25">
      <c r="A496" s="60"/>
      <c r="B496" s="84" t="s">
        <v>39</v>
      </c>
      <c r="C496" s="26" t="s">
        <v>110</v>
      </c>
      <c r="D496" s="20">
        <f t="shared" si="1053"/>
        <v>0</v>
      </c>
      <c r="E496" s="20">
        <f t="shared" si="1053"/>
        <v>0</v>
      </c>
      <c r="F496" s="24">
        <f t="shared" si="1053"/>
        <v>0</v>
      </c>
      <c r="G496" s="23">
        <f t="shared" si="1053"/>
        <v>0</v>
      </c>
      <c r="H496" s="22">
        <f t="shared" si="1054"/>
        <v>0</v>
      </c>
      <c r="I496" s="24">
        <f t="shared" si="1055"/>
        <v>0</v>
      </c>
      <c r="J496" s="23">
        <f t="shared" si="1055"/>
        <v>0</v>
      </c>
      <c r="K496" s="22">
        <f t="shared" si="1056"/>
        <v>0</v>
      </c>
      <c r="L496" s="24">
        <f t="shared" si="1057"/>
        <v>0</v>
      </c>
      <c r="M496" s="23">
        <f t="shared" si="1057"/>
        <v>0</v>
      </c>
      <c r="N496" s="22">
        <f t="shared" si="1058"/>
        <v>0</v>
      </c>
      <c r="O496" s="24">
        <f t="shared" si="1059"/>
        <v>0</v>
      </c>
      <c r="P496" s="23">
        <f t="shared" si="1059"/>
        <v>0</v>
      </c>
      <c r="Q496" s="22">
        <f t="shared" si="1060"/>
        <v>0</v>
      </c>
      <c r="R496" s="24">
        <f t="shared" si="1061"/>
        <v>0</v>
      </c>
      <c r="S496" s="23">
        <f t="shared" si="1061"/>
        <v>0</v>
      </c>
      <c r="T496" s="22">
        <f t="shared" si="1062"/>
        <v>0</v>
      </c>
      <c r="U496" s="24">
        <f t="shared" si="1063"/>
        <v>0</v>
      </c>
      <c r="V496" s="23">
        <f t="shared" si="1063"/>
        <v>0</v>
      </c>
      <c r="W496" s="22">
        <f t="shared" si="1064"/>
        <v>0</v>
      </c>
      <c r="X496" s="24">
        <f t="shared" si="1065"/>
        <v>0</v>
      </c>
      <c r="Y496" s="23">
        <f t="shared" si="1065"/>
        <v>0</v>
      </c>
      <c r="Z496" s="22">
        <f t="shared" si="1066"/>
        <v>0</v>
      </c>
      <c r="AA496" s="24">
        <f t="shared" si="1067"/>
        <v>0</v>
      </c>
      <c r="AB496" s="23">
        <f t="shared" si="1067"/>
        <v>0</v>
      </c>
      <c r="AC496" s="22">
        <f t="shared" si="1068"/>
        <v>0</v>
      </c>
      <c r="AD496" s="24">
        <f t="shared" si="1069"/>
        <v>0</v>
      </c>
      <c r="AE496" s="23">
        <f t="shared" si="1069"/>
        <v>0</v>
      </c>
      <c r="AF496" s="22">
        <f t="shared" si="1070"/>
        <v>0</v>
      </c>
      <c r="AG496" s="24">
        <f t="shared" si="1071"/>
        <v>0</v>
      </c>
      <c r="AH496" s="23">
        <f t="shared" si="1071"/>
        <v>0</v>
      </c>
      <c r="AI496" s="22">
        <f t="shared" si="1072"/>
        <v>0</v>
      </c>
      <c r="AJ496" s="24">
        <f t="shared" si="1073"/>
        <v>0</v>
      </c>
      <c r="AK496" s="23">
        <f t="shared" si="1073"/>
        <v>0</v>
      </c>
      <c r="AL496" s="22">
        <f t="shared" si="1074"/>
        <v>0</v>
      </c>
      <c r="AM496" s="24">
        <f t="shared" si="1075"/>
        <v>0</v>
      </c>
      <c r="AN496" s="23">
        <f t="shared" si="1075"/>
        <v>0</v>
      </c>
      <c r="AO496" s="22">
        <f t="shared" si="1076"/>
        <v>0</v>
      </c>
      <c r="AP496" s="24">
        <f t="shared" si="1077"/>
        <v>0</v>
      </c>
      <c r="AQ496" s="23">
        <f t="shared" si="1077"/>
        <v>0</v>
      </c>
      <c r="AR496" s="22">
        <f t="shared" si="1078"/>
        <v>0</v>
      </c>
      <c r="AS496" s="24">
        <f t="shared" si="1079"/>
        <v>0</v>
      </c>
      <c r="AT496" s="23">
        <f t="shared" si="1079"/>
        <v>0</v>
      </c>
      <c r="AU496" s="22">
        <f t="shared" si="1080"/>
        <v>0</v>
      </c>
      <c r="AV496" s="24">
        <f t="shared" si="1081"/>
        <v>0</v>
      </c>
      <c r="AW496" s="23">
        <f t="shared" si="1081"/>
        <v>0</v>
      </c>
      <c r="AX496" s="22">
        <f t="shared" si="1082"/>
        <v>0</v>
      </c>
      <c r="AY496" s="23">
        <f t="shared" si="1083"/>
        <v>0</v>
      </c>
      <c r="AZ496" s="23">
        <f t="shared" si="1083"/>
        <v>0</v>
      </c>
      <c r="BA496" s="22">
        <f t="shared" si="1084"/>
        <v>0</v>
      </c>
      <c r="BB496" s="24">
        <f t="shared" si="1085"/>
        <v>0</v>
      </c>
      <c r="BC496" s="23">
        <f t="shared" si="1085"/>
        <v>0</v>
      </c>
      <c r="BD496" s="22">
        <f t="shared" si="1086"/>
        <v>0</v>
      </c>
      <c r="BE496" s="24">
        <f t="shared" si="1087"/>
        <v>0</v>
      </c>
      <c r="BF496" s="24">
        <f t="shared" si="1087"/>
        <v>0</v>
      </c>
      <c r="BG496" s="20">
        <f t="shared" ref="BG496" si="1095">IF(BG529=0,0,BG$521+BG529+BG561)</f>
        <v>0</v>
      </c>
    </row>
    <row r="497" spans="1:59" ht="13.5" hidden="1" customHeight="1" outlineLevel="1" x14ac:dyDescent="0.25">
      <c r="A497" s="60"/>
      <c r="B497" s="84" t="s">
        <v>40</v>
      </c>
      <c r="C497" s="26" t="s">
        <v>110</v>
      </c>
      <c r="D497" s="20">
        <f t="shared" si="1053"/>
        <v>0</v>
      </c>
      <c r="E497" s="20">
        <f t="shared" si="1053"/>
        <v>0</v>
      </c>
      <c r="F497" s="24">
        <f t="shared" si="1053"/>
        <v>0</v>
      </c>
      <c r="G497" s="23">
        <f t="shared" si="1053"/>
        <v>0</v>
      </c>
      <c r="H497" s="22">
        <f t="shared" si="1054"/>
        <v>0</v>
      </c>
      <c r="I497" s="24">
        <f t="shared" si="1055"/>
        <v>0</v>
      </c>
      <c r="J497" s="23">
        <f t="shared" si="1055"/>
        <v>0</v>
      </c>
      <c r="K497" s="22">
        <f t="shared" si="1056"/>
        <v>0</v>
      </c>
      <c r="L497" s="24">
        <f t="shared" si="1057"/>
        <v>0</v>
      </c>
      <c r="M497" s="23">
        <f t="shared" si="1057"/>
        <v>0</v>
      </c>
      <c r="N497" s="22">
        <f t="shared" si="1058"/>
        <v>0</v>
      </c>
      <c r="O497" s="24">
        <f t="shared" si="1059"/>
        <v>0</v>
      </c>
      <c r="P497" s="23">
        <f t="shared" si="1059"/>
        <v>0</v>
      </c>
      <c r="Q497" s="22">
        <f t="shared" si="1060"/>
        <v>0</v>
      </c>
      <c r="R497" s="24">
        <f t="shared" si="1061"/>
        <v>0</v>
      </c>
      <c r="S497" s="23">
        <f t="shared" si="1061"/>
        <v>0</v>
      </c>
      <c r="T497" s="22">
        <f t="shared" si="1062"/>
        <v>0</v>
      </c>
      <c r="U497" s="24">
        <f t="shared" si="1063"/>
        <v>0</v>
      </c>
      <c r="V497" s="23">
        <f t="shared" si="1063"/>
        <v>0</v>
      </c>
      <c r="W497" s="22">
        <f t="shared" si="1064"/>
        <v>0</v>
      </c>
      <c r="X497" s="24">
        <f t="shared" si="1065"/>
        <v>0</v>
      </c>
      <c r="Y497" s="23">
        <f t="shared" si="1065"/>
        <v>0</v>
      </c>
      <c r="Z497" s="22">
        <f t="shared" si="1066"/>
        <v>0</v>
      </c>
      <c r="AA497" s="24">
        <f t="shared" si="1067"/>
        <v>0</v>
      </c>
      <c r="AB497" s="23">
        <f t="shared" si="1067"/>
        <v>0</v>
      </c>
      <c r="AC497" s="22">
        <f t="shared" si="1068"/>
        <v>0</v>
      </c>
      <c r="AD497" s="24">
        <f t="shared" si="1069"/>
        <v>0</v>
      </c>
      <c r="AE497" s="23">
        <f t="shared" si="1069"/>
        <v>0</v>
      </c>
      <c r="AF497" s="22">
        <f t="shared" si="1070"/>
        <v>0</v>
      </c>
      <c r="AG497" s="24">
        <f t="shared" si="1071"/>
        <v>0</v>
      </c>
      <c r="AH497" s="23">
        <f t="shared" si="1071"/>
        <v>0</v>
      </c>
      <c r="AI497" s="22">
        <f t="shared" si="1072"/>
        <v>0</v>
      </c>
      <c r="AJ497" s="24">
        <f t="shared" si="1073"/>
        <v>0</v>
      </c>
      <c r="AK497" s="23">
        <f t="shared" si="1073"/>
        <v>0</v>
      </c>
      <c r="AL497" s="22">
        <f t="shared" si="1074"/>
        <v>0</v>
      </c>
      <c r="AM497" s="24">
        <f t="shared" si="1075"/>
        <v>0</v>
      </c>
      <c r="AN497" s="23">
        <f t="shared" si="1075"/>
        <v>0</v>
      </c>
      <c r="AO497" s="22">
        <f t="shared" si="1076"/>
        <v>0</v>
      </c>
      <c r="AP497" s="24">
        <f t="shared" si="1077"/>
        <v>0</v>
      </c>
      <c r="AQ497" s="23">
        <f t="shared" si="1077"/>
        <v>0</v>
      </c>
      <c r="AR497" s="22">
        <f t="shared" si="1078"/>
        <v>0</v>
      </c>
      <c r="AS497" s="24">
        <f t="shared" si="1079"/>
        <v>0</v>
      </c>
      <c r="AT497" s="23">
        <f t="shared" si="1079"/>
        <v>0</v>
      </c>
      <c r="AU497" s="22">
        <f t="shared" si="1080"/>
        <v>0</v>
      </c>
      <c r="AV497" s="24">
        <f t="shared" si="1081"/>
        <v>0</v>
      </c>
      <c r="AW497" s="23">
        <f t="shared" si="1081"/>
        <v>0</v>
      </c>
      <c r="AX497" s="22">
        <f t="shared" si="1082"/>
        <v>0</v>
      </c>
      <c r="AY497" s="23">
        <f t="shared" si="1083"/>
        <v>0</v>
      </c>
      <c r="AZ497" s="23">
        <f t="shared" si="1083"/>
        <v>0</v>
      </c>
      <c r="BA497" s="22">
        <f t="shared" si="1084"/>
        <v>0</v>
      </c>
      <c r="BB497" s="24">
        <f t="shared" si="1085"/>
        <v>0</v>
      </c>
      <c r="BC497" s="23">
        <f t="shared" si="1085"/>
        <v>0</v>
      </c>
      <c r="BD497" s="22">
        <f t="shared" si="1086"/>
        <v>0</v>
      </c>
      <c r="BE497" s="24">
        <f t="shared" si="1087"/>
        <v>0</v>
      </c>
      <c r="BF497" s="24">
        <f t="shared" si="1087"/>
        <v>0</v>
      </c>
      <c r="BG497" s="20">
        <f t="shared" ref="BG497" si="1096">IF(BG530=0,0,BG$521+BG530+BG562)</f>
        <v>0</v>
      </c>
    </row>
    <row r="498" spans="1:59" ht="13.5" hidden="1" customHeight="1" outlineLevel="1" x14ac:dyDescent="0.25">
      <c r="A498" s="60"/>
      <c r="B498" s="84" t="s">
        <v>41</v>
      </c>
      <c r="C498" s="26" t="s">
        <v>110</v>
      </c>
      <c r="D498" s="20">
        <f t="shared" si="1053"/>
        <v>0</v>
      </c>
      <c r="E498" s="20">
        <f t="shared" si="1053"/>
        <v>0</v>
      </c>
      <c r="F498" s="24">
        <f t="shared" si="1053"/>
        <v>0</v>
      </c>
      <c r="G498" s="23">
        <f t="shared" si="1053"/>
        <v>0</v>
      </c>
      <c r="H498" s="22">
        <f t="shared" si="1054"/>
        <v>0</v>
      </c>
      <c r="I498" s="24">
        <f t="shared" si="1055"/>
        <v>0</v>
      </c>
      <c r="J498" s="23">
        <f t="shared" si="1055"/>
        <v>0</v>
      </c>
      <c r="K498" s="22">
        <f t="shared" si="1056"/>
        <v>0</v>
      </c>
      <c r="L498" s="24">
        <f t="shared" si="1057"/>
        <v>0</v>
      </c>
      <c r="M498" s="23">
        <f t="shared" si="1057"/>
        <v>0</v>
      </c>
      <c r="N498" s="22">
        <f t="shared" si="1058"/>
        <v>0</v>
      </c>
      <c r="O498" s="24">
        <f t="shared" si="1059"/>
        <v>0</v>
      </c>
      <c r="P498" s="23">
        <f t="shared" si="1059"/>
        <v>0</v>
      </c>
      <c r="Q498" s="22">
        <f t="shared" si="1060"/>
        <v>0</v>
      </c>
      <c r="R498" s="24">
        <f t="shared" si="1061"/>
        <v>0</v>
      </c>
      <c r="S498" s="23">
        <f t="shared" si="1061"/>
        <v>0</v>
      </c>
      <c r="T498" s="22">
        <f t="shared" si="1062"/>
        <v>0</v>
      </c>
      <c r="U498" s="24">
        <f t="shared" si="1063"/>
        <v>0</v>
      </c>
      <c r="V498" s="23">
        <f t="shared" si="1063"/>
        <v>0</v>
      </c>
      <c r="W498" s="22">
        <f t="shared" si="1064"/>
        <v>0</v>
      </c>
      <c r="X498" s="24">
        <f t="shared" si="1065"/>
        <v>0</v>
      </c>
      <c r="Y498" s="23">
        <f t="shared" si="1065"/>
        <v>0</v>
      </c>
      <c r="Z498" s="22">
        <f t="shared" si="1066"/>
        <v>0</v>
      </c>
      <c r="AA498" s="24">
        <f t="shared" si="1067"/>
        <v>0</v>
      </c>
      <c r="AB498" s="23">
        <f t="shared" si="1067"/>
        <v>0</v>
      </c>
      <c r="AC498" s="22">
        <f t="shared" si="1068"/>
        <v>0</v>
      </c>
      <c r="AD498" s="24">
        <f t="shared" si="1069"/>
        <v>0</v>
      </c>
      <c r="AE498" s="23">
        <f t="shared" si="1069"/>
        <v>0</v>
      </c>
      <c r="AF498" s="22">
        <f t="shared" si="1070"/>
        <v>0</v>
      </c>
      <c r="AG498" s="24">
        <f t="shared" si="1071"/>
        <v>0</v>
      </c>
      <c r="AH498" s="23">
        <f t="shared" si="1071"/>
        <v>0</v>
      </c>
      <c r="AI498" s="22">
        <f t="shared" si="1072"/>
        <v>0</v>
      </c>
      <c r="AJ498" s="24">
        <f t="shared" si="1073"/>
        <v>0</v>
      </c>
      <c r="AK498" s="23">
        <f t="shared" si="1073"/>
        <v>0</v>
      </c>
      <c r="AL498" s="22">
        <f t="shared" si="1074"/>
        <v>0</v>
      </c>
      <c r="AM498" s="24">
        <f t="shared" si="1075"/>
        <v>0</v>
      </c>
      <c r="AN498" s="23">
        <f t="shared" si="1075"/>
        <v>0</v>
      </c>
      <c r="AO498" s="22">
        <f t="shared" si="1076"/>
        <v>0</v>
      </c>
      <c r="AP498" s="24">
        <f t="shared" si="1077"/>
        <v>0</v>
      </c>
      <c r="AQ498" s="23">
        <f t="shared" si="1077"/>
        <v>0</v>
      </c>
      <c r="AR498" s="22">
        <f t="shared" si="1078"/>
        <v>0</v>
      </c>
      <c r="AS498" s="24">
        <f t="shared" si="1079"/>
        <v>0</v>
      </c>
      <c r="AT498" s="23">
        <f t="shared" si="1079"/>
        <v>0</v>
      </c>
      <c r="AU498" s="22">
        <f t="shared" si="1080"/>
        <v>0</v>
      </c>
      <c r="AV498" s="24">
        <f t="shared" si="1081"/>
        <v>0</v>
      </c>
      <c r="AW498" s="23">
        <f t="shared" si="1081"/>
        <v>0</v>
      </c>
      <c r="AX498" s="22">
        <f t="shared" si="1082"/>
        <v>0</v>
      </c>
      <c r="AY498" s="23">
        <f t="shared" si="1083"/>
        <v>0</v>
      </c>
      <c r="AZ498" s="23">
        <f t="shared" si="1083"/>
        <v>0</v>
      </c>
      <c r="BA498" s="22">
        <f t="shared" si="1084"/>
        <v>0</v>
      </c>
      <c r="BB498" s="24">
        <f t="shared" si="1085"/>
        <v>0</v>
      </c>
      <c r="BC498" s="23">
        <f t="shared" si="1085"/>
        <v>0</v>
      </c>
      <c r="BD498" s="22">
        <f t="shared" si="1086"/>
        <v>0</v>
      </c>
      <c r="BE498" s="24">
        <f t="shared" si="1087"/>
        <v>0</v>
      </c>
      <c r="BF498" s="24">
        <f t="shared" si="1087"/>
        <v>0</v>
      </c>
      <c r="BG498" s="20">
        <f t="shared" ref="BG498" si="1097">IF(BG531=0,0,BG$521+BG531+BG563)</f>
        <v>0</v>
      </c>
    </row>
    <row r="499" spans="1:59" ht="13.5" hidden="1" customHeight="1" outlineLevel="1" x14ac:dyDescent="0.25">
      <c r="A499" s="60"/>
      <c r="B499" s="84" t="s">
        <v>42</v>
      </c>
      <c r="C499" s="26" t="s">
        <v>110</v>
      </c>
      <c r="D499" s="20">
        <f t="shared" si="1053"/>
        <v>0</v>
      </c>
      <c r="E499" s="20">
        <f t="shared" si="1053"/>
        <v>0</v>
      </c>
      <c r="F499" s="24">
        <f t="shared" si="1053"/>
        <v>0</v>
      </c>
      <c r="G499" s="23">
        <f t="shared" si="1053"/>
        <v>0</v>
      </c>
      <c r="H499" s="22">
        <f t="shared" si="1054"/>
        <v>0</v>
      </c>
      <c r="I499" s="24">
        <f t="shared" si="1055"/>
        <v>0</v>
      </c>
      <c r="J499" s="23">
        <f t="shared" si="1055"/>
        <v>0</v>
      </c>
      <c r="K499" s="22">
        <f t="shared" si="1056"/>
        <v>0</v>
      </c>
      <c r="L499" s="24">
        <f t="shared" si="1057"/>
        <v>0</v>
      </c>
      <c r="M499" s="23">
        <f t="shared" si="1057"/>
        <v>0</v>
      </c>
      <c r="N499" s="22">
        <f t="shared" si="1058"/>
        <v>0</v>
      </c>
      <c r="O499" s="24">
        <f t="shared" si="1059"/>
        <v>0</v>
      </c>
      <c r="P499" s="23">
        <f t="shared" si="1059"/>
        <v>0</v>
      </c>
      <c r="Q499" s="22">
        <f t="shared" si="1060"/>
        <v>0</v>
      </c>
      <c r="R499" s="24">
        <f t="shared" si="1061"/>
        <v>0</v>
      </c>
      <c r="S499" s="23">
        <f t="shared" si="1061"/>
        <v>0</v>
      </c>
      <c r="T499" s="22">
        <f t="shared" si="1062"/>
        <v>0</v>
      </c>
      <c r="U499" s="24">
        <f t="shared" si="1063"/>
        <v>0</v>
      </c>
      <c r="V499" s="23">
        <f t="shared" si="1063"/>
        <v>0</v>
      </c>
      <c r="W499" s="22">
        <f t="shared" si="1064"/>
        <v>0</v>
      </c>
      <c r="X499" s="24">
        <f t="shared" si="1065"/>
        <v>0</v>
      </c>
      <c r="Y499" s="23">
        <f t="shared" si="1065"/>
        <v>0</v>
      </c>
      <c r="Z499" s="22">
        <f t="shared" si="1066"/>
        <v>0</v>
      </c>
      <c r="AA499" s="24">
        <f t="shared" si="1067"/>
        <v>0</v>
      </c>
      <c r="AB499" s="23">
        <f t="shared" si="1067"/>
        <v>0</v>
      </c>
      <c r="AC499" s="22">
        <f t="shared" si="1068"/>
        <v>0</v>
      </c>
      <c r="AD499" s="24">
        <f t="shared" si="1069"/>
        <v>0</v>
      </c>
      <c r="AE499" s="23">
        <f t="shared" si="1069"/>
        <v>0</v>
      </c>
      <c r="AF499" s="22">
        <f t="shared" si="1070"/>
        <v>0</v>
      </c>
      <c r="AG499" s="24">
        <f t="shared" si="1071"/>
        <v>0</v>
      </c>
      <c r="AH499" s="23">
        <f t="shared" si="1071"/>
        <v>0</v>
      </c>
      <c r="AI499" s="22">
        <f t="shared" si="1072"/>
        <v>0</v>
      </c>
      <c r="AJ499" s="24">
        <f t="shared" si="1073"/>
        <v>0</v>
      </c>
      <c r="AK499" s="23">
        <f t="shared" si="1073"/>
        <v>0</v>
      </c>
      <c r="AL499" s="22">
        <f t="shared" si="1074"/>
        <v>0</v>
      </c>
      <c r="AM499" s="24">
        <f t="shared" si="1075"/>
        <v>0</v>
      </c>
      <c r="AN499" s="23">
        <f t="shared" si="1075"/>
        <v>0</v>
      </c>
      <c r="AO499" s="22">
        <f t="shared" si="1076"/>
        <v>0</v>
      </c>
      <c r="AP499" s="24">
        <f t="shared" si="1077"/>
        <v>0</v>
      </c>
      <c r="AQ499" s="23">
        <f t="shared" si="1077"/>
        <v>0</v>
      </c>
      <c r="AR499" s="22">
        <f t="shared" si="1078"/>
        <v>0</v>
      </c>
      <c r="AS499" s="24">
        <f t="shared" si="1079"/>
        <v>0</v>
      </c>
      <c r="AT499" s="23">
        <f t="shared" si="1079"/>
        <v>0</v>
      </c>
      <c r="AU499" s="22">
        <f t="shared" si="1080"/>
        <v>0</v>
      </c>
      <c r="AV499" s="24">
        <f t="shared" si="1081"/>
        <v>0</v>
      </c>
      <c r="AW499" s="23">
        <f t="shared" si="1081"/>
        <v>0</v>
      </c>
      <c r="AX499" s="22">
        <f t="shared" si="1082"/>
        <v>0</v>
      </c>
      <c r="AY499" s="23">
        <f t="shared" si="1083"/>
        <v>0</v>
      </c>
      <c r="AZ499" s="23">
        <f t="shared" si="1083"/>
        <v>0</v>
      </c>
      <c r="BA499" s="22">
        <f t="shared" si="1084"/>
        <v>0</v>
      </c>
      <c r="BB499" s="24">
        <f t="shared" si="1085"/>
        <v>0</v>
      </c>
      <c r="BC499" s="23">
        <f t="shared" si="1085"/>
        <v>0</v>
      </c>
      <c r="BD499" s="22">
        <f t="shared" si="1086"/>
        <v>0</v>
      </c>
      <c r="BE499" s="24">
        <f t="shared" si="1087"/>
        <v>0</v>
      </c>
      <c r="BF499" s="24">
        <f t="shared" si="1087"/>
        <v>0</v>
      </c>
      <c r="BG499" s="20">
        <f t="shared" ref="BG499" si="1098">IF(BG532=0,0,BG$521+BG532+BG564)</f>
        <v>0</v>
      </c>
    </row>
    <row r="500" spans="1:59" s="210" customFormat="1" ht="13.5" customHeight="1" collapsed="1" x14ac:dyDescent="0.25">
      <c r="A500" s="103"/>
      <c r="B500" s="102" t="s">
        <v>43</v>
      </c>
      <c r="C500" s="77" t="s">
        <v>110</v>
      </c>
      <c r="D500" s="188">
        <f t="shared" si="1053"/>
        <v>0</v>
      </c>
      <c r="E500" s="188">
        <f t="shared" si="1053"/>
        <v>0</v>
      </c>
      <c r="F500" s="191">
        <f t="shared" si="1053"/>
        <v>0</v>
      </c>
      <c r="G500" s="189">
        <f t="shared" si="1053"/>
        <v>0</v>
      </c>
      <c r="H500" s="190">
        <f t="shared" si="1054"/>
        <v>0</v>
      </c>
      <c r="I500" s="191">
        <f t="shared" si="1055"/>
        <v>0</v>
      </c>
      <c r="J500" s="189">
        <f t="shared" si="1055"/>
        <v>0</v>
      </c>
      <c r="K500" s="190">
        <f t="shared" si="1056"/>
        <v>0</v>
      </c>
      <c r="L500" s="191">
        <f t="shared" si="1057"/>
        <v>0</v>
      </c>
      <c r="M500" s="189">
        <f t="shared" si="1057"/>
        <v>0</v>
      </c>
      <c r="N500" s="190">
        <f t="shared" si="1058"/>
        <v>0</v>
      </c>
      <c r="O500" s="191">
        <f t="shared" si="1059"/>
        <v>0</v>
      </c>
      <c r="P500" s="189">
        <f t="shared" si="1059"/>
        <v>0</v>
      </c>
      <c r="Q500" s="190">
        <f t="shared" si="1060"/>
        <v>0</v>
      </c>
      <c r="R500" s="191">
        <f t="shared" si="1061"/>
        <v>0</v>
      </c>
      <c r="S500" s="189">
        <f t="shared" si="1061"/>
        <v>0</v>
      </c>
      <c r="T500" s="190">
        <f t="shared" si="1062"/>
        <v>0</v>
      </c>
      <c r="U500" s="191">
        <f t="shared" si="1063"/>
        <v>0</v>
      </c>
      <c r="V500" s="189">
        <f t="shared" si="1063"/>
        <v>0</v>
      </c>
      <c r="W500" s="190">
        <f t="shared" si="1064"/>
        <v>0</v>
      </c>
      <c r="X500" s="191">
        <f t="shared" si="1065"/>
        <v>0</v>
      </c>
      <c r="Y500" s="189">
        <f t="shared" si="1065"/>
        <v>0</v>
      </c>
      <c r="Z500" s="190">
        <f t="shared" si="1066"/>
        <v>0</v>
      </c>
      <c r="AA500" s="191">
        <f t="shared" si="1067"/>
        <v>0</v>
      </c>
      <c r="AB500" s="189">
        <f t="shared" si="1067"/>
        <v>0</v>
      </c>
      <c r="AC500" s="190">
        <f t="shared" si="1068"/>
        <v>0</v>
      </c>
      <c r="AD500" s="191">
        <f t="shared" si="1069"/>
        <v>0</v>
      </c>
      <c r="AE500" s="189">
        <f t="shared" si="1069"/>
        <v>0</v>
      </c>
      <c r="AF500" s="190">
        <f t="shared" si="1070"/>
        <v>0</v>
      </c>
      <c r="AG500" s="191">
        <f t="shared" si="1071"/>
        <v>0</v>
      </c>
      <c r="AH500" s="189">
        <f t="shared" si="1071"/>
        <v>0</v>
      </c>
      <c r="AI500" s="190">
        <f t="shared" si="1072"/>
        <v>0</v>
      </c>
      <c r="AJ500" s="191">
        <f t="shared" si="1073"/>
        <v>0</v>
      </c>
      <c r="AK500" s="189">
        <f t="shared" si="1073"/>
        <v>0</v>
      </c>
      <c r="AL500" s="190">
        <f t="shared" si="1074"/>
        <v>0</v>
      </c>
      <c r="AM500" s="191">
        <f t="shared" si="1075"/>
        <v>0</v>
      </c>
      <c r="AN500" s="189">
        <f t="shared" si="1075"/>
        <v>0</v>
      </c>
      <c r="AO500" s="190">
        <f t="shared" si="1076"/>
        <v>0</v>
      </c>
      <c r="AP500" s="191">
        <f t="shared" si="1077"/>
        <v>0</v>
      </c>
      <c r="AQ500" s="189">
        <f t="shared" si="1077"/>
        <v>0</v>
      </c>
      <c r="AR500" s="190">
        <f t="shared" si="1078"/>
        <v>0</v>
      </c>
      <c r="AS500" s="191">
        <f t="shared" si="1079"/>
        <v>0</v>
      </c>
      <c r="AT500" s="189">
        <f t="shared" si="1079"/>
        <v>0</v>
      </c>
      <c r="AU500" s="190">
        <f t="shared" si="1080"/>
        <v>0</v>
      </c>
      <c r="AV500" s="191">
        <f t="shared" si="1081"/>
        <v>0</v>
      </c>
      <c r="AW500" s="189">
        <f t="shared" si="1081"/>
        <v>0</v>
      </c>
      <c r="AX500" s="190">
        <f t="shared" si="1082"/>
        <v>0</v>
      </c>
      <c r="AY500" s="189">
        <f t="shared" si="1083"/>
        <v>0</v>
      </c>
      <c r="AZ500" s="189">
        <f t="shared" si="1083"/>
        <v>0</v>
      </c>
      <c r="BA500" s="190">
        <f t="shared" si="1084"/>
        <v>0</v>
      </c>
      <c r="BB500" s="191">
        <f t="shared" si="1085"/>
        <v>0</v>
      </c>
      <c r="BC500" s="189">
        <f t="shared" si="1085"/>
        <v>0</v>
      </c>
      <c r="BD500" s="190">
        <f t="shared" si="1086"/>
        <v>0</v>
      </c>
      <c r="BE500" s="191">
        <f t="shared" si="1087"/>
        <v>0</v>
      </c>
      <c r="BF500" s="191">
        <f t="shared" si="1087"/>
        <v>0</v>
      </c>
      <c r="BG500" s="188">
        <f t="shared" ref="BG500" si="1099">IF(BG533=0,0,BG$521+BG533+BG565)</f>
        <v>0</v>
      </c>
    </row>
    <row r="501" spans="1:59" ht="13.5" hidden="1" customHeight="1" outlineLevel="1" x14ac:dyDescent="0.25">
      <c r="A501" s="60"/>
      <c r="B501" s="84" t="s">
        <v>44</v>
      </c>
      <c r="C501" s="26" t="s">
        <v>110</v>
      </c>
      <c r="D501" s="20">
        <f t="shared" si="1053"/>
        <v>0</v>
      </c>
      <c r="E501" s="20">
        <f t="shared" si="1053"/>
        <v>0</v>
      </c>
      <c r="F501" s="24">
        <f t="shared" si="1053"/>
        <v>0</v>
      </c>
      <c r="G501" s="23">
        <f t="shared" si="1053"/>
        <v>0</v>
      </c>
      <c r="H501" s="22">
        <f t="shared" si="1054"/>
        <v>0</v>
      </c>
      <c r="I501" s="24">
        <f t="shared" si="1055"/>
        <v>0</v>
      </c>
      <c r="J501" s="23">
        <f t="shared" si="1055"/>
        <v>0</v>
      </c>
      <c r="K501" s="22">
        <f t="shared" si="1056"/>
        <v>0</v>
      </c>
      <c r="L501" s="24">
        <f t="shared" si="1057"/>
        <v>0</v>
      </c>
      <c r="M501" s="23">
        <f t="shared" si="1057"/>
        <v>0</v>
      </c>
      <c r="N501" s="22">
        <f t="shared" si="1058"/>
        <v>0</v>
      </c>
      <c r="O501" s="24">
        <f t="shared" si="1059"/>
        <v>0</v>
      </c>
      <c r="P501" s="23">
        <f t="shared" si="1059"/>
        <v>0</v>
      </c>
      <c r="Q501" s="22">
        <f t="shared" si="1060"/>
        <v>0</v>
      </c>
      <c r="R501" s="24">
        <f t="shared" si="1061"/>
        <v>0</v>
      </c>
      <c r="S501" s="23">
        <f t="shared" si="1061"/>
        <v>0</v>
      </c>
      <c r="T501" s="22">
        <f t="shared" si="1062"/>
        <v>0</v>
      </c>
      <c r="U501" s="24">
        <f t="shared" si="1063"/>
        <v>0</v>
      </c>
      <c r="V501" s="23">
        <f t="shared" si="1063"/>
        <v>0</v>
      </c>
      <c r="W501" s="22">
        <f t="shared" si="1064"/>
        <v>0</v>
      </c>
      <c r="X501" s="24">
        <f t="shared" si="1065"/>
        <v>0</v>
      </c>
      <c r="Y501" s="23">
        <f t="shared" si="1065"/>
        <v>0</v>
      </c>
      <c r="Z501" s="22">
        <f t="shared" si="1066"/>
        <v>0</v>
      </c>
      <c r="AA501" s="24">
        <f t="shared" si="1067"/>
        <v>0</v>
      </c>
      <c r="AB501" s="23">
        <f t="shared" si="1067"/>
        <v>0</v>
      </c>
      <c r="AC501" s="22">
        <f t="shared" si="1068"/>
        <v>0</v>
      </c>
      <c r="AD501" s="24">
        <f t="shared" si="1069"/>
        <v>0</v>
      </c>
      <c r="AE501" s="23">
        <f t="shared" si="1069"/>
        <v>0</v>
      </c>
      <c r="AF501" s="22">
        <f t="shared" si="1070"/>
        <v>0</v>
      </c>
      <c r="AG501" s="24">
        <f t="shared" si="1071"/>
        <v>0</v>
      </c>
      <c r="AH501" s="23">
        <f t="shared" si="1071"/>
        <v>0</v>
      </c>
      <c r="AI501" s="22">
        <f t="shared" si="1072"/>
        <v>0</v>
      </c>
      <c r="AJ501" s="24">
        <f t="shared" si="1073"/>
        <v>0</v>
      </c>
      <c r="AK501" s="23">
        <f t="shared" si="1073"/>
        <v>0</v>
      </c>
      <c r="AL501" s="22">
        <f t="shared" si="1074"/>
        <v>0</v>
      </c>
      <c r="AM501" s="24">
        <f t="shared" si="1075"/>
        <v>0</v>
      </c>
      <c r="AN501" s="23">
        <f t="shared" si="1075"/>
        <v>0</v>
      </c>
      <c r="AO501" s="22">
        <f t="shared" si="1076"/>
        <v>0</v>
      </c>
      <c r="AP501" s="24">
        <f t="shared" si="1077"/>
        <v>0</v>
      </c>
      <c r="AQ501" s="23">
        <f t="shared" si="1077"/>
        <v>0</v>
      </c>
      <c r="AR501" s="22">
        <f t="shared" si="1078"/>
        <v>0</v>
      </c>
      <c r="AS501" s="24">
        <f t="shared" si="1079"/>
        <v>0</v>
      </c>
      <c r="AT501" s="23">
        <f t="shared" si="1079"/>
        <v>0</v>
      </c>
      <c r="AU501" s="22">
        <f t="shared" si="1080"/>
        <v>0</v>
      </c>
      <c r="AV501" s="24">
        <f t="shared" si="1081"/>
        <v>0</v>
      </c>
      <c r="AW501" s="23">
        <f t="shared" si="1081"/>
        <v>0</v>
      </c>
      <c r="AX501" s="22">
        <f t="shared" si="1082"/>
        <v>0</v>
      </c>
      <c r="AY501" s="23">
        <f t="shared" si="1083"/>
        <v>0</v>
      </c>
      <c r="AZ501" s="23">
        <f t="shared" si="1083"/>
        <v>0</v>
      </c>
      <c r="BA501" s="22">
        <f t="shared" si="1084"/>
        <v>0</v>
      </c>
      <c r="BB501" s="24">
        <f t="shared" si="1085"/>
        <v>0</v>
      </c>
      <c r="BC501" s="23">
        <f t="shared" si="1085"/>
        <v>0</v>
      </c>
      <c r="BD501" s="22">
        <f t="shared" si="1086"/>
        <v>0</v>
      </c>
      <c r="BE501" s="24">
        <f t="shared" si="1087"/>
        <v>0</v>
      </c>
      <c r="BF501" s="24">
        <f t="shared" si="1087"/>
        <v>0</v>
      </c>
      <c r="BG501" s="20">
        <f t="shared" ref="BG501" si="1100">IF(BG534=0,0,BG$521+BG534+BG566)</f>
        <v>0</v>
      </c>
    </row>
    <row r="502" spans="1:59" ht="13.5" hidden="1" customHeight="1" outlineLevel="1" x14ac:dyDescent="0.25">
      <c r="A502" s="60"/>
      <c r="B502" s="84" t="s">
        <v>45</v>
      </c>
      <c r="C502" s="26" t="s">
        <v>110</v>
      </c>
      <c r="D502" s="20">
        <f t="shared" si="1053"/>
        <v>0</v>
      </c>
      <c r="E502" s="20">
        <f t="shared" si="1053"/>
        <v>0</v>
      </c>
      <c r="F502" s="24">
        <f t="shared" si="1053"/>
        <v>0</v>
      </c>
      <c r="G502" s="23">
        <f t="shared" si="1053"/>
        <v>0</v>
      </c>
      <c r="H502" s="22">
        <f t="shared" si="1054"/>
        <v>0</v>
      </c>
      <c r="I502" s="24">
        <f t="shared" si="1055"/>
        <v>0</v>
      </c>
      <c r="J502" s="23">
        <f t="shared" si="1055"/>
        <v>0</v>
      </c>
      <c r="K502" s="22">
        <f t="shared" si="1056"/>
        <v>0</v>
      </c>
      <c r="L502" s="24">
        <f t="shared" si="1057"/>
        <v>0</v>
      </c>
      <c r="M502" s="23">
        <f t="shared" si="1057"/>
        <v>0</v>
      </c>
      <c r="N502" s="22">
        <f t="shared" si="1058"/>
        <v>0</v>
      </c>
      <c r="O502" s="24">
        <f t="shared" si="1059"/>
        <v>0</v>
      </c>
      <c r="P502" s="23">
        <f t="shared" si="1059"/>
        <v>0</v>
      </c>
      <c r="Q502" s="22">
        <f t="shared" si="1060"/>
        <v>0</v>
      </c>
      <c r="R502" s="24">
        <f t="shared" si="1061"/>
        <v>0</v>
      </c>
      <c r="S502" s="23">
        <f t="shared" si="1061"/>
        <v>0</v>
      </c>
      <c r="T502" s="22">
        <f t="shared" si="1062"/>
        <v>0</v>
      </c>
      <c r="U502" s="24">
        <f t="shared" si="1063"/>
        <v>0</v>
      </c>
      <c r="V502" s="23">
        <f t="shared" si="1063"/>
        <v>0</v>
      </c>
      <c r="W502" s="22">
        <f t="shared" si="1064"/>
        <v>0</v>
      </c>
      <c r="X502" s="24">
        <f t="shared" si="1065"/>
        <v>0</v>
      </c>
      <c r="Y502" s="23">
        <f t="shared" si="1065"/>
        <v>0</v>
      </c>
      <c r="Z502" s="22">
        <f t="shared" si="1066"/>
        <v>0</v>
      </c>
      <c r="AA502" s="24">
        <f t="shared" si="1067"/>
        <v>0</v>
      </c>
      <c r="AB502" s="23">
        <f t="shared" si="1067"/>
        <v>0</v>
      </c>
      <c r="AC502" s="22">
        <f t="shared" si="1068"/>
        <v>0</v>
      </c>
      <c r="AD502" s="24">
        <f t="shared" si="1069"/>
        <v>0</v>
      </c>
      <c r="AE502" s="23">
        <f t="shared" si="1069"/>
        <v>0</v>
      </c>
      <c r="AF502" s="22">
        <f t="shared" si="1070"/>
        <v>0</v>
      </c>
      <c r="AG502" s="24">
        <f t="shared" si="1071"/>
        <v>0</v>
      </c>
      <c r="AH502" s="23">
        <f t="shared" si="1071"/>
        <v>0</v>
      </c>
      <c r="AI502" s="22">
        <f t="shared" si="1072"/>
        <v>0</v>
      </c>
      <c r="AJ502" s="24">
        <f t="shared" si="1073"/>
        <v>0</v>
      </c>
      <c r="AK502" s="23">
        <f t="shared" si="1073"/>
        <v>0</v>
      </c>
      <c r="AL502" s="22">
        <f t="shared" si="1074"/>
        <v>0</v>
      </c>
      <c r="AM502" s="24">
        <f t="shared" si="1075"/>
        <v>0</v>
      </c>
      <c r="AN502" s="23">
        <f t="shared" si="1075"/>
        <v>0</v>
      </c>
      <c r="AO502" s="22">
        <f t="shared" si="1076"/>
        <v>0</v>
      </c>
      <c r="AP502" s="24">
        <f t="shared" si="1077"/>
        <v>0</v>
      </c>
      <c r="AQ502" s="23">
        <f t="shared" si="1077"/>
        <v>0</v>
      </c>
      <c r="AR502" s="22">
        <f t="shared" si="1078"/>
        <v>0</v>
      </c>
      <c r="AS502" s="24">
        <f t="shared" si="1079"/>
        <v>0</v>
      </c>
      <c r="AT502" s="23">
        <f t="shared" si="1079"/>
        <v>0</v>
      </c>
      <c r="AU502" s="22">
        <f t="shared" si="1080"/>
        <v>0</v>
      </c>
      <c r="AV502" s="24">
        <f t="shared" si="1081"/>
        <v>0</v>
      </c>
      <c r="AW502" s="23">
        <f t="shared" si="1081"/>
        <v>0</v>
      </c>
      <c r="AX502" s="22">
        <f t="shared" si="1082"/>
        <v>0</v>
      </c>
      <c r="AY502" s="23">
        <f t="shared" si="1083"/>
        <v>0</v>
      </c>
      <c r="AZ502" s="23">
        <f t="shared" si="1083"/>
        <v>0</v>
      </c>
      <c r="BA502" s="22">
        <f t="shared" si="1084"/>
        <v>0</v>
      </c>
      <c r="BB502" s="24">
        <f t="shared" si="1085"/>
        <v>0</v>
      </c>
      <c r="BC502" s="23">
        <f t="shared" si="1085"/>
        <v>0</v>
      </c>
      <c r="BD502" s="22">
        <f t="shared" si="1086"/>
        <v>0</v>
      </c>
      <c r="BE502" s="24">
        <f t="shared" si="1087"/>
        <v>0</v>
      </c>
      <c r="BF502" s="24">
        <f t="shared" si="1087"/>
        <v>0</v>
      </c>
      <c r="BG502" s="20">
        <f t="shared" ref="BG502" si="1101">IF(BG535=0,0,BG$521+BG535+BG567)</f>
        <v>0</v>
      </c>
    </row>
    <row r="503" spans="1:59" ht="13.5" hidden="1" customHeight="1" outlineLevel="1" x14ac:dyDescent="0.25">
      <c r="A503" s="60"/>
      <c r="B503" s="84" t="s">
        <v>46</v>
      </c>
      <c r="C503" s="26" t="s">
        <v>110</v>
      </c>
      <c r="D503" s="20">
        <f t="shared" si="1053"/>
        <v>0</v>
      </c>
      <c r="E503" s="20">
        <f t="shared" si="1053"/>
        <v>0</v>
      </c>
      <c r="F503" s="24">
        <f t="shared" si="1053"/>
        <v>0</v>
      </c>
      <c r="G503" s="23">
        <f t="shared" si="1053"/>
        <v>0</v>
      </c>
      <c r="H503" s="22">
        <f t="shared" si="1054"/>
        <v>0</v>
      </c>
      <c r="I503" s="24">
        <f t="shared" si="1055"/>
        <v>0</v>
      </c>
      <c r="J503" s="23">
        <f t="shared" si="1055"/>
        <v>0</v>
      </c>
      <c r="K503" s="22">
        <f t="shared" si="1056"/>
        <v>0</v>
      </c>
      <c r="L503" s="24">
        <f t="shared" si="1057"/>
        <v>0</v>
      </c>
      <c r="M503" s="23">
        <f t="shared" si="1057"/>
        <v>0</v>
      </c>
      <c r="N503" s="22">
        <f t="shared" si="1058"/>
        <v>0</v>
      </c>
      <c r="O503" s="24">
        <f t="shared" si="1059"/>
        <v>0</v>
      </c>
      <c r="P503" s="23">
        <f t="shared" si="1059"/>
        <v>0</v>
      </c>
      <c r="Q503" s="22">
        <f t="shared" si="1060"/>
        <v>0</v>
      </c>
      <c r="R503" s="24">
        <f t="shared" si="1061"/>
        <v>0</v>
      </c>
      <c r="S503" s="23">
        <f t="shared" si="1061"/>
        <v>0</v>
      </c>
      <c r="T503" s="22">
        <f t="shared" si="1062"/>
        <v>0</v>
      </c>
      <c r="U503" s="24">
        <f t="shared" si="1063"/>
        <v>0</v>
      </c>
      <c r="V503" s="23">
        <f t="shared" si="1063"/>
        <v>0</v>
      </c>
      <c r="W503" s="22">
        <f t="shared" si="1064"/>
        <v>0</v>
      </c>
      <c r="X503" s="24">
        <f t="shared" si="1065"/>
        <v>0</v>
      </c>
      <c r="Y503" s="23">
        <f t="shared" si="1065"/>
        <v>0</v>
      </c>
      <c r="Z503" s="22">
        <f t="shared" si="1066"/>
        <v>0</v>
      </c>
      <c r="AA503" s="24">
        <f t="shared" si="1067"/>
        <v>0</v>
      </c>
      <c r="AB503" s="23">
        <f t="shared" si="1067"/>
        <v>0</v>
      </c>
      <c r="AC503" s="22">
        <f t="shared" si="1068"/>
        <v>0</v>
      </c>
      <c r="AD503" s="24">
        <f t="shared" si="1069"/>
        <v>0</v>
      </c>
      <c r="AE503" s="23">
        <f t="shared" si="1069"/>
        <v>0</v>
      </c>
      <c r="AF503" s="22">
        <f t="shared" si="1070"/>
        <v>0</v>
      </c>
      <c r="AG503" s="24">
        <f t="shared" si="1071"/>
        <v>0</v>
      </c>
      <c r="AH503" s="23">
        <f t="shared" si="1071"/>
        <v>0</v>
      </c>
      <c r="AI503" s="22">
        <f t="shared" si="1072"/>
        <v>0</v>
      </c>
      <c r="AJ503" s="24">
        <f t="shared" si="1073"/>
        <v>0</v>
      </c>
      <c r="AK503" s="23">
        <f t="shared" si="1073"/>
        <v>0</v>
      </c>
      <c r="AL503" s="22">
        <f t="shared" si="1074"/>
        <v>0</v>
      </c>
      <c r="AM503" s="24">
        <f t="shared" si="1075"/>
        <v>0</v>
      </c>
      <c r="AN503" s="23">
        <f t="shared" si="1075"/>
        <v>0</v>
      </c>
      <c r="AO503" s="22">
        <f t="shared" si="1076"/>
        <v>0</v>
      </c>
      <c r="AP503" s="24">
        <f t="shared" si="1077"/>
        <v>0</v>
      </c>
      <c r="AQ503" s="23">
        <f t="shared" si="1077"/>
        <v>0</v>
      </c>
      <c r="AR503" s="22">
        <f t="shared" si="1078"/>
        <v>0</v>
      </c>
      <c r="AS503" s="24">
        <f t="shared" si="1079"/>
        <v>0</v>
      </c>
      <c r="AT503" s="23">
        <f t="shared" si="1079"/>
        <v>0</v>
      </c>
      <c r="AU503" s="22">
        <f t="shared" si="1080"/>
        <v>0</v>
      </c>
      <c r="AV503" s="24">
        <f t="shared" si="1081"/>
        <v>0</v>
      </c>
      <c r="AW503" s="23">
        <f t="shared" si="1081"/>
        <v>0</v>
      </c>
      <c r="AX503" s="22">
        <f t="shared" si="1082"/>
        <v>0</v>
      </c>
      <c r="AY503" s="23">
        <f t="shared" si="1083"/>
        <v>0</v>
      </c>
      <c r="AZ503" s="23">
        <f t="shared" si="1083"/>
        <v>0</v>
      </c>
      <c r="BA503" s="22">
        <f t="shared" si="1084"/>
        <v>0</v>
      </c>
      <c r="BB503" s="24">
        <f t="shared" si="1085"/>
        <v>0</v>
      </c>
      <c r="BC503" s="23">
        <f t="shared" si="1085"/>
        <v>0</v>
      </c>
      <c r="BD503" s="22">
        <f t="shared" si="1086"/>
        <v>0</v>
      </c>
      <c r="BE503" s="24">
        <f t="shared" si="1087"/>
        <v>0</v>
      </c>
      <c r="BF503" s="24">
        <f t="shared" si="1087"/>
        <v>0</v>
      </c>
      <c r="BG503" s="20">
        <f t="shared" ref="BG503" si="1102">IF(BG536=0,0,BG$521+BG536+BG568)</f>
        <v>0</v>
      </c>
    </row>
    <row r="504" spans="1:59" ht="13.5" hidden="1" customHeight="1" outlineLevel="1" x14ac:dyDescent="0.25">
      <c r="A504" s="60"/>
      <c r="B504" s="84" t="s">
        <v>47</v>
      </c>
      <c r="C504" s="26" t="s">
        <v>110</v>
      </c>
      <c r="D504" s="20">
        <f t="shared" si="1053"/>
        <v>0</v>
      </c>
      <c r="E504" s="20">
        <f t="shared" si="1053"/>
        <v>0</v>
      </c>
      <c r="F504" s="24">
        <f t="shared" si="1053"/>
        <v>0</v>
      </c>
      <c r="G504" s="23">
        <f t="shared" si="1053"/>
        <v>0</v>
      </c>
      <c r="H504" s="22">
        <f t="shared" si="1054"/>
        <v>0</v>
      </c>
      <c r="I504" s="24">
        <f t="shared" si="1055"/>
        <v>0</v>
      </c>
      <c r="J504" s="23">
        <f t="shared" si="1055"/>
        <v>0</v>
      </c>
      <c r="K504" s="22">
        <f t="shared" si="1056"/>
        <v>0</v>
      </c>
      <c r="L504" s="24">
        <f t="shared" si="1057"/>
        <v>0</v>
      </c>
      <c r="M504" s="23">
        <f t="shared" si="1057"/>
        <v>0</v>
      </c>
      <c r="N504" s="22">
        <f t="shared" si="1058"/>
        <v>0</v>
      </c>
      <c r="O504" s="24">
        <f t="shared" si="1059"/>
        <v>0</v>
      </c>
      <c r="P504" s="23">
        <f t="shared" si="1059"/>
        <v>0</v>
      </c>
      <c r="Q504" s="22">
        <f t="shared" si="1060"/>
        <v>0</v>
      </c>
      <c r="R504" s="24">
        <f t="shared" si="1061"/>
        <v>0</v>
      </c>
      <c r="S504" s="23">
        <f t="shared" si="1061"/>
        <v>0</v>
      </c>
      <c r="T504" s="22">
        <f t="shared" si="1062"/>
        <v>0</v>
      </c>
      <c r="U504" s="24">
        <f t="shared" si="1063"/>
        <v>0</v>
      </c>
      <c r="V504" s="23">
        <f t="shared" si="1063"/>
        <v>0</v>
      </c>
      <c r="W504" s="22">
        <f t="shared" si="1064"/>
        <v>0</v>
      </c>
      <c r="X504" s="24">
        <f t="shared" si="1065"/>
        <v>0</v>
      </c>
      <c r="Y504" s="23">
        <f t="shared" si="1065"/>
        <v>0</v>
      </c>
      <c r="Z504" s="22">
        <f t="shared" si="1066"/>
        <v>0</v>
      </c>
      <c r="AA504" s="24">
        <f t="shared" si="1067"/>
        <v>0</v>
      </c>
      <c r="AB504" s="23">
        <f t="shared" si="1067"/>
        <v>0</v>
      </c>
      <c r="AC504" s="22">
        <f t="shared" si="1068"/>
        <v>0</v>
      </c>
      <c r="AD504" s="24">
        <f t="shared" si="1069"/>
        <v>0</v>
      </c>
      <c r="AE504" s="23">
        <f t="shared" si="1069"/>
        <v>0</v>
      </c>
      <c r="AF504" s="22">
        <f t="shared" si="1070"/>
        <v>0</v>
      </c>
      <c r="AG504" s="24">
        <f t="shared" si="1071"/>
        <v>0</v>
      </c>
      <c r="AH504" s="23">
        <f t="shared" si="1071"/>
        <v>0</v>
      </c>
      <c r="AI504" s="22">
        <f t="shared" si="1072"/>
        <v>0</v>
      </c>
      <c r="AJ504" s="24">
        <f t="shared" si="1073"/>
        <v>0</v>
      </c>
      <c r="AK504" s="23">
        <f t="shared" si="1073"/>
        <v>0</v>
      </c>
      <c r="AL504" s="22">
        <f t="shared" si="1074"/>
        <v>0</v>
      </c>
      <c r="AM504" s="24">
        <f t="shared" si="1075"/>
        <v>0</v>
      </c>
      <c r="AN504" s="23">
        <f t="shared" si="1075"/>
        <v>0</v>
      </c>
      <c r="AO504" s="22">
        <f t="shared" si="1076"/>
        <v>0</v>
      </c>
      <c r="AP504" s="24">
        <f t="shared" si="1077"/>
        <v>0</v>
      </c>
      <c r="AQ504" s="23">
        <f t="shared" si="1077"/>
        <v>0</v>
      </c>
      <c r="AR504" s="22">
        <f t="shared" si="1078"/>
        <v>0</v>
      </c>
      <c r="AS504" s="24">
        <f t="shared" si="1079"/>
        <v>0</v>
      </c>
      <c r="AT504" s="23">
        <f t="shared" si="1079"/>
        <v>0</v>
      </c>
      <c r="AU504" s="22">
        <f t="shared" si="1080"/>
        <v>0</v>
      </c>
      <c r="AV504" s="24">
        <f t="shared" si="1081"/>
        <v>0</v>
      </c>
      <c r="AW504" s="23">
        <f t="shared" si="1081"/>
        <v>0</v>
      </c>
      <c r="AX504" s="22">
        <f t="shared" si="1082"/>
        <v>0</v>
      </c>
      <c r="AY504" s="23">
        <f t="shared" si="1083"/>
        <v>0</v>
      </c>
      <c r="AZ504" s="23">
        <f t="shared" si="1083"/>
        <v>0</v>
      </c>
      <c r="BA504" s="22">
        <f t="shared" si="1084"/>
        <v>0</v>
      </c>
      <c r="BB504" s="24">
        <f t="shared" si="1085"/>
        <v>0</v>
      </c>
      <c r="BC504" s="23">
        <f t="shared" si="1085"/>
        <v>0</v>
      </c>
      <c r="BD504" s="22">
        <f t="shared" si="1086"/>
        <v>0</v>
      </c>
      <c r="BE504" s="24">
        <f t="shared" ref="BE504:BF518" si="1103">IF(BE537=0,0,BE$521+BE537+BE569)</f>
        <v>0</v>
      </c>
      <c r="BF504" s="24">
        <f t="shared" si="1103"/>
        <v>0</v>
      </c>
      <c r="BG504" s="20">
        <f t="shared" ref="BG504" si="1104">IF(BG537=0,0,BG$521+BG537+BG569)</f>
        <v>0</v>
      </c>
    </row>
    <row r="505" spans="1:59" ht="13.5" hidden="1" customHeight="1" outlineLevel="1" x14ac:dyDescent="0.25">
      <c r="A505" s="60"/>
      <c r="B505" s="84" t="s">
        <v>48</v>
      </c>
      <c r="C505" s="26" t="s">
        <v>110</v>
      </c>
      <c r="D505" s="20">
        <f t="shared" ref="D505:G520" si="1105">IF(D538=0,0,D$521+D538+D570)</f>
        <v>0</v>
      </c>
      <c r="E505" s="20">
        <f t="shared" si="1105"/>
        <v>0</v>
      </c>
      <c r="F505" s="24">
        <f t="shared" si="1105"/>
        <v>0</v>
      </c>
      <c r="G505" s="23">
        <f t="shared" si="1105"/>
        <v>0</v>
      </c>
      <c r="H505" s="22">
        <f t="shared" ref="H505:H520" si="1106">G505-F505</f>
        <v>0</v>
      </c>
      <c r="I505" s="24">
        <f t="shared" ref="I505:J520" si="1107">IF(I538=0,0,I$521+I538+I570)</f>
        <v>0</v>
      </c>
      <c r="J505" s="23">
        <f t="shared" si="1107"/>
        <v>0</v>
      </c>
      <c r="K505" s="22">
        <f t="shared" ref="K505:K520" si="1108">J505-I505</f>
        <v>0</v>
      </c>
      <c r="L505" s="24">
        <f t="shared" ref="L505:M520" si="1109">IF(L538=0,0,L$521+L538+L570)</f>
        <v>0</v>
      </c>
      <c r="M505" s="23">
        <f t="shared" si="1109"/>
        <v>0</v>
      </c>
      <c r="N505" s="22">
        <f t="shared" ref="N505:N520" si="1110">M505-L505</f>
        <v>0</v>
      </c>
      <c r="O505" s="24">
        <f t="shared" ref="O505:P520" si="1111">IF(O538=0,0,O$521+O538+O570)</f>
        <v>0</v>
      </c>
      <c r="P505" s="23">
        <f t="shared" si="1111"/>
        <v>0</v>
      </c>
      <c r="Q505" s="22">
        <f t="shared" ref="Q505:Q520" si="1112">P505-O505</f>
        <v>0</v>
      </c>
      <c r="R505" s="24">
        <f t="shared" ref="R505:S520" si="1113">IF(R538=0,0,R$521+R538+R570)</f>
        <v>0</v>
      </c>
      <c r="S505" s="23">
        <f t="shared" si="1113"/>
        <v>0</v>
      </c>
      <c r="T505" s="22">
        <f t="shared" ref="T505:T520" si="1114">S505-R505</f>
        <v>0</v>
      </c>
      <c r="U505" s="24">
        <f t="shared" ref="U505:V520" si="1115">IF(U538=0,0,U$521+U538+U570)</f>
        <v>0</v>
      </c>
      <c r="V505" s="23">
        <f t="shared" si="1115"/>
        <v>0</v>
      </c>
      <c r="W505" s="22">
        <f t="shared" ref="W505:W520" si="1116">V505-U505</f>
        <v>0</v>
      </c>
      <c r="X505" s="24">
        <f t="shared" ref="X505:Y520" si="1117">IF(X538=0,0,X$521+X538+X570)</f>
        <v>0</v>
      </c>
      <c r="Y505" s="23">
        <f t="shared" si="1117"/>
        <v>0</v>
      </c>
      <c r="Z505" s="22">
        <f t="shared" ref="Z505:Z520" si="1118">Y505-X505</f>
        <v>0</v>
      </c>
      <c r="AA505" s="24">
        <f t="shared" ref="AA505:AB520" si="1119">IF(AA538=0,0,AA$521+AA538+AA570)</f>
        <v>0</v>
      </c>
      <c r="AB505" s="23">
        <f t="shared" si="1119"/>
        <v>0</v>
      </c>
      <c r="AC505" s="22">
        <f t="shared" ref="AC505:AC520" si="1120">AB505-AA505</f>
        <v>0</v>
      </c>
      <c r="AD505" s="24">
        <f t="shared" ref="AD505:AE520" si="1121">IF(AD538=0,0,AD$521+AD538+AD570)</f>
        <v>0</v>
      </c>
      <c r="AE505" s="23">
        <f t="shared" si="1121"/>
        <v>0</v>
      </c>
      <c r="AF505" s="22">
        <f t="shared" ref="AF505:AF520" si="1122">AE505-AD505</f>
        <v>0</v>
      </c>
      <c r="AG505" s="24">
        <f t="shared" ref="AG505:AH520" si="1123">IF(AG538=0,0,AG$521+AG538+AG570)</f>
        <v>0</v>
      </c>
      <c r="AH505" s="23">
        <f t="shared" si="1123"/>
        <v>0</v>
      </c>
      <c r="AI505" s="22">
        <f t="shared" ref="AI505:AI520" si="1124">AH505-AG505</f>
        <v>0</v>
      </c>
      <c r="AJ505" s="24">
        <f t="shared" ref="AJ505:AK520" si="1125">IF(AJ538=0,0,AJ$521+AJ538+AJ570)</f>
        <v>0</v>
      </c>
      <c r="AK505" s="23">
        <f t="shared" si="1125"/>
        <v>0</v>
      </c>
      <c r="AL505" s="22">
        <f t="shared" ref="AL505:AL520" si="1126">AK505-AJ505</f>
        <v>0</v>
      </c>
      <c r="AM505" s="24">
        <f t="shared" ref="AM505:AN520" si="1127">IF(AM538=0,0,AM$521+AM538+AM570)</f>
        <v>0</v>
      </c>
      <c r="AN505" s="23">
        <f t="shared" si="1127"/>
        <v>0</v>
      </c>
      <c r="AO505" s="22">
        <f t="shared" ref="AO505:AO520" si="1128">AN505-AM505</f>
        <v>0</v>
      </c>
      <c r="AP505" s="24">
        <f t="shared" ref="AP505:AQ520" si="1129">IF(AP538=0,0,AP$521+AP538+AP570)</f>
        <v>0</v>
      </c>
      <c r="AQ505" s="23">
        <f t="shared" si="1129"/>
        <v>0</v>
      </c>
      <c r="AR505" s="22">
        <f t="shared" ref="AR505:AR520" si="1130">AQ505-AP505</f>
        <v>0</v>
      </c>
      <c r="AS505" s="24">
        <f t="shared" ref="AS505:AT520" si="1131">IF(AS538=0,0,AS$521+AS538+AS570)</f>
        <v>0</v>
      </c>
      <c r="AT505" s="23">
        <f t="shared" si="1131"/>
        <v>0</v>
      </c>
      <c r="AU505" s="22">
        <f t="shared" ref="AU505:AU520" si="1132">AT505-AS505</f>
        <v>0</v>
      </c>
      <c r="AV505" s="24">
        <f t="shared" ref="AV505:AW520" si="1133">IF(AV538=0,0,AV$521+AV538+AV570)</f>
        <v>0</v>
      </c>
      <c r="AW505" s="23">
        <f t="shared" si="1133"/>
        <v>0</v>
      </c>
      <c r="AX505" s="22">
        <f t="shared" ref="AX505:AX520" si="1134">AW505-AV505</f>
        <v>0</v>
      </c>
      <c r="AY505" s="23">
        <f t="shared" ref="AY505:AZ520" si="1135">IF(AY538=0,0,AY$521+AY538+AY570)</f>
        <v>0</v>
      </c>
      <c r="AZ505" s="23">
        <f t="shared" si="1135"/>
        <v>0</v>
      </c>
      <c r="BA505" s="22">
        <f t="shared" ref="BA505:BA520" si="1136">AZ505-AY505</f>
        <v>0</v>
      </c>
      <c r="BB505" s="24">
        <f t="shared" ref="BB505:BC520" si="1137">IF(BB538=0,0,BB$521+BB538+BB570)</f>
        <v>0</v>
      </c>
      <c r="BC505" s="23">
        <f t="shared" si="1137"/>
        <v>0</v>
      </c>
      <c r="BD505" s="22">
        <f t="shared" ref="BD505:BD520" si="1138">BC505-BB505</f>
        <v>0</v>
      </c>
      <c r="BE505" s="24">
        <f t="shared" si="1103"/>
        <v>0</v>
      </c>
      <c r="BF505" s="24">
        <f t="shared" si="1103"/>
        <v>0</v>
      </c>
      <c r="BG505" s="20">
        <f t="shared" ref="BG505" si="1139">IF(BG538=0,0,BG$521+BG538+BG570)</f>
        <v>0</v>
      </c>
    </row>
    <row r="506" spans="1:59" ht="13.5" hidden="1" customHeight="1" outlineLevel="1" x14ac:dyDescent="0.25">
      <c r="A506" s="60"/>
      <c r="B506" s="84" t="s">
        <v>49</v>
      </c>
      <c r="C506" s="26" t="s">
        <v>110</v>
      </c>
      <c r="D506" s="20">
        <f t="shared" si="1105"/>
        <v>0</v>
      </c>
      <c r="E506" s="20">
        <f t="shared" si="1105"/>
        <v>0</v>
      </c>
      <c r="F506" s="24">
        <f t="shared" si="1105"/>
        <v>0</v>
      </c>
      <c r="G506" s="23">
        <f t="shared" si="1105"/>
        <v>0</v>
      </c>
      <c r="H506" s="22">
        <f t="shared" si="1106"/>
        <v>0</v>
      </c>
      <c r="I506" s="24">
        <f t="shared" si="1107"/>
        <v>0</v>
      </c>
      <c r="J506" s="23">
        <f t="shared" si="1107"/>
        <v>0</v>
      </c>
      <c r="K506" s="22">
        <f t="shared" si="1108"/>
        <v>0</v>
      </c>
      <c r="L506" s="24">
        <f t="shared" si="1109"/>
        <v>0</v>
      </c>
      <c r="M506" s="23">
        <f t="shared" si="1109"/>
        <v>0</v>
      </c>
      <c r="N506" s="22">
        <f t="shared" si="1110"/>
        <v>0</v>
      </c>
      <c r="O506" s="24">
        <f t="shared" si="1111"/>
        <v>0</v>
      </c>
      <c r="P506" s="23">
        <f t="shared" si="1111"/>
        <v>0</v>
      </c>
      <c r="Q506" s="22">
        <f t="shared" si="1112"/>
        <v>0</v>
      </c>
      <c r="R506" s="24">
        <f t="shared" si="1113"/>
        <v>0</v>
      </c>
      <c r="S506" s="23">
        <f t="shared" si="1113"/>
        <v>0</v>
      </c>
      <c r="T506" s="22">
        <f t="shared" si="1114"/>
        <v>0</v>
      </c>
      <c r="U506" s="24">
        <f t="shared" si="1115"/>
        <v>0</v>
      </c>
      <c r="V506" s="23">
        <f t="shared" si="1115"/>
        <v>0</v>
      </c>
      <c r="W506" s="22">
        <f t="shared" si="1116"/>
        <v>0</v>
      </c>
      <c r="X506" s="24">
        <f t="shared" si="1117"/>
        <v>0</v>
      </c>
      <c r="Y506" s="23">
        <f t="shared" si="1117"/>
        <v>0</v>
      </c>
      <c r="Z506" s="22">
        <f t="shared" si="1118"/>
        <v>0</v>
      </c>
      <c r="AA506" s="24">
        <f t="shared" si="1119"/>
        <v>0</v>
      </c>
      <c r="AB506" s="23">
        <f t="shared" si="1119"/>
        <v>0</v>
      </c>
      <c r="AC506" s="22">
        <f t="shared" si="1120"/>
        <v>0</v>
      </c>
      <c r="AD506" s="24">
        <f t="shared" si="1121"/>
        <v>0</v>
      </c>
      <c r="AE506" s="23">
        <f t="shared" si="1121"/>
        <v>0</v>
      </c>
      <c r="AF506" s="22">
        <f t="shared" si="1122"/>
        <v>0</v>
      </c>
      <c r="AG506" s="24">
        <f t="shared" si="1123"/>
        <v>0</v>
      </c>
      <c r="AH506" s="23">
        <f t="shared" si="1123"/>
        <v>0</v>
      </c>
      <c r="AI506" s="22">
        <f t="shared" si="1124"/>
        <v>0</v>
      </c>
      <c r="AJ506" s="24">
        <f t="shared" si="1125"/>
        <v>0</v>
      </c>
      <c r="AK506" s="23">
        <f t="shared" si="1125"/>
        <v>0</v>
      </c>
      <c r="AL506" s="22">
        <f t="shared" si="1126"/>
        <v>0</v>
      </c>
      <c r="AM506" s="24">
        <f t="shared" si="1127"/>
        <v>0</v>
      </c>
      <c r="AN506" s="23">
        <f t="shared" si="1127"/>
        <v>0</v>
      </c>
      <c r="AO506" s="22">
        <f t="shared" si="1128"/>
        <v>0</v>
      </c>
      <c r="AP506" s="24">
        <f t="shared" si="1129"/>
        <v>0</v>
      </c>
      <c r="AQ506" s="23">
        <f t="shared" si="1129"/>
        <v>0</v>
      </c>
      <c r="AR506" s="22">
        <f t="shared" si="1130"/>
        <v>0</v>
      </c>
      <c r="AS506" s="24">
        <f t="shared" si="1131"/>
        <v>0</v>
      </c>
      <c r="AT506" s="23">
        <f t="shared" si="1131"/>
        <v>0</v>
      </c>
      <c r="AU506" s="22">
        <f t="shared" si="1132"/>
        <v>0</v>
      </c>
      <c r="AV506" s="24">
        <f t="shared" si="1133"/>
        <v>0</v>
      </c>
      <c r="AW506" s="23">
        <f t="shared" si="1133"/>
        <v>0</v>
      </c>
      <c r="AX506" s="22">
        <f t="shared" si="1134"/>
        <v>0</v>
      </c>
      <c r="AY506" s="23">
        <f t="shared" si="1135"/>
        <v>0</v>
      </c>
      <c r="AZ506" s="23">
        <f t="shared" si="1135"/>
        <v>0</v>
      </c>
      <c r="BA506" s="22">
        <f t="shared" si="1136"/>
        <v>0</v>
      </c>
      <c r="BB506" s="24">
        <f t="shared" si="1137"/>
        <v>0</v>
      </c>
      <c r="BC506" s="23">
        <f t="shared" si="1137"/>
        <v>0</v>
      </c>
      <c r="BD506" s="22">
        <f t="shared" si="1138"/>
        <v>0</v>
      </c>
      <c r="BE506" s="24">
        <f t="shared" si="1103"/>
        <v>0</v>
      </c>
      <c r="BF506" s="24">
        <f t="shared" si="1103"/>
        <v>0</v>
      </c>
      <c r="BG506" s="20">
        <f t="shared" ref="BG506" si="1140">IF(BG539=0,0,BG$521+BG539+BG571)</f>
        <v>0</v>
      </c>
    </row>
    <row r="507" spans="1:59" ht="13.5" hidden="1" customHeight="1" outlineLevel="1" x14ac:dyDescent="0.25">
      <c r="A507" s="60"/>
      <c r="B507" s="84" t="s">
        <v>50</v>
      </c>
      <c r="C507" s="26" t="s">
        <v>110</v>
      </c>
      <c r="D507" s="20">
        <f t="shared" si="1105"/>
        <v>0</v>
      </c>
      <c r="E507" s="20">
        <f t="shared" si="1105"/>
        <v>0</v>
      </c>
      <c r="F507" s="24">
        <f t="shared" si="1105"/>
        <v>0</v>
      </c>
      <c r="G507" s="23">
        <f t="shared" si="1105"/>
        <v>0</v>
      </c>
      <c r="H507" s="22">
        <f t="shared" si="1106"/>
        <v>0</v>
      </c>
      <c r="I507" s="24">
        <f t="shared" si="1107"/>
        <v>0</v>
      </c>
      <c r="J507" s="23">
        <f t="shared" si="1107"/>
        <v>0</v>
      </c>
      <c r="K507" s="22">
        <f t="shared" si="1108"/>
        <v>0</v>
      </c>
      <c r="L507" s="24">
        <f t="shared" si="1109"/>
        <v>0</v>
      </c>
      <c r="M507" s="23">
        <f t="shared" si="1109"/>
        <v>0</v>
      </c>
      <c r="N507" s="22">
        <f t="shared" si="1110"/>
        <v>0</v>
      </c>
      <c r="O507" s="24">
        <f t="shared" si="1111"/>
        <v>0</v>
      </c>
      <c r="P507" s="23">
        <f t="shared" si="1111"/>
        <v>0</v>
      </c>
      <c r="Q507" s="22">
        <f t="shared" si="1112"/>
        <v>0</v>
      </c>
      <c r="R507" s="24">
        <f t="shared" si="1113"/>
        <v>0</v>
      </c>
      <c r="S507" s="23">
        <f t="shared" si="1113"/>
        <v>0</v>
      </c>
      <c r="T507" s="22">
        <f t="shared" si="1114"/>
        <v>0</v>
      </c>
      <c r="U507" s="24">
        <f t="shared" si="1115"/>
        <v>0</v>
      </c>
      <c r="V507" s="23">
        <f t="shared" si="1115"/>
        <v>0</v>
      </c>
      <c r="W507" s="22">
        <f t="shared" si="1116"/>
        <v>0</v>
      </c>
      <c r="X507" s="24">
        <f t="shared" si="1117"/>
        <v>0</v>
      </c>
      <c r="Y507" s="23">
        <f t="shared" si="1117"/>
        <v>0</v>
      </c>
      <c r="Z507" s="22">
        <f t="shared" si="1118"/>
        <v>0</v>
      </c>
      <c r="AA507" s="24">
        <f t="shared" si="1119"/>
        <v>0</v>
      </c>
      <c r="AB507" s="23">
        <f t="shared" si="1119"/>
        <v>0</v>
      </c>
      <c r="AC507" s="22">
        <f t="shared" si="1120"/>
        <v>0</v>
      </c>
      <c r="AD507" s="24">
        <f t="shared" si="1121"/>
        <v>0</v>
      </c>
      <c r="AE507" s="23">
        <f t="shared" si="1121"/>
        <v>0</v>
      </c>
      <c r="AF507" s="22">
        <f t="shared" si="1122"/>
        <v>0</v>
      </c>
      <c r="AG507" s="24">
        <f t="shared" si="1123"/>
        <v>0</v>
      </c>
      <c r="AH507" s="23">
        <f t="shared" si="1123"/>
        <v>0</v>
      </c>
      <c r="AI507" s="22">
        <f t="shared" si="1124"/>
        <v>0</v>
      </c>
      <c r="AJ507" s="24">
        <f t="shared" si="1125"/>
        <v>0</v>
      </c>
      <c r="AK507" s="23">
        <f t="shared" si="1125"/>
        <v>0</v>
      </c>
      <c r="AL507" s="22">
        <f t="shared" si="1126"/>
        <v>0</v>
      </c>
      <c r="AM507" s="24">
        <f t="shared" si="1127"/>
        <v>0</v>
      </c>
      <c r="AN507" s="23">
        <f t="shared" si="1127"/>
        <v>0</v>
      </c>
      <c r="AO507" s="22">
        <f t="shared" si="1128"/>
        <v>0</v>
      </c>
      <c r="AP507" s="24">
        <f t="shared" si="1129"/>
        <v>0</v>
      </c>
      <c r="AQ507" s="23">
        <f t="shared" si="1129"/>
        <v>0</v>
      </c>
      <c r="AR507" s="22">
        <f t="shared" si="1130"/>
        <v>0</v>
      </c>
      <c r="AS507" s="24">
        <f t="shared" si="1131"/>
        <v>0</v>
      </c>
      <c r="AT507" s="23">
        <f t="shared" si="1131"/>
        <v>0</v>
      </c>
      <c r="AU507" s="22">
        <f t="shared" si="1132"/>
        <v>0</v>
      </c>
      <c r="AV507" s="24">
        <f t="shared" si="1133"/>
        <v>0</v>
      </c>
      <c r="AW507" s="23">
        <f t="shared" si="1133"/>
        <v>0</v>
      </c>
      <c r="AX507" s="22">
        <f t="shared" si="1134"/>
        <v>0</v>
      </c>
      <c r="AY507" s="23">
        <f t="shared" si="1135"/>
        <v>0</v>
      </c>
      <c r="AZ507" s="23">
        <f t="shared" si="1135"/>
        <v>0</v>
      </c>
      <c r="BA507" s="22">
        <f t="shared" si="1136"/>
        <v>0</v>
      </c>
      <c r="BB507" s="24">
        <f t="shared" si="1137"/>
        <v>0</v>
      </c>
      <c r="BC507" s="23">
        <f t="shared" si="1137"/>
        <v>0</v>
      </c>
      <c r="BD507" s="22">
        <f t="shared" si="1138"/>
        <v>0</v>
      </c>
      <c r="BE507" s="24">
        <f t="shared" si="1103"/>
        <v>0</v>
      </c>
      <c r="BF507" s="24">
        <f t="shared" si="1103"/>
        <v>0</v>
      </c>
      <c r="BG507" s="20">
        <f t="shared" ref="BG507" si="1141">IF(BG540=0,0,BG$521+BG540+BG572)</f>
        <v>0</v>
      </c>
    </row>
    <row r="508" spans="1:59" ht="13.5" hidden="1" customHeight="1" outlineLevel="1" x14ac:dyDescent="0.25">
      <c r="A508" s="60"/>
      <c r="B508" s="84" t="s">
        <v>51</v>
      </c>
      <c r="C508" s="26" t="s">
        <v>110</v>
      </c>
      <c r="D508" s="20">
        <f t="shared" si="1105"/>
        <v>0</v>
      </c>
      <c r="E508" s="20">
        <f t="shared" si="1105"/>
        <v>0</v>
      </c>
      <c r="F508" s="24">
        <f t="shared" si="1105"/>
        <v>0</v>
      </c>
      <c r="G508" s="23">
        <f t="shared" si="1105"/>
        <v>0</v>
      </c>
      <c r="H508" s="22">
        <f t="shared" si="1106"/>
        <v>0</v>
      </c>
      <c r="I508" s="24">
        <f t="shared" si="1107"/>
        <v>0</v>
      </c>
      <c r="J508" s="23">
        <f t="shared" si="1107"/>
        <v>0</v>
      </c>
      <c r="K508" s="22">
        <f t="shared" si="1108"/>
        <v>0</v>
      </c>
      <c r="L508" s="24">
        <f t="shared" si="1109"/>
        <v>0</v>
      </c>
      <c r="M508" s="23">
        <f t="shared" si="1109"/>
        <v>0</v>
      </c>
      <c r="N508" s="22">
        <f t="shared" si="1110"/>
        <v>0</v>
      </c>
      <c r="O508" s="24">
        <f t="shared" si="1111"/>
        <v>0</v>
      </c>
      <c r="P508" s="23">
        <f t="shared" si="1111"/>
        <v>0</v>
      </c>
      <c r="Q508" s="22">
        <f t="shared" si="1112"/>
        <v>0</v>
      </c>
      <c r="R508" s="24">
        <f t="shared" si="1113"/>
        <v>0</v>
      </c>
      <c r="S508" s="23">
        <f t="shared" si="1113"/>
        <v>0</v>
      </c>
      <c r="T508" s="22">
        <f t="shared" si="1114"/>
        <v>0</v>
      </c>
      <c r="U508" s="24">
        <f t="shared" si="1115"/>
        <v>0</v>
      </c>
      <c r="V508" s="23">
        <f t="shared" si="1115"/>
        <v>0</v>
      </c>
      <c r="W508" s="22">
        <f t="shared" si="1116"/>
        <v>0</v>
      </c>
      <c r="X508" s="24">
        <f t="shared" si="1117"/>
        <v>0</v>
      </c>
      <c r="Y508" s="23">
        <f t="shared" si="1117"/>
        <v>0</v>
      </c>
      <c r="Z508" s="22">
        <f t="shared" si="1118"/>
        <v>0</v>
      </c>
      <c r="AA508" s="24">
        <f t="shared" si="1119"/>
        <v>0</v>
      </c>
      <c r="AB508" s="23">
        <f t="shared" si="1119"/>
        <v>0</v>
      </c>
      <c r="AC508" s="22">
        <f t="shared" si="1120"/>
        <v>0</v>
      </c>
      <c r="AD508" s="24">
        <f t="shared" si="1121"/>
        <v>0</v>
      </c>
      <c r="AE508" s="23">
        <f t="shared" si="1121"/>
        <v>0</v>
      </c>
      <c r="AF508" s="22">
        <f t="shared" si="1122"/>
        <v>0</v>
      </c>
      <c r="AG508" s="24">
        <f t="shared" si="1123"/>
        <v>0</v>
      </c>
      <c r="AH508" s="23">
        <f t="shared" si="1123"/>
        <v>0</v>
      </c>
      <c r="AI508" s="22">
        <f t="shared" si="1124"/>
        <v>0</v>
      </c>
      <c r="AJ508" s="24">
        <f t="shared" si="1125"/>
        <v>0</v>
      </c>
      <c r="AK508" s="23">
        <f t="shared" si="1125"/>
        <v>0</v>
      </c>
      <c r="AL508" s="22">
        <f t="shared" si="1126"/>
        <v>0</v>
      </c>
      <c r="AM508" s="24">
        <f t="shared" si="1127"/>
        <v>0</v>
      </c>
      <c r="AN508" s="23">
        <f t="shared" si="1127"/>
        <v>0</v>
      </c>
      <c r="AO508" s="22">
        <f t="shared" si="1128"/>
        <v>0</v>
      </c>
      <c r="AP508" s="24">
        <f t="shared" si="1129"/>
        <v>0</v>
      </c>
      <c r="AQ508" s="23">
        <f t="shared" si="1129"/>
        <v>0</v>
      </c>
      <c r="AR508" s="22">
        <f t="shared" si="1130"/>
        <v>0</v>
      </c>
      <c r="AS508" s="24">
        <f t="shared" si="1131"/>
        <v>0</v>
      </c>
      <c r="AT508" s="23">
        <f t="shared" si="1131"/>
        <v>0</v>
      </c>
      <c r="AU508" s="22">
        <f t="shared" si="1132"/>
        <v>0</v>
      </c>
      <c r="AV508" s="24">
        <f t="shared" si="1133"/>
        <v>0</v>
      </c>
      <c r="AW508" s="23">
        <f t="shared" si="1133"/>
        <v>0</v>
      </c>
      <c r="AX508" s="22">
        <f t="shared" si="1134"/>
        <v>0</v>
      </c>
      <c r="AY508" s="23">
        <f t="shared" si="1135"/>
        <v>0</v>
      </c>
      <c r="AZ508" s="23">
        <f t="shared" si="1135"/>
        <v>0</v>
      </c>
      <c r="BA508" s="22">
        <f t="shared" si="1136"/>
        <v>0</v>
      </c>
      <c r="BB508" s="24">
        <f t="shared" si="1137"/>
        <v>0</v>
      </c>
      <c r="BC508" s="23">
        <f t="shared" si="1137"/>
        <v>0</v>
      </c>
      <c r="BD508" s="22">
        <f t="shared" si="1138"/>
        <v>0</v>
      </c>
      <c r="BE508" s="24">
        <f t="shared" si="1103"/>
        <v>0</v>
      </c>
      <c r="BF508" s="24">
        <f t="shared" si="1103"/>
        <v>0</v>
      </c>
      <c r="BG508" s="20">
        <f t="shared" ref="BG508" si="1142">IF(BG541=0,0,BG$521+BG541+BG573)</f>
        <v>0</v>
      </c>
    </row>
    <row r="509" spans="1:59" ht="13.5" hidden="1" customHeight="1" outlineLevel="1" x14ac:dyDescent="0.25">
      <c r="A509" s="60"/>
      <c r="B509" s="84" t="s">
        <v>52</v>
      </c>
      <c r="C509" s="26" t="s">
        <v>110</v>
      </c>
      <c r="D509" s="20">
        <f t="shared" si="1105"/>
        <v>0</v>
      </c>
      <c r="E509" s="20">
        <f t="shared" si="1105"/>
        <v>0</v>
      </c>
      <c r="F509" s="24">
        <f t="shared" si="1105"/>
        <v>0</v>
      </c>
      <c r="G509" s="23">
        <f t="shared" si="1105"/>
        <v>0</v>
      </c>
      <c r="H509" s="22">
        <f t="shared" si="1106"/>
        <v>0</v>
      </c>
      <c r="I509" s="24">
        <f t="shared" si="1107"/>
        <v>0</v>
      </c>
      <c r="J509" s="23">
        <f t="shared" si="1107"/>
        <v>0</v>
      </c>
      <c r="K509" s="22">
        <f t="shared" si="1108"/>
        <v>0</v>
      </c>
      <c r="L509" s="24">
        <f t="shared" si="1109"/>
        <v>0</v>
      </c>
      <c r="M509" s="23">
        <f t="shared" si="1109"/>
        <v>0</v>
      </c>
      <c r="N509" s="22">
        <f t="shared" si="1110"/>
        <v>0</v>
      </c>
      <c r="O509" s="24">
        <f t="shared" si="1111"/>
        <v>0</v>
      </c>
      <c r="P509" s="23">
        <f t="shared" si="1111"/>
        <v>0</v>
      </c>
      <c r="Q509" s="22">
        <f t="shared" si="1112"/>
        <v>0</v>
      </c>
      <c r="R509" s="24">
        <f t="shared" si="1113"/>
        <v>0</v>
      </c>
      <c r="S509" s="23">
        <f t="shared" si="1113"/>
        <v>0</v>
      </c>
      <c r="T509" s="22">
        <f t="shared" si="1114"/>
        <v>0</v>
      </c>
      <c r="U509" s="24">
        <f t="shared" si="1115"/>
        <v>0</v>
      </c>
      <c r="V509" s="23">
        <f t="shared" si="1115"/>
        <v>0</v>
      </c>
      <c r="W509" s="22">
        <f t="shared" si="1116"/>
        <v>0</v>
      </c>
      <c r="X509" s="24">
        <f t="shared" si="1117"/>
        <v>0</v>
      </c>
      <c r="Y509" s="23">
        <f t="shared" si="1117"/>
        <v>0</v>
      </c>
      <c r="Z509" s="22">
        <f t="shared" si="1118"/>
        <v>0</v>
      </c>
      <c r="AA509" s="24">
        <f t="shared" si="1119"/>
        <v>0</v>
      </c>
      <c r="AB509" s="23">
        <f t="shared" si="1119"/>
        <v>0</v>
      </c>
      <c r="AC509" s="22">
        <f t="shared" si="1120"/>
        <v>0</v>
      </c>
      <c r="AD509" s="24">
        <f t="shared" si="1121"/>
        <v>0</v>
      </c>
      <c r="AE509" s="23">
        <f t="shared" si="1121"/>
        <v>0</v>
      </c>
      <c r="AF509" s="22">
        <f t="shared" si="1122"/>
        <v>0</v>
      </c>
      <c r="AG509" s="24">
        <f t="shared" si="1123"/>
        <v>0</v>
      </c>
      <c r="AH509" s="23">
        <f t="shared" si="1123"/>
        <v>0</v>
      </c>
      <c r="AI509" s="22">
        <f t="shared" si="1124"/>
        <v>0</v>
      </c>
      <c r="AJ509" s="24">
        <f t="shared" si="1125"/>
        <v>0</v>
      </c>
      <c r="AK509" s="23">
        <f t="shared" si="1125"/>
        <v>0</v>
      </c>
      <c r="AL509" s="22">
        <f t="shared" si="1126"/>
        <v>0</v>
      </c>
      <c r="AM509" s="24">
        <f t="shared" si="1127"/>
        <v>0</v>
      </c>
      <c r="AN509" s="23">
        <f t="shared" si="1127"/>
        <v>0</v>
      </c>
      <c r="AO509" s="22">
        <f t="shared" si="1128"/>
        <v>0</v>
      </c>
      <c r="AP509" s="24">
        <f t="shared" si="1129"/>
        <v>0</v>
      </c>
      <c r="AQ509" s="23">
        <f t="shared" si="1129"/>
        <v>0</v>
      </c>
      <c r="AR509" s="22">
        <f t="shared" si="1130"/>
        <v>0</v>
      </c>
      <c r="AS509" s="24">
        <f t="shared" si="1131"/>
        <v>0</v>
      </c>
      <c r="AT509" s="23">
        <f t="shared" si="1131"/>
        <v>0</v>
      </c>
      <c r="AU509" s="22">
        <f t="shared" si="1132"/>
        <v>0</v>
      </c>
      <c r="AV509" s="24">
        <f t="shared" si="1133"/>
        <v>0</v>
      </c>
      <c r="AW509" s="23">
        <f t="shared" si="1133"/>
        <v>0</v>
      </c>
      <c r="AX509" s="22">
        <f t="shared" si="1134"/>
        <v>0</v>
      </c>
      <c r="AY509" s="23">
        <f t="shared" si="1135"/>
        <v>0</v>
      </c>
      <c r="AZ509" s="23">
        <f t="shared" si="1135"/>
        <v>0</v>
      </c>
      <c r="BA509" s="22">
        <f t="shared" si="1136"/>
        <v>0</v>
      </c>
      <c r="BB509" s="24">
        <f t="shared" si="1137"/>
        <v>0</v>
      </c>
      <c r="BC509" s="23">
        <f t="shared" si="1137"/>
        <v>0</v>
      </c>
      <c r="BD509" s="22">
        <f t="shared" si="1138"/>
        <v>0</v>
      </c>
      <c r="BE509" s="24">
        <f t="shared" si="1103"/>
        <v>0</v>
      </c>
      <c r="BF509" s="24">
        <f t="shared" si="1103"/>
        <v>0</v>
      </c>
      <c r="BG509" s="20">
        <f t="shared" ref="BG509" si="1143">IF(BG542=0,0,BG$521+BG542+BG574)</f>
        <v>0</v>
      </c>
    </row>
    <row r="510" spans="1:59" ht="13.5" hidden="1" customHeight="1" outlineLevel="1" x14ac:dyDescent="0.25">
      <c r="A510" s="60"/>
      <c r="B510" s="84" t="s">
        <v>53</v>
      </c>
      <c r="C510" s="26" t="s">
        <v>110</v>
      </c>
      <c r="D510" s="20">
        <f t="shared" si="1105"/>
        <v>0</v>
      </c>
      <c r="E510" s="20">
        <f t="shared" si="1105"/>
        <v>0</v>
      </c>
      <c r="F510" s="24">
        <f t="shared" si="1105"/>
        <v>0</v>
      </c>
      <c r="G510" s="23">
        <f t="shared" si="1105"/>
        <v>0</v>
      </c>
      <c r="H510" s="22">
        <f t="shared" si="1106"/>
        <v>0</v>
      </c>
      <c r="I510" s="24">
        <f t="shared" si="1107"/>
        <v>0</v>
      </c>
      <c r="J510" s="23">
        <f t="shared" si="1107"/>
        <v>0</v>
      </c>
      <c r="K510" s="22">
        <f t="shared" si="1108"/>
        <v>0</v>
      </c>
      <c r="L510" s="24">
        <f t="shared" si="1109"/>
        <v>0</v>
      </c>
      <c r="M510" s="23">
        <f t="shared" si="1109"/>
        <v>0</v>
      </c>
      <c r="N510" s="22">
        <f t="shared" si="1110"/>
        <v>0</v>
      </c>
      <c r="O510" s="24">
        <f t="shared" si="1111"/>
        <v>0</v>
      </c>
      <c r="P510" s="23">
        <f t="shared" si="1111"/>
        <v>0</v>
      </c>
      <c r="Q510" s="22">
        <f t="shared" si="1112"/>
        <v>0</v>
      </c>
      <c r="R510" s="24">
        <f t="shared" si="1113"/>
        <v>0</v>
      </c>
      <c r="S510" s="23">
        <f t="shared" si="1113"/>
        <v>0</v>
      </c>
      <c r="T510" s="22">
        <f t="shared" si="1114"/>
        <v>0</v>
      </c>
      <c r="U510" s="24">
        <f t="shared" si="1115"/>
        <v>0</v>
      </c>
      <c r="V510" s="23">
        <f t="shared" si="1115"/>
        <v>0</v>
      </c>
      <c r="W510" s="22">
        <f t="shared" si="1116"/>
        <v>0</v>
      </c>
      <c r="X510" s="24">
        <f t="shared" si="1117"/>
        <v>0</v>
      </c>
      <c r="Y510" s="23">
        <f t="shared" si="1117"/>
        <v>0</v>
      </c>
      <c r="Z510" s="22">
        <f t="shared" si="1118"/>
        <v>0</v>
      </c>
      <c r="AA510" s="24">
        <f t="shared" si="1119"/>
        <v>0</v>
      </c>
      <c r="AB510" s="23">
        <f t="shared" si="1119"/>
        <v>0</v>
      </c>
      <c r="AC510" s="22">
        <f t="shared" si="1120"/>
        <v>0</v>
      </c>
      <c r="AD510" s="24">
        <f t="shared" si="1121"/>
        <v>0</v>
      </c>
      <c r="AE510" s="23">
        <f t="shared" si="1121"/>
        <v>0</v>
      </c>
      <c r="AF510" s="22">
        <f t="shared" si="1122"/>
        <v>0</v>
      </c>
      <c r="AG510" s="24">
        <f t="shared" si="1123"/>
        <v>0</v>
      </c>
      <c r="AH510" s="23">
        <f t="shared" si="1123"/>
        <v>0</v>
      </c>
      <c r="AI510" s="22">
        <f t="shared" si="1124"/>
        <v>0</v>
      </c>
      <c r="AJ510" s="24">
        <f t="shared" si="1125"/>
        <v>0</v>
      </c>
      <c r="AK510" s="23">
        <f t="shared" si="1125"/>
        <v>0</v>
      </c>
      <c r="AL510" s="22">
        <f t="shared" si="1126"/>
        <v>0</v>
      </c>
      <c r="AM510" s="24">
        <f t="shared" si="1127"/>
        <v>0</v>
      </c>
      <c r="AN510" s="23">
        <f t="shared" si="1127"/>
        <v>0</v>
      </c>
      <c r="AO510" s="22">
        <f t="shared" si="1128"/>
        <v>0</v>
      </c>
      <c r="AP510" s="24">
        <f t="shared" si="1129"/>
        <v>0</v>
      </c>
      <c r="AQ510" s="23">
        <f t="shared" si="1129"/>
        <v>0</v>
      </c>
      <c r="AR510" s="22">
        <f t="shared" si="1130"/>
        <v>0</v>
      </c>
      <c r="AS510" s="24">
        <f t="shared" si="1131"/>
        <v>0</v>
      </c>
      <c r="AT510" s="23">
        <f t="shared" si="1131"/>
        <v>0</v>
      </c>
      <c r="AU510" s="22">
        <f t="shared" si="1132"/>
        <v>0</v>
      </c>
      <c r="AV510" s="24">
        <f t="shared" si="1133"/>
        <v>0</v>
      </c>
      <c r="AW510" s="23">
        <f t="shared" si="1133"/>
        <v>0</v>
      </c>
      <c r="AX510" s="22">
        <f t="shared" si="1134"/>
        <v>0</v>
      </c>
      <c r="AY510" s="23">
        <f t="shared" si="1135"/>
        <v>0</v>
      </c>
      <c r="AZ510" s="23">
        <f t="shared" si="1135"/>
        <v>0</v>
      </c>
      <c r="BA510" s="22">
        <f t="shared" si="1136"/>
        <v>0</v>
      </c>
      <c r="BB510" s="24">
        <f t="shared" si="1137"/>
        <v>0</v>
      </c>
      <c r="BC510" s="23">
        <f t="shared" si="1137"/>
        <v>0</v>
      </c>
      <c r="BD510" s="22">
        <f t="shared" si="1138"/>
        <v>0</v>
      </c>
      <c r="BE510" s="24">
        <f t="shared" si="1103"/>
        <v>0</v>
      </c>
      <c r="BF510" s="24">
        <f t="shared" si="1103"/>
        <v>0</v>
      </c>
      <c r="BG510" s="20">
        <f t="shared" ref="BG510" si="1144">IF(BG543=0,0,BG$521+BG543+BG575)</f>
        <v>0</v>
      </c>
    </row>
    <row r="511" spans="1:59" ht="13.5" hidden="1" customHeight="1" outlineLevel="1" x14ac:dyDescent="0.25">
      <c r="A511" s="60"/>
      <c r="B511" s="84" t="s">
        <v>54</v>
      </c>
      <c r="C511" s="26" t="s">
        <v>110</v>
      </c>
      <c r="D511" s="20">
        <f t="shared" si="1105"/>
        <v>0</v>
      </c>
      <c r="E511" s="20">
        <f t="shared" si="1105"/>
        <v>0</v>
      </c>
      <c r="F511" s="24">
        <f t="shared" si="1105"/>
        <v>0</v>
      </c>
      <c r="G511" s="23">
        <f t="shared" si="1105"/>
        <v>0</v>
      </c>
      <c r="H511" s="22">
        <f t="shared" si="1106"/>
        <v>0</v>
      </c>
      <c r="I511" s="24">
        <f t="shared" si="1107"/>
        <v>0</v>
      </c>
      <c r="J511" s="23">
        <f t="shared" si="1107"/>
        <v>0</v>
      </c>
      <c r="K511" s="22">
        <f t="shared" si="1108"/>
        <v>0</v>
      </c>
      <c r="L511" s="24">
        <f t="shared" si="1109"/>
        <v>0</v>
      </c>
      <c r="M511" s="23">
        <f t="shared" si="1109"/>
        <v>0</v>
      </c>
      <c r="N511" s="22">
        <f t="shared" si="1110"/>
        <v>0</v>
      </c>
      <c r="O511" s="24">
        <f t="shared" si="1111"/>
        <v>0</v>
      </c>
      <c r="P511" s="23">
        <f t="shared" si="1111"/>
        <v>0</v>
      </c>
      <c r="Q511" s="22">
        <f t="shared" si="1112"/>
        <v>0</v>
      </c>
      <c r="R511" s="24">
        <f t="shared" si="1113"/>
        <v>0</v>
      </c>
      <c r="S511" s="23">
        <f t="shared" si="1113"/>
        <v>0</v>
      </c>
      <c r="T511" s="22">
        <f t="shared" si="1114"/>
        <v>0</v>
      </c>
      <c r="U511" s="24">
        <f t="shared" si="1115"/>
        <v>0</v>
      </c>
      <c r="V511" s="23">
        <f t="shared" si="1115"/>
        <v>0</v>
      </c>
      <c r="W511" s="22">
        <f t="shared" si="1116"/>
        <v>0</v>
      </c>
      <c r="X511" s="24">
        <f t="shared" si="1117"/>
        <v>0</v>
      </c>
      <c r="Y511" s="23">
        <f t="shared" si="1117"/>
        <v>0</v>
      </c>
      <c r="Z511" s="22">
        <f t="shared" si="1118"/>
        <v>0</v>
      </c>
      <c r="AA511" s="24">
        <f t="shared" si="1119"/>
        <v>0</v>
      </c>
      <c r="AB511" s="23">
        <f t="shared" si="1119"/>
        <v>0</v>
      </c>
      <c r="AC511" s="22">
        <f t="shared" si="1120"/>
        <v>0</v>
      </c>
      <c r="AD511" s="24">
        <f t="shared" si="1121"/>
        <v>0</v>
      </c>
      <c r="AE511" s="23">
        <f t="shared" si="1121"/>
        <v>0</v>
      </c>
      <c r="AF511" s="22">
        <f t="shared" si="1122"/>
        <v>0</v>
      </c>
      <c r="AG511" s="24">
        <f t="shared" si="1123"/>
        <v>0</v>
      </c>
      <c r="AH511" s="23">
        <f t="shared" si="1123"/>
        <v>0</v>
      </c>
      <c r="AI511" s="22">
        <f t="shared" si="1124"/>
        <v>0</v>
      </c>
      <c r="AJ511" s="24">
        <f t="shared" si="1125"/>
        <v>0</v>
      </c>
      <c r="AK511" s="23">
        <f t="shared" si="1125"/>
        <v>0</v>
      </c>
      <c r="AL511" s="22">
        <f t="shared" si="1126"/>
        <v>0</v>
      </c>
      <c r="AM511" s="24">
        <f t="shared" si="1127"/>
        <v>0</v>
      </c>
      <c r="AN511" s="23">
        <f t="shared" si="1127"/>
        <v>0</v>
      </c>
      <c r="AO511" s="22">
        <f t="shared" si="1128"/>
        <v>0</v>
      </c>
      <c r="AP511" s="24">
        <f t="shared" si="1129"/>
        <v>0</v>
      </c>
      <c r="AQ511" s="23">
        <f t="shared" si="1129"/>
        <v>0</v>
      </c>
      <c r="AR511" s="22">
        <f t="shared" si="1130"/>
        <v>0</v>
      </c>
      <c r="AS511" s="24">
        <f t="shared" si="1131"/>
        <v>0</v>
      </c>
      <c r="AT511" s="23">
        <f t="shared" si="1131"/>
        <v>0</v>
      </c>
      <c r="AU511" s="22">
        <f t="shared" si="1132"/>
        <v>0</v>
      </c>
      <c r="AV511" s="24">
        <f t="shared" si="1133"/>
        <v>0</v>
      </c>
      <c r="AW511" s="23">
        <f t="shared" si="1133"/>
        <v>0</v>
      </c>
      <c r="AX511" s="22">
        <f t="shared" si="1134"/>
        <v>0</v>
      </c>
      <c r="AY511" s="23">
        <f t="shared" si="1135"/>
        <v>0</v>
      </c>
      <c r="AZ511" s="23">
        <f t="shared" si="1135"/>
        <v>0</v>
      </c>
      <c r="BA511" s="22">
        <f t="shared" si="1136"/>
        <v>0</v>
      </c>
      <c r="BB511" s="24">
        <f t="shared" si="1137"/>
        <v>0</v>
      </c>
      <c r="BC511" s="23">
        <f t="shared" si="1137"/>
        <v>0</v>
      </c>
      <c r="BD511" s="22">
        <f t="shared" si="1138"/>
        <v>0</v>
      </c>
      <c r="BE511" s="24">
        <f t="shared" si="1103"/>
        <v>0</v>
      </c>
      <c r="BF511" s="24">
        <f t="shared" si="1103"/>
        <v>0</v>
      </c>
      <c r="BG511" s="20">
        <f t="shared" ref="BG511" si="1145">IF(BG544=0,0,BG$521+BG544+BG576)</f>
        <v>0</v>
      </c>
    </row>
    <row r="512" spans="1:59" ht="13.5" hidden="1" customHeight="1" outlineLevel="1" x14ac:dyDescent="0.25">
      <c r="A512" s="65"/>
      <c r="B512" s="84" t="s">
        <v>55</v>
      </c>
      <c r="C512" s="46" t="s">
        <v>110</v>
      </c>
      <c r="D512" s="168">
        <f t="shared" si="1105"/>
        <v>0</v>
      </c>
      <c r="E512" s="168">
        <f t="shared" si="1105"/>
        <v>0</v>
      </c>
      <c r="F512" s="171">
        <f t="shared" si="1105"/>
        <v>0</v>
      </c>
      <c r="G512" s="169">
        <f t="shared" si="1105"/>
        <v>0</v>
      </c>
      <c r="H512" s="170">
        <f t="shared" si="1106"/>
        <v>0</v>
      </c>
      <c r="I512" s="171">
        <f t="shared" si="1107"/>
        <v>0</v>
      </c>
      <c r="J512" s="169">
        <f t="shared" si="1107"/>
        <v>0</v>
      </c>
      <c r="K512" s="170">
        <f t="shared" si="1108"/>
        <v>0</v>
      </c>
      <c r="L512" s="171">
        <f t="shared" si="1109"/>
        <v>0</v>
      </c>
      <c r="M512" s="169">
        <f t="shared" si="1109"/>
        <v>0</v>
      </c>
      <c r="N512" s="170">
        <f t="shared" si="1110"/>
        <v>0</v>
      </c>
      <c r="O512" s="171">
        <f t="shared" si="1111"/>
        <v>0</v>
      </c>
      <c r="P512" s="169">
        <f t="shared" si="1111"/>
        <v>0</v>
      </c>
      <c r="Q512" s="170">
        <f t="shared" si="1112"/>
        <v>0</v>
      </c>
      <c r="R512" s="171">
        <f t="shared" si="1113"/>
        <v>0</v>
      </c>
      <c r="S512" s="169">
        <f t="shared" si="1113"/>
        <v>0</v>
      </c>
      <c r="T512" s="170">
        <f t="shared" si="1114"/>
        <v>0</v>
      </c>
      <c r="U512" s="171">
        <f t="shared" si="1115"/>
        <v>0</v>
      </c>
      <c r="V512" s="169">
        <f t="shared" si="1115"/>
        <v>0</v>
      </c>
      <c r="W512" s="170">
        <f t="shared" si="1116"/>
        <v>0</v>
      </c>
      <c r="X512" s="171">
        <f t="shared" si="1117"/>
        <v>0</v>
      </c>
      <c r="Y512" s="169">
        <f t="shared" si="1117"/>
        <v>0</v>
      </c>
      <c r="Z512" s="170">
        <f t="shared" si="1118"/>
        <v>0</v>
      </c>
      <c r="AA512" s="171">
        <f t="shared" si="1119"/>
        <v>0</v>
      </c>
      <c r="AB512" s="169">
        <f t="shared" si="1119"/>
        <v>0</v>
      </c>
      <c r="AC512" s="170">
        <f t="shared" si="1120"/>
        <v>0</v>
      </c>
      <c r="AD512" s="171">
        <f t="shared" si="1121"/>
        <v>0</v>
      </c>
      <c r="AE512" s="169">
        <f t="shared" si="1121"/>
        <v>0</v>
      </c>
      <c r="AF512" s="170">
        <f t="shared" si="1122"/>
        <v>0</v>
      </c>
      <c r="AG512" s="171">
        <f t="shared" si="1123"/>
        <v>0</v>
      </c>
      <c r="AH512" s="169">
        <f t="shared" si="1123"/>
        <v>0</v>
      </c>
      <c r="AI512" s="170">
        <f t="shared" si="1124"/>
        <v>0</v>
      </c>
      <c r="AJ512" s="171">
        <f t="shared" si="1125"/>
        <v>0</v>
      </c>
      <c r="AK512" s="169">
        <f t="shared" si="1125"/>
        <v>0</v>
      </c>
      <c r="AL512" s="170">
        <f t="shared" si="1126"/>
        <v>0</v>
      </c>
      <c r="AM512" s="171">
        <f t="shared" si="1127"/>
        <v>0</v>
      </c>
      <c r="AN512" s="169">
        <f t="shared" si="1127"/>
        <v>0</v>
      </c>
      <c r="AO512" s="170">
        <f t="shared" si="1128"/>
        <v>0</v>
      </c>
      <c r="AP512" s="171">
        <f t="shared" si="1129"/>
        <v>0</v>
      </c>
      <c r="AQ512" s="169">
        <f t="shared" si="1129"/>
        <v>0</v>
      </c>
      <c r="AR512" s="170">
        <f t="shared" si="1130"/>
        <v>0</v>
      </c>
      <c r="AS512" s="171">
        <f t="shared" si="1131"/>
        <v>0</v>
      </c>
      <c r="AT512" s="169">
        <f t="shared" si="1131"/>
        <v>0</v>
      </c>
      <c r="AU512" s="170">
        <f t="shared" si="1132"/>
        <v>0</v>
      </c>
      <c r="AV512" s="171">
        <f t="shared" si="1133"/>
        <v>0</v>
      </c>
      <c r="AW512" s="169">
        <f t="shared" si="1133"/>
        <v>0</v>
      </c>
      <c r="AX512" s="170">
        <f t="shared" si="1134"/>
        <v>0</v>
      </c>
      <c r="AY512" s="169">
        <f t="shared" si="1135"/>
        <v>0</v>
      </c>
      <c r="AZ512" s="169">
        <f t="shared" si="1135"/>
        <v>0</v>
      </c>
      <c r="BA512" s="170">
        <f t="shared" si="1136"/>
        <v>0</v>
      </c>
      <c r="BB512" s="171">
        <f t="shared" si="1137"/>
        <v>0</v>
      </c>
      <c r="BC512" s="169">
        <f t="shared" si="1137"/>
        <v>0</v>
      </c>
      <c r="BD512" s="170">
        <f t="shared" si="1138"/>
        <v>0</v>
      </c>
      <c r="BE512" s="171">
        <f t="shared" si="1103"/>
        <v>0</v>
      </c>
      <c r="BF512" s="171">
        <f t="shared" si="1103"/>
        <v>0</v>
      </c>
      <c r="BG512" s="168">
        <f t="shared" ref="BG512" si="1146">IF(BG545=0,0,BG$521+BG545+BG577)</f>
        <v>0</v>
      </c>
    </row>
    <row r="513" spans="1:59" ht="13.5" hidden="1" customHeight="1" outlineLevel="1" x14ac:dyDescent="0.25">
      <c r="A513" s="65"/>
      <c r="B513" s="99" t="s">
        <v>56</v>
      </c>
      <c r="C513" s="46" t="s">
        <v>110</v>
      </c>
      <c r="D513" s="168">
        <f t="shared" si="1105"/>
        <v>0</v>
      </c>
      <c r="E513" s="168">
        <f t="shared" si="1105"/>
        <v>0</v>
      </c>
      <c r="F513" s="171">
        <f t="shared" si="1105"/>
        <v>0</v>
      </c>
      <c r="G513" s="169">
        <f t="shared" si="1105"/>
        <v>0</v>
      </c>
      <c r="H513" s="170">
        <f t="shared" si="1106"/>
        <v>0</v>
      </c>
      <c r="I513" s="171">
        <f t="shared" si="1107"/>
        <v>0</v>
      </c>
      <c r="J513" s="169">
        <f t="shared" si="1107"/>
        <v>0</v>
      </c>
      <c r="K513" s="170">
        <f t="shared" si="1108"/>
        <v>0</v>
      </c>
      <c r="L513" s="171">
        <f t="shared" si="1109"/>
        <v>0</v>
      </c>
      <c r="M513" s="169">
        <f t="shared" si="1109"/>
        <v>0</v>
      </c>
      <c r="N513" s="170">
        <f t="shared" si="1110"/>
        <v>0</v>
      </c>
      <c r="O513" s="171">
        <f t="shared" si="1111"/>
        <v>0</v>
      </c>
      <c r="P513" s="169">
        <f t="shared" si="1111"/>
        <v>0</v>
      </c>
      <c r="Q513" s="170">
        <f t="shared" si="1112"/>
        <v>0</v>
      </c>
      <c r="R513" s="171">
        <f t="shared" si="1113"/>
        <v>0</v>
      </c>
      <c r="S513" s="169">
        <f t="shared" si="1113"/>
        <v>0</v>
      </c>
      <c r="T513" s="170">
        <f t="shared" si="1114"/>
        <v>0</v>
      </c>
      <c r="U513" s="171">
        <f t="shared" si="1115"/>
        <v>0</v>
      </c>
      <c r="V513" s="169">
        <f t="shared" si="1115"/>
        <v>0</v>
      </c>
      <c r="W513" s="170">
        <f t="shared" si="1116"/>
        <v>0</v>
      </c>
      <c r="X513" s="171">
        <f t="shared" si="1117"/>
        <v>0</v>
      </c>
      <c r="Y513" s="169">
        <f t="shared" si="1117"/>
        <v>0</v>
      </c>
      <c r="Z513" s="170">
        <f t="shared" si="1118"/>
        <v>0</v>
      </c>
      <c r="AA513" s="171">
        <f t="shared" si="1119"/>
        <v>0</v>
      </c>
      <c r="AB513" s="169">
        <f t="shared" si="1119"/>
        <v>0</v>
      </c>
      <c r="AC513" s="170">
        <f t="shared" si="1120"/>
        <v>0</v>
      </c>
      <c r="AD513" s="171">
        <f t="shared" si="1121"/>
        <v>0</v>
      </c>
      <c r="AE513" s="169">
        <f t="shared" si="1121"/>
        <v>0</v>
      </c>
      <c r="AF513" s="170">
        <f t="shared" si="1122"/>
        <v>0</v>
      </c>
      <c r="AG513" s="171">
        <f t="shared" si="1123"/>
        <v>0</v>
      </c>
      <c r="AH513" s="169">
        <f t="shared" si="1123"/>
        <v>0</v>
      </c>
      <c r="AI513" s="170">
        <f t="shared" si="1124"/>
        <v>0</v>
      </c>
      <c r="AJ513" s="171">
        <f t="shared" si="1125"/>
        <v>0</v>
      </c>
      <c r="AK513" s="169">
        <f t="shared" si="1125"/>
        <v>0</v>
      </c>
      <c r="AL513" s="170">
        <f t="shared" si="1126"/>
        <v>0</v>
      </c>
      <c r="AM513" s="171">
        <f t="shared" si="1127"/>
        <v>0</v>
      </c>
      <c r="AN513" s="169">
        <f t="shared" si="1127"/>
        <v>0</v>
      </c>
      <c r="AO513" s="170">
        <f t="shared" si="1128"/>
        <v>0</v>
      </c>
      <c r="AP513" s="171">
        <f t="shared" si="1129"/>
        <v>0</v>
      </c>
      <c r="AQ513" s="169">
        <f t="shared" si="1129"/>
        <v>0</v>
      </c>
      <c r="AR513" s="170">
        <f t="shared" si="1130"/>
        <v>0</v>
      </c>
      <c r="AS513" s="171">
        <f t="shared" si="1131"/>
        <v>0</v>
      </c>
      <c r="AT513" s="169">
        <f t="shared" si="1131"/>
        <v>0</v>
      </c>
      <c r="AU513" s="170">
        <f t="shared" si="1132"/>
        <v>0</v>
      </c>
      <c r="AV513" s="171">
        <f t="shared" si="1133"/>
        <v>0</v>
      </c>
      <c r="AW513" s="169">
        <f t="shared" si="1133"/>
        <v>0</v>
      </c>
      <c r="AX513" s="170">
        <f t="shared" si="1134"/>
        <v>0</v>
      </c>
      <c r="AY513" s="169">
        <f t="shared" si="1135"/>
        <v>0</v>
      </c>
      <c r="AZ513" s="169">
        <f t="shared" si="1135"/>
        <v>0</v>
      </c>
      <c r="BA513" s="170">
        <f t="shared" si="1136"/>
        <v>0</v>
      </c>
      <c r="BB513" s="171">
        <f t="shared" si="1137"/>
        <v>0</v>
      </c>
      <c r="BC513" s="169">
        <f t="shared" si="1137"/>
        <v>0</v>
      </c>
      <c r="BD513" s="170">
        <f t="shared" si="1138"/>
        <v>0</v>
      </c>
      <c r="BE513" s="171">
        <f t="shared" si="1103"/>
        <v>0</v>
      </c>
      <c r="BF513" s="171">
        <f t="shared" si="1103"/>
        <v>0</v>
      </c>
      <c r="BG513" s="168">
        <f t="shared" ref="BG513" si="1147">IF(BG546=0,0,BG$521+BG546+BG578)</f>
        <v>0</v>
      </c>
    </row>
    <row r="514" spans="1:59" ht="13.5" hidden="1" customHeight="1" outlineLevel="1" x14ac:dyDescent="0.25">
      <c r="A514" s="65"/>
      <c r="B514" s="84" t="s">
        <v>57</v>
      </c>
      <c r="C514" s="46" t="s">
        <v>110</v>
      </c>
      <c r="D514" s="168">
        <f t="shared" si="1105"/>
        <v>0</v>
      </c>
      <c r="E514" s="168">
        <f t="shared" si="1105"/>
        <v>0</v>
      </c>
      <c r="F514" s="171">
        <f t="shared" si="1105"/>
        <v>0</v>
      </c>
      <c r="G514" s="169">
        <f t="shared" si="1105"/>
        <v>0</v>
      </c>
      <c r="H514" s="170">
        <f t="shared" si="1106"/>
        <v>0</v>
      </c>
      <c r="I514" s="171">
        <f t="shared" si="1107"/>
        <v>0</v>
      </c>
      <c r="J514" s="169">
        <f t="shared" si="1107"/>
        <v>0</v>
      </c>
      <c r="K514" s="170">
        <f t="shared" si="1108"/>
        <v>0</v>
      </c>
      <c r="L514" s="171">
        <f t="shared" si="1109"/>
        <v>0</v>
      </c>
      <c r="M514" s="169">
        <f t="shared" si="1109"/>
        <v>0</v>
      </c>
      <c r="N514" s="170">
        <f t="shared" si="1110"/>
        <v>0</v>
      </c>
      <c r="O514" s="171">
        <f t="shared" si="1111"/>
        <v>0</v>
      </c>
      <c r="P514" s="169">
        <f t="shared" si="1111"/>
        <v>0</v>
      </c>
      <c r="Q514" s="170">
        <f t="shared" si="1112"/>
        <v>0</v>
      </c>
      <c r="R514" s="171">
        <f t="shared" si="1113"/>
        <v>0</v>
      </c>
      <c r="S514" s="169">
        <f t="shared" si="1113"/>
        <v>0</v>
      </c>
      <c r="T514" s="170">
        <f t="shared" si="1114"/>
        <v>0</v>
      </c>
      <c r="U514" s="171">
        <f t="shared" si="1115"/>
        <v>0</v>
      </c>
      <c r="V514" s="169">
        <f t="shared" si="1115"/>
        <v>0</v>
      </c>
      <c r="W514" s="170">
        <f t="shared" si="1116"/>
        <v>0</v>
      </c>
      <c r="X514" s="171">
        <f t="shared" si="1117"/>
        <v>0</v>
      </c>
      <c r="Y514" s="169">
        <f t="shared" si="1117"/>
        <v>0</v>
      </c>
      <c r="Z514" s="170">
        <f t="shared" si="1118"/>
        <v>0</v>
      </c>
      <c r="AA514" s="171">
        <f t="shared" si="1119"/>
        <v>0</v>
      </c>
      <c r="AB514" s="169">
        <f t="shared" si="1119"/>
        <v>0</v>
      </c>
      <c r="AC514" s="170">
        <f t="shared" si="1120"/>
        <v>0</v>
      </c>
      <c r="AD514" s="171">
        <f t="shared" si="1121"/>
        <v>0</v>
      </c>
      <c r="AE514" s="169">
        <f t="shared" si="1121"/>
        <v>0</v>
      </c>
      <c r="AF514" s="170">
        <f t="shared" si="1122"/>
        <v>0</v>
      </c>
      <c r="AG514" s="171">
        <f t="shared" si="1123"/>
        <v>0</v>
      </c>
      <c r="AH514" s="169">
        <f t="shared" si="1123"/>
        <v>0</v>
      </c>
      <c r="AI514" s="170">
        <f t="shared" si="1124"/>
        <v>0</v>
      </c>
      <c r="AJ514" s="171">
        <f t="shared" si="1125"/>
        <v>0</v>
      </c>
      <c r="AK514" s="169">
        <f t="shared" si="1125"/>
        <v>0</v>
      </c>
      <c r="AL514" s="170">
        <f t="shared" si="1126"/>
        <v>0</v>
      </c>
      <c r="AM514" s="171">
        <f t="shared" si="1127"/>
        <v>0</v>
      </c>
      <c r="AN514" s="169">
        <f t="shared" si="1127"/>
        <v>0</v>
      </c>
      <c r="AO514" s="170">
        <f t="shared" si="1128"/>
        <v>0</v>
      </c>
      <c r="AP514" s="171">
        <f t="shared" si="1129"/>
        <v>0</v>
      </c>
      <c r="AQ514" s="169">
        <f t="shared" si="1129"/>
        <v>0</v>
      </c>
      <c r="AR514" s="170">
        <f t="shared" si="1130"/>
        <v>0</v>
      </c>
      <c r="AS514" s="171">
        <f t="shared" si="1131"/>
        <v>0</v>
      </c>
      <c r="AT514" s="169">
        <f t="shared" si="1131"/>
        <v>0</v>
      </c>
      <c r="AU514" s="170">
        <f t="shared" si="1132"/>
        <v>0</v>
      </c>
      <c r="AV514" s="171">
        <f t="shared" si="1133"/>
        <v>0</v>
      </c>
      <c r="AW514" s="169">
        <f t="shared" si="1133"/>
        <v>0</v>
      </c>
      <c r="AX514" s="170">
        <f t="shared" si="1134"/>
        <v>0</v>
      </c>
      <c r="AY514" s="169">
        <f t="shared" si="1135"/>
        <v>0</v>
      </c>
      <c r="AZ514" s="169">
        <f t="shared" si="1135"/>
        <v>0</v>
      </c>
      <c r="BA514" s="170">
        <f t="shared" si="1136"/>
        <v>0</v>
      </c>
      <c r="BB514" s="171">
        <f t="shared" si="1137"/>
        <v>0</v>
      </c>
      <c r="BC514" s="169">
        <f t="shared" si="1137"/>
        <v>0</v>
      </c>
      <c r="BD514" s="170">
        <f t="shared" si="1138"/>
        <v>0</v>
      </c>
      <c r="BE514" s="171">
        <f t="shared" si="1103"/>
        <v>0</v>
      </c>
      <c r="BF514" s="171">
        <f t="shared" si="1103"/>
        <v>0</v>
      </c>
      <c r="BG514" s="168">
        <f t="shared" ref="BG514" si="1148">IF(BG547=0,0,BG$521+BG547+BG579)</f>
        <v>0</v>
      </c>
    </row>
    <row r="515" spans="1:59" ht="13.5" hidden="1" customHeight="1" outlineLevel="1" x14ac:dyDescent="0.25">
      <c r="A515" s="65"/>
      <c r="B515" s="99" t="s">
        <v>58</v>
      </c>
      <c r="C515" s="46" t="s">
        <v>110</v>
      </c>
      <c r="D515" s="168">
        <f t="shared" si="1105"/>
        <v>0</v>
      </c>
      <c r="E515" s="168">
        <f t="shared" si="1105"/>
        <v>0</v>
      </c>
      <c r="F515" s="171">
        <f t="shared" si="1105"/>
        <v>0</v>
      </c>
      <c r="G515" s="169">
        <f t="shared" si="1105"/>
        <v>0</v>
      </c>
      <c r="H515" s="170">
        <f t="shared" si="1106"/>
        <v>0</v>
      </c>
      <c r="I515" s="171">
        <f t="shared" si="1107"/>
        <v>0</v>
      </c>
      <c r="J515" s="169">
        <f t="shared" si="1107"/>
        <v>0</v>
      </c>
      <c r="K515" s="170">
        <f t="shared" si="1108"/>
        <v>0</v>
      </c>
      <c r="L515" s="171">
        <f t="shared" si="1109"/>
        <v>0</v>
      </c>
      <c r="M515" s="169">
        <f t="shared" si="1109"/>
        <v>0</v>
      </c>
      <c r="N515" s="170">
        <f t="shared" si="1110"/>
        <v>0</v>
      </c>
      <c r="O515" s="171">
        <f t="shared" si="1111"/>
        <v>0</v>
      </c>
      <c r="P515" s="169">
        <f t="shared" si="1111"/>
        <v>0</v>
      </c>
      <c r="Q515" s="170">
        <f t="shared" si="1112"/>
        <v>0</v>
      </c>
      <c r="R515" s="171">
        <f t="shared" si="1113"/>
        <v>0</v>
      </c>
      <c r="S515" s="169">
        <f t="shared" si="1113"/>
        <v>0</v>
      </c>
      <c r="T515" s="170">
        <f t="shared" si="1114"/>
        <v>0</v>
      </c>
      <c r="U515" s="171">
        <f t="shared" si="1115"/>
        <v>0</v>
      </c>
      <c r="V515" s="169">
        <f t="shared" si="1115"/>
        <v>0</v>
      </c>
      <c r="W515" s="170">
        <f t="shared" si="1116"/>
        <v>0</v>
      </c>
      <c r="X515" s="171">
        <f t="shared" si="1117"/>
        <v>0</v>
      </c>
      <c r="Y515" s="169">
        <f t="shared" si="1117"/>
        <v>0</v>
      </c>
      <c r="Z515" s="170">
        <f t="shared" si="1118"/>
        <v>0</v>
      </c>
      <c r="AA515" s="171">
        <f t="shared" si="1119"/>
        <v>0</v>
      </c>
      <c r="AB515" s="169">
        <f t="shared" si="1119"/>
        <v>0</v>
      </c>
      <c r="AC515" s="170">
        <f t="shared" si="1120"/>
        <v>0</v>
      </c>
      <c r="AD515" s="171">
        <f t="shared" si="1121"/>
        <v>0</v>
      </c>
      <c r="AE515" s="169">
        <f t="shared" si="1121"/>
        <v>0</v>
      </c>
      <c r="AF515" s="170">
        <f t="shared" si="1122"/>
        <v>0</v>
      </c>
      <c r="AG515" s="171">
        <f t="shared" si="1123"/>
        <v>0</v>
      </c>
      <c r="AH515" s="169">
        <f t="shared" si="1123"/>
        <v>0</v>
      </c>
      <c r="AI515" s="170">
        <f t="shared" si="1124"/>
        <v>0</v>
      </c>
      <c r="AJ515" s="171">
        <f t="shared" si="1125"/>
        <v>0</v>
      </c>
      <c r="AK515" s="169">
        <f t="shared" si="1125"/>
        <v>0</v>
      </c>
      <c r="AL515" s="170">
        <f t="shared" si="1126"/>
        <v>0</v>
      </c>
      <c r="AM515" s="171">
        <f t="shared" si="1127"/>
        <v>0</v>
      </c>
      <c r="AN515" s="169">
        <f t="shared" si="1127"/>
        <v>0</v>
      </c>
      <c r="AO515" s="170">
        <f t="shared" si="1128"/>
        <v>0</v>
      </c>
      <c r="AP515" s="171">
        <f t="shared" si="1129"/>
        <v>0</v>
      </c>
      <c r="AQ515" s="169">
        <f t="shared" si="1129"/>
        <v>0</v>
      </c>
      <c r="AR515" s="170">
        <f t="shared" si="1130"/>
        <v>0</v>
      </c>
      <c r="AS515" s="171">
        <f t="shared" si="1131"/>
        <v>0</v>
      </c>
      <c r="AT515" s="169">
        <f t="shared" si="1131"/>
        <v>0</v>
      </c>
      <c r="AU515" s="170">
        <f t="shared" si="1132"/>
        <v>0</v>
      </c>
      <c r="AV515" s="171">
        <f t="shared" si="1133"/>
        <v>0</v>
      </c>
      <c r="AW515" s="169">
        <f t="shared" si="1133"/>
        <v>0</v>
      </c>
      <c r="AX515" s="170">
        <f t="shared" si="1134"/>
        <v>0</v>
      </c>
      <c r="AY515" s="169">
        <f t="shared" si="1135"/>
        <v>0</v>
      </c>
      <c r="AZ515" s="169">
        <f t="shared" si="1135"/>
        <v>0</v>
      </c>
      <c r="BA515" s="170">
        <f t="shared" si="1136"/>
        <v>0</v>
      </c>
      <c r="BB515" s="171">
        <f t="shared" si="1137"/>
        <v>0</v>
      </c>
      <c r="BC515" s="169">
        <f t="shared" si="1137"/>
        <v>0</v>
      </c>
      <c r="BD515" s="170">
        <f t="shared" si="1138"/>
        <v>0</v>
      </c>
      <c r="BE515" s="171">
        <f t="shared" si="1103"/>
        <v>0</v>
      </c>
      <c r="BF515" s="171">
        <f t="shared" si="1103"/>
        <v>0</v>
      </c>
      <c r="BG515" s="168">
        <f t="shared" ref="BG515" si="1149">IF(BG548=0,0,BG$521+BG548+BG580)</f>
        <v>0</v>
      </c>
    </row>
    <row r="516" spans="1:59" ht="13.5" hidden="1" customHeight="1" outlineLevel="1" x14ac:dyDescent="0.25">
      <c r="A516" s="65"/>
      <c r="B516" s="84" t="s">
        <v>59</v>
      </c>
      <c r="C516" s="46" t="s">
        <v>110</v>
      </c>
      <c r="D516" s="168">
        <f t="shared" si="1105"/>
        <v>0</v>
      </c>
      <c r="E516" s="168">
        <f t="shared" si="1105"/>
        <v>0</v>
      </c>
      <c r="F516" s="171">
        <f t="shared" si="1105"/>
        <v>0</v>
      </c>
      <c r="G516" s="169">
        <f t="shared" si="1105"/>
        <v>0</v>
      </c>
      <c r="H516" s="170">
        <f t="shared" si="1106"/>
        <v>0</v>
      </c>
      <c r="I516" s="171">
        <f t="shared" si="1107"/>
        <v>0</v>
      </c>
      <c r="J516" s="169">
        <f t="shared" si="1107"/>
        <v>0</v>
      </c>
      <c r="K516" s="170">
        <f t="shared" si="1108"/>
        <v>0</v>
      </c>
      <c r="L516" s="171">
        <f t="shared" si="1109"/>
        <v>0</v>
      </c>
      <c r="M516" s="169">
        <f t="shared" si="1109"/>
        <v>0</v>
      </c>
      <c r="N516" s="170">
        <f t="shared" si="1110"/>
        <v>0</v>
      </c>
      <c r="O516" s="171">
        <f t="shared" si="1111"/>
        <v>0</v>
      </c>
      <c r="P516" s="169">
        <f t="shared" si="1111"/>
        <v>0</v>
      </c>
      <c r="Q516" s="170">
        <f t="shared" si="1112"/>
        <v>0</v>
      </c>
      <c r="R516" s="171">
        <f t="shared" si="1113"/>
        <v>0</v>
      </c>
      <c r="S516" s="169">
        <f t="shared" si="1113"/>
        <v>0</v>
      </c>
      <c r="T516" s="170">
        <f t="shared" si="1114"/>
        <v>0</v>
      </c>
      <c r="U516" s="171">
        <f t="shared" si="1115"/>
        <v>0</v>
      </c>
      <c r="V516" s="169">
        <f t="shared" si="1115"/>
        <v>0</v>
      </c>
      <c r="W516" s="170">
        <f t="shared" si="1116"/>
        <v>0</v>
      </c>
      <c r="X516" s="171">
        <f t="shared" si="1117"/>
        <v>0</v>
      </c>
      <c r="Y516" s="169">
        <f t="shared" si="1117"/>
        <v>0</v>
      </c>
      <c r="Z516" s="170">
        <f t="shared" si="1118"/>
        <v>0</v>
      </c>
      <c r="AA516" s="171">
        <f t="shared" si="1119"/>
        <v>0</v>
      </c>
      <c r="AB516" s="169">
        <f t="shared" si="1119"/>
        <v>0</v>
      </c>
      <c r="AC516" s="170">
        <f t="shared" si="1120"/>
        <v>0</v>
      </c>
      <c r="AD516" s="171">
        <f t="shared" si="1121"/>
        <v>0</v>
      </c>
      <c r="AE516" s="169">
        <f t="shared" si="1121"/>
        <v>0</v>
      </c>
      <c r="AF516" s="170">
        <f t="shared" si="1122"/>
        <v>0</v>
      </c>
      <c r="AG516" s="171">
        <f t="shared" si="1123"/>
        <v>0</v>
      </c>
      <c r="AH516" s="169">
        <f t="shared" si="1123"/>
        <v>0</v>
      </c>
      <c r="AI516" s="170">
        <f t="shared" si="1124"/>
        <v>0</v>
      </c>
      <c r="AJ516" s="171">
        <f t="shared" si="1125"/>
        <v>0</v>
      </c>
      <c r="AK516" s="169">
        <f t="shared" si="1125"/>
        <v>0</v>
      </c>
      <c r="AL516" s="170">
        <f t="shared" si="1126"/>
        <v>0</v>
      </c>
      <c r="AM516" s="171">
        <f t="shared" si="1127"/>
        <v>0</v>
      </c>
      <c r="AN516" s="169">
        <f t="shared" si="1127"/>
        <v>0</v>
      </c>
      <c r="AO516" s="170">
        <f t="shared" si="1128"/>
        <v>0</v>
      </c>
      <c r="AP516" s="171">
        <f t="shared" si="1129"/>
        <v>0</v>
      </c>
      <c r="AQ516" s="169">
        <f t="shared" si="1129"/>
        <v>0</v>
      </c>
      <c r="AR516" s="170">
        <f t="shared" si="1130"/>
        <v>0</v>
      </c>
      <c r="AS516" s="171">
        <f t="shared" si="1131"/>
        <v>0</v>
      </c>
      <c r="AT516" s="169">
        <f t="shared" si="1131"/>
        <v>0</v>
      </c>
      <c r="AU516" s="170">
        <f t="shared" si="1132"/>
        <v>0</v>
      </c>
      <c r="AV516" s="171">
        <f t="shared" si="1133"/>
        <v>0</v>
      </c>
      <c r="AW516" s="169">
        <f t="shared" si="1133"/>
        <v>0</v>
      </c>
      <c r="AX516" s="170">
        <f t="shared" si="1134"/>
        <v>0</v>
      </c>
      <c r="AY516" s="169">
        <f t="shared" si="1135"/>
        <v>0</v>
      </c>
      <c r="AZ516" s="169">
        <f t="shared" si="1135"/>
        <v>0</v>
      </c>
      <c r="BA516" s="170">
        <f t="shared" si="1136"/>
        <v>0</v>
      </c>
      <c r="BB516" s="171">
        <f t="shared" si="1137"/>
        <v>0</v>
      </c>
      <c r="BC516" s="169">
        <f t="shared" si="1137"/>
        <v>0</v>
      </c>
      <c r="BD516" s="170">
        <f t="shared" si="1138"/>
        <v>0</v>
      </c>
      <c r="BE516" s="171">
        <f t="shared" si="1103"/>
        <v>0</v>
      </c>
      <c r="BF516" s="171">
        <f t="shared" si="1103"/>
        <v>0</v>
      </c>
      <c r="BG516" s="168">
        <f t="shared" ref="BG516" si="1150">IF(BG549=0,0,BG$521+BG549+BG581)</f>
        <v>0</v>
      </c>
    </row>
    <row r="517" spans="1:59" ht="13.5" hidden="1" customHeight="1" outlineLevel="1" x14ac:dyDescent="0.25">
      <c r="A517" s="65"/>
      <c r="B517" s="99" t="s">
        <v>60</v>
      </c>
      <c r="C517" s="46" t="s">
        <v>110</v>
      </c>
      <c r="D517" s="168">
        <f t="shared" si="1105"/>
        <v>0</v>
      </c>
      <c r="E517" s="168">
        <f t="shared" si="1105"/>
        <v>0</v>
      </c>
      <c r="F517" s="171">
        <f t="shared" si="1105"/>
        <v>0</v>
      </c>
      <c r="G517" s="169">
        <f t="shared" si="1105"/>
        <v>0</v>
      </c>
      <c r="H517" s="170">
        <f t="shared" si="1106"/>
        <v>0</v>
      </c>
      <c r="I517" s="171">
        <f t="shared" si="1107"/>
        <v>0</v>
      </c>
      <c r="J517" s="169">
        <f t="shared" si="1107"/>
        <v>0</v>
      </c>
      <c r="K517" s="170">
        <f t="shared" si="1108"/>
        <v>0</v>
      </c>
      <c r="L517" s="171">
        <f t="shared" si="1109"/>
        <v>0</v>
      </c>
      <c r="M517" s="169">
        <f t="shared" si="1109"/>
        <v>0</v>
      </c>
      <c r="N517" s="170">
        <f t="shared" si="1110"/>
        <v>0</v>
      </c>
      <c r="O517" s="171">
        <f t="shared" si="1111"/>
        <v>0</v>
      </c>
      <c r="P517" s="169">
        <f t="shared" si="1111"/>
        <v>0</v>
      </c>
      <c r="Q517" s="170">
        <f t="shared" si="1112"/>
        <v>0</v>
      </c>
      <c r="R517" s="171">
        <f t="shared" si="1113"/>
        <v>0</v>
      </c>
      <c r="S517" s="169">
        <f t="shared" si="1113"/>
        <v>0</v>
      </c>
      <c r="T517" s="170">
        <f t="shared" si="1114"/>
        <v>0</v>
      </c>
      <c r="U517" s="171">
        <f t="shared" si="1115"/>
        <v>0</v>
      </c>
      <c r="V517" s="169">
        <f t="shared" si="1115"/>
        <v>0</v>
      </c>
      <c r="W517" s="170">
        <f t="shared" si="1116"/>
        <v>0</v>
      </c>
      <c r="X517" s="171">
        <f t="shared" si="1117"/>
        <v>0</v>
      </c>
      <c r="Y517" s="169">
        <f t="shared" si="1117"/>
        <v>0</v>
      </c>
      <c r="Z517" s="170">
        <f t="shared" si="1118"/>
        <v>0</v>
      </c>
      <c r="AA517" s="171">
        <f t="shared" si="1119"/>
        <v>0</v>
      </c>
      <c r="AB517" s="169">
        <f t="shared" si="1119"/>
        <v>0</v>
      </c>
      <c r="AC517" s="170">
        <f t="shared" si="1120"/>
        <v>0</v>
      </c>
      <c r="AD517" s="171">
        <f t="shared" si="1121"/>
        <v>0</v>
      </c>
      <c r="AE517" s="169">
        <f t="shared" si="1121"/>
        <v>0</v>
      </c>
      <c r="AF517" s="170">
        <f t="shared" si="1122"/>
        <v>0</v>
      </c>
      <c r="AG517" s="171">
        <f t="shared" si="1123"/>
        <v>0</v>
      </c>
      <c r="AH517" s="169">
        <f t="shared" si="1123"/>
        <v>0</v>
      </c>
      <c r="AI517" s="170">
        <f t="shared" si="1124"/>
        <v>0</v>
      </c>
      <c r="AJ517" s="171">
        <f t="shared" si="1125"/>
        <v>0</v>
      </c>
      <c r="AK517" s="169">
        <f t="shared" si="1125"/>
        <v>0</v>
      </c>
      <c r="AL517" s="170">
        <f t="shared" si="1126"/>
        <v>0</v>
      </c>
      <c r="AM517" s="171">
        <f t="shared" si="1127"/>
        <v>0</v>
      </c>
      <c r="AN517" s="169">
        <f t="shared" si="1127"/>
        <v>0</v>
      </c>
      <c r="AO517" s="170">
        <f t="shared" si="1128"/>
        <v>0</v>
      </c>
      <c r="AP517" s="171">
        <f t="shared" si="1129"/>
        <v>0</v>
      </c>
      <c r="AQ517" s="169">
        <f t="shared" si="1129"/>
        <v>0</v>
      </c>
      <c r="AR517" s="170">
        <f t="shared" si="1130"/>
        <v>0</v>
      </c>
      <c r="AS517" s="171">
        <f t="shared" si="1131"/>
        <v>0</v>
      </c>
      <c r="AT517" s="169">
        <f t="shared" si="1131"/>
        <v>0</v>
      </c>
      <c r="AU517" s="170">
        <f t="shared" si="1132"/>
        <v>0</v>
      </c>
      <c r="AV517" s="171">
        <f t="shared" si="1133"/>
        <v>0</v>
      </c>
      <c r="AW517" s="169">
        <f t="shared" si="1133"/>
        <v>0</v>
      </c>
      <c r="AX517" s="170">
        <f t="shared" si="1134"/>
        <v>0</v>
      </c>
      <c r="AY517" s="169">
        <f t="shared" si="1135"/>
        <v>0</v>
      </c>
      <c r="AZ517" s="169">
        <f t="shared" si="1135"/>
        <v>0</v>
      </c>
      <c r="BA517" s="170">
        <f t="shared" si="1136"/>
        <v>0</v>
      </c>
      <c r="BB517" s="171">
        <f t="shared" si="1137"/>
        <v>0</v>
      </c>
      <c r="BC517" s="169">
        <f t="shared" si="1137"/>
        <v>0</v>
      </c>
      <c r="BD517" s="170">
        <f t="shared" si="1138"/>
        <v>0</v>
      </c>
      <c r="BE517" s="171">
        <f t="shared" si="1103"/>
        <v>0</v>
      </c>
      <c r="BF517" s="171">
        <f t="shared" si="1103"/>
        <v>0</v>
      </c>
      <c r="BG517" s="168">
        <f t="shared" ref="BG517" si="1151">IF(BG550=0,0,BG$521+BG550+BG582)</f>
        <v>0</v>
      </c>
    </row>
    <row r="518" spans="1:59" ht="13.5" hidden="1" customHeight="1" outlineLevel="1" x14ac:dyDescent="0.25">
      <c r="A518" s="65"/>
      <c r="B518" s="84" t="s">
        <v>61</v>
      </c>
      <c r="C518" s="46" t="s">
        <v>110</v>
      </c>
      <c r="D518" s="168">
        <f t="shared" si="1105"/>
        <v>0</v>
      </c>
      <c r="E518" s="168">
        <f t="shared" si="1105"/>
        <v>0</v>
      </c>
      <c r="F518" s="171">
        <f t="shared" si="1105"/>
        <v>0</v>
      </c>
      <c r="G518" s="169">
        <f t="shared" si="1105"/>
        <v>0</v>
      </c>
      <c r="H518" s="170">
        <f t="shared" si="1106"/>
        <v>0</v>
      </c>
      <c r="I518" s="171">
        <f t="shared" si="1107"/>
        <v>0</v>
      </c>
      <c r="J518" s="169">
        <f t="shared" si="1107"/>
        <v>0</v>
      </c>
      <c r="K518" s="170">
        <f t="shared" si="1108"/>
        <v>0</v>
      </c>
      <c r="L518" s="171">
        <f t="shared" si="1109"/>
        <v>0</v>
      </c>
      <c r="M518" s="169">
        <f t="shared" si="1109"/>
        <v>0</v>
      </c>
      <c r="N518" s="170">
        <f t="shared" si="1110"/>
        <v>0</v>
      </c>
      <c r="O518" s="171">
        <f t="shared" si="1111"/>
        <v>0</v>
      </c>
      <c r="P518" s="169">
        <f t="shared" si="1111"/>
        <v>0</v>
      </c>
      <c r="Q518" s="170">
        <f t="shared" si="1112"/>
        <v>0</v>
      </c>
      <c r="R518" s="171">
        <f t="shared" si="1113"/>
        <v>0</v>
      </c>
      <c r="S518" s="169">
        <f t="shared" si="1113"/>
        <v>0</v>
      </c>
      <c r="T518" s="170">
        <f t="shared" si="1114"/>
        <v>0</v>
      </c>
      <c r="U518" s="171">
        <f t="shared" si="1115"/>
        <v>0</v>
      </c>
      <c r="V518" s="169">
        <f t="shared" si="1115"/>
        <v>0</v>
      </c>
      <c r="W518" s="170">
        <f t="shared" si="1116"/>
        <v>0</v>
      </c>
      <c r="X518" s="171">
        <f t="shared" si="1117"/>
        <v>0</v>
      </c>
      <c r="Y518" s="169">
        <f t="shared" si="1117"/>
        <v>0</v>
      </c>
      <c r="Z518" s="170">
        <f t="shared" si="1118"/>
        <v>0</v>
      </c>
      <c r="AA518" s="171">
        <f t="shared" si="1119"/>
        <v>0</v>
      </c>
      <c r="AB518" s="169">
        <f t="shared" si="1119"/>
        <v>0</v>
      </c>
      <c r="AC518" s="170">
        <f t="shared" si="1120"/>
        <v>0</v>
      </c>
      <c r="AD518" s="171">
        <f t="shared" si="1121"/>
        <v>0</v>
      </c>
      <c r="AE518" s="169">
        <f t="shared" si="1121"/>
        <v>0</v>
      </c>
      <c r="AF518" s="170">
        <f t="shared" si="1122"/>
        <v>0</v>
      </c>
      <c r="AG518" s="171">
        <f t="shared" si="1123"/>
        <v>0</v>
      </c>
      <c r="AH518" s="169">
        <f t="shared" si="1123"/>
        <v>0</v>
      </c>
      <c r="AI518" s="170">
        <f t="shared" si="1124"/>
        <v>0</v>
      </c>
      <c r="AJ518" s="171">
        <f t="shared" si="1125"/>
        <v>0</v>
      </c>
      <c r="AK518" s="169">
        <f t="shared" si="1125"/>
        <v>0</v>
      </c>
      <c r="AL518" s="170">
        <f t="shared" si="1126"/>
        <v>0</v>
      </c>
      <c r="AM518" s="171">
        <f t="shared" si="1127"/>
        <v>0</v>
      </c>
      <c r="AN518" s="169">
        <f t="shared" si="1127"/>
        <v>0</v>
      </c>
      <c r="AO518" s="170">
        <f t="shared" si="1128"/>
        <v>0</v>
      </c>
      <c r="AP518" s="171">
        <f t="shared" si="1129"/>
        <v>0</v>
      </c>
      <c r="AQ518" s="169">
        <f t="shared" si="1129"/>
        <v>0</v>
      </c>
      <c r="AR518" s="170">
        <f t="shared" si="1130"/>
        <v>0</v>
      </c>
      <c r="AS518" s="171">
        <f t="shared" si="1131"/>
        <v>0</v>
      </c>
      <c r="AT518" s="169">
        <f t="shared" si="1131"/>
        <v>0</v>
      </c>
      <c r="AU518" s="170">
        <f t="shared" si="1132"/>
        <v>0</v>
      </c>
      <c r="AV518" s="171">
        <f t="shared" si="1133"/>
        <v>0</v>
      </c>
      <c r="AW518" s="169">
        <f t="shared" si="1133"/>
        <v>0</v>
      </c>
      <c r="AX518" s="170">
        <f t="shared" si="1134"/>
        <v>0</v>
      </c>
      <c r="AY518" s="169">
        <f t="shared" si="1135"/>
        <v>0</v>
      </c>
      <c r="AZ518" s="169">
        <f t="shared" si="1135"/>
        <v>0</v>
      </c>
      <c r="BA518" s="170">
        <f t="shared" si="1136"/>
        <v>0</v>
      </c>
      <c r="BB518" s="171">
        <f t="shared" si="1137"/>
        <v>0</v>
      </c>
      <c r="BC518" s="169">
        <f t="shared" si="1137"/>
        <v>0</v>
      </c>
      <c r="BD518" s="170">
        <f t="shared" si="1138"/>
        <v>0</v>
      </c>
      <c r="BE518" s="171">
        <f t="shared" si="1103"/>
        <v>0</v>
      </c>
      <c r="BF518" s="171">
        <f t="shared" si="1103"/>
        <v>0</v>
      </c>
      <c r="BG518" s="168">
        <f t="shared" ref="BG518" si="1152">IF(BG551=0,0,BG$521+BG551+BG583)</f>
        <v>0</v>
      </c>
    </row>
    <row r="519" spans="1:59" s="210" customFormat="1" ht="13.5" customHeight="1" collapsed="1" thickBot="1" x14ac:dyDescent="0.3">
      <c r="A519" s="85"/>
      <c r="B519" s="95" t="s">
        <v>62</v>
      </c>
      <c r="C519" s="58" t="s">
        <v>110</v>
      </c>
      <c r="D519" s="164">
        <f t="shared" si="1105"/>
        <v>0</v>
      </c>
      <c r="E519" s="164">
        <f t="shared" si="1105"/>
        <v>0</v>
      </c>
      <c r="F519" s="167">
        <f t="shared" si="1105"/>
        <v>0</v>
      </c>
      <c r="G519" s="165">
        <f t="shared" si="1105"/>
        <v>0</v>
      </c>
      <c r="H519" s="166">
        <f t="shared" si="1106"/>
        <v>0</v>
      </c>
      <c r="I519" s="167">
        <f t="shared" si="1107"/>
        <v>0</v>
      </c>
      <c r="J519" s="165">
        <f t="shared" si="1107"/>
        <v>0</v>
      </c>
      <c r="K519" s="166">
        <f t="shared" si="1108"/>
        <v>0</v>
      </c>
      <c r="L519" s="167">
        <f t="shared" si="1109"/>
        <v>0</v>
      </c>
      <c r="M519" s="165">
        <f t="shared" si="1109"/>
        <v>0</v>
      </c>
      <c r="N519" s="166">
        <f t="shared" si="1110"/>
        <v>0</v>
      </c>
      <c r="O519" s="167">
        <f t="shared" si="1111"/>
        <v>0</v>
      </c>
      <c r="P519" s="165">
        <f t="shared" si="1111"/>
        <v>0</v>
      </c>
      <c r="Q519" s="166">
        <f t="shared" si="1112"/>
        <v>0</v>
      </c>
      <c r="R519" s="167">
        <f t="shared" si="1113"/>
        <v>0</v>
      </c>
      <c r="S519" s="165">
        <f t="shared" si="1113"/>
        <v>0</v>
      </c>
      <c r="T519" s="166">
        <f t="shared" si="1114"/>
        <v>0</v>
      </c>
      <c r="U519" s="167">
        <f t="shared" si="1115"/>
        <v>0</v>
      </c>
      <c r="V519" s="165">
        <f t="shared" si="1115"/>
        <v>0</v>
      </c>
      <c r="W519" s="166">
        <f t="shared" si="1116"/>
        <v>0</v>
      </c>
      <c r="X519" s="167">
        <f t="shared" si="1117"/>
        <v>0</v>
      </c>
      <c r="Y519" s="165">
        <f t="shared" si="1117"/>
        <v>0</v>
      </c>
      <c r="Z519" s="166">
        <f t="shared" si="1118"/>
        <v>0</v>
      </c>
      <c r="AA519" s="167">
        <f t="shared" si="1119"/>
        <v>0</v>
      </c>
      <c r="AB519" s="165">
        <f t="shared" si="1119"/>
        <v>0</v>
      </c>
      <c r="AC519" s="166">
        <f t="shared" si="1120"/>
        <v>0</v>
      </c>
      <c r="AD519" s="167">
        <f t="shared" si="1121"/>
        <v>0</v>
      </c>
      <c r="AE519" s="165">
        <f t="shared" si="1121"/>
        <v>0</v>
      </c>
      <c r="AF519" s="166">
        <f t="shared" si="1122"/>
        <v>0</v>
      </c>
      <c r="AG519" s="167">
        <f t="shared" si="1123"/>
        <v>0</v>
      </c>
      <c r="AH519" s="165">
        <f t="shared" si="1123"/>
        <v>0</v>
      </c>
      <c r="AI519" s="166">
        <f t="shared" si="1124"/>
        <v>0</v>
      </c>
      <c r="AJ519" s="167">
        <f t="shared" si="1125"/>
        <v>0</v>
      </c>
      <c r="AK519" s="165">
        <f t="shared" si="1125"/>
        <v>0</v>
      </c>
      <c r="AL519" s="166">
        <f t="shared" si="1126"/>
        <v>0</v>
      </c>
      <c r="AM519" s="167">
        <f t="shared" si="1127"/>
        <v>0</v>
      </c>
      <c r="AN519" s="165">
        <f t="shared" si="1127"/>
        <v>0</v>
      </c>
      <c r="AO519" s="166">
        <f t="shared" si="1128"/>
        <v>0</v>
      </c>
      <c r="AP519" s="167">
        <f t="shared" si="1129"/>
        <v>0</v>
      </c>
      <c r="AQ519" s="165">
        <f t="shared" si="1129"/>
        <v>0</v>
      </c>
      <c r="AR519" s="166">
        <f t="shared" si="1130"/>
        <v>0</v>
      </c>
      <c r="AS519" s="167">
        <f t="shared" si="1131"/>
        <v>0</v>
      </c>
      <c r="AT519" s="165">
        <f t="shared" si="1131"/>
        <v>0</v>
      </c>
      <c r="AU519" s="166">
        <f t="shared" si="1132"/>
        <v>0</v>
      </c>
      <c r="AV519" s="167">
        <f t="shared" si="1133"/>
        <v>0</v>
      </c>
      <c r="AW519" s="165">
        <f t="shared" si="1133"/>
        <v>0</v>
      </c>
      <c r="AX519" s="166">
        <f t="shared" si="1134"/>
        <v>0</v>
      </c>
      <c r="AY519" s="165">
        <f t="shared" si="1135"/>
        <v>0</v>
      </c>
      <c r="AZ519" s="165">
        <f t="shared" si="1135"/>
        <v>0</v>
      </c>
      <c r="BA519" s="166">
        <f t="shared" si="1136"/>
        <v>0</v>
      </c>
      <c r="BB519" s="167">
        <f t="shared" si="1137"/>
        <v>0</v>
      </c>
      <c r="BC519" s="165">
        <f t="shared" si="1137"/>
        <v>0</v>
      </c>
      <c r="BD519" s="166">
        <f t="shared" si="1138"/>
        <v>0</v>
      </c>
      <c r="BE519" s="167">
        <f t="shared" ref="BE519:BF520" si="1153">IF(BE552=0,0,BE$521+BE552+BE584)</f>
        <v>0</v>
      </c>
      <c r="BF519" s="167">
        <f t="shared" si="1153"/>
        <v>0</v>
      </c>
      <c r="BG519" s="164">
        <f t="shared" ref="BG519" si="1154">IF(BG552=0,0,BG$521+BG552+BG584)</f>
        <v>0</v>
      </c>
    </row>
    <row r="520" spans="1:59" ht="13.5" hidden="1" customHeight="1" outlineLevel="1" thickBot="1" x14ac:dyDescent="0.3">
      <c r="A520" s="50"/>
      <c r="B520" s="84" t="s">
        <v>63</v>
      </c>
      <c r="C520" s="9" t="s">
        <v>110</v>
      </c>
      <c r="D520" s="4">
        <f t="shared" si="1105"/>
        <v>0</v>
      </c>
      <c r="E520" s="4">
        <f t="shared" si="1105"/>
        <v>0</v>
      </c>
      <c r="F520" s="7">
        <f t="shared" si="1105"/>
        <v>0</v>
      </c>
      <c r="G520" s="6">
        <f t="shared" si="1105"/>
        <v>0</v>
      </c>
      <c r="H520" s="5">
        <f t="shared" si="1106"/>
        <v>0</v>
      </c>
      <c r="I520" s="7">
        <f t="shared" si="1107"/>
        <v>0</v>
      </c>
      <c r="J520" s="6">
        <f t="shared" si="1107"/>
        <v>0</v>
      </c>
      <c r="K520" s="5">
        <f t="shared" si="1108"/>
        <v>0</v>
      </c>
      <c r="L520" s="7">
        <f t="shared" si="1109"/>
        <v>0</v>
      </c>
      <c r="M520" s="6">
        <f t="shared" si="1109"/>
        <v>0</v>
      </c>
      <c r="N520" s="5">
        <f t="shared" si="1110"/>
        <v>0</v>
      </c>
      <c r="O520" s="7">
        <f t="shared" si="1111"/>
        <v>0</v>
      </c>
      <c r="P520" s="6">
        <f t="shared" si="1111"/>
        <v>0</v>
      </c>
      <c r="Q520" s="5">
        <f t="shared" si="1112"/>
        <v>0</v>
      </c>
      <c r="R520" s="7">
        <f t="shared" si="1113"/>
        <v>0</v>
      </c>
      <c r="S520" s="6">
        <f t="shared" si="1113"/>
        <v>0</v>
      </c>
      <c r="T520" s="5">
        <f t="shared" si="1114"/>
        <v>0</v>
      </c>
      <c r="U520" s="7">
        <f t="shared" si="1115"/>
        <v>0</v>
      </c>
      <c r="V520" s="6">
        <f t="shared" si="1115"/>
        <v>0</v>
      </c>
      <c r="W520" s="5">
        <f t="shared" si="1116"/>
        <v>0</v>
      </c>
      <c r="X520" s="7">
        <f t="shared" si="1117"/>
        <v>0</v>
      </c>
      <c r="Y520" s="6">
        <f t="shared" si="1117"/>
        <v>0</v>
      </c>
      <c r="Z520" s="5">
        <f t="shared" si="1118"/>
        <v>0</v>
      </c>
      <c r="AA520" s="7">
        <f t="shared" si="1119"/>
        <v>0</v>
      </c>
      <c r="AB520" s="6">
        <f t="shared" si="1119"/>
        <v>0</v>
      </c>
      <c r="AC520" s="5">
        <f t="shared" si="1120"/>
        <v>0</v>
      </c>
      <c r="AD520" s="7">
        <f t="shared" si="1121"/>
        <v>0</v>
      </c>
      <c r="AE520" s="6">
        <f t="shared" si="1121"/>
        <v>0</v>
      </c>
      <c r="AF520" s="5">
        <f t="shared" si="1122"/>
        <v>0</v>
      </c>
      <c r="AG520" s="7">
        <f t="shared" si="1123"/>
        <v>0</v>
      </c>
      <c r="AH520" s="6">
        <f t="shared" si="1123"/>
        <v>0</v>
      </c>
      <c r="AI520" s="5">
        <f t="shared" si="1124"/>
        <v>0</v>
      </c>
      <c r="AJ520" s="7">
        <f t="shared" si="1125"/>
        <v>0</v>
      </c>
      <c r="AK520" s="6">
        <f t="shared" si="1125"/>
        <v>0</v>
      </c>
      <c r="AL520" s="5">
        <f t="shared" si="1126"/>
        <v>0</v>
      </c>
      <c r="AM520" s="7">
        <f t="shared" si="1127"/>
        <v>0</v>
      </c>
      <c r="AN520" s="6">
        <f t="shared" si="1127"/>
        <v>0</v>
      </c>
      <c r="AO520" s="5">
        <f t="shared" si="1128"/>
        <v>0</v>
      </c>
      <c r="AP520" s="7">
        <f t="shared" si="1129"/>
        <v>0</v>
      </c>
      <c r="AQ520" s="6">
        <f t="shared" si="1129"/>
        <v>0</v>
      </c>
      <c r="AR520" s="5">
        <f t="shared" si="1130"/>
        <v>0</v>
      </c>
      <c r="AS520" s="7">
        <f t="shared" si="1131"/>
        <v>0</v>
      </c>
      <c r="AT520" s="6">
        <f t="shared" si="1131"/>
        <v>0</v>
      </c>
      <c r="AU520" s="5">
        <f t="shared" si="1132"/>
        <v>0</v>
      </c>
      <c r="AV520" s="7">
        <f t="shared" si="1133"/>
        <v>0</v>
      </c>
      <c r="AW520" s="6">
        <f t="shared" si="1133"/>
        <v>0</v>
      </c>
      <c r="AX520" s="5">
        <f t="shared" si="1134"/>
        <v>0</v>
      </c>
      <c r="AY520" s="6">
        <f t="shared" si="1135"/>
        <v>0</v>
      </c>
      <c r="AZ520" s="6">
        <f t="shared" si="1135"/>
        <v>0</v>
      </c>
      <c r="BA520" s="5">
        <f t="shared" si="1136"/>
        <v>0</v>
      </c>
      <c r="BB520" s="7">
        <f t="shared" si="1137"/>
        <v>0</v>
      </c>
      <c r="BC520" s="6">
        <f t="shared" si="1137"/>
        <v>0</v>
      </c>
      <c r="BD520" s="5">
        <f t="shared" si="1138"/>
        <v>0</v>
      </c>
      <c r="BE520" s="7">
        <f t="shared" si="1153"/>
        <v>0</v>
      </c>
      <c r="BF520" s="7">
        <f t="shared" si="1153"/>
        <v>0</v>
      </c>
      <c r="BG520" s="4">
        <f t="shared" ref="BG520" si="1155">IF(BG553=0,0,BG$521+BG553+BG585)</f>
        <v>0</v>
      </c>
    </row>
    <row r="521" spans="1:59" ht="13.5" customHeight="1" collapsed="1" thickBot="1" x14ac:dyDescent="0.3">
      <c r="A521" s="45" t="s">
        <v>122</v>
      </c>
      <c r="B521" s="44" t="s">
        <v>123</v>
      </c>
      <c r="C521" s="43" t="s">
        <v>110</v>
      </c>
      <c r="D521" s="153">
        <f>IF(D73=0,0,D382/D73)</f>
        <v>0</v>
      </c>
      <c r="E521" s="153">
        <f>IF(E73=0,0,E382/E73)</f>
        <v>0</v>
      </c>
      <c r="F521" s="156">
        <f>IF(F73=0,0,F382/F73)</f>
        <v>0</v>
      </c>
      <c r="G521" s="154">
        <f>IF(G73=0,0,G382/G73)</f>
        <v>0</v>
      </c>
      <c r="H521" s="155">
        <f t="shared" ref="H521:H536" si="1156">G521-F521</f>
        <v>0</v>
      </c>
      <c r="I521" s="156">
        <f>IF(I73=0,0,I382/I73)</f>
        <v>0</v>
      </c>
      <c r="J521" s="154">
        <f>IF(J73=0,0,J382/J73)</f>
        <v>0</v>
      </c>
      <c r="K521" s="155">
        <f t="shared" ref="K521:K536" si="1157">J521-I521</f>
        <v>0</v>
      </c>
      <c r="L521" s="156">
        <f>IF(L73=0,0,L382/L73)</f>
        <v>0</v>
      </c>
      <c r="M521" s="154">
        <f>IF(M73=0,0,M382/M73)</f>
        <v>0</v>
      </c>
      <c r="N521" s="155">
        <f t="shared" ref="N521:N536" si="1158">M521-L521</f>
        <v>0</v>
      </c>
      <c r="O521" s="156">
        <f>IF(O73=0,0,O382/O73)</f>
        <v>0</v>
      </c>
      <c r="P521" s="154">
        <f>IF(P73=0,0,P382/P73)</f>
        <v>0</v>
      </c>
      <c r="Q521" s="155">
        <f t="shared" ref="Q521:Q536" si="1159">P521-O521</f>
        <v>0</v>
      </c>
      <c r="R521" s="156">
        <f>IF(R73=0,0,R382/R73)</f>
        <v>0</v>
      </c>
      <c r="S521" s="154">
        <f>IF(S73=0,0,S382/S73)</f>
        <v>0</v>
      </c>
      <c r="T521" s="155">
        <f t="shared" ref="T521:T536" si="1160">S521-R521</f>
        <v>0</v>
      </c>
      <c r="U521" s="156">
        <f>IF(U73=0,0,U382/U73)</f>
        <v>0</v>
      </c>
      <c r="V521" s="154">
        <f>IF(V73=0,0,V382/V73)</f>
        <v>0</v>
      </c>
      <c r="W521" s="155">
        <f t="shared" ref="W521:W536" si="1161">V521-U521</f>
        <v>0</v>
      </c>
      <c r="X521" s="156">
        <f>IF(X73=0,0,X382/X73)</f>
        <v>0</v>
      </c>
      <c r="Y521" s="154">
        <f>IF(Y73=0,0,Y382/Y73)</f>
        <v>0</v>
      </c>
      <c r="Z521" s="155">
        <f t="shared" ref="Z521:Z536" si="1162">Y521-X521</f>
        <v>0</v>
      </c>
      <c r="AA521" s="156">
        <f>IF(AA73=0,0,AA382/AA73)</f>
        <v>0</v>
      </c>
      <c r="AB521" s="154">
        <f>IF(AB73=0,0,AB382/AB73)</f>
        <v>0</v>
      </c>
      <c r="AC521" s="155">
        <f t="shared" ref="AC521:AC536" si="1163">AB521-AA521</f>
        <v>0</v>
      </c>
      <c r="AD521" s="156">
        <f>IF(AD73=0,0,AD382/AD73)</f>
        <v>0</v>
      </c>
      <c r="AE521" s="154">
        <f>IF(AE73=0,0,AE382/AE73)</f>
        <v>0</v>
      </c>
      <c r="AF521" s="155">
        <f t="shared" ref="AF521:AF536" si="1164">AE521-AD521</f>
        <v>0</v>
      </c>
      <c r="AG521" s="156">
        <f>IF(AG73=0,0,AG382/AG73)</f>
        <v>0</v>
      </c>
      <c r="AH521" s="154">
        <f>IF(AH73=0,0,AH382/AH73)</f>
        <v>0</v>
      </c>
      <c r="AI521" s="155">
        <f t="shared" ref="AI521:AI536" si="1165">AH521-AG521</f>
        <v>0</v>
      </c>
      <c r="AJ521" s="156">
        <f>IF(AJ73=0,0,AJ382/AJ73)</f>
        <v>0</v>
      </c>
      <c r="AK521" s="154">
        <f>IF(AK73=0,0,AK382/AK73)</f>
        <v>0</v>
      </c>
      <c r="AL521" s="155">
        <f t="shared" ref="AL521:AL536" si="1166">AK521-AJ521</f>
        <v>0</v>
      </c>
      <c r="AM521" s="156">
        <f>IF(AM73=0,0,AM382/AM73)</f>
        <v>0</v>
      </c>
      <c r="AN521" s="154">
        <f>IF(AN73=0,0,AN382/AN73)</f>
        <v>0</v>
      </c>
      <c r="AO521" s="155">
        <f t="shared" ref="AO521:AO536" si="1167">AN521-AM521</f>
        <v>0</v>
      </c>
      <c r="AP521" s="156">
        <f>IF(AP73=0,0,AP382/AP73)</f>
        <v>0</v>
      </c>
      <c r="AQ521" s="154">
        <f>IF(AQ73=0,0,AQ382/AQ73)</f>
        <v>0</v>
      </c>
      <c r="AR521" s="155">
        <f t="shared" ref="AR521:AR536" si="1168">AQ521-AP521</f>
        <v>0</v>
      </c>
      <c r="AS521" s="156">
        <f>IF(AS73=0,0,AS382/AS73)</f>
        <v>0</v>
      </c>
      <c r="AT521" s="154">
        <f>IF(AT73=0,0,AT382/AT73)</f>
        <v>0</v>
      </c>
      <c r="AU521" s="155">
        <f t="shared" ref="AU521:AU536" si="1169">AT521-AS521</f>
        <v>0</v>
      </c>
      <c r="AV521" s="156">
        <f>IF(AV73=0,0,AV382/AV73)</f>
        <v>0</v>
      </c>
      <c r="AW521" s="154">
        <f>IF(AW73=0,0,AW382/AW73)</f>
        <v>0</v>
      </c>
      <c r="AX521" s="155">
        <f t="shared" ref="AX521:AX536" si="1170">AW521-AV521</f>
        <v>0</v>
      </c>
      <c r="AY521" s="154">
        <f>IF(AY73=0,0,AY382/AY73)</f>
        <v>0</v>
      </c>
      <c r="AZ521" s="154">
        <f>IF(AZ73=0,0,AZ382/AZ73)</f>
        <v>0</v>
      </c>
      <c r="BA521" s="155">
        <f t="shared" ref="BA521:BA536" si="1171">AZ521-AY521</f>
        <v>0</v>
      </c>
      <c r="BB521" s="156">
        <f>IF(BB73=0,0,BB382/BB73)</f>
        <v>0</v>
      </c>
      <c r="BC521" s="154">
        <f>IF(BC73=0,0,BC382/BC73)</f>
        <v>0</v>
      </c>
      <c r="BD521" s="155">
        <f t="shared" ref="BD521:BD536" si="1172">BC521-BB521</f>
        <v>0</v>
      </c>
      <c r="BE521" s="156">
        <f t="shared" ref="BE521:BF521" si="1173">IF(BE73=0,0,BE382/BE73)</f>
        <v>0</v>
      </c>
      <c r="BF521" s="156">
        <f t="shared" si="1173"/>
        <v>0</v>
      </c>
      <c r="BG521" s="153">
        <f t="shared" ref="BG521" si="1174">IF(BG73=0,0,BG382/BG73)</f>
        <v>0</v>
      </c>
    </row>
    <row r="522" spans="1:59" ht="13.5" customHeight="1" x14ac:dyDescent="0.25">
      <c r="A522" s="47" t="s">
        <v>124</v>
      </c>
      <c r="B522" s="105" t="s">
        <v>125</v>
      </c>
      <c r="C522" s="104" t="s">
        <v>110</v>
      </c>
      <c r="D522" s="192">
        <f t="shared" ref="D522:G537" si="1175">IF(D73=0,0,D422/D73)</f>
        <v>0</v>
      </c>
      <c r="E522" s="192">
        <f t="shared" si="1175"/>
        <v>0</v>
      </c>
      <c r="F522" s="195">
        <f t="shared" si="1175"/>
        <v>0</v>
      </c>
      <c r="G522" s="193">
        <f t="shared" si="1175"/>
        <v>0</v>
      </c>
      <c r="H522" s="194">
        <f t="shared" si="1156"/>
        <v>0</v>
      </c>
      <c r="I522" s="195">
        <f t="shared" ref="I522:J537" si="1176">IF(I73=0,0,I422/I73)</f>
        <v>0</v>
      </c>
      <c r="J522" s="193">
        <f t="shared" si="1176"/>
        <v>0</v>
      </c>
      <c r="K522" s="194">
        <f t="shared" si="1157"/>
        <v>0</v>
      </c>
      <c r="L522" s="195">
        <f t="shared" ref="L522:M537" si="1177">IF(L73=0,0,L422/L73)</f>
        <v>0</v>
      </c>
      <c r="M522" s="193">
        <f t="shared" si="1177"/>
        <v>0</v>
      </c>
      <c r="N522" s="194">
        <f t="shared" si="1158"/>
        <v>0</v>
      </c>
      <c r="O522" s="195">
        <f t="shared" ref="O522:P537" si="1178">IF(O73=0,0,O422/O73)</f>
        <v>0</v>
      </c>
      <c r="P522" s="193">
        <f t="shared" si="1178"/>
        <v>0</v>
      </c>
      <c r="Q522" s="194">
        <f t="shared" si="1159"/>
        <v>0</v>
      </c>
      <c r="R522" s="195">
        <f t="shared" ref="R522:S537" si="1179">IF(R73=0,0,R422/R73)</f>
        <v>0</v>
      </c>
      <c r="S522" s="193">
        <f t="shared" si="1179"/>
        <v>0</v>
      </c>
      <c r="T522" s="194">
        <f t="shared" si="1160"/>
        <v>0</v>
      </c>
      <c r="U522" s="195">
        <f t="shared" ref="U522:V537" si="1180">IF(U73=0,0,U422/U73)</f>
        <v>0</v>
      </c>
      <c r="V522" s="193">
        <f t="shared" si="1180"/>
        <v>0</v>
      </c>
      <c r="W522" s="194">
        <f t="shared" si="1161"/>
        <v>0</v>
      </c>
      <c r="X522" s="195">
        <f t="shared" ref="X522:Y537" si="1181">IF(X73=0,0,X422/X73)</f>
        <v>0</v>
      </c>
      <c r="Y522" s="193">
        <f t="shared" si="1181"/>
        <v>0</v>
      </c>
      <c r="Z522" s="194">
        <f t="shared" si="1162"/>
        <v>0</v>
      </c>
      <c r="AA522" s="195">
        <f t="shared" ref="AA522:AB537" si="1182">IF(AA73=0,0,AA422/AA73)</f>
        <v>0</v>
      </c>
      <c r="AB522" s="193">
        <f t="shared" si="1182"/>
        <v>0</v>
      </c>
      <c r="AC522" s="194">
        <f t="shared" si="1163"/>
        <v>0</v>
      </c>
      <c r="AD522" s="195">
        <f t="shared" ref="AD522:AE537" si="1183">IF(AD73=0,0,AD422/AD73)</f>
        <v>0</v>
      </c>
      <c r="AE522" s="193">
        <f t="shared" si="1183"/>
        <v>0</v>
      </c>
      <c r="AF522" s="194">
        <f t="shared" si="1164"/>
        <v>0</v>
      </c>
      <c r="AG522" s="195">
        <f t="shared" ref="AG522:AH537" si="1184">IF(AG73=0,0,AG422/AG73)</f>
        <v>0</v>
      </c>
      <c r="AH522" s="193">
        <f t="shared" si="1184"/>
        <v>0</v>
      </c>
      <c r="AI522" s="194">
        <f t="shared" si="1165"/>
        <v>0</v>
      </c>
      <c r="AJ522" s="195">
        <f t="shared" ref="AJ522:AK537" si="1185">IF(AJ73=0,0,AJ422/AJ73)</f>
        <v>0</v>
      </c>
      <c r="AK522" s="193">
        <f t="shared" si="1185"/>
        <v>0</v>
      </c>
      <c r="AL522" s="194">
        <f t="shared" si="1166"/>
        <v>0</v>
      </c>
      <c r="AM522" s="195">
        <f t="shared" ref="AM522:AN537" si="1186">IF(AM73=0,0,AM422/AM73)</f>
        <v>0</v>
      </c>
      <c r="AN522" s="193">
        <f t="shared" si="1186"/>
        <v>0</v>
      </c>
      <c r="AO522" s="194">
        <f t="shared" si="1167"/>
        <v>0</v>
      </c>
      <c r="AP522" s="195">
        <f t="shared" ref="AP522:AQ537" si="1187">IF(AP73=0,0,AP422/AP73)</f>
        <v>0</v>
      </c>
      <c r="AQ522" s="193">
        <f t="shared" si="1187"/>
        <v>0</v>
      </c>
      <c r="AR522" s="194">
        <f t="shared" si="1168"/>
        <v>0</v>
      </c>
      <c r="AS522" s="195">
        <f t="shared" ref="AS522:AT537" si="1188">IF(AS73=0,0,AS422/AS73)</f>
        <v>0</v>
      </c>
      <c r="AT522" s="193">
        <f t="shared" si="1188"/>
        <v>0</v>
      </c>
      <c r="AU522" s="194">
        <f t="shared" si="1169"/>
        <v>0</v>
      </c>
      <c r="AV522" s="195">
        <f t="shared" ref="AV522:AW537" si="1189">IF(AV73=0,0,AV422/AV73)</f>
        <v>0</v>
      </c>
      <c r="AW522" s="193">
        <f t="shared" si="1189"/>
        <v>0</v>
      </c>
      <c r="AX522" s="194">
        <f t="shared" si="1170"/>
        <v>0</v>
      </c>
      <c r="AY522" s="193">
        <f t="shared" ref="AY522:AZ537" si="1190">IF(AY73=0,0,AY422/AY73)</f>
        <v>0</v>
      </c>
      <c r="AZ522" s="193">
        <f t="shared" si="1190"/>
        <v>0</v>
      </c>
      <c r="BA522" s="194">
        <f t="shared" si="1171"/>
        <v>0</v>
      </c>
      <c r="BB522" s="195">
        <f t="shared" ref="BB522:BC537" si="1191">IF(BB73=0,0,BB422/BB73)</f>
        <v>0</v>
      </c>
      <c r="BC522" s="193">
        <f t="shared" si="1191"/>
        <v>0</v>
      </c>
      <c r="BD522" s="194">
        <f t="shared" si="1172"/>
        <v>0</v>
      </c>
      <c r="BE522" s="195">
        <f t="shared" ref="BE522:BF536" si="1192">IF(BE73=0,0,BE422/BE73)</f>
        <v>0</v>
      </c>
      <c r="BF522" s="195">
        <f t="shared" si="1192"/>
        <v>0</v>
      </c>
      <c r="BG522" s="192">
        <f t="shared" ref="BG522" si="1193">IF(BG73=0,0,BG422/BG73)</f>
        <v>0</v>
      </c>
    </row>
    <row r="523" spans="1:59" s="210" customFormat="1" ht="13.5" customHeight="1" x14ac:dyDescent="0.25">
      <c r="A523" s="103"/>
      <c r="B523" s="102" t="s">
        <v>33</v>
      </c>
      <c r="C523" s="77" t="s">
        <v>110</v>
      </c>
      <c r="D523" s="188">
        <f t="shared" si="1175"/>
        <v>0</v>
      </c>
      <c r="E523" s="188">
        <f t="shared" si="1175"/>
        <v>0</v>
      </c>
      <c r="F523" s="191">
        <f t="shared" si="1175"/>
        <v>0</v>
      </c>
      <c r="G523" s="189">
        <f t="shared" si="1175"/>
        <v>0</v>
      </c>
      <c r="H523" s="190">
        <f t="shared" si="1156"/>
        <v>0</v>
      </c>
      <c r="I523" s="191">
        <f t="shared" si="1176"/>
        <v>0</v>
      </c>
      <c r="J523" s="189">
        <f t="shared" si="1176"/>
        <v>0</v>
      </c>
      <c r="K523" s="190">
        <f t="shared" si="1157"/>
        <v>0</v>
      </c>
      <c r="L523" s="191">
        <f t="shared" si="1177"/>
        <v>0</v>
      </c>
      <c r="M523" s="189">
        <f t="shared" si="1177"/>
        <v>0</v>
      </c>
      <c r="N523" s="190">
        <f t="shared" si="1158"/>
        <v>0</v>
      </c>
      <c r="O523" s="191">
        <f t="shared" si="1178"/>
        <v>0</v>
      </c>
      <c r="P523" s="189">
        <f t="shared" si="1178"/>
        <v>0</v>
      </c>
      <c r="Q523" s="190">
        <f t="shared" si="1159"/>
        <v>0</v>
      </c>
      <c r="R523" s="191">
        <f t="shared" si="1179"/>
        <v>0</v>
      </c>
      <c r="S523" s="189">
        <f t="shared" si="1179"/>
        <v>0</v>
      </c>
      <c r="T523" s="190">
        <f t="shared" si="1160"/>
        <v>0</v>
      </c>
      <c r="U523" s="191">
        <f t="shared" si="1180"/>
        <v>0</v>
      </c>
      <c r="V523" s="189">
        <f t="shared" si="1180"/>
        <v>0</v>
      </c>
      <c r="W523" s="190">
        <f t="shared" si="1161"/>
        <v>0</v>
      </c>
      <c r="X523" s="191">
        <f t="shared" si="1181"/>
        <v>0</v>
      </c>
      <c r="Y523" s="189">
        <f t="shared" si="1181"/>
        <v>0</v>
      </c>
      <c r="Z523" s="190">
        <f t="shared" si="1162"/>
        <v>0</v>
      </c>
      <c r="AA523" s="191">
        <f t="shared" si="1182"/>
        <v>0</v>
      </c>
      <c r="AB523" s="189">
        <f t="shared" si="1182"/>
        <v>0</v>
      </c>
      <c r="AC523" s="190">
        <f t="shared" si="1163"/>
        <v>0</v>
      </c>
      <c r="AD523" s="191">
        <f t="shared" si="1183"/>
        <v>0</v>
      </c>
      <c r="AE523" s="189">
        <f t="shared" si="1183"/>
        <v>0</v>
      </c>
      <c r="AF523" s="190">
        <f t="shared" si="1164"/>
        <v>0</v>
      </c>
      <c r="AG523" s="191">
        <f t="shared" si="1184"/>
        <v>0</v>
      </c>
      <c r="AH523" s="189">
        <f t="shared" si="1184"/>
        <v>0</v>
      </c>
      <c r="AI523" s="190">
        <f t="shared" si="1165"/>
        <v>0</v>
      </c>
      <c r="AJ523" s="191">
        <f t="shared" si="1185"/>
        <v>0</v>
      </c>
      <c r="AK523" s="189">
        <f t="shared" si="1185"/>
        <v>0</v>
      </c>
      <c r="AL523" s="190">
        <f t="shared" si="1166"/>
        <v>0</v>
      </c>
      <c r="AM523" s="191">
        <f t="shared" si="1186"/>
        <v>0</v>
      </c>
      <c r="AN523" s="189">
        <f t="shared" si="1186"/>
        <v>0</v>
      </c>
      <c r="AO523" s="190">
        <f t="shared" si="1167"/>
        <v>0</v>
      </c>
      <c r="AP523" s="191">
        <f t="shared" si="1187"/>
        <v>0</v>
      </c>
      <c r="AQ523" s="189">
        <f t="shared" si="1187"/>
        <v>0</v>
      </c>
      <c r="AR523" s="190">
        <f t="shared" si="1168"/>
        <v>0</v>
      </c>
      <c r="AS523" s="191">
        <f t="shared" si="1188"/>
        <v>0</v>
      </c>
      <c r="AT523" s="189">
        <f t="shared" si="1188"/>
        <v>0</v>
      </c>
      <c r="AU523" s="190">
        <f t="shared" si="1169"/>
        <v>0</v>
      </c>
      <c r="AV523" s="191">
        <f t="shared" si="1189"/>
        <v>0</v>
      </c>
      <c r="AW523" s="189">
        <f t="shared" si="1189"/>
        <v>0</v>
      </c>
      <c r="AX523" s="190">
        <f t="shared" si="1170"/>
        <v>0</v>
      </c>
      <c r="AY523" s="189">
        <f t="shared" si="1190"/>
        <v>0</v>
      </c>
      <c r="AZ523" s="189">
        <f t="shared" si="1190"/>
        <v>0</v>
      </c>
      <c r="BA523" s="190">
        <f t="shared" si="1171"/>
        <v>0</v>
      </c>
      <c r="BB523" s="191">
        <f t="shared" si="1191"/>
        <v>0</v>
      </c>
      <c r="BC523" s="189">
        <f t="shared" si="1191"/>
        <v>0</v>
      </c>
      <c r="BD523" s="190">
        <f t="shared" si="1172"/>
        <v>0</v>
      </c>
      <c r="BE523" s="191">
        <f t="shared" si="1192"/>
        <v>0</v>
      </c>
      <c r="BF523" s="191">
        <f t="shared" si="1192"/>
        <v>0</v>
      </c>
      <c r="BG523" s="188">
        <f t="shared" ref="BG523" si="1194">IF(BG74=0,0,BG423/BG74)</f>
        <v>0</v>
      </c>
    </row>
    <row r="524" spans="1:59" ht="13.5" hidden="1" customHeight="1" outlineLevel="1" x14ac:dyDescent="0.25">
      <c r="A524" s="60"/>
      <c r="B524" s="84" t="s">
        <v>34</v>
      </c>
      <c r="C524" s="26" t="s">
        <v>110</v>
      </c>
      <c r="D524" s="20">
        <f t="shared" si="1175"/>
        <v>0</v>
      </c>
      <c r="E524" s="20">
        <f t="shared" si="1175"/>
        <v>0</v>
      </c>
      <c r="F524" s="24">
        <f t="shared" si="1175"/>
        <v>0</v>
      </c>
      <c r="G524" s="23">
        <f t="shared" si="1175"/>
        <v>0</v>
      </c>
      <c r="H524" s="22">
        <f t="shared" si="1156"/>
        <v>0</v>
      </c>
      <c r="I524" s="24">
        <f t="shared" si="1176"/>
        <v>0</v>
      </c>
      <c r="J524" s="23">
        <f t="shared" si="1176"/>
        <v>0</v>
      </c>
      <c r="K524" s="22">
        <f t="shared" si="1157"/>
        <v>0</v>
      </c>
      <c r="L524" s="24">
        <f t="shared" si="1177"/>
        <v>0</v>
      </c>
      <c r="M524" s="23">
        <f t="shared" si="1177"/>
        <v>0</v>
      </c>
      <c r="N524" s="22">
        <f t="shared" si="1158"/>
        <v>0</v>
      </c>
      <c r="O524" s="24">
        <f t="shared" si="1178"/>
        <v>0</v>
      </c>
      <c r="P524" s="23">
        <f t="shared" si="1178"/>
        <v>0</v>
      </c>
      <c r="Q524" s="22">
        <f t="shared" si="1159"/>
        <v>0</v>
      </c>
      <c r="R524" s="24">
        <f t="shared" si="1179"/>
        <v>0</v>
      </c>
      <c r="S524" s="23">
        <f t="shared" si="1179"/>
        <v>0</v>
      </c>
      <c r="T524" s="22">
        <f t="shared" si="1160"/>
        <v>0</v>
      </c>
      <c r="U524" s="24">
        <f t="shared" si="1180"/>
        <v>0</v>
      </c>
      <c r="V524" s="23">
        <f t="shared" si="1180"/>
        <v>0</v>
      </c>
      <c r="W524" s="22">
        <f t="shared" si="1161"/>
        <v>0</v>
      </c>
      <c r="X524" s="24">
        <f t="shared" si="1181"/>
        <v>0</v>
      </c>
      <c r="Y524" s="23">
        <f t="shared" si="1181"/>
        <v>0</v>
      </c>
      <c r="Z524" s="22">
        <f t="shared" si="1162"/>
        <v>0</v>
      </c>
      <c r="AA524" s="24">
        <f t="shared" si="1182"/>
        <v>0</v>
      </c>
      <c r="AB524" s="23">
        <f t="shared" si="1182"/>
        <v>0</v>
      </c>
      <c r="AC524" s="22">
        <f t="shared" si="1163"/>
        <v>0</v>
      </c>
      <c r="AD524" s="24">
        <f t="shared" si="1183"/>
        <v>0</v>
      </c>
      <c r="AE524" s="23">
        <f t="shared" si="1183"/>
        <v>0</v>
      </c>
      <c r="AF524" s="22">
        <f t="shared" si="1164"/>
        <v>0</v>
      </c>
      <c r="AG524" s="24">
        <f t="shared" si="1184"/>
        <v>0</v>
      </c>
      <c r="AH524" s="23">
        <f t="shared" si="1184"/>
        <v>0</v>
      </c>
      <c r="AI524" s="22">
        <f t="shared" si="1165"/>
        <v>0</v>
      </c>
      <c r="AJ524" s="24">
        <f t="shared" si="1185"/>
        <v>0</v>
      </c>
      <c r="AK524" s="23">
        <f t="shared" si="1185"/>
        <v>0</v>
      </c>
      <c r="AL524" s="22">
        <f t="shared" si="1166"/>
        <v>0</v>
      </c>
      <c r="AM524" s="24">
        <f t="shared" si="1186"/>
        <v>0</v>
      </c>
      <c r="AN524" s="23">
        <f t="shared" si="1186"/>
        <v>0</v>
      </c>
      <c r="AO524" s="22">
        <f t="shared" si="1167"/>
        <v>0</v>
      </c>
      <c r="AP524" s="24">
        <f t="shared" si="1187"/>
        <v>0</v>
      </c>
      <c r="AQ524" s="23">
        <f t="shared" si="1187"/>
        <v>0</v>
      </c>
      <c r="AR524" s="22">
        <f t="shared" si="1168"/>
        <v>0</v>
      </c>
      <c r="AS524" s="24">
        <f t="shared" si="1188"/>
        <v>0</v>
      </c>
      <c r="AT524" s="23">
        <f t="shared" si="1188"/>
        <v>0</v>
      </c>
      <c r="AU524" s="22">
        <f t="shared" si="1169"/>
        <v>0</v>
      </c>
      <c r="AV524" s="24">
        <f t="shared" si="1189"/>
        <v>0</v>
      </c>
      <c r="AW524" s="23">
        <f t="shared" si="1189"/>
        <v>0</v>
      </c>
      <c r="AX524" s="22">
        <f t="shared" si="1170"/>
        <v>0</v>
      </c>
      <c r="AY524" s="23">
        <f t="shared" si="1190"/>
        <v>0</v>
      </c>
      <c r="AZ524" s="23">
        <f t="shared" si="1190"/>
        <v>0</v>
      </c>
      <c r="BA524" s="22">
        <f t="shared" si="1171"/>
        <v>0</v>
      </c>
      <c r="BB524" s="24">
        <f t="shared" si="1191"/>
        <v>0</v>
      </c>
      <c r="BC524" s="23">
        <f t="shared" si="1191"/>
        <v>0</v>
      </c>
      <c r="BD524" s="22">
        <f t="shared" si="1172"/>
        <v>0</v>
      </c>
      <c r="BE524" s="24">
        <f t="shared" si="1192"/>
        <v>0</v>
      </c>
      <c r="BF524" s="24">
        <f t="shared" si="1192"/>
        <v>0</v>
      </c>
      <c r="BG524" s="20">
        <f t="shared" ref="BG524" si="1195">IF(BG75=0,0,BG424/BG75)</f>
        <v>0</v>
      </c>
    </row>
    <row r="525" spans="1:59" ht="13.5" hidden="1" customHeight="1" outlineLevel="1" x14ac:dyDescent="0.25">
      <c r="A525" s="60"/>
      <c r="B525" s="84" t="s">
        <v>35</v>
      </c>
      <c r="C525" s="26" t="s">
        <v>110</v>
      </c>
      <c r="D525" s="20">
        <f t="shared" si="1175"/>
        <v>0</v>
      </c>
      <c r="E525" s="20">
        <f t="shared" si="1175"/>
        <v>0</v>
      </c>
      <c r="F525" s="24">
        <f t="shared" si="1175"/>
        <v>0</v>
      </c>
      <c r="G525" s="23">
        <f t="shared" si="1175"/>
        <v>0</v>
      </c>
      <c r="H525" s="22">
        <f t="shared" si="1156"/>
        <v>0</v>
      </c>
      <c r="I525" s="24">
        <f t="shared" si="1176"/>
        <v>0</v>
      </c>
      <c r="J525" s="23">
        <f t="shared" si="1176"/>
        <v>0</v>
      </c>
      <c r="K525" s="22">
        <f t="shared" si="1157"/>
        <v>0</v>
      </c>
      <c r="L525" s="24">
        <f t="shared" si="1177"/>
        <v>0</v>
      </c>
      <c r="M525" s="23">
        <f t="shared" si="1177"/>
        <v>0</v>
      </c>
      <c r="N525" s="22">
        <f t="shared" si="1158"/>
        <v>0</v>
      </c>
      <c r="O525" s="24">
        <f t="shared" si="1178"/>
        <v>0</v>
      </c>
      <c r="P525" s="23">
        <f t="shared" si="1178"/>
        <v>0</v>
      </c>
      <c r="Q525" s="22">
        <f t="shared" si="1159"/>
        <v>0</v>
      </c>
      <c r="R525" s="24">
        <f t="shared" si="1179"/>
        <v>0</v>
      </c>
      <c r="S525" s="23">
        <f t="shared" si="1179"/>
        <v>0</v>
      </c>
      <c r="T525" s="22">
        <f t="shared" si="1160"/>
        <v>0</v>
      </c>
      <c r="U525" s="24">
        <f t="shared" si="1180"/>
        <v>0</v>
      </c>
      <c r="V525" s="23">
        <f t="shared" si="1180"/>
        <v>0</v>
      </c>
      <c r="W525" s="22">
        <f t="shared" si="1161"/>
        <v>0</v>
      </c>
      <c r="X525" s="24">
        <f t="shared" si="1181"/>
        <v>0</v>
      </c>
      <c r="Y525" s="23">
        <f t="shared" si="1181"/>
        <v>0</v>
      </c>
      <c r="Z525" s="22">
        <f t="shared" si="1162"/>
        <v>0</v>
      </c>
      <c r="AA525" s="24">
        <f t="shared" si="1182"/>
        <v>0</v>
      </c>
      <c r="AB525" s="23">
        <f t="shared" si="1182"/>
        <v>0</v>
      </c>
      <c r="AC525" s="22">
        <f t="shared" si="1163"/>
        <v>0</v>
      </c>
      <c r="AD525" s="24">
        <f t="shared" si="1183"/>
        <v>0</v>
      </c>
      <c r="AE525" s="23">
        <f t="shared" si="1183"/>
        <v>0</v>
      </c>
      <c r="AF525" s="22">
        <f t="shared" si="1164"/>
        <v>0</v>
      </c>
      <c r="AG525" s="24">
        <f t="shared" si="1184"/>
        <v>0</v>
      </c>
      <c r="AH525" s="23">
        <f t="shared" si="1184"/>
        <v>0</v>
      </c>
      <c r="AI525" s="22">
        <f t="shared" si="1165"/>
        <v>0</v>
      </c>
      <c r="AJ525" s="24">
        <f t="shared" si="1185"/>
        <v>0</v>
      </c>
      <c r="AK525" s="23">
        <f t="shared" si="1185"/>
        <v>0</v>
      </c>
      <c r="AL525" s="22">
        <f t="shared" si="1166"/>
        <v>0</v>
      </c>
      <c r="AM525" s="24">
        <f t="shared" si="1186"/>
        <v>0</v>
      </c>
      <c r="AN525" s="23">
        <f t="shared" si="1186"/>
        <v>0</v>
      </c>
      <c r="AO525" s="22">
        <f t="shared" si="1167"/>
        <v>0</v>
      </c>
      <c r="AP525" s="24">
        <f t="shared" si="1187"/>
        <v>0</v>
      </c>
      <c r="AQ525" s="23">
        <f t="shared" si="1187"/>
        <v>0</v>
      </c>
      <c r="AR525" s="22">
        <f t="shared" si="1168"/>
        <v>0</v>
      </c>
      <c r="AS525" s="24">
        <f t="shared" si="1188"/>
        <v>0</v>
      </c>
      <c r="AT525" s="23">
        <f t="shared" si="1188"/>
        <v>0</v>
      </c>
      <c r="AU525" s="22">
        <f t="shared" si="1169"/>
        <v>0</v>
      </c>
      <c r="AV525" s="24">
        <f t="shared" si="1189"/>
        <v>0</v>
      </c>
      <c r="AW525" s="23">
        <f t="shared" si="1189"/>
        <v>0</v>
      </c>
      <c r="AX525" s="22">
        <f t="shared" si="1170"/>
        <v>0</v>
      </c>
      <c r="AY525" s="23">
        <f t="shared" si="1190"/>
        <v>0</v>
      </c>
      <c r="AZ525" s="23">
        <f t="shared" si="1190"/>
        <v>0</v>
      </c>
      <c r="BA525" s="22">
        <f t="shared" si="1171"/>
        <v>0</v>
      </c>
      <c r="BB525" s="24">
        <f t="shared" si="1191"/>
        <v>0</v>
      </c>
      <c r="BC525" s="23">
        <f t="shared" si="1191"/>
        <v>0</v>
      </c>
      <c r="BD525" s="22">
        <f t="shared" si="1172"/>
        <v>0</v>
      </c>
      <c r="BE525" s="24">
        <f t="shared" si="1192"/>
        <v>0</v>
      </c>
      <c r="BF525" s="24">
        <f t="shared" si="1192"/>
        <v>0</v>
      </c>
      <c r="BG525" s="20">
        <f t="shared" ref="BG525" si="1196">IF(BG76=0,0,BG425/BG76)</f>
        <v>0</v>
      </c>
    </row>
    <row r="526" spans="1:59" ht="13.5" hidden="1" customHeight="1" outlineLevel="1" x14ac:dyDescent="0.25">
      <c r="A526" s="60"/>
      <c r="B526" s="84" t="s">
        <v>36</v>
      </c>
      <c r="C526" s="26" t="s">
        <v>110</v>
      </c>
      <c r="D526" s="20">
        <f t="shared" si="1175"/>
        <v>0</v>
      </c>
      <c r="E526" s="20">
        <f t="shared" si="1175"/>
        <v>0</v>
      </c>
      <c r="F526" s="24">
        <f t="shared" si="1175"/>
        <v>0</v>
      </c>
      <c r="G526" s="23">
        <f t="shared" si="1175"/>
        <v>0</v>
      </c>
      <c r="H526" s="22">
        <f t="shared" si="1156"/>
        <v>0</v>
      </c>
      <c r="I526" s="24">
        <f t="shared" si="1176"/>
        <v>0</v>
      </c>
      <c r="J526" s="23">
        <f t="shared" si="1176"/>
        <v>0</v>
      </c>
      <c r="K526" s="22">
        <f t="shared" si="1157"/>
        <v>0</v>
      </c>
      <c r="L526" s="24">
        <f t="shared" si="1177"/>
        <v>0</v>
      </c>
      <c r="M526" s="23">
        <f t="shared" si="1177"/>
        <v>0</v>
      </c>
      <c r="N526" s="22">
        <f t="shared" si="1158"/>
        <v>0</v>
      </c>
      <c r="O526" s="24">
        <f t="shared" si="1178"/>
        <v>0</v>
      </c>
      <c r="P526" s="23">
        <f t="shared" si="1178"/>
        <v>0</v>
      </c>
      <c r="Q526" s="22">
        <f t="shared" si="1159"/>
        <v>0</v>
      </c>
      <c r="R526" s="24">
        <f t="shared" si="1179"/>
        <v>0</v>
      </c>
      <c r="S526" s="23">
        <f t="shared" si="1179"/>
        <v>0</v>
      </c>
      <c r="T526" s="22">
        <f t="shared" si="1160"/>
        <v>0</v>
      </c>
      <c r="U526" s="24">
        <f t="shared" si="1180"/>
        <v>0</v>
      </c>
      <c r="V526" s="23">
        <f t="shared" si="1180"/>
        <v>0</v>
      </c>
      <c r="W526" s="22">
        <f t="shared" si="1161"/>
        <v>0</v>
      </c>
      <c r="X526" s="24">
        <f t="shared" si="1181"/>
        <v>0</v>
      </c>
      <c r="Y526" s="23">
        <f t="shared" si="1181"/>
        <v>0</v>
      </c>
      <c r="Z526" s="22">
        <f t="shared" si="1162"/>
        <v>0</v>
      </c>
      <c r="AA526" s="24">
        <f t="shared" si="1182"/>
        <v>0</v>
      </c>
      <c r="AB526" s="23">
        <f t="shared" si="1182"/>
        <v>0</v>
      </c>
      <c r="AC526" s="22">
        <f t="shared" si="1163"/>
        <v>0</v>
      </c>
      <c r="AD526" s="24">
        <f t="shared" si="1183"/>
        <v>0</v>
      </c>
      <c r="AE526" s="23">
        <f t="shared" si="1183"/>
        <v>0</v>
      </c>
      <c r="AF526" s="22">
        <f t="shared" si="1164"/>
        <v>0</v>
      </c>
      <c r="AG526" s="24">
        <f t="shared" si="1184"/>
        <v>0</v>
      </c>
      <c r="AH526" s="23">
        <f t="shared" si="1184"/>
        <v>0</v>
      </c>
      <c r="AI526" s="22">
        <f t="shared" si="1165"/>
        <v>0</v>
      </c>
      <c r="AJ526" s="24">
        <f t="shared" si="1185"/>
        <v>0</v>
      </c>
      <c r="AK526" s="23">
        <f t="shared" si="1185"/>
        <v>0</v>
      </c>
      <c r="AL526" s="22">
        <f t="shared" si="1166"/>
        <v>0</v>
      </c>
      <c r="AM526" s="24">
        <f t="shared" si="1186"/>
        <v>0</v>
      </c>
      <c r="AN526" s="23">
        <f t="shared" si="1186"/>
        <v>0</v>
      </c>
      <c r="AO526" s="22">
        <f t="shared" si="1167"/>
        <v>0</v>
      </c>
      <c r="AP526" s="24">
        <f t="shared" si="1187"/>
        <v>0</v>
      </c>
      <c r="AQ526" s="23">
        <f t="shared" si="1187"/>
        <v>0</v>
      </c>
      <c r="AR526" s="22">
        <f t="shared" si="1168"/>
        <v>0</v>
      </c>
      <c r="AS526" s="24">
        <f t="shared" si="1188"/>
        <v>0</v>
      </c>
      <c r="AT526" s="23">
        <f t="shared" si="1188"/>
        <v>0</v>
      </c>
      <c r="AU526" s="22">
        <f t="shared" si="1169"/>
        <v>0</v>
      </c>
      <c r="AV526" s="24">
        <f t="shared" si="1189"/>
        <v>0</v>
      </c>
      <c r="AW526" s="23">
        <f t="shared" si="1189"/>
        <v>0</v>
      </c>
      <c r="AX526" s="22">
        <f t="shared" si="1170"/>
        <v>0</v>
      </c>
      <c r="AY526" s="23">
        <f t="shared" si="1190"/>
        <v>0</v>
      </c>
      <c r="AZ526" s="23">
        <f t="shared" si="1190"/>
        <v>0</v>
      </c>
      <c r="BA526" s="22">
        <f t="shared" si="1171"/>
        <v>0</v>
      </c>
      <c r="BB526" s="24">
        <f t="shared" si="1191"/>
        <v>0</v>
      </c>
      <c r="BC526" s="23">
        <f t="shared" si="1191"/>
        <v>0</v>
      </c>
      <c r="BD526" s="22">
        <f t="shared" si="1172"/>
        <v>0</v>
      </c>
      <c r="BE526" s="24">
        <f t="shared" si="1192"/>
        <v>0</v>
      </c>
      <c r="BF526" s="24">
        <f t="shared" si="1192"/>
        <v>0</v>
      </c>
      <c r="BG526" s="20">
        <f t="shared" ref="BG526" si="1197">IF(BG77=0,0,BG426/BG77)</f>
        <v>0</v>
      </c>
    </row>
    <row r="527" spans="1:59" ht="13.5" hidden="1" customHeight="1" outlineLevel="1" x14ac:dyDescent="0.25">
      <c r="A527" s="60"/>
      <c r="B527" s="84" t="s">
        <v>37</v>
      </c>
      <c r="C527" s="26" t="s">
        <v>110</v>
      </c>
      <c r="D527" s="20">
        <f t="shared" si="1175"/>
        <v>0</v>
      </c>
      <c r="E527" s="20">
        <f t="shared" si="1175"/>
        <v>0</v>
      </c>
      <c r="F527" s="24">
        <f t="shared" si="1175"/>
        <v>0</v>
      </c>
      <c r="G527" s="23">
        <f t="shared" si="1175"/>
        <v>0</v>
      </c>
      <c r="H527" s="22">
        <f t="shared" si="1156"/>
        <v>0</v>
      </c>
      <c r="I527" s="24">
        <f t="shared" si="1176"/>
        <v>0</v>
      </c>
      <c r="J527" s="23">
        <f t="shared" si="1176"/>
        <v>0</v>
      </c>
      <c r="K527" s="22">
        <f t="shared" si="1157"/>
        <v>0</v>
      </c>
      <c r="L527" s="24">
        <f t="shared" si="1177"/>
        <v>0</v>
      </c>
      <c r="M527" s="23">
        <f t="shared" si="1177"/>
        <v>0</v>
      </c>
      <c r="N527" s="22">
        <f t="shared" si="1158"/>
        <v>0</v>
      </c>
      <c r="O527" s="24">
        <f t="shared" si="1178"/>
        <v>0</v>
      </c>
      <c r="P527" s="23">
        <f t="shared" si="1178"/>
        <v>0</v>
      </c>
      <c r="Q527" s="22">
        <f t="shared" si="1159"/>
        <v>0</v>
      </c>
      <c r="R527" s="24">
        <f t="shared" si="1179"/>
        <v>0</v>
      </c>
      <c r="S527" s="23">
        <f t="shared" si="1179"/>
        <v>0</v>
      </c>
      <c r="T527" s="22">
        <f t="shared" si="1160"/>
        <v>0</v>
      </c>
      <c r="U527" s="24">
        <f t="shared" si="1180"/>
        <v>0</v>
      </c>
      <c r="V527" s="23">
        <f t="shared" si="1180"/>
        <v>0</v>
      </c>
      <c r="W527" s="22">
        <f t="shared" si="1161"/>
        <v>0</v>
      </c>
      <c r="X527" s="24">
        <f t="shared" si="1181"/>
        <v>0</v>
      </c>
      <c r="Y527" s="23">
        <f t="shared" si="1181"/>
        <v>0</v>
      </c>
      <c r="Z527" s="22">
        <f t="shared" si="1162"/>
        <v>0</v>
      </c>
      <c r="AA527" s="24">
        <f t="shared" si="1182"/>
        <v>0</v>
      </c>
      <c r="AB527" s="23">
        <f t="shared" si="1182"/>
        <v>0</v>
      </c>
      <c r="AC527" s="22">
        <f t="shared" si="1163"/>
        <v>0</v>
      </c>
      <c r="AD527" s="24">
        <f t="shared" si="1183"/>
        <v>0</v>
      </c>
      <c r="AE527" s="23">
        <f t="shared" si="1183"/>
        <v>0</v>
      </c>
      <c r="AF527" s="22">
        <f t="shared" si="1164"/>
        <v>0</v>
      </c>
      <c r="AG527" s="24">
        <f t="shared" si="1184"/>
        <v>0</v>
      </c>
      <c r="AH527" s="23">
        <f t="shared" si="1184"/>
        <v>0</v>
      </c>
      <c r="AI527" s="22">
        <f t="shared" si="1165"/>
        <v>0</v>
      </c>
      <c r="AJ527" s="24">
        <f t="shared" si="1185"/>
        <v>0</v>
      </c>
      <c r="AK527" s="23">
        <f t="shared" si="1185"/>
        <v>0</v>
      </c>
      <c r="AL527" s="22">
        <f t="shared" si="1166"/>
        <v>0</v>
      </c>
      <c r="AM527" s="24">
        <f t="shared" si="1186"/>
        <v>0</v>
      </c>
      <c r="AN527" s="23">
        <f t="shared" si="1186"/>
        <v>0</v>
      </c>
      <c r="AO527" s="22">
        <f t="shared" si="1167"/>
        <v>0</v>
      </c>
      <c r="AP527" s="24">
        <f t="shared" si="1187"/>
        <v>0</v>
      </c>
      <c r="AQ527" s="23">
        <f t="shared" si="1187"/>
        <v>0</v>
      </c>
      <c r="AR527" s="22">
        <f t="shared" si="1168"/>
        <v>0</v>
      </c>
      <c r="AS527" s="24">
        <f t="shared" si="1188"/>
        <v>0</v>
      </c>
      <c r="AT527" s="23">
        <f t="shared" si="1188"/>
        <v>0</v>
      </c>
      <c r="AU527" s="22">
        <f t="shared" si="1169"/>
        <v>0</v>
      </c>
      <c r="AV527" s="24">
        <f t="shared" si="1189"/>
        <v>0</v>
      </c>
      <c r="AW527" s="23">
        <f t="shared" si="1189"/>
        <v>0</v>
      </c>
      <c r="AX527" s="22">
        <f t="shared" si="1170"/>
        <v>0</v>
      </c>
      <c r="AY527" s="23">
        <f t="shared" si="1190"/>
        <v>0</v>
      </c>
      <c r="AZ527" s="23">
        <f t="shared" si="1190"/>
        <v>0</v>
      </c>
      <c r="BA527" s="22">
        <f t="shared" si="1171"/>
        <v>0</v>
      </c>
      <c r="BB527" s="24">
        <f t="shared" si="1191"/>
        <v>0</v>
      </c>
      <c r="BC527" s="23">
        <f t="shared" si="1191"/>
        <v>0</v>
      </c>
      <c r="BD527" s="22">
        <f t="shared" si="1172"/>
        <v>0</v>
      </c>
      <c r="BE527" s="24">
        <f t="shared" si="1192"/>
        <v>0</v>
      </c>
      <c r="BF527" s="24">
        <f t="shared" si="1192"/>
        <v>0</v>
      </c>
      <c r="BG527" s="20">
        <f t="shared" ref="BG527" si="1198">IF(BG78=0,0,BG427/BG78)</f>
        <v>0</v>
      </c>
    </row>
    <row r="528" spans="1:59" ht="13.5" hidden="1" customHeight="1" outlineLevel="1" x14ac:dyDescent="0.25">
      <c r="A528" s="60"/>
      <c r="B528" s="84" t="s">
        <v>38</v>
      </c>
      <c r="C528" s="26" t="s">
        <v>110</v>
      </c>
      <c r="D528" s="20">
        <f t="shared" si="1175"/>
        <v>0</v>
      </c>
      <c r="E528" s="20">
        <f t="shared" si="1175"/>
        <v>0</v>
      </c>
      <c r="F528" s="24">
        <f t="shared" si="1175"/>
        <v>0</v>
      </c>
      <c r="G528" s="23">
        <f t="shared" si="1175"/>
        <v>0</v>
      </c>
      <c r="H528" s="22">
        <f t="shared" si="1156"/>
        <v>0</v>
      </c>
      <c r="I528" s="24">
        <f t="shared" si="1176"/>
        <v>0</v>
      </c>
      <c r="J528" s="23">
        <f t="shared" si="1176"/>
        <v>0</v>
      </c>
      <c r="K528" s="22">
        <f t="shared" si="1157"/>
        <v>0</v>
      </c>
      <c r="L528" s="24">
        <f t="shared" si="1177"/>
        <v>0</v>
      </c>
      <c r="M528" s="23">
        <f t="shared" si="1177"/>
        <v>0</v>
      </c>
      <c r="N528" s="22">
        <f t="shared" si="1158"/>
        <v>0</v>
      </c>
      <c r="O528" s="24">
        <f t="shared" si="1178"/>
        <v>0</v>
      </c>
      <c r="P528" s="23">
        <f t="shared" si="1178"/>
        <v>0</v>
      </c>
      <c r="Q528" s="22">
        <f t="shared" si="1159"/>
        <v>0</v>
      </c>
      <c r="R528" s="24">
        <f t="shared" si="1179"/>
        <v>0</v>
      </c>
      <c r="S528" s="23">
        <f t="shared" si="1179"/>
        <v>0</v>
      </c>
      <c r="T528" s="22">
        <f t="shared" si="1160"/>
        <v>0</v>
      </c>
      <c r="U528" s="24">
        <f t="shared" si="1180"/>
        <v>0</v>
      </c>
      <c r="V528" s="23">
        <f t="shared" si="1180"/>
        <v>0</v>
      </c>
      <c r="W528" s="22">
        <f t="shared" si="1161"/>
        <v>0</v>
      </c>
      <c r="X528" s="24">
        <f t="shared" si="1181"/>
        <v>0</v>
      </c>
      <c r="Y528" s="23">
        <f t="shared" si="1181"/>
        <v>0</v>
      </c>
      <c r="Z528" s="22">
        <f t="shared" si="1162"/>
        <v>0</v>
      </c>
      <c r="AA528" s="24">
        <f t="shared" si="1182"/>
        <v>0</v>
      </c>
      <c r="AB528" s="23">
        <f t="shared" si="1182"/>
        <v>0</v>
      </c>
      <c r="AC528" s="22">
        <f t="shared" si="1163"/>
        <v>0</v>
      </c>
      <c r="AD528" s="24">
        <f t="shared" si="1183"/>
        <v>0</v>
      </c>
      <c r="AE528" s="23">
        <f t="shared" si="1183"/>
        <v>0</v>
      </c>
      <c r="AF528" s="22">
        <f t="shared" si="1164"/>
        <v>0</v>
      </c>
      <c r="AG528" s="24">
        <f t="shared" si="1184"/>
        <v>0</v>
      </c>
      <c r="AH528" s="23">
        <f t="shared" si="1184"/>
        <v>0</v>
      </c>
      <c r="AI528" s="22">
        <f t="shared" si="1165"/>
        <v>0</v>
      </c>
      <c r="AJ528" s="24">
        <f t="shared" si="1185"/>
        <v>0</v>
      </c>
      <c r="AK528" s="23">
        <f t="shared" si="1185"/>
        <v>0</v>
      </c>
      <c r="AL528" s="22">
        <f t="shared" si="1166"/>
        <v>0</v>
      </c>
      <c r="AM528" s="24">
        <f t="shared" si="1186"/>
        <v>0</v>
      </c>
      <c r="AN528" s="23">
        <f t="shared" si="1186"/>
        <v>0</v>
      </c>
      <c r="AO528" s="22">
        <f t="shared" si="1167"/>
        <v>0</v>
      </c>
      <c r="AP528" s="24">
        <f t="shared" si="1187"/>
        <v>0</v>
      </c>
      <c r="AQ528" s="23">
        <f t="shared" si="1187"/>
        <v>0</v>
      </c>
      <c r="AR528" s="22">
        <f t="shared" si="1168"/>
        <v>0</v>
      </c>
      <c r="AS528" s="24">
        <f t="shared" si="1188"/>
        <v>0</v>
      </c>
      <c r="AT528" s="23">
        <f t="shared" si="1188"/>
        <v>0</v>
      </c>
      <c r="AU528" s="22">
        <f t="shared" si="1169"/>
        <v>0</v>
      </c>
      <c r="AV528" s="24">
        <f t="shared" si="1189"/>
        <v>0</v>
      </c>
      <c r="AW528" s="23">
        <f t="shared" si="1189"/>
        <v>0</v>
      </c>
      <c r="AX528" s="22">
        <f t="shared" si="1170"/>
        <v>0</v>
      </c>
      <c r="AY528" s="23">
        <f t="shared" si="1190"/>
        <v>0</v>
      </c>
      <c r="AZ528" s="23">
        <f t="shared" si="1190"/>
        <v>0</v>
      </c>
      <c r="BA528" s="22">
        <f t="shared" si="1171"/>
        <v>0</v>
      </c>
      <c r="BB528" s="24">
        <f t="shared" si="1191"/>
        <v>0</v>
      </c>
      <c r="BC528" s="23">
        <f t="shared" si="1191"/>
        <v>0</v>
      </c>
      <c r="BD528" s="22">
        <f t="shared" si="1172"/>
        <v>0</v>
      </c>
      <c r="BE528" s="24">
        <f t="shared" si="1192"/>
        <v>0</v>
      </c>
      <c r="BF528" s="24">
        <f t="shared" si="1192"/>
        <v>0</v>
      </c>
      <c r="BG528" s="20">
        <f t="shared" ref="BG528" si="1199">IF(BG79=0,0,BG428/BG79)</f>
        <v>0</v>
      </c>
    </row>
    <row r="529" spans="1:59" ht="13.5" hidden="1" customHeight="1" outlineLevel="1" x14ac:dyDescent="0.25">
      <c r="A529" s="60"/>
      <c r="B529" s="84" t="s">
        <v>39</v>
      </c>
      <c r="C529" s="26" t="s">
        <v>110</v>
      </c>
      <c r="D529" s="20">
        <f t="shared" si="1175"/>
        <v>0</v>
      </c>
      <c r="E529" s="20">
        <f t="shared" si="1175"/>
        <v>0</v>
      </c>
      <c r="F529" s="24">
        <f t="shared" si="1175"/>
        <v>0</v>
      </c>
      <c r="G529" s="23">
        <f t="shared" si="1175"/>
        <v>0</v>
      </c>
      <c r="H529" s="22">
        <f t="shared" si="1156"/>
        <v>0</v>
      </c>
      <c r="I529" s="24">
        <f t="shared" si="1176"/>
        <v>0</v>
      </c>
      <c r="J529" s="23">
        <f t="shared" si="1176"/>
        <v>0</v>
      </c>
      <c r="K529" s="22">
        <f t="shared" si="1157"/>
        <v>0</v>
      </c>
      <c r="L529" s="24">
        <f t="shared" si="1177"/>
        <v>0</v>
      </c>
      <c r="M529" s="23">
        <f t="shared" si="1177"/>
        <v>0</v>
      </c>
      <c r="N529" s="22">
        <f t="shared" si="1158"/>
        <v>0</v>
      </c>
      <c r="O529" s="24">
        <f t="shared" si="1178"/>
        <v>0</v>
      </c>
      <c r="P529" s="23">
        <f t="shared" si="1178"/>
        <v>0</v>
      </c>
      <c r="Q529" s="22">
        <f t="shared" si="1159"/>
        <v>0</v>
      </c>
      <c r="R529" s="24">
        <f t="shared" si="1179"/>
        <v>0</v>
      </c>
      <c r="S529" s="23">
        <f t="shared" si="1179"/>
        <v>0</v>
      </c>
      <c r="T529" s="22">
        <f t="shared" si="1160"/>
        <v>0</v>
      </c>
      <c r="U529" s="24">
        <f t="shared" si="1180"/>
        <v>0</v>
      </c>
      <c r="V529" s="23">
        <f t="shared" si="1180"/>
        <v>0</v>
      </c>
      <c r="W529" s="22">
        <f t="shared" si="1161"/>
        <v>0</v>
      </c>
      <c r="X529" s="24">
        <f t="shared" si="1181"/>
        <v>0</v>
      </c>
      <c r="Y529" s="23">
        <f t="shared" si="1181"/>
        <v>0</v>
      </c>
      <c r="Z529" s="22">
        <f t="shared" si="1162"/>
        <v>0</v>
      </c>
      <c r="AA529" s="24">
        <f t="shared" si="1182"/>
        <v>0</v>
      </c>
      <c r="AB529" s="23">
        <f t="shared" si="1182"/>
        <v>0</v>
      </c>
      <c r="AC529" s="22">
        <f t="shared" si="1163"/>
        <v>0</v>
      </c>
      <c r="AD529" s="24">
        <f t="shared" si="1183"/>
        <v>0</v>
      </c>
      <c r="AE529" s="23">
        <f t="shared" si="1183"/>
        <v>0</v>
      </c>
      <c r="AF529" s="22">
        <f t="shared" si="1164"/>
        <v>0</v>
      </c>
      <c r="AG529" s="24">
        <f t="shared" si="1184"/>
        <v>0</v>
      </c>
      <c r="AH529" s="23">
        <f t="shared" si="1184"/>
        <v>0</v>
      </c>
      <c r="AI529" s="22">
        <f t="shared" si="1165"/>
        <v>0</v>
      </c>
      <c r="AJ529" s="24">
        <f t="shared" si="1185"/>
        <v>0</v>
      </c>
      <c r="AK529" s="23">
        <f t="shared" si="1185"/>
        <v>0</v>
      </c>
      <c r="AL529" s="22">
        <f t="shared" si="1166"/>
        <v>0</v>
      </c>
      <c r="AM529" s="24">
        <f t="shared" si="1186"/>
        <v>0</v>
      </c>
      <c r="AN529" s="23">
        <f t="shared" si="1186"/>
        <v>0</v>
      </c>
      <c r="AO529" s="22">
        <f t="shared" si="1167"/>
        <v>0</v>
      </c>
      <c r="AP529" s="24">
        <f t="shared" si="1187"/>
        <v>0</v>
      </c>
      <c r="AQ529" s="23">
        <f t="shared" si="1187"/>
        <v>0</v>
      </c>
      <c r="AR529" s="22">
        <f t="shared" si="1168"/>
        <v>0</v>
      </c>
      <c r="AS529" s="24">
        <f t="shared" si="1188"/>
        <v>0</v>
      </c>
      <c r="AT529" s="23">
        <f t="shared" si="1188"/>
        <v>0</v>
      </c>
      <c r="AU529" s="22">
        <f t="shared" si="1169"/>
        <v>0</v>
      </c>
      <c r="AV529" s="24">
        <f t="shared" si="1189"/>
        <v>0</v>
      </c>
      <c r="AW529" s="23">
        <f t="shared" si="1189"/>
        <v>0</v>
      </c>
      <c r="AX529" s="22">
        <f t="shared" si="1170"/>
        <v>0</v>
      </c>
      <c r="AY529" s="23">
        <f t="shared" si="1190"/>
        <v>0</v>
      </c>
      <c r="AZ529" s="23">
        <f t="shared" si="1190"/>
        <v>0</v>
      </c>
      <c r="BA529" s="22">
        <f t="shared" si="1171"/>
        <v>0</v>
      </c>
      <c r="BB529" s="24">
        <f t="shared" si="1191"/>
        <v>0</v>
      </c>
      <c r="BC529" s="23">
        <f t="shared" si="1191"/>
        <v>0</v>
      </c>
      <c r="BD529" s="22">
        <f t="shared" si="1172"/>
        <v>0</v>
      </c>
      <c r="BE529" s="24">
        <f t="shared" si="1192"/>
        <v>0</v>
      </c>
      <c r="BF529" s="24">
        <f t="shared" si="1192"/>
        <v>0</v>
      </c>
      <c r="BG529" s="20">
        <f t="shared" ref="BG529" si="1200">IF(BG80=0,0,BG429/BG80)</f>
        <v>0</v>
      </c>
    </row>
    <row r="530" spans="1:59" ht="13.5" hidden="1" customHeight="1" outlineLevel="1" x14ac:dyDescent="0.25">
      <c r="A530" s="60"/>
      <c r="B530" s="84" t="s">
        <v>40</v>
      </c>
      <c r="C530" s="26" t="s">
        <v>110</v>
      </c>
      <c r="D530" s="20">
        <f t="shared" si="1175"/>
        <v>0</v>
      </c>
      <c r="E530" s="20">
        <f t="shared" si="1175"/>
        <v>0</v>
      </c>
      <c r="F530" s="24">
        <f t="shared" si="1175"/>
        <v>0</v>
      </c>
      <c r="G530" s="23">
        <f t="shared" si="1175"/>
        <v>0</v>
      </c>
      <c r="H530" s="22">
        <f t="shared" si="1156"/>
        <v>0</v>
      </c>
      <c r="I530" s="24">
        <f t="shared" si="1176"/>
        <v>0</v>
      </c>
      <c r="J530" s="23">
        <f t="shared" si="1176"/>
        <v>0</v>
      </c>
      <c r="K530" s="22">
        <f t="shared" si="1157"/>
        <v>0</v>
      </c>
      <c r="L530" s="24">
        <f t="shared" si="1177"/>
        <v>0</v>
      </c>
      <c r="M530" s="23">
        <f t="shared" si="1177"/>
        <v>0</v>
      </c>
      <c r="N530" s="22">
        <f t="shared" si="1158"/>
        <v>0</v>
      </c>
      <c r="O530" s="24">
        <f t="shared" si="1178"/>
        <v>0</v>
      </c>
      <c r="P530" s="23">
        <f t="shared" si="1178"/>
        <v>0</v>
      </c>
      <c r="Q530" s="22">
        <f t="shared" si="1159"/>
        <v>0</v>
      </c>
      <c r="R530" s="24">
        <f t="shared" si="1179"/>
        <v>0</v>
      </c>
      <c r="S530" s="23">
        <f t="shared" si="1179"/>
        <v>0</v>
      </c>
      <c r="T530" s="22">
        <f t="shared" si="1160"/>
        <v>0</v>
      </c>
      <c r="U530" s="24">
        <f t="shared" si="1180"/>
        <v>0</v>
      </c>
      <c r="V530" s="23">
        <f t="shared" si="1180"/>
        <v>0</v>
      </c>
      <c r="W530" s="22">
        <f t="shared" si="1161"/>
        <v>0</v>
      </c>
      <c r="X530" s="24">
        <f t="shared" si="1181"/>
        <v>0</v>
      </c>
      <c r="Y530" s="23">
        <f t="shared" si="1181"/>
        <v>0</v>
      </c>
      <c r="Z530" s="22">
        <f t="shared" si="1162"/>
        <v>0</v>
      </c>
      <c r="AA530" s="24">
        <f t="shared" si="1182"/>
        <v>0</v>
      </c>
      <c r="AB530" s="23">
        <f t="shared" si="1182"/>
        <v>0</v>
      </c>
      <c r="AC530" s="22">
        <f t="shared" si="1163"/>
        <v>0</v>
      </c>
      <c r="AD530" s="24">
        <f t="shared" si="1183"/>
        <v>0</v>
      </c>
      <c r="AE530" s="23">
        <f t="shared" si="1183"/>
        <v>0</v>
      </c>
      <c r="AF530" s="22">
        <f t="shared" si="1164"/>
        <v>0</v>
      </c>
      <c r="AG530" s="24">
        <f t="shared" si="1184"/>
        <v>0</v>
      </c>
      <c r="AH530" s="23">
        <f t="shared" si="1184"/>
        <v>0</v>
      </c>
      <c r="AI530" s="22">
        <f t="shared" si="1165"/>
        <v>0</v>
      </c>
      <c r="AJ530" s="24">
        <f t="shared" si="1185"/>
        <v>0</v>
      </c>
      <c r="AK530" s="23">
        <f t="shared" si="1185"/>
        <v>0</v>
      </c>
      <c r="AL530" s="22">
        <f t="shared" si="1166"/>
        <v>0</v>
      </c>
      <c r="AM530" s="24">
        <f t="shared" si="1186"/>
        <v>0</v>
      </c>
      <c r="AN530" s="23">
        <f t="shared" si="1186"/>
        <v>0</v>
      </c>
      <c r="AO530" s="22">
        <f t="shared" si="1167"/>
        <v>0</v>
      </c>
      <c r="AP530" s="24">
        <f t="shared" si="1187"/>
        <v>0</v>
      </c>
      <c r="AQ530" s="23">
        <f t="shared" si="1187"/>
        <v>0</v>
      </c>
      <c r="AR530" s="22">
        <f t="shared" si="1168"/>
        <v>0</v>
      </c>
      <c r="AS530" s="24">
        <f t="shared" si="1188"/>
        <v>0</v>
      </c>
      <c r="AT530" s="23">
        <f t="shared" si="1188"/>
        <v>0</v>
      </c>
      <c r="AU530" s="22">
        <f t="shared" si="1169"/>
        <v>0</v>
      </c>
      <c r="AV530" s="24">
        <f t="shared" si="1189"/>
        <v>0</v>
      </c>
      <c r="AW530" s="23">
        <f t="shared" si="1189"/>
        <v>0</v>
      </c>
      <c r="AX530" s="22">
        <f t="shared" si="1170"/>
        <v>0</v>
      </c>
      <c r="AY530" s="23">
        <f t="shared" si="1190"/>
        <v>0</v>
      </c>
      <c r="AZ530" s="23">
        <f t="shared" si="1190"/>
        <v>0</v>
      </c>
      <c r="BA530" s="22">
        <f t="shared" si="1171"/>
        <v>0</v>
      </c>
      <c r="BB530" s="24">
        <f t="shared" si="1191"/>
        <v>0</v>
      </c>
      <c r="BC530" s="23">
        <f t="shared" si="1191"/>
        <v>0</v>
      </c>
      <c r="BD530" s="22">
        <f t="shared" si="1172"/>
        <v>0</v>
      </c>
      <c r="BE530" s="24">
        <f t="shared" si="1192"/>
        <v>0</v>
      </c>
      <c r="BF530" s="24">
        <f t="shared" si="1192"/>
        <v>0</v>
      </c>
      <c r="BG530" s="20">
        <f t="shared" ref="BG530" si="1201">IF(BG81=0,0,BG430/BG81)</f>
        <v>0</v>
      </c>
    </row>
    <row r="531" spans="1:59" ht="13.5" hidden="1" customHeight="1" outlineLevel="1" x14ac:dyDescent="0.25">
      <c r="A531" s="60"/>
      <c r="B531" s="84" t="s">
        <v>41</v>
      </c>
      <c r="C531" s="26" t="s">
        <v>110</v>
      </c>
      <c r="D531" s="20">
        <f t="shared" si="1175"/>
        <v>0</v>
      </c>
      <c r="E531" s="20">
        <f t="shared" si="1175"/>
        <v>0</v>
      </c>
      <c r="F531" s="24">
        <f t="shared" si="1175"/>
        <v>0</v>
      </c>
      <c r="G531" s="23">
        <f t="shared" si="1175"/>
        <v>0</v>
      </c>
      <c r="H531" s="22">
        <f t="shared" si="1156"/>
        <v>0</v>
      </c>
      <c r="I531" s="24">
        <f t="shared" si="1176"/>
        <v>0</v>
      </c>
      <c r="J531" s="23">
        <f t="shared" si="1176"/>
        <v>0</v>
      </c>
      <c r="K531" s="22">
        <f t="shared" si="1157"/>
        <v>0</v>
      </c>
      <c r="L531" s="24">
        <f t="shared" si="1177"/>
        <v>0</v>
      </c>
      <c r="M531" s="23">
        <f t="shared" si="1177"/>
        <v>0</v>
      </c>
      <c r="N531" s="22">
        <f t="shared" si="1158"/>
        <v>0</v>
      </c>
      <c r="O531" s="24">
        <f t="shared" si="1178"/>
        <v>0</v>
      </c>
      <c r="P531" s="23">
        <f t="shared" si="1178"/>
        <v>0</v>
      </c>
      <c r="Q531" s="22">
        <f t="shared" si="1159"/>
        <v>0</v>
      </c>
      <c r="R531" s="24">
        <f t="shared" si="1179"/>
        <v>0</v>
      </c>
      <c r="S531" s="23">
        <f t="shared" si="1179"/>
        <v>0</v>
      </c>
      <c r="T531" s="22">
        <f t="shared" si="1160"/>
        <v>0</v>
      </c>
      <c r="U531" s="24">
        <f t="shared" si="1180"/>
        <v>0</v>
      </c>
      <c r="V531" s="23">
        <f t="shared" si="1180"/>
        <v>0</v>
      </c>
      <c r="W531" s="22">
        <f t="shared" si="1161"/>
        <v>0</v>
      </c>
      <c r="X531" s="24">
        <f t="shared" si="1181"/>
        <v>0</v>
      </c>
      <c r="Y531" s="23">
        <f t="shared" si="1181"/>
        <v>0</v>
      </c>
      <c r="Z531" s="22">
        <f t="shared" si="1162"/>
        <v>0</v>
      </c>
      <c r="AA531" s="24">
        <f t="shared" si="1182"/>
        <v>0</v>
      </c>
      <c r="AB531" s="23">
        <f t="shared" si="1182"/>
        <v>0</v>
      </c>
      <c r="AC531" s="22">
        <f t="shared" si="1163"/>
        <v>0</v>
      </c>
      <c r="AD531" s="24">
        <f t="shared" si="1183"/>
        <v>0</v>
      </c>
      <c r="AE531" s="23">
        <f t="shared" si="1183"/>
        <v>0</v>
      </c>
      <c r="AF531" s="22">
        <f t="shared" si="1164"/>
        <v>0</v>
      </c>
      <c r="AG531" s="24">
        <f t="shared" si="1184"/>
        <v>0</v>
      </c>
      <c r="AH531" s="23">
        <f t="shared" si="1184"/>
        <v>0</v>
      </c>
      <c r="AI531" s="22">
        <f t="shared" si="1165"/>
        <v>0</v>
      </c>
      <c r="AJ531" s="24">
        <f t="shared" si="1185"/>
        <v>0</v>
      </c>
      <c r="AK531" s="23">
        <f t="shared" si="1185"/>
        <v>0</v>
      </c>
      <c r="AL531" s="22">
        <f t="shared" si="1166"/>
        <v>0</v>
      </c>
      <c r="AM531" s="24">
        <f t="shared" si="1186"/>
        <v>0</v>
      </c>
      <c r="AN531" s="23">
        <f t="shared" si="1186"/>
        <v>0</v>
      </c>
      <c r="AO531" s="22">
        <f t="shared" si="1167"/>
        <v>0</v>
      </c>
      <c r="AP531" s="24">
        <f t="shared" si="1187"/>
        <v>0</v>
      </c>
      <c r="AQ531" s="23">
        <f t="shared" si="1187"/>
        <v>0</v>
      </c>
      <c r="AR531" s="22">
        <f t="shared" si="1168"/>
        <v>0</v>
      </c>
      <c r="AS531" s="24">
        <f t="shared" si="1188"/>
        <v>0</v>
      </c>
      <c r="AT531" s="23">
        <f t="shared" si="1188"/>
        <v>0</v>
      </c>
      <c r="AU531" s="22">
        <f t="shared" si="1169"/>
        <v>0</v>
      </c>
      <c r="AV531" s="24">
        <f t="shared" si="1189"/>
        <v>0</v>
      </c>
      <c r="AW531" s="23">
        <f t="shared" si="1189"/>
        <v>0</v>
      </c>
      <c r="AX531" s="22">
        <f t="shared" si="1170"/>
        <v>0</v>
      </c>
      <c r="AY531" s="23">
        <f t="shared" si="1190"/>
        <v>0</v>
      </c>
      <c r="AZ531" s="23">
        <f t="shared" si="1190"/>
        <v>0</v>
      </c>
      <c r="BA531" s="22">
        <f t="shared" si="1171"/>
        <v>0</v>
      </c>
      <c r="BB531" s="24">
        <f t="shared" si="1191"/>
        <v>0</v>
      </c>
      <c r="BC531" s="23">
        <f t="shared" si="1191"/>
        <v>0</v>
      </c>
      <c r="BD531" s="22">
        <f t="shared" si="1172"/>
        <v>0</v>
      </c>
      <c r="BE531" s="24">
        <f t="shared" si="1192"/>
        <v>0</v>
      </c>
      <c r="BF531" s="24">
        <f t="shared" si="1192"/>
        <v>0</v>
      </c>
      <c r="BG531" s="20">
        <f t="shared" ref="BG531" si="1202">IF(BG82=0,0,BG431/BG82)</f>
        <v>0</v>
      </c>
    </row>
    <row r="532" spans="1:59" ht="13.5" hidden="1" customHeight="1" outlineLevel="1" x14ac:dyDescent="0.25">
      <c r="A532" s="60"/>
      <c r="B532" s="84" t="s">
        <v>42</v>
      </c>
      <c r="C532" s="26" t="s">
        <v>110</v>
      </c>
      <c r="D532" s="20">
        <f t="shared" si="1175"/>
        <v>0</v>
      </c>
      <c r="E532" s="20">
        <f t="shared" si="1175"/>
        <v>0</v>
      </c>
      <c r="F532" s="24">
        <f t="shared" si="1175"/>
        <v>0</v>
      </c>
      <c r="G532" s="23">
        <f t="shared" si="1175"/>
        <v>0</v>
      </c>
      <c r="H532" s="22">
        <f t="shared" si="1156"/>
        <v>0</v>
      </c>
      <c r="I532" s="24">
        <f t="shared" si="1176"/>
        <v>0</v>
      </c>
      <c r="J532" s="23">
        <f t="shared" si="1176"/>
        <v>0</v>
      </c>
      <c r="K532" s="22">
        <f t="shared" si="1157"/>
        <v>0</v>
      </c>
      <c r="L532" s="24">
        <f t="shared" si="1177"/>
        <v>0</v>
      </c>
      <c r="M532" s="23">
        <f t="shared" si="1177"/>
        <v>0</v>
      </c>
      <c r="N532" s="22">
        <f t="shared" si="1158"/>
        <v>0</v>
      </c>
      <c r="O532" s="24">
        <f t="shared" si="1178"/>
        <v>0</v>
      </c>
      <c r="P532" s="23">
        <f t="shared" si="1178"/>
        <v>0</v>
      </c>
      <c r="Q532" s="22">
        <f t="shared" si="1159"/>
        <v>0</v>
      </c>
      <c r="R532" s="24">
        <f t="shared" si="1179"/>
        <v>0</v>
      </c>
      <c r="S532" s="23">
        <f t="shared" si="1179"/>
        <v>0</v>
      </c>
      <c r="T532" s="22">
        <f t="shared" si="1160"/>
        <v>0</v>
      </c>
      <c r="U532" s="24">
        <f t="shared" si="1180"/>
        <v>0</v>
      </c>
      <c r="V532" s="23">
        <f t="shared" si="1180"/>
        <v>0</v>
      </c>
      <c r="W532" s="22">
        <f t="shared" si="1161"/>
        <v>0</v>
      </c>
      <c r="X532" s="24">
        <f t="shared" si="1181"/>
        <v>0</v>
      </c>
      <c r="Y532" s="23">
        <f t="shared" si="1181"/>
        <v>0</v>
      </c>
      <c r="Z532" s="22">
        <f t="shared" si="1162"/>
        <v>0</v>
      </c>
      <c r="AA532" s="24">
        <f t="shared" si="1182"/>
        <v>0</v>
      </c>
      <c r="AB532" s="23">
        <f t="shared" si="1182"/>
        <v>0</v>
      </c>
      <c r="AC532" s="22">
        <f t="shared" si="1163"/>
        <v>0</v>
      </c>
      <c r="AD532" s="24">
        <f t="shared" si="1183"/>
        <v>0</v>
      </c>
      <c r="AE532" s="23">
        <f t="shared" si="1183"/>
        <v>0</v>
      </c>
      <c r="AF532" s="22">
        <f t="shared" si="1164"/>
        <v>0</v>
      </c>
      <c r="AG532" s="24">
        <f t="shared" si="1184"/>
        <v>0</v>
      </c>
      <c r="AH532" s="23">
        <f t="shared" si="1184"/>
        <v>0</v>
      </c>
      <c r="AI532" s="22">
        <f t="shared" si="1165"/>
        <v>0</v>
      </c>
      <c r="AJ532" s="24">
        <f t="shared" si="1185"/>
        <v>0</v>
      </c>
      <c r="AK532" s="23">
        <f t="shared" si="1185"/>
        <v>0</v>
      </c>
      <c r="AL532" s="22">
        <f t="shared" si="1166"/>
        <v>0</v>
      </c>
      <c r="AM532" s="24">
        <f t="shared" si="1186"/>
        <v>0</v>
      </c>
      <c r="AN532" s="23">
        <f t="shared" si="1186"/>
        <v>0</v>
      </c>
      <c r="AO532" s="22">
        <f t="shared" si="1167"/>
        <v>0</v>
      </c>
      <c r="AP532" s="24">
        <f t="shared" si="1187"/>
        <v>0</v>
      </c>
      <c r="AQ532" s="23">
        <f t="shared" si="1187"/>
        <v>0</v>
      </c>
      <c r="AR532" s="22">
        <f t="shared" si="1168"/>
        <v>0</v>
      </c>
      <c r="AS532" s="24">
        <f t="shared" si="1188"/>
        <v>0</v>
      </c>
      <c r="AT532" s="23">
        <f t="shared" si="1188"/>
        <v>0</v>
      </c>
      <c r="AU532" s="22">
        <f t="shared" si="1169"/>
        <v>0</v>
      </c>
      <c r="AV532" s="24">
        <f t="shared" si="1189"/>
        <v>0</v>
      </c>
      <c r="AW532" s="23">
        <f t="shared" si="1189"/>
        <v>0</v>
      </c>
      <c r="AX532" s="22">
        <f t="shared" si="1170"/>
        <v>0</v>
      </c>
      <c r="AY532" s="23">
        <f t="shared" si="1190"/>
        <v>0</v>
      </c>
      <c r="AZ532" s="23">
        <f t="shared" si="1190"/>
        <v>0</v>
      </c>
      <c r="BA532" s="22">
        <f t="shared" si="1171"/>
        <v>0</v>
      </c>
      <c r="BB532" s="24">
        <f t="shared" si="1191"/>
        <v>0</v>
      </c>
      <c r="BC532" s="23">
        <f t="shared" si="1191"/>
        <v>0</v>
      </c>
      <c r="BD532" s="22">
        <f t="shared" si="1172"/>
        <v>0</v>
      </c>
      <c r="BE532" s="24">
        <f t="shared" si="1192"/>
        <v>0</v>
      </c>
      <c r="BF532" s="24">
        <f t="shared" si="1192"/>
        <v>0</v>
      </c>
      <c r="BG532" s="20">
        <f t="shared" ref="BG532" si="1203">IF(BG83=0,0,BG432/BG83)</f>
        <v>0</v>
      </c>
    </row>
    <row r="533" spans="1:59" s="210" customFormat="1" ht="13.5" customHeight="1" collapsed="1" x14ac:dyDescent="0.25">
      <c r="A533" s="103"/>
      <c r="B533" s="102" t="s">
        <v>43</v>
      </c>
      <c r="C533" s="77" t="s">
        <v>110</v>
      </c>
      <c r="D533" s="188">
        <f t="shared" si="1175"/>
        <v>0</v>
      </c>
      <c r="E533" s="188">
        <f t="shared" si="1175"/>
        <v>0</v>
      </c>
      <c r="F533" s="191">
        <f t="shared" si="1175"/>
        <v>0</v>
      </c>
      <c r="G533" s="189">
        <f t="shared" si="1175"/>
        <v>0</v>
      </c>
      <c r="H533" s="190">
        <f t="shared" si="1156"/>
        <v>0</v>
      </c>
      <c r="I533" s="191">
        <f t="shared" si="1176"/>
        <v>0</v>
      </c>
      <c r="J533" s="189">
        <f t="shared" si="1176"/>
        <v>0</v>
      </c>
      <c r="K533" s="190">
        <f t="shared" si="1157"/>
        <v>0</v>
      </c>
      <c r="L533" s="191">
        <f t="shared" si="1177"/>
        <v>0</v>
      </c>
      <c r="M533" s="189">
        <f t="shared" si="1177"/>
        <v>0</v>
      </c>
      <c r="N533" s="190">
        <f t="shared" si="1158"/>
        <v>0</v>
      </c>
      <c r="O533" s="191">
        <f t="shared" si="1178"/>
        <v>0</v>
      </c>
      <c r="P533" s="189">
        <f t="shared" si="1178"/>
        <v>0</v>
      </c>
      <c r="Q533" s="190">
        <f t="shared" si="1159"/>
        <v>0</v>
      </c>
      <c r="R533" s="191">
        <f t="shared" si="1179"/>
        <v>0</v>
      </c>
      <c r="S533" s="189">
        <f t="shared" si="1179"/>
        <v>0</v>
      </c>
      <c r="T533" s="190">
        <f t="shared" si="1160"/>
        <v>0</v>
      </c>
      <c r="U533" s="191">
        <f t="shared" si="1180"/>
        <v>0</v>
      </c>
      <c r="V533" s="189">
        <f t="shared" si="1180"/>
        <v>0</v>
      </c>
      <c r="W533" s="190">
        <f t="shared" si="1161"/>
        <v>0</v>
      </c>
      <c r="X533" s="191">
        <f t="shared" si="1181"/>
        <v>0</v>
      </c>
      <c r="Y533" s="189">
        <f t="shared" si="1181"/>
        <v>0</v>
      </c>
      <c r="Z533" s="190">
        <f t="shared" si="1162"/>
        <v>0</v>
      </c>
      <c r="AA533" s="191">
        <f t="shared" si="1182"/>
        <v>0</v>
      </c>
      <c r="AB533" s="189">
        <f t="shared" si="1182"/>
        <v>0</v>
      </c>
      <c r="AC533" s="190">
        <f t="shared" si="1163"/>
        <v>0</v>
      </c>
      <c r="AD533" s="191">
        <f t="shared" si="1183"/>
        <v>0</v>
      </c>
      <c r="AE533" s="189">
        <f t="shared" si="1183"/>
        <v>0</v>
      </c>
      <c r="AF533" s="190">
        <f t="shared" si="1164"/>
        <v>0</v>
      </c>
      <c r="AG533" s="191">
        <f t="shared" si="1184"/>
        <v>0</v>
      </c>
      <c r="AH533" s="189">
        <f t="shared" si="1184"/>
        <v>0</v>
      </c>
      <c r="AI533" s="190">
        <f t="shared" si="1165"/>
        <v>0</v>
      </c>
      <c r="AJ533" s="191">
        <f t="shared" si="1185"/>
        <v>0</v>
      </c>
      <c r="AK533" s="189">
        <f t="shared" si="1185"/>
        <v>0</v>
      </c>
      <c r="AL533" s="190">
        <f t="shared" si="1166"/>
        <v>0</v>
      </c>
      <c r="AM533" s="191">
        <f t="shared" si="1186"/>
        <v>0</v>
      </c>
      <c r="AN533" s="189">
        <f t="shared" si="1186"/>
        <v>0</v>
      </c>
      <c r="AO533" s="190">
        <f t="shared" si="1167"/>
        <v>0</v>
      </c>
      <c r="AP533" s="191">
        <f t="shared" si="1187"/>
        <v>0</v>
      </c>
      <c r="AQ533" s="189">
        <f t="shared" si="1187"/>
        <v>0</v>
      </c>
      <c r="AR533" s="190">
        <f t="shared" si="1168"/>
        <v>0</v>
      </c>
      <c r="AS533" s="191">
        <f t="shared" si="1188"/>
        <v>0</v>
      </c>
      <c r="AT533" s="189">
        <f t="shared" si="1188"/>
        <v>0</v>
      </c>
      <c r="AU533" s="190">
        <f t="shared" si="1169"/>
        <v>0</v>
      </c>
      <c r="AV533" s="191">
        <f t="shared" si="1189"/>
        <v>0</v>
      </c>
      <c r="AW533" s="189">
        <f t="shared" si="1189"/>
        <v>0</v>
      </c>
      <c r="AX533" s="190">
        <f t="shared" si="1170"/>
        <v>0</v>
      </c>
      <c r="AY533" s="189">
        <f t="shared" si="1190"/>
        <v>0</v>
      </c>
      <c r="AZ533" s="189">
        <f t="shared" si="1190"/>
        <v>0</v>
      </c>
      <c r="BA533" s="190">
        <f t="shared" si="1171"/>
        <v>0</v>
      </c>
      <c r="BB533" s="191">
        <f t="shared" si="1191"/>
        <v>0</v>
      </c>
      <c r="BC533" s="189">
        <f t="shared" si="1191"/>
        <v>0</v>
      </c>
      <c r="BD533" s="190">
        <f t="shared" si="1172"/>
        <v>0</v>
      </c>
      <c r="BE533" s="191">
        <f t="shared" si="1192"/>
        <v>0</v>
      </c>
      <c r="BF533" s="191">
        <f t="shared" si="1192"/>
        <v>0</v>
      </c>
      <c r="BG533" s="188">
        <f t="shared" ref="BG533" si="1204">IF(BG84=0,0,BG433/BG84)</f>
        <v>0</v>
      </c>
    </row>
    <row r="534" spans="1:59" ht="13.5" hidden="1" customHeight="1" outlineLevel="1" x14ac:dyDescent="0.25">
      <c r="A534" s="60"/>
      <c r="B534" s="84" t="s">
        <v>44</v>
      </c>
      <c r="C534" s="26" t="s">
        <v>110</v>
      </c>
      <c r="D534" s="20">
        <f t="shared" si="1175"/>
        <v>0</v>
      </c>
      <c r="E534" s="20">
        <f t="shared" si="1175"/>
        <v>0</v>
      </c>
      <c r="F534" s="24">
        <f t="shared" si="1175"/>
        <v>0</v>
      </c>
      <c r="G534" s="23">
        <f t="shared" si="1175"/>
        <v>0</v>
      </c>
      <c r="H534" s="22">
        <f t="shared" si="1156"/>
        <v>0</v>
      </c>
      <c r="I534" s="24">
        <f t="shared" si="1176"/>
        <v>0</v>
      </c>
      <c r="J534" s="23">
        <f t="shared" si="1176"/>
        <v>0</v>
      </c>
      <c r="K534" s="22">
        <f t="shared" si="1157"/>
        <v>0</v>
      </c>
      <c r="L534" s="24">
        <f t="shared" si="1177"/>
        <v>0</v>
      </c>
      <c r="M534" s="23">
        <f t="shared" si="1177"/>
        <v>0</v>
      </c>
      <c r="N534" s="22">
        <f t="shared" si="1158"/>
        <v>0</v>
      </c>
      <c r="O534" s="24">
        <f t="shared" si="1178"/>
        <v>0</v>
      </c>
      <c r="P534" s="23">
        <f t="shared" si="1178"/>
        <v>0</v>
      </c>
      <c r="Q534" s="22">
        <f t="shared" si="1159"/>
        <v>0</v>
      </c>
      <c r="R534" s="24">
        <f t="shared" si="1179"/>
        <v>0</v>
      </c>
      <c r="S534" s="23">
        <f t="shared" si="1179"/>
        <v>0</v>
      </c>
      <c r="T534" s="22">
        <f t="shared" si="1160"/>
        <v>0</v>
      </c>
      <c r="U534" s="24">
        <f t="shared" si="1180"/>
        <v>0</v>
      </c>
      <c r="V534" s="23">
        <f t="shared" si="1180"/>
        <v>0</v>
      </c>
      <c r="W534" s="22">
        <f t="shared" si="1161"/>
        <v>0</v>
      </c>
      <c r="X534" s="24">
        <f t="shared" si="1181"/>
        <v>0</v>
      </c>
      <c r="Y534" s="23">
        <f t="shared" si="1181"/>
        <v>0</v>
      </c>
      <c r="Z534" s="22">
        <f t="shared" si="1162"/>
        <v>0</v>
      </c>
      <c r="AA534" s="24">
        <f t="shared" si="1182"/>
        <v>0</v>
      </c>
      <c r="AB534" s="23">
        <f t="shared" si="1182"/>
        <v>0</v>
      </c>
      <c r="AC534" s="22">
        <f t="shared" si="1163"/>
        <v>0</v>
      </c>
      <c r="AD534" s="24">
        <f t="shared" si="1183"/>
        <v>0</v>
      </c>
      <c r="AE534" s="23">
        <f t="shared" si="1183"/>
        <v>0</v>
      </c>
      <c r="AF534" s="22">
        <f t="shared" si="1164"/>
        <v>0</v>
      </c>
      <c r="AG534" s="24">
        <f t="shared" si="1184"/>
        <v>0</v>
      </c>
      <c r="AH534" s="23">
        <f t="shared" si="1184"/>
        <v>0</v>
      </c>
      <c r="AI534" s="22">
        <f t="shared" si="1165"/>
        <v>0</v>
      </c>
      <c r="AJ534" s="24">
        <f t="shared" si="1185"/>
        <v>0</v>
      </c>
      <c r="AK534" s="23">
        <f t="shared" si="1185"/>
        <v>0</v>
      </c>
      <c r="AL534" s="22">
        <f t="shared" si="1166"/>
        <v>0</v>
      </c>
      <c r="AM534" s="24">
        <f t="shared" si="1186"/>
        <v>0</v>
      </c>
      <c r="AN534" s="23">
        <f t="shared" si="1186"/>
        <v>0</v>
      </c>
      <c r="AO534" s="22">
        <f t="shared" si="1167"/>
        <v>0</v>
      </c>
      <c r="AP534" s="24">
        <f t="shared" si="1187"/>
        <v>0</v>
      </c>
      <c r="AQ534" s="23">
        <f t="shared" si="1187"/>
        <v>0</v>
      </c>
      <c r="AR534" s="22">
        <f t="shared" si="1168"/>
        <v>0</v>
      </c>
      <c r="AS534" s="24">
        <f t="shared" si="1188"/>
        <v>0</v>
      </c>
      <c r="AT534" s="23">
        <f t="shared" si="1188"/>
        <v>0</v>
      </c>
      <c r="AU534" s="22">
        <f t="shared" si="1169"/>
        <v>0</v>
      </c>
      <c r="AV534" s="24">
        <f t="shared" si="1189"/>
        <v>0</v>
      </c>
      <c r="AW534" s="23">
        <f t="shared" si="1189"/>
        <v>0</v>
      </c>
      <c r="AX534" s="22">
        <f t="shared" si="1170"/>
        <v>0</v>
      </c>
      <c r="AY534" s="23">
        <f t="shared" si="1190"/>
        <v>0</v>
      </c>
      <c r="AZ534" s="23">
        <f t="shared" si="1190"/>
        <v>0</v>
      </c>
      <c r="BA534" s="22">
        <f t="shared" si="1171"/>
        <v>0</v>
      </c>
      <c r="BB534" s="24">
        <f t="shared" si="1191"/>
        <v>0</v>
      </c>
      <c r="BC534" s="23">
        <f t="shared" si="1191"/>
        <v>0</v>
      </c>
      <c r="BD534" s="22">
        <f t="shared" si="1172"/>
        <v>0</v>
      </c>
      <c r="BE534" s="24">
        <f t="shared" si="1192"/>
        <v>0</v>
      </c>
      <c r="BF534" s="24">
        <f t="shared" si="1192"/>
        <v>0</v>
      </c>
      <c r="BG534" s="20">
        <f t="shared" ref="BG534" si="1205">IF(BG85=0,0,BG434/BG85)</f>
        <v>0</v>
      </c>
    </row>
    <row r="535" spans="1:59" ht="13.5" hidden="1" customHeight="1" outlineLevel="1" x14ac:dyDescent="0.25">
      <c r="A535" s="60"/>
      <c r="B535" s="84" t="s">
        <v>45</v>
      </c>
      <c r="C535" s="26" t="s">
        <v>110</v>
      </c>
      <c r="D535" s="20">
        <f t="shared" si="1175"/>
        <v>0</v>
      </c>
      <c r="E535" s="20">
        <f t="shared" si="1175"/>
        <v>0</v>
      </c>
      <c r="F535" s="24">
        <f t="shared" si="1175"/>
        <v>0</v>
      </c>
      <c r="G535" s="23">
        <f t="shared" si="1175"/>
        <v>0</v>
      </c>
      <c r="H535" s="22">
        <f t="shared" si="1156"/>
        <v>0</v>
      </c>
      <c r="I535" s="24">
        <f t="shared" si="1176"/>
        <v>0</v>
      </c>
      <c r="J535" s="23">
        <f t="shared" si="1176"/>
        <v>0</v>
      </c>
      <c r="K535" s="22">
        <f t="shared" si="1157"/>
        <v>0</v>
      </c>
      <c r="L535" s="24">
        <f t="shared" si="1177"/>
        <v>0</v>
      </c>
      <c r="M535" s="23">
        <f t="shared" si="1177"/>
        <v>0</v>
      </c>
      <c r="N535" s="22">
        <f t="shared" si="1158"/>
        <v>0</v>
      </c>
      <c r="O535" s="24">
        <f t="shared" si="1178"/>
        <v>0</v>
      </c>
      <c r="P535" s="23">
        <f t="shared" si="1178"/>
        <v>0</v>
      </c>
      <c r="Q535" s="22">
        <f t="shared" si="1159"/>
        <v>0</v>
      </c>
      <c r="R535" s="24">
        <f t="shared" si="1179"/>
        <v>0</v>
      </c>
      <c r="S535" s="23">
        <f t="shared" si="1179"/>
        <v>0</v>
      </c>
      <c r="T535" s="22">
        <f t="shared" si="1160"/>
        <v>0</v>
      </c>
      <c r="U535" s="24">
        <f t="shared" si="1180"/>
        <v>0</v>
      </c>
      <c r="V535" s="23">
        <f t="shared" si="1180"/>
        <v>0</v>
      </c>
      <c r="W535" s="22">
        <f t="shared" si="1161"/>
        <v>0</v>
      </c>
      <c r="X535" s="24">
        <f t="shared" si="1181"/>
        <v>0</v>
      </c>
      <c r="Y535" s="23">
        <f t="shared" si="1181"/>
        <v>0</v>
      </c>
      <c r="Z535" s="22">
        <f t="shared" si="1162"/>
        <v>0</v>
      </c>
      <c r="AA535" s="24">
        <f t="shared" si="1182"/>
        <v>0</v>
      </c>
      <c r="AB535" s="23">
        <f t="shared" si="1182"/>
        <v>0</v>
      </c>
      <c r="AC535" s="22">
        <f t="shared" si="1163"/>
        <v>0</v>
      </c>
      <c r="AD535" s="24">
        <f t="shared" si="1183"/>
        <v>0</v>
      </c>
      <c r="AE535" s="23">
        <f t="shared" si="1183"/>
        <v>0</v>
      </c>
      <c r="AF535" s="22">
        <f t="shared" si="1164"/>
        <v>0</v>
      </c>
      <c r="AG535" s="24">
        <f t="shared" si="1184"/>
        <v>0</v>
      </c>
      <c r="AH535" s="23">
        <f t="shared" si="1184"/>
        <v>0</v>
      </c>
      <c r="AI535" s="22">
        <f t="shared" si="1165"/>
        <v>0</v>
      </c>
      <c r="AJ535" s="24">
        <f t="shared" si="1185"/>
        <v>0</v>
      </c>
      <c r="AK535" s="23">
        <f t="shared" si="1185"/>
        <v>0</v>
      </c>
      <c r="AL535" s="22">
        <f t="shared" si="1166"/>
        <v>0</v>
      </c>
      <c r="AM535" s="24">
        <f t="shared" si="1186"/>
        <v>0</v>
      </c>
      <c r="AN535" s="23">
        <f t="shared" si="1186"/>
        <v>0</v>
      </c>
      <c r="AO535" s="22">
        <f t="shared" si="1167"/>
        <v>0</v>
      </c>
      <c r="AP535" s="24">
        <f t="shared" si="1187"/>
        <v>0</v>
      </c>
      <c r="AQ535" s="23">
        <f t="shared" si="1187"/>
        <v>0</v>
      </c>
      <c r="AR535" s="22">
        <f t="shared" si="1168"/>
        <v>0</v>
      </c>
      <c r="AS535" s="24">
        <f t="shared" si="1188"/>
        <v>0</v>
      </c>
      <c r="AT535" s="23">
        <f t="shared" si="1188"/>
        <v>0</v>
      </c>
      <c r="AU535" s="22">
        <f t="shared" si="1169"/>
        <v>0</v>
      </c>
      <c r="AV535" s="24">
        <f t="shared" si="1189"/>
        <v>0</v>
      </c>
      <c r="AW535" s="23">
        <f t="shared" si="1189"/>
        <v>0</v>
      </c>
      <c r="AX535" s="22">
        <f t="shared" si="1170"/>
        <v>0</v>
      </c>
      <c r="AY535" s="23">
        <f t="shared" si="1190"/>
        <v>0</v>
      </c>
      <c r="AZ535" s="23">
        <f t="shared" si="1190"/>
        <v>0</v>
      </c>
      <c r="BA535" s="22">
        <f t="shared" si="1171"/>
        <v>0</v>
      </c>
      <c r="BB535" s="24">
        <f t="shared" si="1191"/>
        <v>0</v>
      </c>
      <c r="BC535" s="23">
        <f t="shared" si="1191"/>
        <v>0</v>
      </c>
      <c r="BD535" s="22">
        <f t="shared" si="1172"/>
        <v>0</v>
      </c>
      <c r="BE535" s="24">
        <f t="shared" si="1192"/>
        <v>0</v>
      </c>
      <c r="BF535" s="24">
        <f t="shared" si="1192"/>
        <v>0</v>
      </c>
      <c r="BG535" s="20">
        <f t="shared" ref="BG535" si="1206">IF(BG86=0,0,BG435/BG86)</f>
        <v>0</v>
      </c>
    </row>
    <row r="536" spans="1:59" ht="13.5" hidden="1" customHeight="1" outlineLevel="1" x14ac:dyDescent="0.25">
      <c r="A536" s="60"/>
      <c r="B536" s="84" t="s">
        <v>46</v>
      </c>
      <c r="C536" s="26" t="s">
        <v>110</v>
      </c>
      <c r="D536" s="20">
        <f t="shared" si="1175"/>
        <v>0</v>
      </c>
      <c r="E536" s="20">
        <f t="shared" si="1175"/>
        <v>0</v>
      </c>
      <c r="F536" s="24">
        <f t="shared" si="1175"/>
        <v>0</v>
      </c>
      <c r="G536" s="23">
        <f t="shared" si="1175"/>
        <v>0</v>
      </c>
      <c r="H536" s="22">
        <f t="shared" si="1156"/>
        <v>0</v>
      </c>
      <c r="I536" s="24">
        <f t="shared" si="1176"/>
        <v>0</v>
      </c>
      <c r="J536" s="23">
        <f t="shared" si="1176"/>
        <v>0</v>
      </c>
      <c r="K536" s="22">
        <f t="shared" si="1157"/>
        <v>0</v>
      </c>
      <c r="L536" s="24">
        <f t="shared" si="1177"/>
        <v>0</v>
      </c>
      <c r="M536" s="23">
        <f t="shared" si="1177"/>
        <v>0</v>
      </c>
      <c r="N536" s="22">
        <f t="shared" si="1158"/>
        <v>0</v>
      </c>
      <c r="O536" s="24">
        <f t="shared" si="1178"/>
        <v>0</v>
      </c>
      <c r="P536" s="23">
        <f t="shared" si="1178"/>
        <v>0</v>
      </c>
      <c r="Q536" s="22">
        <f t="shared" si="1159"/>
        <v>0</v>
      </c>
      <c r="R536" s="24">
        <f t="shared" si="1179"/>
        <v>0</v>
      </c>
      <c r="S536" s="23">
        <f t="shared" si="1179"/>
        <v>0</v>
      </c>
      <c r="T536" s="22">
        <f t="shared" si="1160"/>
        <v>0</v>
      </c>
      <c r="U536" s="24">
        <f t="shared" si="1180"/>
        <v>0</v>
      </c>
      <c r="V536" s="23">
        <f t="shared" si="1180"/>
        <v>0</v>
      </c>
      <c r="W536" s="22">
        <f t="shared" si="1161"/>
        <v>0</v>
      </c>
      <c r="X536" s="24">
        <f t="shared" si="1181"/>
        <v>0</v>
      </c>
      <c r="Y536" s="23">
        <f t="shared" si="1181"/>
        <v>0</v>
      </c>
      <c r="Z536" s="22">
        <f t="shared" si="1162"/>
        <v>0</v>
      </c>
      <c r="AA536" s="24">
        <f t="shared" si="1182"/>
        <v>0</v>
      </c>
      <c r="AB536" s="23">
        <f t="shared" si="1182"/>
        <v>0</v>
      </c>
      <c r="AC536" s="22">
        <f t="shared" si="1163"/>
        <v>0</v>
      </c>
      <c r="AD536" s="24">
        <f t="shared" si="1183"/>
        <v>0</v>
      </c>
      <c r="AE536" s="23">
        <f t="shared" si="1183"/>
        <v>0</v>
      </c>
      <c r="AF536" s="22">
        <f t="shared" si="1164"/>
        <v>0</v>
      </c>
      <c r="AG536" s="24">
        <f t="shared" si="1184"/>
        <v>0</v>
      </c>
      <c r="AH536" s="23">
        <f t="shared" si="1184"/>
        <v>0</v>
      </c>
      <c r="AI536" s="22">
        <f t="shared" si="1165"/>
        <v>0</v>
      </c>
      <c r="AJ536" s="24">
        <f t="shared" si="1185"/>
        <v>0</v>
      </c>
      <c r="AK536" s="23">
        <f t="shared" si="1185"/>
        <v>0</v>
      </c>
      <c r="AL536" s="22">
        <f t="shared" si="1166"/>
        <v>0</v>
      </c>
      <c r="AM536" s="24">
        <f t="shared" si="1186"/>
        <v>0</v>
      </c>
      <c r="AN536" s="23">
        <f t="shared" si="1186"/>
        <v>0</v>
      </c>
      <c r="AO536" s="22">
        <f t="shared" si="1167"/>
        <v>0</v>
      </c>
      <c r="AP536" s="24">
        <f t="shared" si="1187"/>
        <v>0</v>
      </c>
      <c r="AQ536" s="23">
        <f t="shared" si="1187"/>
        <v>0</v>
      </c>
      <c r="AR536" s="22">
        <f t="shared" si="1168"/>
        <v>0</v>
      </c>
      <c r="AS536" s="24">
        <f t="shared" si="1188"/>
        <v>0</v>
      </c>
      <c r="AT536" s="23">
        <f t="shared" si="1188"/>
        <v>0</v>
      </c>
      <c r="AU536" s="22">
        <f t="shared" si="1169"/>
        <v>0</v>
      </c>
      <c r="AV536" s="24">
        <f t="shared" si="1189"/>
        <v>0</v>
      </c>
      <c r="AW536" s="23">
        <f t="shared" si="1189"/>
        <v>0</v>
      </c>
      <c r="AX536" s="22">
        <f t="shared" si="1170"/>
        <v>0</v>
      </c>
      <c r="AY536" s="23">
        <f t="shared" si="1190"/>
        <v>0</v>
      </c>
      <c r="AZ536" s="23">
        <f t="shared" si="1190"/>
        <v>0</v>
      </c>
      <c r="BA536" s="22">
        <f t="shared" si="1171"/>
        <v>0</v>
      </c>
      <c r="BB536" s="24">
        <f t="shared" si="1191"/>
        <v>0</v>
      </c>
      <c r="BC536" s="23">
        <f t="shared" si="1191"/>
        <v>0</v>
      </c>
      <c r="BD536" s="22">
        <f t="shared" si="1172"/>
        <v>0</v>
      </c>
      <c r="BE536" s="24">
        <f t="shared" si="1192"/>
        <v>0</v>
      </c>
      <c r="BF536" s="24">
        <f t="shared" si="1192"/>
        <v>0</v>
      </c>
      <c r="BG536" s="20">
        <f t="shared" ref="BG536" si="1207">IF(BG87=0,0,BG436/BG87)</f>
        <v>0</v>
      </c>
    </row>
    <row r="537" spans="1:59" ht="13.5" hidden="1" customHeight="1" outlineLevel="1" x14ac:dyDescent="0.25">
      <c r="A537" s="60"/>
      <c r="B537" s="84" t="s">
        <v>47</v>
      </c>
      <c r="C537" s="26" t="s">
        <v>110</v>
      </c>
      <c r="D537" s="20">
        <f t="shared" si="1175"/>
        <v>0</v>
      </c>
      <c r="E537" s="20">
        <f t="shared" si="1175"/>
        <v>0</v>
      </c>
      <c r="F537" s="24">
        <f t="shared" si="1175"/>
        <v>0</v>
      </c>
      <c r="G537" s="23">
        <f t="shared" si="1175"/>
        <v>0</v>
      </c>
      <c r="H537" s="22">
        <f t="shared" ref="H537:H552" si="1208">G537-F537</f>
        <v>0</v>
      </c>
      <c r="I537" s="24">
        <f t="shared" si="1176"/>
        <v>0</v>
      </c>
      <c r="J537" s="23">
        <f t="shared" si="1176"/>
        <v>0</v>
      </c>
      <c r="K537" s="22">
        <f t="shared" ref="K537:K552" si="1209">J537-I537</f>
        <v>0</v>
      </c>
      <c r="L537" s="24">
        <f t="shared" si="1177"/>
        <v>0</v>
      </c>
      <c r="M537" s="23">
        <f t="shared" si="1177"/>
        <v>0</v>
      </c>
      <c r="N537" s="22">
        <f t="shared" ref="N537:N552" si="1210">M537-L537</f>
        <v>0</v>
      </c>
      <c r="O537" s="24">
        <f t="shared" si="1178"/>
        <v>0</v>
      </c>
      <c r="P537" s="23">
        <f t="shared" si="1178"/>
        <v>0</v>
      </c>
      <c r="Q537" s="22">
        <f t="shared" ref="Q537:Q552" si="1211">P537-O537</f>
        <v>0</v>
      </c>
      <c r="R537" s="24">
        <f t="shared" si="1179"/>
        <v>0</v>
      </c>
      <c r="S537" s="23">
        <f t="shared" si="1179"/>
        <v>0</v>
      </c>
      <c r="T537" s="22">
        <f t="shared" ref="T537:T552" si="1212">S537-R537</f>
        <v>0</v>
      </c>
      <c r="U537" s="24">
        <f t="shared" si="1180"/>
        <v>0</v>
      </c>
      <c r="V537" s="23">
        <f t="shared" si="1180"/>
        <v>0</v>
      </c>
      <c r="W537" s="22">
        <f t="shared" ref="W537:W552" si="1213">V537-U537</f>
        <v>0</v>
      </c>
      <c r="X537" s="24">
        <f t="shared" si="1181"/>
        <v>0</v>
      </c>
      <c r="Y537" s="23">
        <f t="shared" si="1181"/>
        <v>0</v>
      </c>
      <c r="Z537" s="22">
        <f t="shared" ref="Z537:Z552" si="1214">Y537-X537</f>
        <v>0</v>
      </c>
      <c r="AA537" s="24">
        <f t="shared" si="1182"/>
        <v>0</v>
      </c>
      <c r="AB537" s="23">
        <f t="shared" si="1182"/>
        <v>0</v>
      </c>
      <c r="AC537" s="22">
        <f t="shared" ref="AC537:AC552" si="1215">AB537-AA537</f>
        <v>0</v>
      </c>
      <c r="AD537" s="24">
        <f t="shared" si="1183"/>
        <v>0</v>
      </c>
      <c r="AE537" s="23">
        <f t="shared" si="1183"/>
        <v>0</v>
      </c>
      <c r="AF537" s="22">
        <f t="shared" ref="AF537:AF552" si="1216">AE537-AD537</f>
        <v>0</v>
      </c>
      <c r="AG537" s="24">
        <f t="shared" si="1184"/>
        <v>0</v>
      </c>
      <c r="AH537" s="23">
        <f t="shared" si="1184"/>
        <v>0</v>
      </c>
      <c r="AI537" s="22">
        <f t="shared" ref="AI537:AI552" si="1217">AH537-AG537</f>
        <v>0</v>
      </c>
      <c r="AJ537" s="24">
        <f t="shared" si="1185"/>
        <v>0</v>
      </c>
      <c r="AK537" s="23">
        <f t="shared" si="1185"/>
        <v>0</v>
      </c>
      <c r="AL537" s="22">
        <f t="shared" ref="AL537:AL552" si="1218">AK537-AJ537</f>
        <v>0</v>
      </c>
      <c r="AM537" s="24">
        <f t="shared" si="1186"/>
        <v>0</v>
      </c>
      <c r="AN537" s="23">
        <f t="shared" si="1186"/>
        <v>0</v>
      </c>
      <c r="AO537" s="22">
        <f t="shared" ref="AO537:AO552" si="1219">AN537-AM537</f>
        <v>0</v>
      </c>
      <c r="AP537" s="24">
        <f t="shared" si="1187"/>
        <v>0</v>
      </c>
      <c r="AQ537" s="23">
        <f t="shared" si="1187"/>
        <v>0</v>
      </c>
      <c r="AR537" s="22">
        <f t="shared" ref="AR537:AR552" si="1220">AQ537-AP537</f>
        <v>0</v>
      </c>
      <c r="AS537" s="24">
        <f t="shared" si="1188"/>
        <v>0</v>
      </c>
      <c r="AT537" s="23">
        <f t="shared" si="1188"/>
        <v>0</v>
      </c>
      <c r="AU537" s="22">
        <f t="shared" ref="AU537:AU552" si="1221">AT537-AS537</f>
        <v>0</v>
      </c>
      <c r="AV537" s="24">
        <f t="shared" si="1189"/>
        <v>0</v>
      </c>
      <c r="AW537" s="23">
        <f t="shared" si="1189"/>
        <v>0</v>
      </c>
      <c r="AX537" s="22">
        <f t="shared" ref="AX537:AX552" si="1222">AW537-AV537</f>
        <v>0</v>
      </c>
      <c r="AY537" s="23">
        <f t="shared" si="1190"/>
        <v>0</v>
      </c>
      <c r="AZ537" s="23">
        <f t="shared" si="1190"/>
        <v>0</v>
      </c>
      <c r="BA537" s="22">
        <f t="shared" ref="BA537:BA552" si="1223">AZ537-AY537</f>
        <v>0</v>
      </c>
      <c r="BB537" s="24">
        <f t="shared" si="1191"/>
        <v>0</v>
      </c>
      <c r="BC537" s="23">
        <f t="shared" si="1191"/>
        <v>0</v>
      </c>
      <c r="BD537" s="22">
        <f t="shared" ref="BD537:BD552" si="1224">BC537-BB537</f>
        <v>0</v>
      </c>
      <c r="BE537" s="24">
        <f t="shared" ref="BE537:BF551" si="1225">IF(BE88=0,0,BE437/BE88)</f>
        <v>0</v>
      </c>
      <c r="BF537" s="24">
        <f t="shared" si="1225"/>
        <v>0</v>
      </c>
      <c r="BG537" s="20">
        <f t="shared" ref="BG537" si="1226">IF(BG88=0,0,BG437/BG88)</f>
        <v>0</v>
      </c>
    </row>
    <row r="538" spans="1:59" ht="13.5" hidden="1" customHeight="1" outlineLevel="1" x14ac:dyDescent="0.25">
      <c r="A538" s="60"/>
      <c r="B538" s="84" t="s">
        <v>48</v>
      </c>
      <c r="C538" s="26" t="s">
        <v>110</v>
      </c>
      <c r="D538" s="20">
        <f t="shared" ref="D538:G553" si="1227">IF(D89=0,0,D438/D89)</f>
        <v>0</v>
      </c>
      <c r="E538" s="20">
        <f t="shared" si="1227"/>
        <v>0</v>
      </c>
      <c r="F538" s="24">
        <f t="shared" si="1227"/>
        <v>0</v>
      </c>
      <c r="G538" s="23">
        <f t="shared" si="1227"/>
        <v>0</v>
      </c>
      <c r="H538" s="22">
        <f t="shared" si="1208"/>
        <v>0</v>
      </c>
      <c r="I538" s="24">
        <f t="shared" ref="I538:J553" si="1228">IF(I89=0,0,I438/I89)</f>
        <v>0</v>
      </c>
      <c r="J538" s="23">
        <f t="shared" si="1228"/>
        <v>0</v>
      </c>
      <c r="K538" s="22">
        <f t="shared" si="1209"/>
        <v>0</v>
      </c>
      <c r="L538" s="24">
        <f t="shared" ref="L538:M553" si="1229">IF(L89=0,0,L438/L89)</f>
        <v>0</v>
      </c>
      <c r="M538" s="23">
        <f t="shared" si="1229"/>
        <v>0</v>
      </c>
      <c r="N538" s="22">
        <f t="shared" si="1210"/>
        <v>0</v>
      </c>
      <c r="O538" s="24">
        <f t="shared" ref="O538:P553" si="1230">IF(O89=0,0,O438/O89)</f>
        <v>0</v>
      </c>
      <c r="P538" s="23">
        <f t="shared" si="1230"/>
        <v>0</v>
      </c>
      <c r="Q538" s="22">
        <f t="shared" si="1211"/>
        <v>0</v>
      </c>
      <c r="R538" s="24">
        <f t="shared" ref="R538:S553" si="1231">IF(R89=0,0,R438/R89)</f>
        <v>0</v>
      </c>
      <c r="S538" s="23">
        <f t="shared" si="1231"/>
        <v>0</v>
      </c>
      <c r="T538" s="22">
        <f t="shared" si="1212"/>
        <v>0</v>
      </c>
      <c r="U538" s="24">
        <f t="shared" ref="U538:V553" si="1232">IF(U89=0,0,U438/U89)</f>
        <v>0</v>
      </c>
      <c r="V538" s="23">
        <f t="shared" si="1232"/>
        <v>0</v>
      </c>
      <c r="W538" s="22">
        <f t="shared" si="1213"/>
        <v>0</v>
      </c>
      <c r="X538" s="24">
        <f t="shared" ref="X538:Y553" si="1233">IF(X89=0,0,X438/X89)</f>
        <v>0</v>
      </c>
      <c r="Y538" s="23">
        <f t="shared" si="1233"/>
        <v>0</v>
      </c>
      <c r="Z538" s="22">
        <f t="shared" si="1214"/>
        <v>0</v>
      </c>
      <c r="AA538" s="24">
        <f t="shared" ref="AA538:AB553" si="1234">IF(AA89=0,0,AA438/AA89)</f>
        <v>0</v>
      </c>
      <c r="AB538" s="23">
        <f t="shared" si="1234"/>
        <v>0</v>
      </c>
      <c r="AC538" s="22">
        <f t="shared" si="1215"/>
        <v>0</v>
      </c>
      <c r="AD538" s="24">
        <f t="shared" ref="AD538:AE553" si="1235">IF(AD89=0,0,AD438/AD89)</f>
        <v>0</v>
      </c>
      <c r="AE538" s="23">
        <f t="shared" si="1235"/>
        <v>0</v>
      </c>
      <c r="AF538" s="22">
        <f t="shared" si="1216"/>
        <v>0</v>
      </c>
      <c r="AG538" s="24">
        <f t="shared" ref="AG538:AH553" si="1236">IF(AG89=0,0,AG438/AG89)</f>
        <v>0</v>
      </c>
      <c r="AH538" s="23">
        <f t="shared" si="1236"/>
        <v>0</v>
      </c>
      <c r="AI538" s="22">
        <f t="shared" si="1217"/>
        <v>0</v>
      </c>
      <c r="AJ538" s="24">
        <f t="shared" ref="AJ538:AK553" si="1237">IF(AJ89=0,0,AJ438/AJ89)</f>
        <v>0</v>
      </c>
      <c r="AK538" s="23">
        <f t="shared" si="1237"/>
        <v>0</v>
      </c>
      <c r="AL538" s="22">
        <f t="shared" si="1218"/>
        <v>0</v>
      </c>
      <c r="AM538" s="24">
        <f t="shared" ref="AM538:AN553" si="1238">IF(AM89=0,0,AM438/AM89)</f>
        <v>0</v>
      </c>
      <c r="AN538" s="23">
        <f t="shared" si="1238"/>
        <v>0</v>
      </c>
      <c r="AO538" s="22">
        <f t="shared" si="1219"/>
        <v>0</v>
      </c>
      <c r="AP538" s="24">
        <f t="shared" ref="AP538:AQ553" si="1239">IF(AP89=0,0,AP438/AP89)</f>
        <v>0</v>
      </c>
      <c r="AQ538" s="23">
        <f t="shared" si="1239"/>
        <v>0</v>
      </c>
      <c r="AR538" s="22">
        <f t="shared" si="1220"/>
        <v>0</v>
      </c>
      <c r="AS538" s="24">
        <f t="shared" ref="AS538:AT553" si="1240">IF(AS89=0,0,AS438/AS89)</f>
        <v>0</v>
      </c>
      <c r="AT538" s="23">
        <f t="shared" si="1240"/>
        <v>0</v>
      </c>
      <c r="AU538" s="22">
        <f t="shared" si="1221"/>
        <v>0</v>
      </c>
      <c r="AV538" s="24">
        <f t="shared" ref="AV538:AW553" si="1241">IF(AV89=0,0,AV438/AV89)</f>
        <v>0</v>
      </c>
      <c r="AW538" s="23">
        <f t="shared" si="1241"/>
        <v>0</v>
      </c>
      <c r="AX538" s="22">
        <f t="shared" si="1222"/>
        <v>0</v>
      </c>
      <c r="AY538" s="23">
        <f t="shared" ref="AY538:AZ553" si="1242">IF(AY89=0,0,AY438/AY89)</f>
        <v>0</v>
      </c>
      <c r="AZ538" s="23">
        <f t="shared" si="1242"/>
        <v>0</v>
      </c>
      <c r="BA538" s="22">
        <f t="shared" si="1223"/>
        <v>0</v>
      </c>
      <c r="BB538" s="24">
        <f t="shared" ref="BB538:BC553" si="1243">IF(BB89=0,0,BB438/BB89)</f>
        <v>0</v>
      </c>
      <c r="BC538" s="23">
        <f t="shared" si="1243"/>
        <v>0</v>
      </c>
      <c r="BD538" s="22">
        <f t="shared" si="1224"/>
        <v>0</v>
      </c>
      <c r="BE538" s="24">
        <f t="shared" si="1225"/>
        <v>0</v>
      </c>
      <c r="BF538" s="24">
        <f t="shared" si="1225"/>
        <v>0</v>
      </c>
      <c r="BG538" s="20">
        <f t="shared" ref="BG538" si="1244">IF(BG89=0,0,BG438/BG89)</f>
        <v>0</v>
      </c>
    </row>
    <row r="539" spans="1:59" ht="13.5" hidden="1" customHeight="1" outlineLevel="1" x14ac:dyDescent="0.25">
      <c r="A539" s="60"/>
      <c r="B539" s="84" t="s">
        <v>49</v>
      </c>
      <c r="C539" s="26" t="s">
        <v>110</v>
      </c>
      <c r="D539" s="20">
        <f t="shared" si="1227"/>
        <v>0</v>
      </c>
      <c r="E539" s="20">
        <f t="shared" si="1227"/>
        <v>0</v>
      </c>
      <c r="F539" s="24">
        <f t="shared" si="1227"/>
        <v>0</v>
      </c>
      <c r="G539" s="23">
        <f t="shared" si="1227"/>
        <v>0</v>
      </c>
      <c r="H539" s="22">
        <f t="shared" si="1208"/>
        <v>0</v>
      </c>
      <c r="I539" s="24">
        <f t="shared" si="1228"/>
        <v>0</v>
      </c>
      <c r="J539" s="23">
        <f t="shared" si="1228"/>
        <v>0</v>
      </c>
      <c r="K539" s="22">
        <f t="shared" si="1209"/>
        <v>0</v>
      </c>
      <c r="L539" s="24">
        <f t="shared" si="1229"/>
        <v>0</v>
      </c>
      <c r="M539" s="23">
        <f t="shared" si="1229"/>
        <v>0</v>
      </c>
      <c r="N539" s="22">
        <f t="shared" si="1210"/>
        <v>0</v>
      </c>
      <c r="O539" s="24">
        <f t="shared" si="1230"/>
        <v>0</v>
      </c>
      <c r="P539" s="23">
        <f t="shared" si="1230"/>
        <v>0</v>
      </c>
      <c r="Q539" s="22">
        <f t="shared" si="1211"/>
        <v>0</v>
      </c>
      <c r="R539" s="24">
        <f t="shared" si="1231"/>
        <v>0</v>
      </c>
      <c r="S539" s="23">
        <f t="shared" si="1231"/>
        <v>0</v>
      </c>
      <c r="T539" s="22">
        <f t="shared" si="1212"/>
        <v>0</v>
      </c>
      <c r="U539" s="24">
        <f t="shared" si="1232"/>
        <v>0</v>
      </c>
      <c r="V539" s="23">
        <f t="shared" si="1232"/>
        <v>0</v>
      </c>
      <c r="W539" s="22">
        <f t="shared" si="1213"/>
        <v>0</v>
      </c>
      <c r="X539" s="24">
        <f t="shared" si="1233"/>
        <v>0</v>
      </c>
      <c r="Y539" s="23">
        <f t="shared" si="1233"/>
        <v>0</v>
      </c>
      <c r="Z539" s="22">
        <f t="shared" si="1214"/>
        <v>0</v>
      </c>
      <c r="AA539" s="24">
        <f t="shared" si="1234"/>
        <v>0</v>
      </c>
      <c r="AB539" s="23">
        <f t="shared" si="1234"/>
        <v>0</v>
      </c>
      <c r="AC539" s="22">
        <f t="shared" si="1215"/>
        <v>0</v>
      </c>
      <c r="AD539" s="24">
        <f t="shared" si="1235"/>
        <v>0</v>
      </c>
      <c r="AE539" s="23">
        <f t="shared" si="1235"/>
        <v>0</v>
      </c>
      <c r="AF539" s="22">
        <f t="shared" si="1216"/>
        <v>0</v>
      </c>
      <c r="AG539" s="24">
        <f t="shared" si="1236"/>
        <v>0</v>
      </c>
      <c r="AH539" s="23">
        <f t="shared" si="1236"/>
        <v>0</v>
      </c>
      <c r="AI539" s="22">
        <f t="shared" si="1217"/>
        <v>0</v>
      </c>
      <c r="AJ539" s="24">
        <f t="shared" si="1237"/>
        <v>0</v>
      </c>
      <c r="AK539" s="23">
        <f t="shared" si="1237"/>
        <v>0</v>
      </c>
      <c r="AL539" s="22">
        <f t="shared" si="1218"/>
        <v>0</v>
      </c>
      <c r="AM539" s="24">
        <f t="shared" si="1238"/>
        <v>0</v>
      </c>
      <c r="AN539" s="23">
        <f t="shared" si="1238"/>
        <v>0</v>
      </c>
      <c r="AO539" s="22">
        <f t="shared" si="1219"/>
        <v>0</v>
      </c>
      <c r="AP539" s="24">
        <f t="shared" si="1239"/>
        <v>0</v>
      </c>
      <c r="AQ539" s="23">
        <f t="shared" si="1239"/>
        <v>0</v>
      </c>
      <c r="AR539" s="22">
        <f t="shared" si="1220"/>
        <v>0</v>
      </c>
      <c r="AS539" s="24">
        <f t="shared" si="1240"/>
        <v>0</v>
      </c>
      <c r="AT539" s="23">
        <f t="shared" si="1240"/>
        <v>0</v>
      </c>
      <c r="AU539" s="22">
        <f t="shared" si="1221"/>
        <v>0</v>
      </c>
      <c r="AV539" s="24">
        <f t="shared" si="1241"/>
        <v>0</v>
      </c>
      <c r="AW539" s="23">
        <f t="shared" si="1241"/>
        <v>0</v>
      </c>
      <c r="AX539" s="22">
        <f t="shared" si="1222"/>
        <v>0</v>
      </c>
      <c r="AY539" s="23">
        <f t="shared" si="1242"/>
        <v>0</v>
      </c>
      <c r="AZ539" s="23">
        <f t="shared" si="1242"/>
        <v>0</v>
      </c>
      <c r="BA539" s="22">
        <f t="shared" si="1223"/>
        <v>0</v>
      </c>
      <c r="BB539" s="24">
        <f t="shared" si="1243"/>
        <v>0</v>
      </c>
      <c r="BC539" s="23">
        <f t="shared" si="1243"/>
        <v>0</v>
      </c>
      <c r="BD539" s="22">
        <f t="shared" si="1224"/>
        <v>0</v>
      </c>
      <c r="BE539" s="24">
        <f t="shared" si="1225"/>
        <v>0</v>
      </c>
      <c r="BF539" s="24">
        <f t="shared" si="1225"/>
        <v>0</v>
      </c>
      <c r="BG539" s="20">
        <f t="shared" ref="BG539" si="1245">IF(BG90=0,0,BG439/BG90)</f>
        <v>0</v>
      </c>
    </row>
    <row r="540" spans="1:59" ht="13.5" hidden="1" customHeight="1" outlineLevel="1" x14ac:dyDescent="0.25">
      <c r="A540" s="60"/>
      <c r="B540" s="84" t="s">
        <v>50</v>
      </c>
      <c r="C540" s="26" t="s">
        <v>110</v>
      </c>
      <c r="D540" s="20">
        <f t="shared" si="1227"/>
        <v>0</v>
      </c>
      <c r="E540" s="20">
        <f t="shared" si="1227"/>
        <v>0</v>
      </c>
      <c r="F540" s="24">
        <f t="shared" si="1227"/>
        <v>0</v>
      </c>
      <c r="G540" s="23">
        <f t="shared" si="1227"/>
        <v>0</v>
      </c>
      <c r="H540" s="22">
        <f t="shared" si="1208"/>
        <v>0</v>
      </c>
      <c r="I540" s="24">
        <f t="shared" si="1228"/>
        <v>0</v>
      </c>
      <c r="J540" s="23">
        <f t="shared" si="1228"/>
        <v>0</v>
      </c>
      <c r="K540" s="22">
        <f t="shared" si="1209"/>
        <v>0</v>
      </c>
      <c r="L540" s="24">
        <f t="shared" si="1229"/>
        <v>0</v>
      </c>
      <c r="M540" s="23">
        <f t="shared" si="1229"/>
        <v>0</v>
      </c>
      <c r="N540" s="22">
        <f t="shared" si="1210"/>
        <v>0</v>
      </c>
      <c r="O540" s="24">
        <f t="shared" si="1230"/>
        <v>0</v>
      </c>
      <c r="P540" s="23">
        <f t="shared" si="1230"/>
        <v>0</v>
      </c>
      <c r="Q540" s="22">
        <f t="shared" si="1211"/>
        <v>0</v>
      </c>
      <c r="R540" s="24">
        <f t="shared" si="1231"/>
        <v>0</v>
      </c>
      <c r="S540" s="23">
        <f t="shared" si="1231"/>
        <v>0</v>
      </c>
      <c r="T540" s="22">
        <f t="shared" si="1212"/>
        <v>0</v>
      </c>
      <c r="U540" s="24">
        <f t="shared" si="1232"/>
        <v>0</v>
      </c>
      <c r="V540" s="23">
        <f t="shared" si="1232"/>
        <v>0</v>
      </c>
      <c r="W540" s="22">
        <f t="shared" si="1213"/>
        <v>0</v>
      </c>
      <c r="X540" s="24">
        <f t="shared" si="1233"/>
        <v>0</v>
      </c>
      <c r="Y540" s="23">
        <f t="shared" si="1233"/>
        <v>0</v>
      </c>
      <c r="Z540" s="22">
        <f t="shared" si="1214"/>
        <v>0</v>
      </c>
      <c r="AA540" s="24">
        <f t="shared" si="1234"/>
        <v>0</v>
      </c>
      <c r="AB540" s="23">
        <f t="shared" si="1234"/>
        <v>0</v>
      </c>
      <c r="AC540" s="22">
        <f t="shared" si="1215"/>
        <v>0</v>
      </c>
      <c r="AD540" s="24">
        <f t="shared" si="1235"/>
        <v>0</v>
      </c>
      <c r="AE540" s="23">
        <f t="shared" si="1235"/>
        <v>0</v>
      </c>
      <c r="AF540" s="22">
        <f t="shared" si="1216"/>
        <v>0</v>
      </c>
      <c r="AG540" s="24">
        <f t="shared" si="1236"/>
        <v>0</v>
      </c>
      <c r="AH540" s="23">
        <f t="shared" si="1236"/>
        <v>0</v>
      </c>
      <c r="AI540" s="22">
        <f t="shared" si="1217"/>
        <v>0</v>
      </c>
      <c r="AJ540" s="24">
        <f t="shared" si="1237"/>
        <v>0</v>
      </c>
      <c r="AK540" s="23">
        <f t="shared" si="1237"/>
        <v>0</v>
      </c>
      <c r="AL540" s="22">
        <f t="shared" si="1218"/>
        <v>0</v>
      </c>
      <c r="AM540" s="24">
        <f t="shared" si="1238"/>
        <v>0</v>
      </c>
      <c r="AN540" s="23">
        <f t="shared" si="1238"/>
        <v>0</v>
      </c>
      <c r="AO540" s="22">
        <f t="shared" si="1219"/>
        <v>0</v>
      </c>
      <c r="AP540" s="24">
        <f t="shared" si="1239"/>
        <v>0</v>
      </c>
      <c r="AQ540" s="23">
        <f t="shared" si="1239"/>
        <v>0</v>
      </c>
      <c r="AR540" s="22">
        <f t="shared" si="1220"/>
        <v>0</v>
      </c>
      <c r="AS540" s="24">
        <f t="shared" si="1240"/>
        <v>0</v>
      </c>
      <c r="AT540" s="23">
        <f t="shared" si="1240"/>
        <v>0</v>
      </c>
      <c r="AU540" s="22">
        <f t="shared" si="1221"/>
        <v>0</v>
      </c>
      <c r="AV540" s="24">
        <f t="shared" si="1241"/>
        <v>0</v>
      </c>
      <c r="AW540" s="23">
        <f t="shared" si="1241"/>
        <v>0</v>
      </c>
      <c r="AX540" s="22">
        <f t="shared" si="1222"/>
        <v>0</v>
      </c>
      <c r="AY540" s="23">
        <f t="shared" si="1242"/>
        <v>0</v>
      </c>
      <c r="AZ540" s="23">
        <f t="shared" si="1242"/>
        <v>0</v>
      </c>
      <c r="BA540" s="22">
        <f t="shared" si="1223"/>
        <v>0</v>
      </c>
      <c r="BB540" s="24">
        <f t="shared" si="1243"/>
        <v>0</v>
      </c>
      <c r="BC540" s="23">
        <f t="shared" si="1243"/>
        <v>0</v>
      </c>
      <c r="BD540" s="22">
        <f t="shared" si="1224"/>
        <v>0</v>
      </c>
      <c r="BE540" s="24">
        <f t="shared" si="1225"/>
        <v>0</v>
      </c>
      <c r="BF540" s="24">
        <f t="shared" si="1225"/>
        <v>0</v>
      </c>
      <c r="BG540" s="20">
        <f t="shared" ref="BG540" si="1246">IF(BG91=0,0,BG440/BG91)</f>
        <v>0</v>
      </c>
    </row>
    <row r="541" spans="1:59" ht="13.5" hidden="1" customHeight="1" outlineLevel="1" x14ac:dyDescent="0.25">
      <c r="A541" s="60"/>
      <c r="B541" s="84" t="s">
        <v>51</v>
      </c>
      <c r="C541" s="26" t="s">
        <v>110</v>
      </c>
      <c r="D541" s="20">
        <f t="shared" si="1227"/>
        <v>0</v>
      </c>
      <c r="E541" s="20">
        <f t="shared" si="1227"/>
        <v>0</v>
      </c>
      <c r="F541" s="24">
        <f t="shared" si="1227"/>
        <v>0</v>
      </c>
      <c r="G541" s="23">
        <f t="shared" si="1227"/>
        <v>0</v>
      </c>
      <c r="H541" s="22">
        <f t="shared" si="1208"/>
        <v>0</v>
      </c>
      <c r="I541" s="24">
        <f t="shared" si="1228"/>
        <v>0</v>
      </c>
      <c r="J541" s="23">
        <f t="shared" si="1228"/>
        <v>0</v>
      </c>
      <c r="K541" s="22">
        <f t="shared" si="1209"/>
        <v>0</v>
      </c>
      <c r="L541" s="24">
        <f t="shared" si="1229"/>
        <v>0</v>
      </c>
      <c r="M541" s="23">
        <f t="shared" si="1229"/>
        <v>0</v>
      </c>
      <c r="N541" s="22">
        <f t="shared" si="1210"/>
        <v>0</v>
      </c>
      <c r="O541" s="24">
        <f t="shared" si="1230"/>
        <v>0</v>
      </c>
      <c r="P541" s="23">
        <f t="shared" si="1230"/>
        <v>0</v>
      </c>
      <c r="Q541" s="22">
        <f t="shared" si="1211"/>
        <v>0</v>
      </c>
      <c r="R541" s="24">
        <f t="shared" si="1231"/>
        <v>0</v>
      </c>
      <c r="S541" s="23">
        <f t="shared" si="1231"/>
        <v>0</v>
      </c>
      <c r="T541" s="22">
        <f t="shared" si="1212"/>
        <v>0</v>
      </c>
      <c r="U541" s="24">
        <f t="shared" si="1232"/>
        <v>0</v>
      </c>
      <c r="V541" s="23">
        <f t="shared" si="1232"/>
        <v>0</v>
      </c>
      <c r="W541" s="22">
        <f t="shared" si="1213"/>
        <v>0</v>
      </c>
      <c r="X541" s="24">
        <f t="shared" si="1233"/>
        <v>0</v>
      </c>
      <c r="Y541" s="23">
        <f t="shared" si="1233"/>
        <v>0</v>
      </c>
      <c r="Z541" s="22">
        <f t="shared" si="1214"/>
        <v>0</v>
      </c>
      <c r="AA541" s="24">
        <f t="shared" si="1234"/>
        <v>0</v>
      </c>
      <c r="AB541" s="23">
        <f t="shared" si="1234"/>
        <v>0</v>
      </c>
      <c r="AC541" s="22">
        <f t="shared" si="1215"/>
        <v>0</v>
      </c>
      <c r="AD541" s="24">
        <f t="shared" si="1235"/>
        <v>0</v>
      </c>
      <c r="AE541" s="23">
        <f t="shared" si="1235"/>
        <v>0</v>
      </c>
      <c r="AF541" s="22">
        <f t="shared" si="1216"/>
        <v>0</v>
      </c>
      <c r="AG541" s="24">
        <f t="shared" si="1236"/>
        <v>0</v>
      </c>
      <c r="AH541" s="23">
        <f t="shared" si="1236"/>
        <v>0</v>
      </c>
      <c r="AI541" s="22">
        <f t="shared" si="1217"/>
        <v>0</v>
      </c>
      <c r="AJ541" s="24">
        <f t="shared" si="1237"/>
        <v>0</v>
      </c>
      <c r="AK541" s="23">
        <f t="shared" si="1237"/>
        <v>0</v>
      </c>
      <c r="AL541" s="22">
        <f t="shared" si="1218"/>
        <v>0</v>
      </c>
      <c r="AM541" s="24">
        <f t="shared" si="1238"/>
        <v>0</v>
      </c>
      <c r="AN541" s="23">
        <f t="shared" si="1238"/>
        <v>0</v>
      </c>
      <c r="AO541" s="22">
        <f t="shared" si="1219"/>
        <v>0</v>
      </c>
      <c r="AP541" s="24">
        <f t="shared" si="1239"/>
        <v>0</v>
      </c>
      <c r="AQ541" s="23">
        <f t="shared" si="1239"/>
        <v>0</v>
      </c>
      <c r="AR541" s="22">
        <f t="shared" si="1220"/>
        <v>0</v>
      </c>
      <c r="AS541" s="24">
        <f t="shared" si="1240"/>
        <v>0</v>
      </c>
      <c r="AT541" s="23">
        <f t="shared" si="1240"/>
        <v>0</v>
      </c>
      <c r="AU541" s="22">
        <f t="shared" si="1221"/>
        <v>0</v>
      </c>
      <c r="AV541" s="24">
        <f t="shared" si="1241"/>
        <v>0</v>
      </c>
      <c r="AW541" s="23">
        <f t="shared" si="1241"/>
        <v>0</v>
      </c>
      <c r="AX541" s="22">
        <f t="shared" si="1222"/>
        <v>0</v>
      </c>
      <c r="AY541" s="23">
        <f t="shared" si="1242"/>
        <v>0</v>
      </c>
      <c r="AZ541" s="23">
        <f t="shared" si="1242"/>
        <v>0</v>
      </c>
      <c r="BA541" s="22">
        <f t="shared" si="1223"/>
        <v>0</v>
      </c>
      <c r="BB541" s="24">
        <f t="shared" si="1243"/>
        <v>0</v>
      </c>
      <c r="BC541" s="23">
        <f t="shared" si="1243"/>
        <v>0</v>
      </c>
      <c r="BD541" s="22">
        <f t="shared" si="1224"/>
        <v>0</v>
      </c>
      <c r="BE541" s="24">
        <f t="shared" si="1225"/>
        <v>0</v>
      </c>
      <c r="BF541" s="24">
        <f t="shared" si="1225"/>
        <v>0</v>
      </c>
      <c r="BG541" s="20">
        <f t="shared" ref="BG541" si="1247">IF(BG92=0,0,BG441/BG92)</f>
        <v>0</v>
      </c>
    </row>
    <row r="542" spans="1:59" ht="13.5" hidden="1" customHeight="1" outlineLevel="1" x14ac:dyDescent="0.25">
      <c r="A542" s="60"/>
      <c r="B542" s="84" t="s">
        <v>52</v>
      </c>
      <c r="C542" s="26" t="s">
        <v>110</v>
      </c>
      <c r="D542" s="20">
        <f t="shared" si="1227"/>
        <v>0</v>
      </c>
      <c r="E542" s="20">
        <f t="shared" si="1227"/>
        <v>0</v>
      </c>
      <c r="F542" s="24">
        <f t="shared" si="1227"/>
        <v>0</v>
      </c>
      <c r="G542" s="23">
        <f t="shared" si="1227"/>
        <v>0</v>
      </c>
      <c r="H542" s="22">
        <f t="shared" si="1208"/>
        <v>0</v>
      </c>
      <c r="I542" s="24">
        <f t="shared" si="1228"/>
        <v>0</v>
      </c>
      <c r="J542" s="23">
        <f t="shared" si="1228"/>
        <v>0</v>
      </c>
      <c r="K542" s="22">
        <f t="shared" si="1209"/>
        <v>0</v>
      </c>
      <c r="L542" s="24">
        <f t="shared" si="1229"/>
        <v>0</v>
      </c>
      <c r="M542" s="23">
        <f t="shared" si="1229"/>
        <v>0</v>
      </c>
      <c r="N542" s="22">
        <f t="shared" si="1210"/>
        <v>0</v>
      </c>
      <c r="O542" s="24">
        <f t="shared" si="1230"/>
        <v>0</v>
      </c>
      <c r="P542" s="23">
        <f t="shared" si="1230"/>
        <v>0</v>
      </c>
      <c r="Q542" s="22">
        <f t="shared" si="1211"/>
        <v>0</v>
      </c>
      <c r="R542" s="24">
        <f t="shared" si="1231"/>
        <v>0</v>
      </c>
      <c r="S542" s="23">
        <f t="shared" si="1231"/>
        <v>0</v>
      </c>
      <c r="T542" s="22">
        <f t="shared" si="1212"/>
        <v>0</v>
      </c>
      <c r="U542" s="24">
        <f t="shared" si="1232"/>
        <v>0</v>
      </c>
      <c r="V542" s="23">
        <f t="shared" si="1232"/>
        <v>0</v>
      </c>
      <c r="W542" s="22">
        <f t="shared" si="1213"/>
        <v>0</v>
      </c>
      <c r="X542" s="24">
        <f t="shared" si="1233"/>
        <v>0</v>
      </c>
      <c r="Y542" s="23">
        <f t="shared" si="1233"/>
        <v>0</v>
      </c>
      <c r="Z542" s="22">
        <f t="shared" si="1214"/>
        <v>0</v>
      </c>
      <c r="AA542" s="24">
        <f t="shared" si="1234"/>
        <v>0</v>
      </c>
      <c r="AB542" s="23">
        <f t="shared" si="1234"/>
        <v>0</v>
      </c>
      <c r="AC542" s="22">
        <f t="shared" si="1215"/>
        <v>0</v>
      </c>
      <c r="AD542" s="24">
        <f t="shared" si="1235"/>
        <v>0</v>
      </c>
      <c r="AE542" s="23">
        <f t="shared" si="1235"/>
        <v>0</v>
      </c>
      <c r="AF542" s="22">
        <f t="shared" si="1216"/>
        <v>0</v>
      </c>
      <c r="AG542" s="24">
        <f t="shared" si="1236"/>
        <v>0</v>
      </c>
      <c r="AH542" s="23">
        <f t="shared" si="1236"/>
        <v>0</v>
      </c>
      <c r="AI542" s="22">
        <f t="shared" si="1217"/>
        <v>0</v>
      </c>
      <c r="AJ542" s="24">
        <f t="shared" si="1237"/>
        <v>0</v>
      </c>
      <c r="AK542" s="23">
        <f t="shared" si="1237"/>
        <v>0</v>
      </c>
      <c r="AL542" s="22">
        <f t="shared" si="1218"/>
        <v>0</v>
      </c>
      <c r="AM542" s="24">
        <f t="shared" si="1238"/>
        <v>0</v>
      </c>
      <c r="AN542" s="23">
        <f t="shared" si="1238"/>
        <v>0</v>
      </c>
      <c r="AO542" s="22">
        <f t="shared" si="1219"/>
        <v>0</v>
      </c>
      <c r="AP542" s="24">
        <f t="shared" si="1239"/>
        <v>0</v>
      </c>
      <c r="AQ542" s="23">
        <f t="shared" si="1239"/>
        <v>0</v>
      </c>
      <c r="AR542" s="22">
        <f t="shared" si="1220"/>
        <v>0</v>
      </c>
      <c r="AS542" s="24">
        <f t="shared" si="1240"/>
        <v>0</v>
      </c>
      <c r="AT542" s="23">
        <f t="shared" si="1240"/>
        <v>0</v>
      </c>
      <c r="AU542" s="22">
        <f t="shared" si="1221"/>
        <v>0</v>
      </c>
      <c r="AV542" s="24">
        <f t="shared" si="1241"/>
        <v>0</v>
      </c>
      <c r="AW542" s="23">
        <f t="shared" si="1241"/>
        <v>0</v>
      </c>
      <c r="AX542" s="22">
        <f t="shared" si="1222"/>
        <v>0</v>
      </c>
      <c r="AY542" s="23">
        <f t="shared" si="1242"/>
        <v>0</v>
      </c>
      <c r="AZ542" s="23">
        <f t="shared" si="1242"/>
        <v>0</v>
      </c>
      <c r="BA542" s="22">
        <f t="shared" si="1223"/>
        <v>0</v>
      </c>
      <c r="BB542" s="24">
        <f t="shared" si="1243"/>
        <v>0</v>
      </c>
      <c r="BC542" s="23">
        <f t="shared" si="1243"/>
        <v>0</v>
      </c>
      <c r="BD542" s="22">
        <f t="shared" si="1224"/>
        <v>0</v>
      </c>
      <c r="BE542" s="24">
        <f t="shared" si="1225"/>
        <v>0</v>
      </c>
      <c r="BF542" s="24">
        <f t="shared" si="1225"/>
        <v>0</v>
      </c>
      <c r="BG542" s="20">
        <f t="shared" ref="BG542" si="1248">IF(BG93=0,0,BG442/BG93)</f>
        <v>0</v>
      </c>
    </row>
    <row r="543" spans="1:59" ht="13.5" hidden="1" customHeight="1" outlineLevel="1" x14ac:dyDescent="0.25">
      <c r="A543" s="60"/>
      <c r="B543" s="84" t="s">
        <v>53</v>
      </c>
      <c r="C543" s="26" t="s">
        <v>110</v>
      </c>
      <c r="D543" s="20">
        <f t="shared" si="1227"/>
        <v>0</v>
      </c>
      <c r="E543" s="20">
        <f t="shared" si="1227"/>
        <v>0</v>
      </c>
      <c r="F543" s="24">
        <f t="shared" si="1227"/>
        <v>0</v>
      </c>
      <c r="G543" s="23">
        <f t="shared" si="1227"/>
        <v>0</v>
      </c>
      <c r="H543" s="22">
        <f t="shared" si="1208"/>
        <v>0</v>
      </c>
      <c r="I543" s="24">
        <f t="shared" si="1228"/>
        <v>0</v>
      </c>
      <c r="J543" s="23">
        <f t="shared" si="1228"/>
        <v>0</v>
      </c>
      <c r="K543" s="22">
        <f t="shared" si="1209"/>
        <v>0</v>
      </c>
      <c r="L543" s="24">
        <f t="shared" si="1229"/>
        <v>0</v>
      </c>
      <c r="M543" s="23">
        <f t="shared" si="1229"/>
        <v>0</v>
      </c>
      <c r="N543" s="22">
        <f t="shared" si="1210"/>
        <v>0</v>
      </c>
      <c r="O543" s="24">
        <f t="shared" si="1230"/>
        <v>0</v>
      </c>
      <c r="P543" s="23">
        <f t="shared" si="1230"/>
        <v>0</v>
      </c>
      <c r="Q543" s="22">
        <f t="shared" si="1211"/>
        <v>0</v>
      </c>
      <c r="R543" s="24">
        <f t="shared" si="1231"/>
        <v>0</v>
      </c>
      <c r="S543" s="23">
        <f t="shared" si="1231"/>
        <v>0</v>
      </c>
      <c r="T543" s="22">
        <f t="shared" si="1212"/>
        <v>0</v>
      </c>
      <c r="U543" s="24">
        <f t="shared" si="1232"/>
        <v>0</v>
      </c>
      <c r="V543" s="23">
        <f t="shared" si="1232"/>
        <v>0</v>
      </c>
      <c r="W543" s="22">
        <f t="shared" si="1213"/>
        <v>0</v>
      </c>
      <c r="X543" s="24">
        <f t="shared" si="1233"/>
        <v>0</v>
      </c>
      <c r="Y543" s="23">
        <f t="shared" si="1233"/>
        <v>0</v>
      </c>
      <c r="Z543" s="22">
        <f t="shared" si="1214"/>
        <v>0</v>
      </c>
      <c r="AA543" s="24">
        <f t="shared" si="1234"/>
        <v>0</v>
      </c>
      <c r="AB543" s="23">
        <f t="shared" si="1234"/>
        <v>0</v>
      </c>
      <c r="AC543" s="22">
        <f t="shared" si="1215"/>
        <v>0</v>
      </c>
      <c r="AD543" s="24">
        <f t="shared" si="1235"/>
        <v>0</v>
      </c>
      <c r="AE543" s="23">
        <f t="shared" si="1235"/>
        <v>0</v>
      </c>
      <c r="AF543" s="22">
        <f t="shared" si="1216"/>
        <v>0</v>
      </c>
      <c r="AG543" s="24">
        <f t="shared" si="1236"/>
        <v>0</v>
      </c>
      <c r="AH543" s="23">
        <f t="shared" si="1236"/>
        <v>0</v>
      </c>
      <c r="AI543" s="22">
        <f t="shared" si="1217"/>
        <v>0</v>
      </c>
      <c r="AJ543" s="24">
        <f t="shared" si="1237"/>
        <v>0</v>
      </c>
      <c r="AK543" s="23">
        <f t="shared" si="1237"/>
        <v>0</v>
      </c>
      <c r="AL543" s="22">
        <f t="shared" si="1218"/>
        <v>0</v>
      </c>
      <c r="AM543" s="24">
        <f t="shared" si="1238"/>
        <v>0</v>
      </c>
      <c r="AN543" s="23">
        <f t="shared" si="1238"/>
        <v>0</v>
      </c>
      <c r="AO543" s="22">
        <f t="shared" si="1219"/>
        <v>0</v>
      </c>
      <c r="AP543" s="24">
        <f t="shared" si="1239"/>
        <v>0</v>
      </c>
      <c r="AQ543" s="23">
        <f t="shared" si="1239"/>
        <v>0</v>
      </c>
      <c r="AR543" s="22">
        <f t="shared" si="1220"/>
        <v>0</v>
      </c>
      <c r="AS543" s="24">
        <f t="shared" si="1240"/>
        <v>0</v>
      </c>
      <c r="AT543" s="23">
        <f t="shared" si="1240"/>
        <v>0</v>
      </c>
      <c r="AU543" s="22">
        <f t="shared" si="1221"/>
        <v>0</v>
      </c>
      <c r="AV543" s="24">
        <f t="shared" si="1241"/>
        <v>0</v>
      </c>
      <c r="AW543" s="23">
        <f t="shared" si="1241"/>
        <v>0</v>
      </c>
      <c r="AX543" s="22">
        <f t="shared" si="1222"/>
        <v>0</v>
      </c>
      <c r="AY543" s="23">
        <f t="shared" si="1242"/>
        <v>0</v>
      </c>
      <c r="AZ543" s="23">
        <f t="shared" si="1242"/>
        <v>0</v>
      </c>
      <c r="BA543" s="22">
        <f t="shared" si="1223"/>
        <v>0</v>
      </c>
      <c r="BB543" s="24">
        <f t="shared" si="1243"/>
        <v>0</v>
      </c>
      <c r="BC543" s="23">
        <f t="shared" si="1243"/>
        <v>0</v>
      </c>
      <c r="BD543" s="22">
        <f t="shared" si="1224"/>
        <v>0</v>
      </c>
      <c r="BE543" s="24">
        <f t="shared" si="1225"/>
        <v>0</v>
      </c>
      <c r="BF543" s="24">
        <f t="shared" si="1225"/>
        <v>0</v>
      </c>
      <c r="BG543" s="20">
        <f t="shared" ref="BG543" si="1249">IF(BG94=0,0,BG443/BG94)</f>
        <v>0</v>
      </c>
    </row>
    <row r="544" spans="1:59" ht="13.5" hidden="1" customHeight="1" outlineLevel="1" x14ac:dyDescent="0.25">
      <c r="A544" s="60"/>
      <c r="B544" s="84" t="s">
        <v>54</v>
      </c>
      <c r="C544" s="26" t="s">
        <v>110</v>
      </c>
      <c r="D544" s="20">
        <f t="shared" si="1227"/>
        <v>0</v>
      </c>
      <c r="E544" s="20">
        <f t="shared" si="1227"/>
        <v>0</v>
      </c>
      <c r="F544" s="24">
        <f t="shared" si="1227"/>
        <v>0</v>
      </c>
      <c r="G544" s="23">
        <f t="shared" si="1227"/>
        <v>0</v>
      </c>
      <c r="H544" s="22">
        <f t="shared" si="1208"/>
        <v>0</v>
      </c>
      <c r="I544" s="24">
        <f t="shared" si="1228"/>
        <v>0</v>
      </c>
      <c r="J544" s="23">
        <f t="shared" si="1228"/>
        <v>0</v>
      </c>
      <c r="K544" s="22">
        <f t="shared" si="1209"/>
        <v>0</v>
      </c>
      <c r="L544" s="24">
        <f t="shared" si="1229"/>
        <v>0</v>
      </c>
      <c r="M544" s="23">
        <f t="shared" si="1229"/>
        <v>0</v>
      </c>
      <c r="N544" s="22">
        <f t="shared" si="1210"/>
        <v>0</v>
      </c>
      <c r="O544" s="24">
        <f t="shared" si="1230"/>
        <v>0</v>
      </c>
      <c r="P544" s="23">
        <f t="shared" si="1230"/>
        <v>0</v>
      </c>
      <c r="Q544" s="22">
        <f t="shared" si="1211"/>
        <v>0</v>
      </c>
      <c r="R544" s="24">
        <f t="shared" si="1231"/>
        <v>0</v>
      </c>
      <c r="S544" s="23">
        <f t="shared" si="1231"/>
        <v>0</v>
      </c>
      <c r="T544" s="22">
        <f t="shared" si="1212"/>
        <v>0</v>
      </c>
      <c r="U544" s="24">
        <f t="shared" si="1232"/>
        <v>0</v>
      </c>
      <c r="V544" s="23">
        <f t="shared" si="1232"/>
        <v>0</v>
      </c>
      <c r="W544" s="22">
        <f t="shared" si="1213"/>
        <v>0</v>
      </c>
      <c r="X544" s="24">
        <f t="shared" si="1233"/>
        <v>0</v>
      </c>
      <c r="Y544" s="23">
        <f t="shared" si="1233"/>
        <v>0</v>
      </c>
      <c r="Z544" s="22">
        <f t="shared" si="1214"/>
        <v>0</v>
      </c>
      <c r="AA544" s="24">
        <f t="shared" si="1234"/>
        <v>0</v>
      </c>
      <c r="AB544" s="23">
        <f t="shared" si="1234"/>
        <v>0</v>
      </c>
      <c r="AC544" s="22">
        <f t="shared" si="1215"/>
        <v>0</v>
      </c>
      <c r="AD544" s="24">
        <f t="shared" si="1235"/>
        <v>0</v>
      </c>
      <c r="AE544" s="23">
        <f t="shared" si="1235"/>
        <v>0</v>
      </c>
      <c r="AF544" s="22">
        <f t="shared" si="1216"/>
        <v>0</v>
      </c>
      <c r="AG544" s="24">
        <f t="shared" si="1236"/>
        <v>0</v>
      </c>
      <c r="AH544" s="23">
        <f t="shared" si="1236"/>
        <v>0</v>
      </c>
      <c r="AI544" s="22">
        <f t="shared" si="1217"/>
        <v>0</v>
      </c>
      <c r="AJ544" s="24">
        <f t="shared" si="1237"/>
        <v>0</v>
      </c>
      <c r="AK544" s="23">
        <f t="shared" si="1237"/>
        <v>0</v>
      </c>
      <c r="AL544" s="22">
        <f t="shared" si="1218"/>
        <v>0</v>
      </c>
      <c r="AM544" s="24">
        <f t="shared" si="1238"/>
        <v>0</v>
      </c>
      <c r="AN544" s="23">
        <f t="shared" si="1238"/>
        <v>0</v>
      </c>
      <c r="AO544" s="22">
        <f t="shared" si="1219"/>
        <v>0</v>
      </c>
      <c r="AP544" s="24">
        <f t="shared" si="1239"/>
        <v>0</v>
      </c>
      <c r="AQ544" s="23">
        <f t="shared" si="1239"/>
        <v>0</v>
      </c>
      <c r="AR544" s="22">
        <f t="shared" si="1220"/>
        <v>0</v>
      </c>
      <c r="AS544" s="24">
        <f t="shared" si="1240"/>
        <v>0</v>
      </c>
      <c r="AT544" s="23">
        <f t="shared" si="1240"/>
        <v>0</v>
      </c>
      <c r="AU544" s="22">
        <f t="shared" si="1221"/>
        <v>0</v>
      </c>
      <c r="AV544" s="24">
        <f t="shared" si="1241"/>
        <v>0</v>
      </c>
      <c r="AW544" s="23">
        <f t="shared" si="1241"/>
        <v>0</v>
      </c>
      <c r="AX544" s="22">
        <f t="shared" si="1222"/>
        <v>0</v>
      </c>
      <c r="AY544" s="23">
        <f t="shared" si="1242"/>
        <v>0</v>
      </c>
      <c r="AZ544" s="23">
        <f t="shared" si="1242"/>
        <v>0</v>
      </c>
      <c r="BA544" s="22">
        <f t="shared" si="1223"/>
        <v>0</v>
      </c>
      <c r="BB544" s="24">
        <f t="shared" si="1243"/>
        <v>0</v>
      </c>
      <c r="BC544" s="23">
        <f t="shared" si="1243"/>
        <v>0</v>
      </c>
      <c r="BD544" s="22">
        <f t="shared" si="1224"/>
        <v>0</v>
      </c>
      <c r="BE544" s="24">
        <f t="shared" si="1225"/>
        <v>0</v>
      </c>
      <c r="BF544" s="24">
        <f t="shared" si="1225"/>
        <v>0</v>
      </c>
      <c r="BG544" s="20">
        <f t="shared" ref="BG544" si="1250">IF(BG95=0,0,BG444/BG95)</f>
        <v>0</v>
      </c>
    </row>
    <row r="545" spans="1:59" ht="13.5" hidden="1" customHeight="1" outlineLevel="1" x14ac:dyDescent="0.25">
      <c r="A545" s="65"/>
      <c r="B545" s="84" t="s">
        <v>55</v>
      </c>
      <c r="C545" s="46" t="s">
        <v>110</v>
      </c>
      <c r="D545" s="168">
        <f t="shared" si="1227"/>
        <v>0</v>
      </c>
      <c r="E545" s="168">
        <f t="shared" si="1227"/>
        <v>0</v>
      </c>
      <c r="F545" s="171">
        <f t="shared" si="1227"/>
        <v>0</v>
      </c>
      <c r="G545" s="169">
        <f t="shared" si="1227"/>
        <v>0</v>
      </c>
      <c r="H545" s="170">
        <f t="shared" si="1208"/>
        <v>0</v>
      </c>
      <c r="I545" s="171">
        <f t="shared" si="1228"/>
        <v>0</v>
      </c>
      <c r="J545" s="169">
        <f t="shared" si="1228"/>
        <v>0</v>
      </c>
      <c r="K545" s="170">
        <f t="shared" si="1209"/>
        <v>0</v>
      </c>
      <c r="L545" s="171">
        <f t="shared" si="1229"/>
        <v>0</v>
      </c>
      <c r="M545" s="169">
        <f t="shared" si="1229"/>
        <v>0</v>
      </c>
      <c r="N545" s="170">
        <f t="shared" si="1210"/>
        <v>0</v>
      </c>
      <c r="O545" s="171">
        <f t="shared" si="1230"/>
        <v>0</v>
      </c>
      <c r="P545" s="169">
        <f t="shared" si="1230"/>
        <v>0</v>
      </c>
      <c r="Q545" s="170">
        <f t="shared" si="1211"/>
        <v>0</v>
      </c>
      <c r="R545" s="171">
        <f t="shared" si="1231"/>
        <v>0</v>
      </c>
      <c r="S545" s="169">
        <f t="shared" si="1231"/>
        <v>0</v>
      </c>
      <c r="T545" s="170">
        <f t="shared" si="1212"/>
        <v>0</v>
      </c>
      <c r="U545" s="171">
        <f t="shared" si="1232"/>
        <v>0</v>
      </c>
      <c r="V545" s="169">
        <f t="shared" si="1232"/>
        <v>0</v>
      </c>
      <c r="W545" s="170">
        <f t="shared" si="1213"/>
        <v>0</v>
      </c>
      <c r="X545" s="171">
        <f t="shared" si="1233"/>
        <v>0</v>
      </c>
      <c r="Y545" s="169">
        <f t="shared" si="1233"/>
        <v>0</v>
      </c>
      <c r="Z545" s="170">
        <f t="shared" si="1214"/>
        <v>0</v>
      </c>
      <c r="AA545" s="171">
        <f t="shared" si="1234"/>
        <v>0</v>
      </c>
      <c r="AB545" s="169">
        <f t="shared" si="1234"/>
        <v>0</v>
      </c>
      <c r="AC545" s="170">
        <f t="shared" si="1215"/>
        <v>0</v>
      </c>
      <c r="AD545" s="171">
        <f t="shared" si="1235"/>
        <v>0</v>
      </c>
      <c r="AE545" s="169">
        <f t="shared" si="1235"/>
        <v>0</v>
      </c>
      <c r="AF545" s="170">
        <f t="shared" si="1216"/>
        <v>0</v>
      </c>
      <c r="AG545" s="171">
        <f t="shared" si="1236"/>
        <v>0</v>
      </c>
      <c r="AH545" s="169">
        <f t="shared" si="1236"/>
        <v>0</v>
      </c>
      <c r="AI545" s="170">
        <f t="shared" si="1217"/>
        <v>0</v>
      </c>
      <c r="AJ545" s="171">
        <f t="shared" si="1237"/>
        <v>0</v>
      </c>
      <c r="AK545" s="169">
        <f t="shared" si="1237"/>
        <v>0</v>
      </c>
      <c r="AL545" s="170">
        <f t="shared" si="1218"/>
        <v>0</v>
      </c>
      <c r="AM545" s="171">
        <f t="shared" si="1238"/>
        <v>0</v>
      </c>
      <c r="AN545" s="169">
        <f t="shared" si="1238"/>
        <v>0</v>
      </c>
      <c r="AO545" s="170">
        <f t="shared" si="1219"/>
        <v>0</v>
      </c>
      <c r="AP545" s="171">
        <f t="shared" si="1239"/>
        <v>0</v>
      </c>
      <c r="AQ545" s="169">
        <f t="shared" si="1239"/>
        <v>0</v>
      </c>
      <c r="AR545" s="170">
        <f t="shared" si="1220"/>
        <v>0</v>
      </c>
      <c r="AS545" s="171">
        <f t="shared" si="1240"/>
        <v>0</v>
      </c>
      <c r="AT545" s="169">
        <f t="shared" si="1240"/>
        <v>0</v>
      </c>
      <c r="AU545" s="170">
        <f t="shared" si="1221"/>
        <v>0</v>
      </c>
      <c r="AV545" s="171">
        <f t="shared" si="1241"/>
        <v>0</v>
      </c>
      <c r="AW545" s="169">
        <f t="shared" si="1241"/>
        <v>0</v>
      </c>
      <c r="AX545" s="170">
        <f t="shared" si="1222"/>
        <v>0</v>
      </c>
      <c r="AY545" s="169">
        <f t="shared" si="1242"/>
        <v>0</v>
      </c>
      <c r="AZ545" s="169">
        <f t="shared" si="1242"/>
        <v>0</v>
      </c>
      <c r="BA545" s="170">
        <f t="shared" si="1223"/>
        <v>0</v>
      </c>
      <c r="BB545" s="171">
        <f t="shared" si="1243"/>
        <v>0</v>
      </c>
      <c r="BC545" s="169">
        <f t="shared" si="1243"/>
        <v>0</v>
      </c>
      <c r="BD545" s="170">
        <f t="shared" si="1224"/>
        <v>0</v>
      </c>
      <c r="BE545" s="171">
        <f t="shared" si="1225"/>
        <v>0</v>
      </c>
      <c r="BF545" s="171">
        <f t="shared" si="1225"/>
        <v>0</v>
      </c>
      <c r="BG545" s="168">
        <f t="shared" ref="BG545" si="1251">IF(BG96=0,0,BG445/BG96)</f>
        <v>0</v>
      </c>
    </row>
    <row r="546" spans="1:59" ht="13.5" hidden="1" customHeight="1" outlineLevel="1" x14ac:dyDescent="0.25">
      <c r="A546" s="65"/>
      <c r="B546" s="99" t="s">
        <v>56</v>
      </c>
      <c r="C546" s="46" t="s">
        <v>110</v>
      </c>
      <c r="D546" s="168">
        <f t="shared" si="1227"/>
        <v>0</v>
      </c>
      <c r="E546" s="168">
        <f t="shared" si="1227"/>
        <v>0</v>
      </c>
      <c r="F546" s="171">
        <f t="shared" si="1227"/>
        <v>0</v>
      </c>
      <c r="G546" s="169">
        <f t="shared" si="1227"/>
        <v>0</v>
      </c>
      <c r="H546" s="170">
        <f t="shared" si="1208"/>
        <v>0</v>
      </c>
      <c r="I546" s="171">
        <f t="shared" si="1228"/>
        <v>0</v>
      </c>
      <c r="J546" s="169">
        <f t="shared" si="1228"/>
        <v>0</v>
      </c>
      <c r="K546" s="170">
        <f t="shared" si="1209"/>
        <v>0</v>
      </c>
      <c r="L546" s="171">
        <f t="shared" si="1229"/>
        <v>0</v>
      </c>
      <c r="M546" s="169">
        <f t="shared" si="1229"/>
        <v>0</v>
      </c>
      <c r="N546" s="170">
        <f t="shared" si="1210"/>
        <v>0</v>
      </c>
      <c r="O546" s="171">
        <f t="shared" si="1230"/>
        <v>0</v>
      </c>
      <c r="P546" s="169">
        <f t="shared" si="1230"/>
        <v>0</v>
      </c>
      <c r="Q546" s="170">
        <f t="shared" si="1211"/>
        <v>0</v>
      </c>
      <c r="R546" s="171">
        <f t="shared" si="1231"/>
        <v>0</v>
      </c>
      <c r="S546" s="169">
        <f t="shared" si="1231"/>
        <v>0</v>
      </c>
      <c r="T546" s="170">
        <f t="shared" si="1212"/>
        <v>0</v>
      </c>
      <c r="U546" s="171">
        <f t="shared" si="1232"/>
        <v>0</v>
      </c>
      <c r="V546" s="169">
        <f t="shared" si="1232"/>
        <v>0</v>
      </c>
      <c r="W546" s="170">
        <f t="shared" si="1213"/>
        <v>0</v>
      </c>
      <c r="X546" s="171">
        <f t="shared" si="1233"/>
        <v>0</v>
      </c>
      <c r="Y546" s="169">
        <f t="shared" si="1233"/>
        <v>0</v>
      </c>
      <c r="Z546" s="170">
        <f t="shared" si="1214"/>
        <v>0</v>
      </c>
      <c r="AA546" s="171">
        <f t="shared" si="1234"/>
        <v>0</v>
      </c>
      <c r="AB546" s="169">
        <f t="shared" si="1234"/>
        <v>0</v>
      </c>
      <c r="AC546" s="170">
        <f t="shared" si="1215"/>
        <v>0</v>
      </c>
      <c r="AD546" s="171">
        <f t="shared" si="1235"/>
        <v>0</v>
      </c>
      <c r="AE546" s="169">
        <f t="shared" si="1235"/>
        <v>0</v>
      </c>
      <c r="AF546" s="170">
        <f t="shared" si="1216"/>
        <v>0</v>
      </c>
      <c r="AG546" s="171">
        <f t="shared" si="1236"/>
        <v>0</v>
      </c>
      <c r="AH546" s="169">
        <f t="shared" si="1236"/>
        <v>0</v>
      </c>
      <c r="AI546" s="170">
        <f t="shared" si="1217"/>
        <v>0</v>
      </c>
      <c r="AJ546" s="171">
        <f t="shared" si="1237"/>
        <v>0</v>
      </c>
      <c r="AK546" s="169">
        <f t="shared" si="1237"/>
        <v>0</v>
      </c>
      <c r="AL546" s="170">
        <f t="shared" si="1218"/>
        <v>0</v>
      </c>
      <c r="AM546" s="171">
        <f t="shared" si="1238"/>
        <v>0</v>
      </c>
      <c r="AN546" s="169">
        <f t="shared" si="1238"/>
        <v>0</v>
      </c>
      <c r="AO546" s="170">
        <f t="shared" si="1219"/>
        <v>0</v>
      </c>
      <c r="AP546" s="171">
        <f t="shared" si="1239"/>
        <v>0</v>
      </c>
      <c r="AQ546" s="169">
        <f t="shared" si="1239"/>
        <v>0</v>
      </c>
      <c r="AR546" s="170">
        <f t="shared" si="1220"/>
        <v>0</v>
      </c>
      <c r="AS546" s="171">
        <f t="shared" si="1240"/>
        <v>0</v>
      </c>
      <c r="AT546" s="169">
        <f t="shared" si="1240"/>
        <v>0</v>
      </c>
      <c r="AU546" s="170">
        <f t="shared" si="1221"/>
        <v>0</v>
      </c>
      <c r="AV546" s="171">
        <f t="shared" si="1241"/>
        <v>0</v>
      </c>
      <c r="AW546" s="169">
        <f t="shared" si="1241"/>
        <v>0</v>
      </c>
      <c r="AX546" s="170">
        <f t="shared" si="1222"/>
        <v>0</v>
      </c>
      <c r="AY546" s="169">
        <f t="shared" si="1242"/>
        <v>0</v>
      </c>
      <c r="AZ546" s="169">
        <f t="shared" si="1242"/>
        <v>0</v>
      </c>
      <c r="BA546" s="170">
        <f t="shared" si="1223"/>
        <v>0</v>
      </c>
      <c r="BB546" s="171">
        <f t="shared" si="1243"/>
        <v>0</v>
      </c>
      <c r="BC546" s="169">
        <f t="shared" si="1243"/>
        <v>0</v>
      </c>
      <c r="BD546" s="170">
        <f t="shared" si="1224"/>
        <v>0</v>
      </c>
      <c r="BE546" s="171">
        <f t="shared" si="1225"/>
        <v>0</v>
      </c>
      <c r="BF546" s="171">
        <f t="shared" si="1225"/>
        <v>0</v>
      </c>
      <c r="BG546" s="168">
        <f t="shared" ref="BG546" si="1252">IF(BG97=0,0,BG446/BG97)</f>
        <v>0</v>
      </c>
    </row>
    <row r="547" spans="1:59" ht="13.5" hidden="1" customHeight="1" outlineLevel="1" x14ac:dyDescent="0.25">
      <c r="A547" s="65"/>
      <c r="B547" s="84" t="s">
        <v>57</v>
      </c>
      <c r="C547" s="46" t="s">
        <v>110</v>
      </c>
      <c r="D547" s="168">
        <f t="shared" si="1227"/>
        <v>0</v>
      </c>
      <c r="E547" s="168">
        <f t="shared" si="1227"/>
        <v>0</v>
      </c>
      <c r="F547" s="171">
        <f t="shared" si="1227"/>
        <v>0</v>
      </c>
      <c r="G547" s="169">
        <f t="shared" si="1227"/>
        <v>0</v>
      </c>
      <c r="H547" s="170">
        <f t="shared" si="1208"/>
        <v>0</v>
      </c>
      <c r="I547" s="171">
        <f t="shared" si="1228"/>
        <v>0</v>
      </c>
      <c r="J547" s="169">
        <f t="shared" si="1228"/>
        <v>0</v>
      </c>
      <c r="K547" s="170">
        <f t="shared" si="1209"/>
        <v>0</v>
      </c>
      <c r="L547" s="171">
        <f t="shared" si="1229"/>
        <v>0</v>
      </c>
      <c r="M547" s="169">
        <f t="shared" si="1229"/>
        <v>0</v>
      </c>
      <c r="N547" s="170">
        <f t="shared" si="1210"/>
        <v>0</v>
      </c>
      <c r="O547" s="171">
        <f t="shared" si="1230"/>
        <v>0</v>
      </c>
      <c r="P547" s="169">
        <f t="shared" si="1230"/>
        <v>0</v>
      </c>
      <c r="Q547" s="170">
        <f t="shared" si="1211"/>
        <v>0</v>
      </c>
      <c r="R547" s="171">
        <f t="shared" si="1231"/>
        <v>0</v>
      </c>
      <c r="S547" s="169">
        <f t="shared" si="1231"/>
        <v>0</v>
      </c>
      <c r="T547" s="170">
        <f t="shared" si="1212"/>
        <v>0</v>
      </c>
      <c r="U547" s="171">
        <f t="shared" si="1232"/>
        <v>0</v>
      </c>
      <c r="V547" s="169">
        <f t="shared" si="1232"/>
        <v>0</v>
      </c>
      <c r="W547" s="170">
        <f t="shared" si="1213"/>
        <v>0</v>
      </c>
      <c r="X547" s="171">
        <f t="shared" si="1233"/>
        <v>0</v>
      </c>
      <c r="Y547" s="169">
        <f t="shared" si="1233"/>
        <v>0</v>
      </c>
      <c r="Z547" s="170">
        <f t="shared" si="1214"/>
        <v>0</v>
      </c>
      <c r="AA547" s="171">
        <f t="shared" si="1234"/>
        <v>0</v>
      </c>
      <c r="AB547" s="169">
        <f t="shared" si="1234"/>
        <v>0</v>
      </c>
      <c r="AC547" s="170">
        <f t="shared" si="1215"/>
        <v>0</v>
      </c>
      <c r="AD547" s="171">
        <f t="shared" si="1235"/>
        <v>0</v>
      </c>
      <c r="AE547" s="169">
        <f t="shared" si="1235"/>
        <v>0</v>
      </c>
      <c r="AF547" s="170">
        <f t="shared" si="1216"/>
        <v>0</v>
      </c>
      <c r="AG547" s="171">
        <f t="shared" si="1236"/>
        <v>0</v>
      </c>
      <c r="AH547" s="169">
        <f t="shared" si="1236"/>
        <v>0</v>
      </c>
      <c r="AI547" s="170">
        <f t="shared" si="1217"/>
        <v>0</v>
      </c>
      <c r="AJ547" s="171">
        <f t="shared" si="1237"/>
        <v>0</v>
      </c>
      <c r="AK547" s="169">
        <f t="shared" si="1237"/>
        <v>0</v>
      </c>
      <c r="AL547" s="170">
        <f t="shared" si="1218"/>
        <v>0</v>
      </c>
      <c r="AM547" s="171">
        <f t="shared" si="1238"/>
        <v>0</v>
      </c>
      <c r="AN547" s="169">
        <f t="shared" si="1238"/>
        <v>0</v>
      </c>
      <c r="AO547" s="170">
        <f t="shared" si="1219"/>
        <v>0</v>
      </c>
      <c r="AP547" s="171">
        <f t="shared" si="1239"/>
        <v>0</v>
      </c>
      <c r="AQ547" s="169">
        <f t="shared" si="1239"/>
        <v>0</v>
      </c>
      <c r="AR547" s="170">
        <f t="shared" si="1220"/>
        <v>0</v>
      </c>
      <c r="AS547" s="171">
        <f t="shared" si="1240"/>
        <v>0</v>
      </c>
      <c r="AT547" s="169">
        <f t="shared" si="1240"/>
        <v>0</v>
      </c>
      <c r="AU547" s="170">
        <f t="shared" si="1221"/>
        <v>0</v>
      </c>
      <c r="AV547" s="171">
        <f t="shared" si="1241"/>
        <v>0</v>
      </c>
      <c r="AW547" s="169">
        <f t="shared" si="1241"/>
        <v>0</v>
      </c>
      <c r="AX547" s="170">
        <f t="shared" si="1222"/>
        <v>0</v>
      </c>
      <c r="AY547" s="169">
        <f t="shared" si="1242"/>
        <v>0</v>
      </c>
      <c r="AZ547" s="169">
        <f t="shared" si="1242"/>
        <v>0</v>
      </c>
      <c r="BA547" s="170">
        <f t="shared" si="1223"/>
        <v>0</v>
      </c>
      <c r="BB547" s="171">
        <f t="shared" si="1243"/>
        <v>0</v>
      </c>
      <c r="BC547" s="169">
        <f t="shared" si="1243"/>
        <v>0</v>
      </c>
      <c r="BD547" s="170">
        <f t="shared" si="1224"/>
        <v>0</v>
      </c>
      <c r="BE547" s="171">
        <f t="shared" si="1225"/>
        <v>0</v>
      </c>
      <c r="BF547" s="171">
        <f t="shared" si="1225"/>
        <v>0</v>
      </c>
      <c r="BG547" s="168">
        <f t="shared" ref="BG547" si="1253">IF(BG98=0,0,BG447/BG98)</f>
        <v>0</v>
      </c>
    </row>
    <row r="548" spans="1:59" ht="13.5" hidden="1" customHeight="1" outlineLevel="1" x14ac:dyDescent="0.25">
      <c r="A548" s="65"/>
      <c r="B548" s="99" t="s">
        <v>58</v>
      </c>
      <c r="C548" s="46" t="s">
        <v>110</v>
      </c>
      <c r="D548" s="168">
        <f t="shared" si="1227"/>
        <v>0</v>
      </c>
      <c r="E548" s="168">
        <f t="shared" si="1227"/>
        <v>0</v>
      </c>
      <c r="F548" s="171">
        <f t="shared" si="1227"/>
        <v>0</v>
      </c>
      <c r="G548" s="169">
        <f t="shared" si="1227"/>
        <v>0</v>
      </c>
      <c r="H548" s="170">
        <f t="shared" si="1208"/>
        <v>0</v>
      </c>
      <c r="I548" s="171">
        <f t="shared" si="1228"/>
        <v>0</v>
      </c>
      <c r="J548" s="169">
        <f t="shared" si="1228"/>
        <v>0</v>
      </c>
      <c r="K548" s="170">
        <f t="shared" si="1209"/>
        <v>0</v>
      </c>
      <c r="L548" s="171">
        <f t="shared" si="1229"/>
        <v>0</v>
      </c>
      <c r="M548" s="169">
        <f t="shared" si="1229"/>
        <v>0</v>
      </c>
      <c r="N548" s="170">
        <f t="shared" si="1210"/>
        <v>0</v>
      </c>
      <c r="O548" s="171">
        <f t="shared" si="1230"/>
        <v>0</v>
      </c>
      <c r="P548" s="169">
        <f t="shared" si="1230"/>
        <v>0</v>
      </c>
      <c r="Q548" s="170">
        <f t="shared" si="1211"/>
        <v>0</v>
      </c>
      <c r="R548" s="171">
        <f t="shared" si="1231"/>
        <v>0</v>
      </c>
      <c r="S548" s="169">
        <f t="shared" si="1231"/>
        <v>0</v>
      </c>
      <c r="T548" s="170">
        <f t="shared" si="1212"/>
        <v>0</v>
      </c>
      <c r="U548" s="171">
        <f t="shared" si="1232"/>
        <v>0</v>
      </c>
      <c r="V548" s="169">
        <f t="shared" si="1232"/>
        <v>0</v>
      </c>
      <c r="W548" s="170">
        <f t="shared" si="1213"/>
        <v>0</v>
      </c>
      <c r="X548" s="171">
        <f t="shared" si="1233"/>
        <v>0</v>
      </c>
      <c r="Y548" s="169">
        <f t="shared" si="1233"/>
        <v>0</v>
      </c>
      <c r="Z548" s="170">
        <f t="shared" si="1214"/>
        <v>0</v>
      </c>
      <c r="AA548" s="171">
        <f t="shared" si="1234"/>
        <v>0</v>
      </c>
      <c r="AB548" s="169">
        <f t="shared" si="1234"/>
        <v>0</v>
      </c>
      <c r="AC548" s="170">
        <f t="shared" si="1215"/>
        <v>0</v>
      </c>
      <c r="AD548" s="171">
        <f t="shared" si="1235"/>
        <v>0</v>
      </c>
      <c r="AE548" s="169">
        <f t="shared" si="1235"/>
        <v>0</v>
      </c>
      <c r="AF548" s="170">
        <f t="shared" si="1216"/>
        <v>0</v>
      </c>
      <c r="AG548" s="171">
        <f t="shared" si="1236"/>
        <v>0</v>
      </c>
      <c r="AH548" s="169">
        <f t="shared" si="1236"/>
        <v>0</v>
      </c>
      <c r="AI548" s="170">
        <f t="shared" si="1217"/>
        <v>0</v>
      </c>
      <c r="AJ548" s="171">
        <f t="shared" si="1237"/>
        <v>0</v>
      </c>
      <c r="AK548" s="169">
        <f t="shared" si="1237"/>
        <v>0</v>
      </c>
      <c r="AL548" s="170">
        <f t="shared" si="1218"/>
        <v>0</v>
      </c>
      <c r="AM548" s="171">
        <f t="shared" si="1238"/>
        <v>0</v>
      </c>
      <c r="AN548" s="169">
        <f t="shared" si="1238"/>
        <v>0</v>
      </c>
      <c r="AO548" s="170">
        <f t="shared" si="1219"/>
        <v>0</v>
      </c>
      <c r="AP548" s="171">
        <f t="shared" si="1239"/>
        <v>0</v>
      </c>
      <c r="AQ548" s="169">
        <f t="shared" si="1239"/>
        <v>0</v>
      </c>
      <c r="AR548" s="170">
        <f t="shared" si="1220"/>
        <v>0</v>
      </c>
      <c r="AS548" s="171">
        <f t="shared" si="1240"/>
        <v>0</v>
      </c>
      <c r="AT548" s="169">
        <f t="shared" si="1240"/>
        <v>0</v>
      </c>
      <c r="AU548" s="170">
        <f t="shared" si="1221"/>
        <v>0</v>
      </c>
      <c r="AV548" s="171">
        <f t="shared" si="1241"/>
        <v>0</v>
      </c>
      <c r="AW548" s="169">
        <f t="shared" si="1241"/>
        <v>0</v>
      </c>
      <c r="AX548" s="170">
        <f t="shared" si="1222"/>
        <v>0</v>
      </c>
      <c r="AY548" s="169">
        <f t="shared" si="1242"/>
        <v>0</v>
      </c>
      <c r="AZ548" s="169">
        <f t="shared" si="1242"/>
        <v>0</v>
      </c>
      <c r="BA548" s="170">
        <f t="shared" si="1223"/>
        <v>0</v>
      </c>
      <c r="BB548" s="171">
        <f t="shared" si="1243"/>
        <v>0</v>
      </c>
      <c r="BC548" s="169">
        <f t="shared" si="1243"/>
        <v>0</v>
      </c>
      <c r="BD548" s="170">
        <f t="shared" si="1224"/>
        <v>0</v>
      </c>
      <c r="BE548" s="171">
        <f t="shared" si="1225"/>
        <v>0</v>
      </c>
      <c r="BF548" s="171">
        <f t="shared" si="1225"/>
        <v>0</v>
      </c>
      <c r="BG548" s="168">
        <f t="shared" ref="BG548" si="1254">IF(BG99=0,0,BG448/BG99)</f>
        <v>0</v>
      </c>
    </row>
    <row r="549" spans="1:59" ht="13.5" hidden="1" customHeight="1" outlineLevel="1" x14ac:dyDescent="0.25">
      <c r="A549" s="65"/>
      <c r="B549" s="84" t="s">
        <v>59</v>
      </c>
      <c r="C549" s="46" t="s">
        <v>110</v>
      </c>
      <c r="D549" s="168">
        <f t="shared" si="1227"/>
        <v>0</v>
      </c>
      <c r="E549" s="168">
        <f t="shared" si="1227"/>
        <v>0</v>
      </c>
      <c r="F549" s="171">
        <f t="shared" si="1227"/>
        <v>0</v>
      </c>
      <c r="G549" s="169">
        <f t="shared" si="1227"/>
        <v>0</v>
      </c>
      <c r="H549" s="170">
        <f t="shared" si="1208"/>
        <v>0</v>
      </c>
      <c r="I549" s="171">
        <f t="shared" si="1228"/>
        <v>0</v>
      </c>
      <c r="J549" s="169">
        <f t="shared" si="1228"/>
        <v>0</v>
      </c>
      <c r="K549" s="170">
        <f t="shared" si="1209"/>
        <v>0</v>
      </c>
      <c r="L549" s="171">
        <f t="shared" si="1229"/>
        <v>0</v>
      </c>
      <c r="M549" s="169">
        <f t="shared" si="1229"/>
        <v>0</v>
      </c>
      <c r="N549" s="170">
        <f t="shared" si="1210"/>
        <v>0</v>
      </c>
      <c r="O549" s="171">
        <f t="shared" si="1230"/>
        <v>0</v>
      </c>
      <c r="P549" s="169">
        <f t="shared" si="1230"/>
        <v>0</v>
      </c>
      <c r="Q549" s="170">
        <f t="shared" si="1211"/>
        <v>0</v>
      </c>
      <c r="R549" s="171">
        <f t="shared" si="1231"/>
        <v>0</v>
      </c>
      <c r="S549" s="169">
        <f t="shared" si="1231"/>
        <v>0</v>
      </c>
      <c r="T549" s="170">
        <f t="shared" si="1212"/>
        <v>0</v>
      </c>
      <c r="U549" s="171">
        <f t="shared" si="1232"/>
        <v>0</v>
      </c>
      <c r="V549" s="169">
        <f t="shared" si="1232"/>
        <v>0</v>
      </c>
      <c r="W549" s="170">
        <f t="shared" si="1213"/>
        <v>0</v>
      </c>
      <c r="X549" s="171">
        <f t="shared" si="1233"/>
        <v>0</v>
      </c>
      <c r="Y549" s="169">
        <f t="shared" si="1233"/>
        <v>0</v>
      </c>
      <c r="Z549" s="170">
        <f t="shared" si="1214"/>
        <v>0</v>
      </c>
      <c r="AA549" s="171">
        <f t="shared" si="1234"/>
        <v>0</v>
      </c>
      <c r="AB549" s="169">
        <f t="shared" si="1234"/>
        <v>0</v>
      </c>
      <c r="AC549" s="170">
        <f t="shared" si="1215"/>
        <v>0</v>
      </c>
      <c r="AD549" s="171">
        <f t="shared" si="1235"/>
        <v>0</v>
      </c>
      <c r="AE549" s="169">
        <f t="shared" si="1235"/>
        <v>0</v>
      </c>
      <c r="AF549" s="170">
        <f t="shared" si="1216"/>
        <v>0</v>
      </c>
      <c r="AG549" s="171">
        <f t="shared" si="1236"/>
        <v>0</v>
      </c>
      <c r="AH549" s="169">
        <f t="shared" si="1236"/>
        <v>0</v>
      </c>
      <c r="AI549" s="170">
        <f t="shared" si="1217"/>
        <v>0</v>
      </c>
      <c r="AJ549" s="171">
        <f t="shared" si="1237"/>
        <v>0</v>
      </c>
      <c r="AK549" s="169">
        <f t="shared" si="1237"/>
        <v>0</v>
      </c>
      <c r="AL549" s="170">
        <f t="shared" si="1218"/>
        <v>0</v>
      </c>
      <c r="AM549" s="171">
        <f t="shared" si="1238"/>
        <v>0</v>
      </c>
      <c r="AN549" s="169">
        <f t="shared" si="1238"/>
        <v>0</v>
      </c>
      <c r="AO549" s="170">
        <f t="shared" si="1219"/>
        <v>0</v>
      </c>
      <c r="AP549" s="171">
        <f t="shared" si="1239"/>
        <v>0</v>
      </c>
      <c r="AQ549" s="169">
        <f t="shared" si="1239"/>
        <v>0</v>
      </c>
      <c r="AR549" s="170">
        <f t="shared" si="1220"/>
        <v>0</v>
      </c>
      <c r="AS549" s="171">
        <f t="shared" si="1240"/>
        <v>0</v>
      </c>
      <c r="AT549" s="169">
        <f t="shared" si="1240"/>
        <v>0</v>
      </c>
      <c r="AU549" s="170">
        <f t="shared" si="1221"/>
        <v>0</v>
      </c>
      <c r="AV549" s="171">
        <f t="shared" si="1241"/>
        <v>0</v>
      </c>
      <c r="AW549" s="169">
        <f t="shared" si="1241"/>
        <v>0</v>
      </c>
      <c r="AX549" s="170">
        <f t="shared" si="1222"/>
        <v>0</v>
      </c>
      <c r="AY549" s="169">
        <f t="shared" si="1242"/>
        <v>0</v>
      </c>
      <c r="AZ549" s="169">
        <f t="shared" si="1242"/>
        <v>0</v>
      </c>
      <c r="BA549" s="170">
        <f t="shared" si="1223"/>
        <v>0</v>
      </c>
      <c r="BB549" s="171">
        <f t="shared" si="1243"/>
        <v>0</v>
      </c>
      <c r="BC549" s="169">
        <f t="shared" si="1243"/>
        <v>0</v>
      </c>
      <c r="BD549" s="170">
        <f t="shared" si="1224"/>
        <v>0</v>
      </c>
      <c r="BE549" s="171">
        <f t="shared" si="1225"/>
        <v>0</v>
      </c>
      <c r="BF549" s="171">
        <f t="shared" si="1225"/>
        <v>0</v>
      </c>
      <c r="BG549" s="168">
        <f t="shared" ref="BG549" si="1255">IF(BG100=0,0,BG449/BG100)</f>
        <v>0</v>
      </c>
    </row>
    <row r="550" spans="1:59" ht="13.5" hidden="1" customHeight="1" outlineLevel="1" x14ac:dyDescent="0.25">
      <c r="A550" s="65"/>
      <c r="B550" s="99" t="s">
        <v>60</v>
      </c>
      <c r="C550" s="46" t="s">
        <v>110</v>
      </c>
      <c r="D550" s="168">
        <f t="shared" si="1227"/>
        <v>0</v>
      </c>
      <c r="E550" s="168">
        <f t="shared" si="1227"/>
        <v>0</v>
      </c>
      <c r="F550" s="171">
        <f t="shared" si="1227"/>
        <v>0</v>
      </c>
      <c r="G550" s="169">
        <f t="shared" si="1227"/>
        <v>0</v>
      </c>
      <c r="H550" s="170">
        <f t="shared" si="1208"/>
        <v>0</v>
      </c>
      <c r="I550" s="171">
        <f t="shared" si="1228"/>
        <v>0</v>
      </c>
      <c r="J550" s="169">
        <f t="shared" si="1228"/>
        <v>0</v>
      </c>
      <c r="K550" s="170">
        <f t="shared" si="1209"/>
        <v>0</v>
      </c>
      <c r="L550" s="171">
        <f t="shared" si="1229"/>
        <v>0</v>
      </c>
      <c r="M550" s="169">
        <f t="shared" si="1229"/>
        <v>0</v>
      </c>
      <c r="N550" s="170">
        <f t="shared" si="1210"/>
        <v>0</v>
      </c>
      <c r="O550" s="171">
        <f t="shared" si="1230"/>
        <v>0</v>
      </c>
      <c r="P550" s="169">
        <f t="shared" si="1230"/>
        <v>0</v>
      </c>
      <c r="Q550" s="170">
        <f t="shared" si="1211"/>
        <v>0</v>
      </c>
      <c r="R550" s="171">
        <f t="shared" si="1231"/>
        <v>0</v>
      </c>
      <c r="S550" s="169">
        <f t="shared" si="1231"/>
        <v>0</v>
      </c>
      <c r="T550" s="170">
        <f t="shared" si="1212"/>
        <v>0</v>
      </c>
      <c r="U550" s="171">
        <f t="shared" si="1232"/>
        <v>0</v>
      </c>
      <c r="V550" s="169">
        <f t="shared" si="1232"/>
        <v>0</v>
      </c>
      <c r="W550" s="170">
        <f t="shared" si="1213"/>
        <v>0</v>
      </c>
      <c r="X550" s="171">
        <f t="shared" si="1233"/>
        <v>0</v>
      </c>
      <c r="Y550" s="169">
        <f t="shared" si="1233"/>
        <v>0</v>
      </c>
      <c r="Z550" s="170">
        <f t="shared" si="1214"/>
        <v>0</v>
      </c>
      <c r="AA550" s="171">
        <f t="shared" si="1234"/>
        <v>0</v>
      </c>
      <c r="AB550" s="169">
        <f t="shared" si="1234"/>
        <v>0</v>
      </c>
      <c r="AC550" s="170">
        <f t="shared" si="1215"/>
        <v>0</v>
      </c>
      <c r="AD550" s="171">
        <f t="shared" si="1235"/>
        <v>0</v>
      </c>
      <c r="AE550" s="169">
        <f t="shared" si="1235"/>
        <v>0</v>
      </c>
      <c r="AF550" s="170">
        <f t="shared" si="1216"/>
        <v>0</v>
      </c>
      <c r="AG550" s="171">
        <f t="shared" si="1236"/>
        <v>0</v>
      </c>
      <c r="AH550" s="169">
        <f t="shared" si="1236"/>
        <v>0</v>
      </c>
      <c r="AI550" s="170">
        <f t="shared" si="1217"/>
        <v>0</v>
      </c>
      <c r="AJ550" s="171">
        <f t="shared" si="1237"/>
        <v>0</v>
      </c>
      <c r="AK550" s="169">
        <f t="shared" si="1237"/>
        <v>0</v>
      </c>
      <c r="AL550" s="170">
        <f t="shared" si="1218"/>
        <v>0</v>
      </c>
      <c r="AM550" s="171">
        <f t="shared" si="1238"/>
        <v>0</v>
      </c>
      <c r="AN550" s="169">
        <f t="shared" si="1238"/>
        <v>0</v>
      </c>
      <c r="AO550" s="170">
        <f t="shared" si="1219"/>
        <v>0</v>
      </c>
      <c r="AP550" s="171">
        <f t="shared" si="1239"/>
        <v>0</v>
      </c>
      <c r="AQ550" s="169">
        <f t="shared" si="1239"/>
        <v>0</v>
      </c>
      <c r="AR550" s="170">
        <f t="shared" si="1220"/>
        <v>0</v>
      </c>
      <c r="AS550" s="171">
        <f t="shared" si="1240"/>
        <v>0</v>
      </c>
      <c r="AT550" s="169">
        <f t="shared" si="1240"/>
        <v>0</v>
      </c>
      <c r="AU550" s="170">
        <f t="shared" si="1221"/>
        <v>0</v>
      </c>
      <c r="AV550" s="171">
        <f t="shared" si="1241"/>
        <v>0</v>
      </c>
      <c r="AW550" s="169">
        <f t="shared" si="1241"/>
        <v>0</v>
      </c>
      <c r="AX550" s="170">
        <f t="shared" si="1222"/>
        <v>0</v>
      </c>
      <c r="AY550" s="169">
        <f t="shared" si="1242"/>
        <v>0</v>
      </c>
      <c r="AZ550" s="169">
        <f t="shared" si="1242"/>
        <v>0</v>
      </c>
      <c r="BA550" s="170">
        <f t="shared" si="1223"/>
        <v>0</v>
      </c>
      <c r="BB550" s="171">
        <f t="shared" si="1243"/>
        <v>0</v>
      </c>
      <c r="BC550" s="169">
        <f t="shared" si="1243"/>
        <v>0</v>
      </c>
      <c r="BD550" s="170">
        <f t="shared" si="1224"/>
        <v>0</v>
      </c>
      <c r="BE550" s="171">
        <f t="shared" si="1225"/>
        <v>0</v>
      </c>
      <c r="BF550" s="171">
        <f t="shared" si="1225"/>
        <v>0</v>
      </c>
      <c r="BG550" s="168">
        <f t="shared" ref="BG550" si="1256">IF(BG101=0,0,BG450/BG101)</f>
        <v>0</v>
      </c>
    </row>
    <row r="551" spans="1:59" ht="13.5" hidden="1" customHeight="1" outlineLevel="1" x14ac:dyDescent="0.25">
      <c r="A551" s="65"/>
      <c r="B551" s="84" t="s">
        <v>61</v>
      </c>
      <c r="C551" s="46" t="s">
        <v>110</v>
      </c>
      <c r="D551" s="168">
        <f t="shared" si="1227"/>
        <v>0</v>
      </c>
      <c r="E551" s="168">
        <f t="shared" si="1227"/>
        <v>0</v>
      </c>
      <c r="F551" s="171">
        <f t="shared" si="1227"/>
        <v>0</v>
      </c>
      <c r="G551" s="169">
        <f t="shared" si="1227"/>
        <v>0</v>
      </c>
      <c r="H551" s="170">
        <f t="shared" si="1208"/>
        <v>0</v>
      </c>
      <c r="I551" s="171">
        <f t="shared" si="1228"/>
        <v>0</v>
      </c>
      <c r="J551" s="169">
        <f t="shared" si="1228"/>
        <v>0</v>
      </c>
      <c r="K551" s="170">
        <f t="shared" si="1209"/>
        <v>0</v>
      </c>
      <c r="L551" s="171">
        <f t="shared" si="1229"/>
        <v>0</v>
      </c>
      <c r="M551" s="169">
        <f t="shared" si="1229"/>
        <v>0</v>
      </c>
      <c r="N551" s="170">
        <f t="shared" si="1210"/>
        <v>0</v>
      </c>
      <c r="O551" s="171">
        <f t="shared" si="1230"/>
        <v>0</v>
      </c>
      <c r="P551" s="169">
        <f t="shared" si="1230"/>
        <v>0</v>
      </c>
      <c r="Q551" s="170">
        <f t="shared" si="1211"/>
        <v>0</v>
      </c>
      <c r="R551" s="171">
        <f t="shared" si="1231"/>
        <v>0</v>
      </c>
      <c r="S551" s="169">
        <f t="shared" si="1231"/>
        <v>0</v>
      </c>
      <c r="T551" s="170">
        <f t="shared" si="1212"/>
        <v>0</v>
      </c>
      <c r="U551" s="171">
        <f t="shared" si="1232"/>
        <v>0</v>
      </c>
      <c r="V551" s="169">
        <f t="shared" si="1232"/>
        <v>0</v>
      </c>
      <c r="W551" s="170">
        <f t="shared" si="1213"/>
        <v>0</v>
      </c>
      <c r="X551" s="171">
        <f t="shared" si="1233"/>
        <v>0</v>
      </c>
      <c r="Y551" s="169">
        <f t="shared" si="1233"/>
        <v>0</v>
      </c>
      <c r="Z551" s="170">
        <f t="shared" si="1214"/>
        <v>0</v>
      </c>
      <c r="AA551" s="171">
        <f t="shared" si="1234"/>
        <v>0</v>
      </c>
      <c r="AB551" s="169">
        <f t="shared" si="1234"/>
        <v>0</v>
      </c>
      <c r="AC551" s="170">
        <f t="shared" si="1215"/>
        <v>0</v>
      </c>
      <c r="AD551" s="171">
        <f t="shared" si="1235"/>
        <v>0</v>
      </c>
      <c r="AE551" s="169">
        <f t="shared" si="1235"/>
        <v>0</v>
      </c>
      <c r="AF551" s="170">
        <f t="shared" si="1216"/>
        <v>0</v>
      </c>
      <c r="AG551" s="171">
        <f t="shared" si="1236"/>
        <v>0</v>
      </c>
      <c r="AH551" s="169">
        <f t="shared" si="1236"/>
        <v>0</v>
      </c>
      <c r="AI551" s="170">
        <f t="shared" si="1217"/>
        <v>0</v>
      </c>
      <c r="AJ551" s="171">
        <f t="shared" si="1237"/>
        <v>0</v>
      </c>
      <c r="AK551" s="169">
        <f t="shared" si="1237"/>
        <v>0</v>
      </c>
      <c r="AL551" s="170">
        <f t="shared" si="1218"/>
        <v>0</v>
      </c>
      <c r="AM551" s="171">
        <f t="shared" si="1238"/>
        <v>0</v>
      </c>
      <c r="AN551" s="169">
        <f t="shared" si="1238"/>
        <v>0</v>
      </c>
      <c r="AO551" s="170">
        <f t="shared" si="1219"/>
        <v>0</v>
      </c>
      <c r="AP551" s="171">
        <f t="shared" si="1239"/>
        <v>0</v>
      </c>
      <c r="AQ551" s="169">
        <f t="shared" si="1239"/>
        <v>0</v>
      </c>
      <c r="AR551" s="170">
        <f t="shared" si="1220"/>
        <v>0</v>
      </c>
      <c r="AS551" s="171">
        <f t="shared" si="1240"/>
        <v>0</v>
      </c>
      <c r="AT551" s="169">
        <f t="shared" si="1240"/>
        <v>0</v>
      </c>
      <c r="AU551" s="170">
        <f t="shared" si="1221"/>
        <v>0</v>
      </c>
      <c r="AV551" s="171">
        <f t="shared" si="1241"/>
        <v>0</v>
      </c>
      <c r="AW551" s="169">
        <f t="shared" si="1241"/>
        <v>0</v>
      </c>
      <c r="AX551" s="170">
        <f t="shared" si="1222"/>
        <v>0</v>
      </c>
      <c r="AY551" s="169">
        <f t="shared" si="1242"/>
        <v>0</v>
      </c>
      <c r="AZ551" s="169">
        <f t="shared" si="1242"/>
        <v>0</v>
      </c>
      <c r="BA551" s="170">
        <f t="shared" si="1223"/>
        <v>0</v>
      </c>
      <c r="BB551" s="171">
        <f t="shared" si="1243"/>
        <v>0</v>
      </c>
      <c r="BC551" s="169">
        <f t="shared" si="1243"/>
        <v>0</v>
      </c>
      <c r="BD551" s="170">
        <f t="shared" si="1224"/>
        <v>0</v>
      </c>
      <c r="BE551" s="171">
        <f t="shared" si="1225"/>
        <v>0</v>
      </c>
      <c r="BF551" s="171">
        <f t="shared" si="1225"/>
        <v>0</v>
      </c>
      <c r="BG551" s="168">
        <f t="shared" ref="BG551" si="1257">IF(BG102=0,0,BG451/BG102)</f>
        <v>0</v>
      </c>
    </row>
    <row r="552" spans="1:59" s="210" customFormat="1" ht="13.5" customHeight="1" collapsed="1" thickBot="1" x14ac:dyDescent="0.3">
      <c r="A552" s="85"/>
      <c r="B552" s="95" t="s">
        <v>62</v>
      </c>
      <c r="C552" s="58" t="s">
        <v>110</v>
      </c>
      <c r="D552" s="164">
        <f t="shared" si="1227"/>
        <v>0</v>
      </c>
      <c r="E552" s="164">
        <f t="shared" si="1227"/>
        <v>0</v>
      </c>
      <c r="F552" s="167">
        <f t="shared" si="1227"/>
        <v>0</v>
      </c>
      <c r="G552" s="165">
        <f t="shared" si="1227"/>
        <v>0</v>
      </c>
      <c r="H552" s="166">
        <f t="shared" si="1208"/>
        <v>0</v>
      </c>
      <c r="I552" s="167">
        <f t="shared" si="1228"/>
        <v>0</v>
      </c>
      <c r="J552" s="165">
        <f t="shared" si="1228"/>
        <v>0</v>
      </c>
      <c r="K552" s="166">
        <f t="shared" si="1209"/>
        <v>0</v>
      </c>
      <c r="L552" s="167">
        <f t="shared" si="1229"/>
        <v>0</v>
      </c>
      <c r="M552" s="165">
        <f t="shared" si="1229"/>
        <v>0</v>
      </c>
      <c r="N552" s="166">
        <f t="shared" si="1210"/>
        <v>0</v>
      </c>
      <c r="O552" s="167">
        <f t="shared" si="1230"/>
        <v>0</v>
      </c>
      <c r="P552" s="165">
        <f t="shared" si="1230"/>
        <v>0</v>
      </c>
      <c r="Q552" s="166">
        <f t="shared" si="1211"/>
        <v>0</v>
      </c>
      <c r="R552" s="167">
        <f t="shared" si="1231"/>
        <v>0</v>
      </c>
      <c r="S552" s="165">
        <f t="shared" si="1231"/>
        <v>0</v>
      </c>
      <c r="T552" s="166">
        <f t="shared" si="1212"/>
        <v>0</v>
      </c>
      <c r="U552" s="167">
        <f t="shared" si="1232"/>
        <v>0</v>
      </c>
      <c r="V552" s="165">
        <f t="shared" si="1232"/>
        <v>0</v>
      </c>
      <c r="W552" s="166">
        <f t="shared" si="1213"/>
        <v>0</v>
      </c>
      <c r="X552" s="167">
        <f t="shared" si="1233"/>
        <v>0</v>
      </c>
      <c r="Y552" s="165">
        <f t="shared" si="1233"/>
        <v>0</v>
      </c>
      <c r="Z552" s="166">
        <f t="shared" si="1214"/>
        <v>0</v>
      </c>
      <c r="AA552" s="167">
        <f t="shared" si="1234"/>
        <v>0</v>
      </c>
      <c r="AB552" s="165">
        <f t="shared" si="1234"/>
        <v>0</v>
      </c>
      <c r="AC552" s="166">
        <f t="shared" si="1215"/>
        <v>0</v>
      </c>
      <c r="AD552" s="167">
        <f t="shared" si="1235"/>
        <v>0</v>
      </c>
      <c r="AE552" s="165">
        <f t="shared" si="1235"/>
        <v>0</v>
      </c>
      <c r="AF552" s="166">
        <f t="shared" si="1216"/>
        <v>0</v>
      </c>
      <c r="AG552" s="167">
        <f t="shared" si="1236"/>
        <v>0</v>
      </c>
      <c r="AH552" s="165">
        <f t="shared" si="1236"/>
        <v>0</v>
      </c>
      <c r="AI552" s="166">
        <f t="shared" si="1217"/>
        <v>0</v>
      </c>
      <c r="AJ552" s="167">
        <f t="shared" si="1237"/>
        <v>0</v>
      </c>
      <c r="AK552" s="165">
        <f t="shared" si="1237"/>
        <v>0</v>
      </c>
      <c r="AL552" s="166">
        <f t="shared" si="1218"/>
        <v>0</v>
      </c>
      <c r="AM552" s="167">
        <f t="shared" si="1238"/>
        <v>0</v>
      </c>
      <c r="AN552" s="165">
        <f t="shared" si="1238"/>
        <v>0</v>
      </c>
      <c r="AO552" s="166">
        <f t="shared" si="1219"/>
        <v>0</v>
      </c>
      <c r="AP552" s="167">
        <f t="shared" si="1239"/>
        <v>0</v>
      </c>
      <c r="AQ552" s="165">
        <f t="shared" si="1239"/>
        <v>0</v>
      </c>
      <c r="AR552" s="166">
        <f t="shared" si="1220"/>
        <v>0</v>
      </c>
      <c r="AS552" s="167">
        <f t="shared" si="1240"/>
        <v>0</v>
      </c>
      <c r="AT552" s="165">
        <f t="shared" si="1240"/>
        <v>0</v>
      </c>
      <c r="AU552" s="166">
        <f t="shared" si="1221"/>
        <v>0</v>
      </c>
      <c r="AV552" s="167">
        <f t="shared" si="1241"/>
        <v>0</v>
      </c>
      <c r="AW552" s="165">
        <f t="shared" si="1241"/>
        <v>0</v>
      </c>
      <c r="AX552" s="166">
        <f t="shared" si="1222"/>
        <v>0</v>
      </c>
      <c r="AY552" s="165">
        <f t="shared" si="1242"/>
        <v>0</v>
      </c>
      <c r="AZ552" s="165">
        <f t="shared" si="1242"/>
        <v>0</v>
      </c>
      <c r="BA552" s="166">
        <f t="shared" si="1223"/>
        <v>0</v>
      </c>
      <c r="BB552" s="167">
        <f t="shared" si="1243"/>
        <v>0</v>
      </c>
      <c r="BC552" s="165">
        <f t="shared" si="1243"/>
        <v>0</v>
      </c>
      <c r="BD552" s="166">
        <f t="shared" si="1224"/>
        <v>0</v>
      </c>
      <c r="BE552" s="167">
        <f t="shared" ref="BE552:BF566" si="1258">IF(BE103=0,0,BE452/BE103)</f>
        <v>0</v>
      </c>
      <c r="BF552" s="167">
        <f t="shared" si="1258"/>
        <v>0</v>
      </c>
      <c r="BG552" s="164">
        <f t="shared" ref="BG552" si="1259">IF(BG103=0,0,BG452/BG103)</f>
        <v>0</v>
      </c>
    </row>
    <row r="553" spans="1:59" ht="13.5" hidden="1" customHeight="1" outlineLevel="1" thickBot="1" x14ac:dyDescent="0.3">
      <c r="A553" s="50"/>
      <c r="B553" s="84" t="s">
        <v>63</v>
      </c>
      <c r="C553" s="9" t="s">
        <v>110</v>
      </c>
      <c r="D553" s="4">
        <f t="shared" si="1227"/>
        <v>0</v>
      </c>
      <c r="E553" s="4">
        <f t="shared" si="1227"/>
        <v>0</v>
      </c>
      <c r="F553" s="7">
        <f t="shared" si="1227"/>
        <v>0</v>
      </c>
      <c r="G553" s="6">
        <f t="shared" si="1227"/>
        <v>0</v>
      </c>
      <c r="H553" s="5">
        <f t="shared" ref="H553:H568" si="1260">G553-F553</f>
        <v>0</v>
      </c>
      <c r="I553" s="7">
        <f t="shared" si="1228"/>
        <v>0</v>
      </c>
      <c r="J553" s="6">
        <f t="shared" si="1228"/>
        <v>0</v>
      </c>
      <c r="K553" s="5">
        <f t="shared" ref="K553:K568" si="1261">J553-I553</f>
        <v>0</v>
      </c>
      <c r="L553" s="7">
        <f t="shared" si="1229"/>
        <v>0</v>
      </c>
      <c r="M553" s="6">
        <f t="shared" si="1229"/>
        <v>0</v>
      </c>
      <c r="N553" s="5">
        <f t="shared" ref="N553:N568" si="1262">M553-L553</f>
        <v>0</v>
      </c>
      <c r="O553" s="7">
        <f t="shared" si="1230"/>
        <v>0</v>
      </c>
      <c r="P553" s="6">
        <f t="shared" si="1230"/>
        <v>0</v>
      </c>
      <c r="Q553" s="5">
        <f t="shared" ref="Q553:Q568" si="1263">P553-O553</f>
        <v>0</v>
      </c>
      <c r="R553" s="7">
        <f t="shared" si="1231"/>
        <v>0</v>
      </c>
      <c r="S553" s="6">
        <f t="shared" si="1231"/>
        <v>0</v>
      </c>
      <c r="T553" s="5">
        <f t="shared" ref="T553:T568" si="1264">S553-R553</f>
        <v>0</v>
      </c>
      <c r="U553" s="7">
        <f t="shared" si="1232"/>
        <v>0</v>
      </c>
      <c r="V553" s="6">
        <f t="shared" si="1232"/>
        <v>0</v>
      </c>
      <c r="W553" s="5">
        <f t="shared" ref="W553:W568" si="1265">V553-U553</f>
        <v>0</v>
      </c>
      <c r="X553" s="7">
        <f t="shared" si="1233"/>
        <v>0</v>
      </c>
      <c r="Y553" s="6">
        <f t="shared" si="1233"/>
        <v>0</v>
      </c>
      <c r="Z553" s="5">
        <f t="shared" ref="Z553:Z568" si="1266">Y553-X553</f>
        <v>0</v>
      </c>
      <c r="AA553" s="7">
        <f t="shared" si="1234"/>
        <v>0</v>
      </c>
      <c r="AB553" s="6">
        <f t="shared" si="1234"/>
        <v>0</v>
      </c>
      <c r="AC553" s="5">
        <f t="shared" ref="AC553:AC568" si="1267">AB553-AA553</f>
        <v>0</v>
      </c>
      <c r="AD553" s="7">
        <f t="shared" si="1235"/>
        <v>0</v>
      </c>
      <c r="AE553" s="6">
        <f t="shared" si="1235"/>
        <v>0</v>
      </c>
      <c r="AF553" s="5">
        <f t="shared" ref="AF553:AF568" si="1268">AE553-AD553</f>
        <v>0</v>
      </c>
      <c r="AG553" s="7">
        <f t="shared" si="1236"/>
        <v>0</v>
      </c>
      <c r="AH553" s="6">
        <f t="shared" si="1236"/>
        <v>0</v>
      </c>
      <c r="AI553" s="5">
        <f t="shared" ref="AI553:AI568" si="1269">AH553-AG553</f>
        <v>0</v>
      </c>
      <c r="AJ553" s="7">
        <f t="shared" si="1237"/>
        <v>0</v>
      </c>
      <c r="AK553" s="6">
        <f t="shared" si="1237"/>
        <v>0</v>
      </c>
      <c r="AL553" s="5">
        <f t="shared" ref="AL553:AL568" si="1270">AK553-AJ553</f>
        <v>0</v>
      </c>
      <c r="AM553" s="7">
        <f t="shared" si="1238"/>
        <v>0</v>
      </c>
      <c r="AN553" s="6">
        <f t="shared" si="1238"/>
        <v>0</v>
      </c>
      <c r="AO553" s="5">
        <f t="shared" ref="AO553:AO568" si="1271">AN553-AM553</f>
        <v>0</v>
      </c>
      <c r="AP553" s="7">
        <f t="shared" si="1239"/>
        <v>0</v>
      </c>
      <c r="AQ553" s="6">
        <f t="shared" si="1239"/>
        <v>0</v>
      </c>
      <c r="AR553" s="5">
        <f t="shared" ref="AR553:AR568" si="1272">AQ553-AP553</f>
        <v>0</v>
      </c>
      <c r="AS553" s="7">
        <f t="shared" si="1240"/>
        <v>0</v>
      </c>
      <c r="AT553" s="6">
        <f t="shared" si="1240"/>
        <v>0</v>
      </c>
      <c r="AU553" s="5">
        <f t="shared" ref="AU553:AU568" si="1273">AT553-AS553</f>
        <v>0</v>
      </c>
      <c r="AV553" s="7">
        <f t="shared" si="1241"/>
        <v>0</v>
      </c>
      <c r="AW553" s="6">
        <f t="shared" si="1241"/>
        <v>0</v>
      </c>
      <c r="AX553" s="5">
        <f t="shared" ref="AX553:AX568" si="1274">AW553-AV553</f>
        <v>0</v>
      </c>
      <c r="AY553" s="6">
        <f t="shared" si="1242"/>
        <v>0</v>
      </c>
      <c r="AZ553" s="6">
        <f t="shared" si="1242"/>
        <v>0</v>
      </c>
      <c r="BA553" s="5">
        <f t="shared" ref="BA553:BA568" si="1275">AZ553-AY553</f>
        <v>0</v>
      </c>
      <c r="BB553" s="7">
        <f t="shared" si="1243"/>
        <v>0</v>
      </c>
      <c r="BC553" s="6">
        <f t="shared" si="1243"/>
        <v>0</v>
      </c>
      <c r="BD553" s="5">
        <f t="shared" ref="BD553:BD568" si="1276">BC553-BB553</f>
        <v>0</v>
      </c>
      <c r="BE553" s="7">
        <f t="shared" si="1258"/>
        <v>0</v>
      </c>
      <c r="BF553" s="7">
        <f t="shared" si="1258"/>
        <v>0</v>
      </c>
      <c r="BG553" s="4">
        <f t="shared" ref="BG553" si="1277">IF(BG104=0,0,BG453/BG104)</f>
        <v>0</v>
      </c>
    </row>
    <row r="554" spans="1:59" ht="13.5" customHeight="1" collapsed="1" x14ac:dyDescent="0.25">
      <c r="A554" s="47" t="s">
        <v>126</v>
      </c>
      <c r="B554" s="105" t="s">
        <v>127</v>
      </c>
      <c r="C554" s="104" t="s">
        <v>110</v>
      </c>
      <c r="D554" s="192">
        <f t="shared" ref="D554:G569" si="1278">IF(D105=0,0,D454/D105)</f>
        <v>0</v>
      </c>
      <c r="E554" s="192">
        <f t="shared" si="1278"/>
        <v>0</v>
      </c>
      <c r="F554" s="195">
        <f t="shared" si="1278"/>
        <v>0</v>
      </c>
      <c r="G554" s="193">
        <f t="shared" si="1278"/>
        <v>0</v>
      </c>
      <c r="H554" s="194">
        <f t="shared" si="1260"/>
        <v>0</v>
      </c>
      <c r="I554" s="195">
        <f t="shared" ref="I554:J569" si="1279">IF(I105=0,0,I454/I105)</f>
        <v>0</v>
      </c>
      <c r="J554" s="193">
        <f t="shared" si="1279"/>
        <v>0</v>
      </c>
      <c r="K554" s="194">
        <f t="shared" si="1261"/>
        <v>0</v>
      </c>
      <c r="L554" s="195">
        <f t="shared" ref="L554:M569" si="1280">IF(L105=0,0,L454/L105)</f>
        <v>0</v>
      </c>
      <c r="M554" s="193">
        <f t="shared" si="1280"/>
        <v>0</v>
      </c>
      <c r="N554" s="194">
        <f t="shared" si="1262"/>
        <v>0</v>
      </c>
      <c r="O554" s="195">
        <f t="shared" ref="O554:P569" si="1281">IF(O105=0,0,O454/O105)</f>
        <v>0</v>
      </c>
      <c r="P554" s="193">
        <f t="shared" si="1281"/>
        <v>0</v>
      </c>
      <c r="Q554" s="194">
        <f t="shared" si="1263"/>
        <v>0</v>
      </c>
      <c r="R554" s="195">
        <f t="shared" ref="R554:S569" si="1282">IF(R105=0,0,R454/R105)</f>
        <v>0</v>
      </c>
      <c r="S554" s="193">
        <f t="shared" si="1282"/>
        <v>0</v>
      </c>
      <c r="T554" s="194">
        <f t="shared" si="1264"/>
        <v>0</v>
      </c>
      <c r="U554" s="195">
        <f t="shared" ref="U554:V569" si="1283">IF(U105=0,0,U454/U105)</f>
        <v>0</v>
      </c>
      <c r="V554" s="193">
        <f t="shared" si="1283"/>
        <v>0</v>
      </c>
      <c r="W554" s="194">
        <f t="shared" si="1265"/>
        <v>0</v>
      </c>
      <c r="X554" s="195">
        <f t="shared" ref="X554:Y569" si="1284">IF(X105=0,0,X454/X105)</f>
        <v>0</v>
      </c>
      <c r="Y554" s="193">
        <f t="shared" si="1284"/>
        <v>0</v>
      </c>
      <c r="Z554" s="194">
        <f t="shared" si="1266"/>
        <v>0</v>
      </c>
      <c r="AA554" s="195">
        <f t="shared" ref="AA554:AB569" si="1285">IF(AA105=0,0,AA454/AA105)</f>
        <v>0</v>
      </c>
      <c r="AB554" s="193">
        <f t="shared" si="1285"/>
        <v>0</v>
      </c>
      <c r="AC554" s="194">
        <f t="shared" si="1267"/>
        <v>0</v>
      </c>
      <c r="AD554" s="195">
        <f t="shared" ref="AD554:AE569" si="1286">IF(AD105=0,0,AD454/AD105)</f>
        <v>0</v>
      </c>
      <c r="AE554" s="193">
        <f t="shared" si="1286"/>
        <v>0</v>
      </c>
      <c r="AF554" s="194">
        <f t="shared" si="1268"/>
        <v>0</v>
      </c>
      <c r="AG554" s="195">
        <f t="shared" ref="AG554:AH569" si="1287">IF(AG105=0,0,AG454/AG105)</f>
        <v>0</v>
      </c>
      <c r="AH554" s="193">
        <f t="shared" si="1287"/>
        <v>0</v>
      </c>
      <c r="AI554" s="194">
        <f t="shared" si="1269"/>
        <v>0</v>
      </c>
      <c r="AJ554" s="195">
        <f t="shared" ref="AJ554:AK569" si="1288">IF(AJ105=0,0,AJ454/AJ105)</f>
        <v>0</v>
      </c>
      <c r="AK554" s="193">
        <f t="shared" si="1288"/>
        <v>0</v>
      </c>
      <c r="AL554" s="194">
        <f t="shared" si="1270"/>
        <v>0</v>
      </c>
      <c r="AM554" s="195">
        <f t="shared" ref="AM554:AN569" si="1289">IF(AM105=0,0,AM454/AM105)</f>
        <v>0</v>
      </c>
      <c r="AN554" s="193">
        <f t="shared" si="1289"/>
        <v>0</v>
      </c>
      <c r="AO554" s="194">
        <f t="shared" si="1271"/>
        <v>0</v>
      </c>
      <c r="AP554" s="195">
        <f t="shared" ref="AP554:AQ569" si="1290">IF(AP105=0,0,AP454/AP105)</f>
        <v>0</v>
      </c>
      <c r="AQ554" s="193">
        <f t="shared" si="1290"/>
        <v>0</v>
      </c>
      <c r="AR554" s="194">
        <f t="shared" si="1272"/>
        <v>0</v>
      </c>
      <c r="AS554" s="195">
        <f t="shared" ref="AS554:AT569" si="1291">IF(AS105=0,0,AS454/AS105)</f>
        <v>0</v>
      </c>
      <c r="AT554" s="193">
        <f t="shared" si="1291"/>
        <v>0</v>
      </c>
      <c r="AU554" s="194">
        <f t="shared" si="1273"/>
        <v>0</v>
      </c>
      <c r="AV554" s="195">
        <f t="shared" ref="AV554:AW569" si="1292">IF(AV105=0,0,AV454/AV105)</f>
        <v>0</v>
      </c>
      <c r="AW554" s="193">
        <f t="shared" si="1292"/>
        <v>0</v>
      </c>
      <c r="AX554" s="194">
        <f t="shared" si="1274"/>
        <v>0</v>
      </c>
      <c r="AY554" s="193">
        <f t="shared" ref="AY554:AZ569" si="1293">IF(AY105=0,0,AY454/AY105)</f>
        <v>0</v>
      </c>
      <c r="AZ554" s="193">
        <f t="shared" si="1293"/>
        <v>0</v>
      </c>
      <c r="BA554" s="194">
        <f t="shared" si="1275"/>
        <v>0</v>
      </c>
      <c r="BB554" s="195">
        <f t="shared" ref="BB554:BC569" si="1294">IF(BB105=0,0,BB454/BB105)</f>
        <v>0</v>
      </c>
      <c r="BC554" s="193">
        <f t="shared" si="1294"/>
        <v>0</v>
      </c>
      <c r="BD554" s="194">
        <f t="shared" si="1276"/>
        <v>0</v>
      </c>
      <c r="BE554" s="195">
        <f t="shared" si="1258"/>
        <v>0</v>
      </c>
      <c r="BF554" s="195">
        <f t="shared" si="1258"/>
        <v>0</v>
      </c>
      <c r="BG554" s="192">
        <f t="shared" ref="BG554" si="1295">IF(BG105=0,0,BG454/BG105)</f>
        <v>0</v>
      </c>
    </row>
    <row r="555" spans="1:59" s="210" customFormat="1" ht="13.5" customHeight="1" x14ac:dyDescent="0.25">
      <c r="A555" s="103"/>
      <c r="B555" s="102" t="s">
        <v>33</v>
      </c>
      <c r="C555" s="77" t="s">
        <v>110</v>
      </c>
      <c r="D555" s="188">
        <f t="shared" si="1278"/>
        <v>0</v>
      </c>
      <c r="E555" s="188">
        <f t="shared" si="1278"/>
        <v>0</v>
      </c>
      <c r="F555" s="191">
        <f t="shared" si="1278"/>
        <v>0</v>
      </c>
      <c r="G555" s="189">
        <f t="shared" si="1278"/>
        <v>0</v>
      </c>
      <c r="H555" s="190">
        <f t="shared" si="1260"/>
        <v>0</v>
      </c>
      <c r="I555" s="191">
        <f t="shared" si="1279"/>
        <v>0</v>
      </c>
      <c r="J555" s="189">
        <f t="shared" si="1279"/>
        <v>0</v>
      </c>
      <c r="K555" s="190">
        <f t="shared" si="1261"/>
        <v>0</v>
      </c>
      <c r="L555" s="191">
        <f t="shared" si="1280"/>
        <v>0</v>
      </c>
      <c r="M555" s="189">
        <f t="shared" si="1280"/>
        <v>0</v>
      </c>
      <c r="N555" s="190">
        <f t="shared" si="1262"/>
        <v>0</v>
      </c>
      <c r="O555" s="191">
        <f t="shared" si="1281"/>
        <v>0</v>
      </c>
      <c r="P555" s="189">
        <f t="shared" si="1281"/>
        <v>0</v>
      </c>
      <c r="Q555" s="190">
        <f t="shared" si="1263"/>
        <v>0</v>
      </c>
      <c r="R555" s="191">
        <f t="shared" si="1282"/>
        <v>0</v>
      </c>
      <c r="S555" s="189">
        <f t="shared" si="1282"/>
        <v>0</v>
      </c>
      <c r="T555" s="190">
        <f t="shared" si="1264"/>
        <v>0</v>
      </c>
      <c r="U555" s="191">
        <f t="shared" si="1283"/>
        <v>0</v>
      </c>
      <c r="V555" s="189">
        <f t="shared" si="1283"/>
        <v>0</v>
      </c>
      <c r="W555" s="190">
        <f t="shared" si="1265"/>
        <v>0</v>
      </c>
      <c r="X555" s="191">
        <f t="shared" si="1284"/>
        <v>0</v>
      </c>
      <c r="Y555" s="189">
        <f t="shared" si="1284"/>
        <v>0</v>
      </c>
      <c r="Z555" s="190">
        <f t="shared" si="1266"/>
        <v>0</v>
      </c>
      <c r="AA555" s="191">
        <f t="shared" si="1285"/>
        <v>0</v>
      </c>
      <c r="AB555" s="189">
        <f t="shared" si="1285"/>
        <v>0</v>
      </c>
      <c r="AC555" s="190">
        <f t="shared" si="1267"/>
        <v>0</v>
      </c>
      <c r="AD555" s="191">
        <f t="shared" si="1286"/>
        <v>0</v>
      </c>
      <c r="AE555" s="189">
        <f t="shared" si="1286"/>
        <v>0</v>
      </c>
      <c r="AF555" s="190">
        <f t="shared" si="1268"/>
        <v>0</v>
      </c>
      <c r="AG555" s="191">
        <f t="shared" si="1287"/>
        <v>0</v>
      </c>
      <c r="AH555" s="189">
        <f t="shared" si="1287"/>
        <v>0</v>
      </c>
      <c r="AI555" s="190">
        <f t="shared" si="1269"/>
        <v>0</v>
      </c>
      <c r="AJ555" s="191">
        <f t="shared" si="1288"/>
        <v>0</v>
      </c>
      <c r="AK555" s="189">
        <f t="shared" si="1288"/>
        <v>0</v>
      </c>
      <c r="AL555" s="190">
        <f t="shared" si="1270"/>
        <v>0</v>
      </c>
      <c r="AM555" s="191">
        <f t="shared" si="1289"/>
        <v>0</v>
      </c>
      <c r="AN555" s="189">
        <f t="shared" si="1289"/>
        <v>0</v>
      </c>
      <c r="AO555" s="190">
        <f t="shared" si="1271"/>
        <v>0</v>
      </c>
      <c r="AP555" s="191">
        <f t="shared" si="1290"/>
        <v>0</v>
      </c>
      <c r="AQ555" s="189">
        <f t="shared" si="1290"/>
        <v>0</v>
      </c>
      <c r="AR555" s="190">
        <f t="shared" si="1272"/>
        <v>0</v>
      </c>
      <c r="AS555" s="191">
        <f t="shared" si="1291"/>
        <v>0</v>
      </c>
      <c r="AT555" s="189">
        <f t="shared" si="1291"/>
        <v>0</v>
      </c>
      <c r="AU555" s="190">
        <f t="shared" si="1273"/>
        <v>0</v>
      </c>
      <c r="AV555" s="191">
        <f t="shared" si="1292"/>
        <v>0</v>
      </c>
      <c r="AW555" s="189">
        <f t="shared" si="1292"/>
        <v>0</v>
      </c>
      <c r="AX555" s="190">
        <f t="shared" si="1274"/>
        <v>0</v>
      </c>
      <c r="AY555" s="189">
        <f t="shared" si="1293"/>
        <v>0</v>
      </c>
      <c r="AZ555" s="189">
        <f t="shared" si="1293"/>
        <v>0</v>
      </c>
      <c r="BA555" s="190">
        <f t="shared" si="1275"/>
        <v>0</v>
      </c>
      <c r="BB555" s="191">
        <f t="shared" si="1294"/>
        <v>0</v>
      </c>
      <c r="BC555" s="189">
        <f t="shared" si="1294"/>
        <v>0</v>
      </c>
      <c r="BD555" s="190">
        <f t="shared" si="1276"/>
        <v>0</v>
      </c>
      <c r="BE555" s="191">
        <f t="shared" si="1258"/>
        <v>0</v>
      </c>
      <c r="BF555" s="191">
        <f t="shared" si="1258"/>
        <v>0</v>
      </c>
      <c r="BG555" s="188">
        <f t="shared" ref="BG555" si="1296">IF(BG106=0,0,BG455/BG106)</f>
        <v>0</v>
      </c>
    </row>
    <row r="556" spans="1:59" ht="13.5" hidden="1" customHeight="1" outlineLevel="1" x14ac:dyDescent="0.25">
      <c r="A556" s="60"/>
      <c r="B556" s="84" t="s">
        <v>34</v>
      </c>
      <c r="C556" s="26" t="s">
        <v>110</v>
      </c>
      <c r="D556" s="20">
        <f t="shared" si="1278"/>
        <v>0</v>
      </c>
      <c r="E556" s="20">
        <f t="shared" si="1278"/>
        <v>0</v>
      </c>
      <c r="F556" s="24">
        <f t="shared" si="1278"/>
        <v>0</v>
      </c>
      <c r="G556" s="23">
        <f t="shared" si="1278"/>
        <v>0</v>
      </c>
      <c r="H556" s="22">
        <f t="shared" si="1260"/>
        <v>0</v>
      </c>
      <c r="I556" s="24">
        <f t="shared" si="1279"/>
        <v>0</v>
      </c>
      <c r="J556" s="23">
        <f t="shared" si="1279"/>
        <v>0</v>
      </c>
      <c r="K556" s="22">
        <f t="shared" si="1261"/>
        <v>0</v>
      </c>
      <c r="L556" s="24">
        <f t="shared" si="1280"/>
        <v>0</v>
      </c>
      <c r="M556" s="23">
        <f t="shared" si="1280"/>
        <v>0</v>
      </c>
      <c r="N556" s="22">
        <f t="shared" si="1262"/>
        <v>0</v>
      </c>
      <c r="O556" s="24">
        <f t="shared" si="1281"/>
        <v>0</v>
      </c>
      <c r="P556" s="23">
        <f t="shared" si="1281"/>
        <v>0</v>
      </c>
      <c r="Q556" s="22">
        <f t="shared" si="1263"/>
        <v>0</v>
      </c>
      <c r="R556" s="24">
        <f t="shared" si="1282"/>
        <v>0</v>
      </c>
      <c r="S556" s="23">
        <f t="shared" si="1282"/>
        <v>0</v>
      </c>
      <c r="T556" s="22">
        <f t="shared" si="1264"/>
        <v>0</v>
      </c>
      <c r="U556" s="24">
        <f t="shared" si="1283"/>
        <v>0</v>
      </c>
      <c r="V556" s="23">
        <f t="shared" si="1283"/>
        <v>0</v>
      </c>
      <c r="W556" s="22">
        <f t="shared" si="1265"/>
        <v>0</v>
      </c>
      <c r="X556" s="24">
        <f t="shared" si="1284"/>
        <v>0</v>
      </c>
      <c r="Y556" s="23">
        <f t="shared" si="1284"/>
        <v>0</v>
      </c>
      <c r="Z556" s="22">
        <f t="shared" si="1266"/>
        <v>0</v>
      </c>
      <c r="AA556" s="24">
        <f t="shared" si="1285"/>
        <v>0</v>
      </c>
      <c r="AB556" s="23">
        <f t="shared" si="1285"/>
        <v>0</v>
      </c>
      <c r="AC556" s="22">
        <f t="shared" si="1267"/>
        <v>0</v>
      </c>
      <c r="AD556" s="24">
        <f t="shared" si="1286"/>
        <v>0</v>
      </c>
      <c r="AE556" s="23">
        <f t="shared" si="1286"/>
        <v>0</v>
      </c>
      <c r="AF556" s="22">
        <f t="shared" si="1268"/>
        <v>0</v>
      </c>
      <c r="AG556" s="24">
        <f t="shared" si="1287"/>
        <v>0</v>
      </c>
      <c r="AH556" s="23">
        <f t="shared" si="1287"/>
        <v>0</v>
      </c>
      <c r="AI556" s="22">
        <f t="shared" si="1269"/>
        <v>0</v>
      </c>
      <c r="AJ556" s="24">
        <f t="shared" si="1288"/>
        <v>0</v>
      </c>
      <c r="AK556" s="23">
        <f t="shared" si="1288"/>
        <v>0</v>
      </c>
      <c r="AL556" s="22">
        <f t="shared" si="1270"/>
        <v>0</v>
      </c>
      <c r="AM556" s="24">
        <f t="shared" si="1289"/>
        <v>0</v>
      </c>
      <c r="AN556" s="23">
        <f t="shared" si="1289"/>
        <v>0</v>
      </c>
      <c r="AO556" s="22">
        <f t="shared" si="1271"/>
        <v>0</v>
      </c>
      <c r="AP556" s="24">
        <f t="shared" si="1290"/>
        <v>0</v>
      </c>
      <c r="AQ556" s="23">
        <f t="shared" si="1290"/>
        <v>0</v>
      </c>
      <c r="AR556" s="22">
        <f t="shared" si="1272"/>
        <v>0</v>
      </c>
      <c r="AS556" s="24">
        <f t="shared" si="1291"/>
        <v>0</v>
      </c>
      <c r="AT556" s="23">
        <f t="shared" si="1291"/>
        <v>0</v>
      </c>
      <c r="AU556" s="22">
        <f t="shared" si="1273"/>
        <v>0</v>
      </c>
      <c r="AV556" s="24">
        <f t="shared" si="1292"/>
        <v>0</v>
      </c>
      <c r="AW556" s="23">
        <f t="shared" si="1292"/>
        <v>0</v>
      </c>
      <c r="AX556" s="22">
        <f t="shared" si="1274"/>
        <v>0</v>
      </c>
      <c r="AY556" s="23">
        <f t="shared" si="1293"/>
        <v>0</v>
      </c>
      <c r="AZ556" s="23">
        <f t="shared" si="1293"/>
        <v>0</v>
      </c>
      <c r="BA556" s="22">
        <f t="shared" si="1275"/>
        <v>0</v>
      </c>
      <c r="BB556" s="24">
        <f t="shared" si="1294"/>
        <v>0</v>
      </c>
      <c r="BC556" s="23">
        <f t="shared" si="1294"/>
        <v>0</v>
      </c>
      <c r="BD556" s="22">
        <f t="shared" si="1276"/>
        <v>0</v>
      </c>
      <c r="BE556" s="24">
        <f t="shared" si="1258"/>
        <v>0</v>
      </c>
      <c r="BF556" s="24">
        <f t="shared" si="1258"/>
        <v>0</v>
      </c>
      <c r="BG556" s="20">
        <f t="shared" ref="BG556" si="1297">IF(BG107=0,0,BG456/BG107)</f>
        <v>0</v>
      </c>
    </row>
    <row r="557" spans="1:59" ht="13.5" hidden="1" customHeight="1" outlineLevel="1" x14ac:dyDescent="0.25">
      <c r="A557" s="60"/>
      <c r="B557" s="84" t="s">
        <v>35</v>
      </c>
      <c r="C557" s="26" t="s">
        <v>110</v>
      </c>
      <c r="D557" s="20">
        <f t="shared" si="1278"/>
        <v>0</v>
      </c>
      <c r="E557" s="20">
        <f t="shared" si="1278"/>
        <v>0</v>
      </c>
      <c r="F557" s="24">
        <f t="shared" si="1278"/>
        <v>0</v>
      </c>
      <c r="G557" s="23">
        <f t="shared" si="1278"/>
        <v>0</v>
      </c>
      <c r="H557" s="22">
        <f t="shared" si="1260"/>
        <v>0</v>
      </c>
      <c r="I557" s="24">
        <f t="shared" si="1279"/>
        <v>0</v>
      </c>
      <c r="J557" s="23">
        <f t="shared" si="1279"/>
        <v>0</v>
      </c>
      <c r="K557" s="22">
        <f t="shared" si="1261"/>
        <v>0</v>
      </c>
      <c r="L557" s="24">
        <f t="shared" si="1280"/>
        <v>0</v>
      </c>
      <c r="M557" s="23">
        <f t="shared" si="1280"/>
        <v>0</v>
      </c>
      <c r="N557" s="22">
        <f t="shared" si="1262"/>
        <v>0</v>
      </c>
      <c r="O557" s="24">
        <f t="shared" si="1281"/>
        <v>0</v>
      </c>
      <c r="P557" s="23">
        <f t="shared" si="1281"/>
        <v>0</v>
      </c>
      <c r="Q557" s="22">
        <f t="shared" si="1263"/>
        <v>0</v>
      </c>
      <c r="R557" s="24">
        <f t="shared" si="1282"/>
        <v>0</v>
      </c>
      <c r="S557" s="23">
        <f t="shared" si="1282"/>
        <v>0</v>
      </c>
      <c r="T557" s="22">
        <f t="shared" si="1264"/>
        <v>0</v>
      </c>
      <c r="U557" s="24">
        <f t="shared" si="1283"/>
        <v>0</v>
      </c>
      <c r="V557" s="23">
        <f t="shared" si="1283"/>
        <v>0</v>
      </c>
      <c r="W557" s="22">
        <f t="shared" si="1265"/>
        <v>0</v>
      </c>
      <c r="X557" s="24">
        <f t="shared" si="1284"/>
        <v>0</v>
      </c>
      <c r="Y557" s="23">
        <f t="shared" si="1284"/>
        <v>0</v>
      </c>
      <c r="Z557" s="22">
        <f t="shared" si="1266"/>
        <v>0</v>
      </c>
      <c r="AA557" s="24">
        <f t="shared" si="1285"/>
        <v>0</v>
      </c>
      <c r="AB557" s="23">
        <f t="shared" si="1285"/>
        <v>0</v>
      </c>
      <c r="AC557" s="22">
        <f t="shared" si="1267"/>
        <v>0</v>
      </c>
      <c r="AD557" s="24">
        <f t="shared" si="1286"/>
        <v>0</v>
      </c>
      <c r="AE557" s="23">
        <f t="shared" si="1286"/>
        <v>0</v>
      </c>
      <c r="AF557" s="22">
        <f t="shared" si="1268"/>
        <v>0</v>
      </c>
      <c r="AG557" s="24">
        <f t="shared" si="1287"/>
        <v>0</v>
      </c>
      <c r="AH557" s="23">
        <f t="shared" si="1287"/>
        <v>0</v>
      </c>
      <c r="AI557" s="22">
        <f t="shared" si="1269"/>
        <v>0</v>
      </c>
      <c r="AJ557" s="24">
        <f t="shared" si="1288"/>
        <v>0</v>
      </c>
      <c r="AK557" s="23">
        <f t="shared" si="1288"/>
        <v>0</v>
      </c>
      <c r="AL557" s="22">
        <f t="shared" si="1270"/>
        <v>0</v>
      </c>
      <c r="AM557" s="24">
        <f t="shared" si="1289"/>
        <v>0</v>
      </c>
      <c r="AN557" s="23">
        <f t="shared" si="1289"/>
        <v>0</v>
      </c>
      <c r="AO557" s="22">
        <f t="shared" si="1271"/>
        <v>0</v>
      </c>
      <c r="AP557" s="24">
        <f t="shared" si="1290"/>
        <v>0</v>
      </c>
      <c r="AQ557" s="23">
        <f t="shared" si="1290"/>
        <v>0</v>
      </c>
      <c r="AR557" s="22">
        <f t="shared" si="1272"/>
        <v>0</v>
      </c>
      <c r="AS557" s="24">
        <f t="shared" si="1291"/>
        <v>0</v>
      </c>
      <c r="AT557" s="23">
        <f t="shared" si="1291"/>
        <v>0</v>
      </c>
      <c r="AU557" s="22">
        <f t="shared" si="1273"/>
        <v>0</v>
      </c>
      <c r="AV557" s="24">
        <f t="shared" si="1292"/>
        <v>0</v>
      </c>
      <c r="AW557" s="23">
        <f t="shared" si="1292"/>
        <v>0</v>
      </c>
      <c r="AX557" s="22">
        <f t="shared" si="1274"/>
        <v>0</v>
      </c>
      <c r="AY557" s="23">
        <f t="shared" si="1293"/>
        <v>0</v>
      </c>
      <c r="AZ557" s="23">
        <f t="shared" si="1293"/>
        <v>0</v>
      </c>
      <c r="BA557" s="22">
        <f t="shared" si="1275"/>
        <v>0</v>
      </c>
      <c r="BB557" s="24">
        <f t="shared" si="1294"/>
        <v>0</v>
      </c>
      <c r="BC557" s="23">
        <f t="shared" si="1294"/>
        <v>0</v>
      </c>
      <c r="BD557" s="22">
        <f t="shared" si="1276"/>
        <v>0</v>
      </c>
      <c r="BE557" s="24">
        <f t="shared" si="1258"/>
        <v>0</v>
      </c>
      <c r="BF557" s="24">
        <f t="shared" si="1258"/>
        <v>0</v>
      </c>
      <c r="BG557" s="20">
        <f t="shared" ref="BG557" si="1298">IF(BG108=0,0,BG457/BG108)</f>
        <v>0</v>
      </c>
    </row>
    <row r="558" spans="1:59" ht="13.5" hidden="1" customHeight="1" outlineLevel="1" x14ac:dyDescent="0.25">
      <c r="A558" s="60"/>
      <c r="B558" s="84" t="s">
        <v>36</v>
      </c>
      <c r="C558" s="26" t="s">
        <v>110</v>
      </c>
      <c r="D558" s="20">
        <f t="shared" si="1278"/>
        <v>0</v>
      </c>
      <c r="E558" s="20">
        <f t="shared" si="1278"/>
        <v>0</v>
      </c>
      <c r="F558" s="24">
        <f t="shared" si="1278"/>
        <v>0</v>
      </c>
      <c r="G558" s="23">
        <f t="shared" si="1278"/>
        <v>0</v>
      </c>
      <c r="H558" s="22">
        <f t="shared" si="1260"/>
        <v>0</v>
      </c>
      <c r="I558" s="24">
        <f t="shared" si="1279"/>
        <v>0</v>
      </c>
      <c r="J558" s="23">
        <f t="shared" si="1279"/>
        <v>0</v>
      </c>
      <c r="K558" s="22">
        <f t="shared" si="1261"/>
        <v>0</v>
      </c>
      <c r="L558" s="24">
        <f t="shared" si="1280"/>
        <v>0</v>
      </c>
      <c r="M558" s="23">
        <f t="shared" si="1280"/>
        <v>0</v>
      </c>
      <c r="N558" s="22">
        <f t="shared" si="1262"/>
        <v>0</v>
      </c>
      <c r="O558" s="24">
        <f t="shared" si="1281"/>
        <v>0</v>
      </c>
      <c r="P558" s="23">
        <f t="shared" si="1281"/>
        <v>0</v>
      </c>
      <c r="Q558" s="22">
        <f t="shared" si="1263"/>
        <v>0</v>
      </c>
      <c r="R558" s="24">
        <f t="shared" si="1282"/>
        <v>0</v>
      </c>
      <c r="S558" s="23">
        <f t="shared" si="1282"/>
        <v>0</v>
      </c>
      <c r="T558" s="22">
        <f t="shared" si="1264"/>
        <v>0</v>
      </c>
      <c r="U558" s="24">
        <f t="shared" si="1283"/>
        <v>0</v>
      </c>
      <c r="V558" s="23">
        <f t="shared" si="1283"/>
        <v>0</v>
      </c>
      <c r="W558" s="22">
        <f t="shared" si="1265"/>
        <v>0</v>
      </c>
      <c r="X558" s="24">
        <f t="shared" si="1284"/>
        <v>0</v>
      </c>
      <c r="Y558" s="23">
        <f t="shared" si="1284"/>
        <v>0</v>
      </c>
      <c r="Z558" s="22">
        <f t="shared" si="1266"/>
        <v>0</v>
      </c>
      <c r="AA558" s="24">
        <f t="shared" si="1285"/>
        <v>0</v>
      </c>
      <c r="AB558" s="23">
        <f t="shared" si="1285"/>
        <v>0</v>
      </c>
      <c r="AC558" s="22">
        <f t="shared" si="1267"/>
        <v>0</v>
      </c>
      <c r="AD558" s="24">
        <f t="shared" si="1286"/>
        <v>0</v>
      </c>
      <c r="AE558" s="23">
        <f t="shared" si="1286"/>
        <v>0</v>
      </c>
      <c r="AF558" s="22">
        <f t="shared" si="1268"/>
        <v>0</v>
      </c>
      <c r="AG558" s="24">
        <f t="shared" si="1287"/>
        <v>0</v>
      </c>
      <c r="AH558" s="23">
        <f t="shared" si="1287"/>
        <v>0</v>
      </c>
      <c r="AI558" s="22">
        <f t="shared" si="1269"/>
        <v>0</v>
      </c>
      <c r="AJ558" s="24">
        <f t="shared" si="1288"/>
        <v>0</v>
      </c>
      <c r="AK558" s="23">
        <f t="shared" si="1288"/>
        <v>0</v>
      </c>
      <c r="AL558" s="22">
        <f t="shared" si="1270"/>
        <v>0</v>
      </c>
      <c r="AM558" s="24">
        <f t="shared" si="1289"/>
        <v>0</v>
      </c>
      <c r="AN558" s="23">
        <f t="shared" si="1289"/>
        <v>0</v>
      </c>
      <c r="AO558" s="22">
        <f t="shared" si="1271"/>
        <v>0</v>
      </c>
      <c r="AP558" s="24">
        <f t="shared" si="1290"/>
        <v>0</v>
      </c>
      <c r="AQ558" s="23">
        <f t="shared" si="1290"/>
        <v>0</v>
      </c>
      <c r="AR558" s="22">
        <f t="shared" si="1272"/>
        <v>0</v>
      </c>
      <c r="AS558" s="24">
        <f t="shared" si="1291"/>
        <v>0</v>
      </c>
      <c r="AT558" s="23">
        <f t="shared" si="1291"/>
        <v>0</v>
      </c>
      <c r="AU558" s="22">
        <f t="shared" si="1273"/>
        <v>0</v>
      </c>
      <c r="AV558" s="24">
        <f t="shared" si="1292"/>
        <v>0</v>
      </c>
      <c r="AW558" s="23">
        <f t="shared" si="1292"/>
        <v>0</v>
      </c>
      <c r="AX558" s="22">
        <f t="shared" si="1274"/>
        <v>0</v>
      </c>
      <c r="AY558" s="23">
        <f t="shared" si="1293"/>
        <v>0</v>
      </c>
      <c r="AZ558" s="23">
        <f t="shared" si="1293"/>
        <v>0</v>
      </c>
      <c r="BA558" s="22">
        <f t="shared" si="1275"/>
        <v>0</v>
      </c>
      <c r="BB558" s="24">
        <f t="shared" si="1294"/>
        <v>0</v>
      </c>
      <c r="BC558" s="23">
        <f t="shared" si="1294"/>
        <v>0</v>
      </c>
      <c r="BD558" s="22">
        <f t="shared" si="1276"/>
        <v>0</v>
      </c>
      <c r="BE558" s="24">
        <f t="shared" si="1258"/>
        <v>0</v>
      </c>
      <c r="BF558" s="24">
        <f t="shared" si="1258"/>
        <v>0</v>
      </c>
      <c r="BG558" s="20">
        <f t="shared" ref="BG558" si="1299">IF(BG109=0,0,BG458/BG109)</f>
        <v>0</v>
      </c>
    </row>
    <row r="559" spans="1:59" ht="13.5" hidden="1" customHeight="1" outlineLevel="1" x14ac:dyDescent="0.25">
      <c r="A559" s="60"/>
      <c r="B559" s="84" t="s">
        <v>37</v>
      </c>
      <c r="C559" s="26" t="s">
        <v>110</v>
      </c>
      <c r="D559" s="20">
        <f t="shared" si="1278"/>
        <v>0</v>
      </c>
      <c r="E559" s="20">
        <f t="shared" si="1278"/>
        <v>0</v>
      </c>
      <c r="F559" s="24">
        <f t="shared" si="1278"/>
        <v>0</v>
      </c>
      <c r="G559" s="23">
        <f t="shared" si="1278"/>
        <v>0</v>
      </c>
      <c r="H559" s="22">
        <f t="shared" si="1260"/>
        <v>0</v>
      </c>
      <c r="I559" s="24">
        <f t="shared" si="1279"/>
        <v>0</v>
      </c>
      <c r="J559" s="23">
        <f t="shared" si="1279"/>
        <v>0</v>
      </c>
      <c r="K559" s="22">
        <f t="shared" si="1261"/>
        <v>0</v>
      </c>
      <c r="L559" s="24">
        <f t="shared" si="1280"/>
        <v>0</v>
      </c>
      <c r="M559" s="23">
        <f t="shared" si="1280"/>
        <v>0</v>
      </c>
      <c r="N559" s="22">
        <f t="shared" si="1262"/>
        <v>0</v>
      </c>
      <c r="O559" s="24">
        <f t="shared" si="1281"/>
        <v>0</v>
      </c>
      <c r="P559" s="23">
        <f t="shared" si="1281"/>
        <v>0</v>
      </c>
      <c r="Q559" s="22">
        <f t="shared" si="1263"/>
        <v>0</v>
      </c>
      <c r="R559" s="24">
        <f t="shared" si="1282"/>
        <v>0</v>
      </c>
      <c r="S559" s="23">
        <f t="shared" si="1282"/>
        <v>0</v>
      </c>
      <c r="T559" s="22">
        <f t="shared" si="1264"/>
        <v>0</v>
      </c>
      <c r="U559" s="24">
        <f t="shared" si="1283"/>
        <v>0</v>
      </c>
      <c r="V559" s="23">
        <f t="shared" si="1283"/>
        <v>0</v>
      </c>
      <c r="W559" s="22">
        <f t="shared" si="1265"/>
        <v>0</v>
      </c>
      <c r="X559" s="24">
        <f t="shared" si="1284"/>
        <v>0</v>
      </c>
      <c r="Y559" s="23">
        <f t="shared" si="1284"/>
        <v>0</v>
      </c>
      <c r="Z559" s="22">
        <f t="shared" si="1266"/>
        <v>0</v>
      </c>
      <c r="AA559" s="24">
        <f t="shared" si="1285"/>
        <v>0</v>
      </c>
      <c r="AB559" s="23">
        <f t="shared" si="1285"/>
        <v>0</v>
      </c>
      <c r="AC559" s="22">
        <f t="shared" si="1267"/>
        <v>0</v>
      </c>
      <c r="AD559" s="24">
        <f t="shared" si="1286"/>
        <v>0</v>
      </c>
      <c r="AE559" s="23">
        <f t="shared" si="1286"/>
        <v>0</v>
      </c>
      <c r="AF559" s="22">
        <f t="shared" si="1268"/>
        <v>0</v>
      </c>
      <c r="AG559" s="24">
        <f t="shared" si="1287"/>
        <v>0</v>
      </c>
      <c r="AH559" s="23">
        <f t="shared" si="1287"/>
        <v>0</v>
      </c>
      <c r="AI559" s="22">
        <f t="shared" si="1269"/>
        <v>0</v>
      </c>
      <c r="AJ559" s="24">
        <f t="shared" si="1288"/>
        <v>0</v>
      </c>
      <c r="AK559" s="23">
        <f t="shared" si="1288"/>
        <v>0</v>
      </c>
      <c r="AL559" s="22">
        <f t="shared" si="1270"/>
        <v>0</v>
      </c>
      <c r="AM559" s="24">
        <f t="shared" si="1289"/>
        <v>0</v>
      </c>
      <c r="AN559" s="23">
        <f t="shared" si="1289"/>
        <v>0</v>
      </c>
      <c r="AO559" s="22">
        <f t="shared" si="1271"/>
        <v>0</v>
      </c>
      <c r="AP559" s="24">
        <f t="shared" si="1290"/>
        <v>0</v>
      </c>
      <c r="AQ559" s="23">
        <f t="shared" si="1290"/>
        <v>0</v>
      </c>
      <c r="AR559" s="22">
        <f t="shared" si="1272"/>
        <v>0</v>
      </c>
      <c r="AS559" s="24">
        <f t="shared" si="1291"/>
        <v>0</v>
      </c>
      <c r="AT559" s="23">
        <f t="shared" si="1291"/>
        <v>0</v>
      </c>
      <c r="AU559" s="22">
        <f t="shared" si="1273"/>
        <v>0</v>
      </c>
      <c r="AV559" s="24">
        <f t="shared" si="1292"/>
        <v>0</v>
      </c>
      <c r="AW559" s="23">
        <f t="shared" si="1292"/>
        <v>0</v>
      </c>
      <c r="AX559" s="22">
        <f t="shared" si="1274"/>
        <v>0</v>
      </c>
      <c r="AY559" s="23">
        <f t="shared" si="1293"/>
        <v>0</v>
      </c>
      <c r="AZ559" s="23">
        <f t="shared" si="1293"/>
        <v>0</v>
      </c>
      <c r="BA559" s="22">
        <f t="shared" si="1275"/>
        <v>0</v>
      </c>
      <c r="BB559" s="24">
        <f t="shared" si="1294"/>
        <v>0</v>
      </c>
      <c r="BC559" s="23">
        <f t="shared" si="1294"/>
        <v>0</v>
      </c>
      <c r="BD559" s="22">
        <f t="shared" si="1276"/>
        <v>0</v>
      </c>
      <c r="BE559" s="24">
        <f t="shared" si="1258"/>
        <v>0</v>
      </c>
      <c r="BF559" s="24">
        <f t="shared" si="1258"/>
        <v>0</v>
      </c>
      <c r="BG559" s="20">
        <f t="shared" ref="BG559" si="1300">IF(BG110=0,0,BG459/BG110)</f>
        <v>0</v>
      </c>
    </row>
    <row r="560" spans="1:59" ht="13.5" hidden="1" customHeight="1" outlineLevel="1" x14ac:dyDescent="0.25">
      <c r="A560" s="60"/>
      <c r="B560" s="84" t="s">
        <v>38</v>
      </c>
      <c r="C560" s="26" t="s">
        <v>110</v>
      </c>
      <c r="D560" s="20">
        <f t="shared" si="1278"/>
        <v>0</v>
      </c>
      <c r="E560" s="20">
        <f t="shared" si="1278"/>
        <v>0</v>
      </c>
      <c r="F560" s="24">
        <f t="shared" si="1278"/>
        <v>0</v>
      </c>
      <c r="G560" s="23">
        <f t="shared" si="1278"/>
        <v>0</v>
      </c>
      <c r="H560" s="22">
        <f t="shared" si="1260"/>
        <v>0</v>
      </c>
      <c r="I560" s="24">
        <f t="shared" si="1279"/>
        <v>0</v>
      </c>
      <c r="J560" s="23">
        <f t="shared" si="1279"/>
        <v>0</v>
      </c>
      <c r="K560" s="22">
        <f t="shared" si="1261"/>
        <v>0</v>
      </c>
      <c r="L560" s="24">
        <f t="shared" si="1280"/>
        <v>0</v>
      </c>
      <c r="M560" s="23">
        <f t="shared" si="1280"/>
        <v>0</v>
      </c>
      <c r="N560" s="22">
        <f t="shared" si="1262"/>
        <v>0</v>
      </c>
      <c r="O560" s="24">
        <f t="shared" si="1281"/>
        <v>0</v>
      </c>
      <c r="P560" s="23">
        <f t="shared" si="1281"/>
        <v>0</v>
      </c>
      <c r="Q560" s="22">
        <f t="shared" si="1263"/>
        <v>0</v>
      </c>
      <c r="R560" s="24">
        <f t="shared" si="1282"/>
        <v>0</v>
      </c>
      <c r="S560" s="23">
        <f t="shared" si="1282"/>
        <v>0</v>
      </c>
      <c r="T560" s="22">
        <f t="shared" si="1264"/>
        <v>0</v>
      </c>
      <c r="U560" s="24">
        <f t="shared" si="1283"/>
        <v>0</v>
      </c>
      <c r="V560" s="23">
        <f t="shared" si="1283"/>
        <v>0</v>
      </c>
      <c r="W560" s="22">
        <f t="shared" si="1265"/>
        <v>0</v>
      </c>
      <c r="X560" s="24">
        <f t="shared" si="1284"/>
        <v>0</v>
      </c>
      <c r="Y560" s="23">
        <f t="shared" si="1284"/>
        <v>0</v>
      </c>
      <c r="Z560" s="22">
        <f t="shared" si="1266"/>
        <v>0</v>
      </c>
      <c r="AA560" s="24">
        <f t="shared" si="1285"/>
        <v>0</v>
      </c>
      <c r="AB560" s="23">
        <f t="shared" si="1285"/>
        <v>0</v>
      </c>
      <c r="AC560" s="22">
        <f t="shared" si="1267"/>
        <v>0</v>
      </c>
      <c r="AD560" s="24">
        <f t="shared" si="1286"/>
        <v>0</v>
      </c>
      <c r="AE560" s="23">
        <f t="shared" si="1286"/>
        <v>0</v>
      </c>
      <c r="AF560" s="22">
        <f t="shared" si="1268"/>
        <v>0</v>
      </c>
      <c r="AG560" s="24">
        <f t="shared" si="1287"/>
        <v>0</v>
      </c>
      <c r="AH560" s="23">
        <f t="shared" si="1287"/>
        <v>0</v>
      </c>
      <c r="AI560" s="22">
        <f t="shared" si="1269"/>
        <v>0</v>
      </c>
      <c r="AJ560" s="24">
        <f t="shared" si="1288"/>
        <v>0</v>
      </c>
      <c r="AK560" s="23">
        <f t="shared" si="1288"/>
        <v>0</v>
      </c>
      <c r="AL560" s="22">
        <f t="shared" si="1270"/>
        <v>0</v>
      </c>
      <c r="AM560" s="24">
        <f t="shared" si="1289"/>
        <v>0</v>
      </c>
      <c r="AN560" s="23">
        <f t="shared" si="1289"/>
        <v>0</v>
      </c>
      <c r="AO560" s="22">
        <f t="shared" si="1271"/>
        <v>0</v>
      </c>
      <c r="AP560" s="24">
        <f t="shared" si="1290"/>
        <v>0</v>
      </c>
      <c r="AQ560" s="23">
        <f t="shared" si="1290"/>
        <v>0</v>
      </c>
      <c r="AR560" s="22">
        <f t="shared" si="1272"/>
        <v>0</v>
      </c>
      <c r="AS560" s="24">
        <f t="shared" si="1291"/>
        <v>0</v>
      </c>
      <c r="AT560" s="23">
        <f t="shared" si="1291"/>
        <v>0</v>
      </c>
      <c r="AU560" s="22">
        <f t="shared" si="1273"/>
        <v>0</v>
      </c>
      <c r="AV560" s="24">
        <f t="shared" si="1292"/>
        <v>0</v>
      </c>
      <c r="AW560" s="23">
        <f t="shared" si="1292"/>
        <v>0</v>
      </c>
      <c r="AX560" s="22">
        <f t="shared" si="1274"/>
        <v>0</v>
      </c>
      <c r="AY560" s="23">
        <f t="shared" si="1293"/>
        <v>0</v>
      </c>
      <c r="AZ560" s="23">
        <f t="shared" si="1293"/>
        <v>0</v>
      </c>
      <c r="BA560" s="22">
        <f t="shared" si="1275"/>
        <v>0</v>
      </c>
      <c r="BB560" s="24">
        <f t="shared" si="1294"/>
        <v>0</v>
      </c>
      <c r="BC560" s="23">
        <f t="shared" si="1294"/>
        <v>0</v>
      </c>
      <c r="BD560" s="22">
        <f t="shared" si="1276"/>
        <v>0</v>
      </c>
      <c r="BE560" s="24">
        <f t="shared" si="1258"/>
        <v>0</v>
      </c>
      <c r="BF560" s="24">
        <f t="shared" si="1258"/>
        <v>0</v>
      </c>
      <c r="BG560" s="20">
        <f t="shared" ref="BG560" si="1301">IF(BG111=0,0,BG460/BG111)</f>
        <v>0</v>
      </c>
    </row>
    <row r="561" spans="1:59" ht="13.5" hidden="1" customHeight="1" outlineLevel="1" x14ac:dyDescent="0.25">
      <c r="A561" s="60"/>
      <c r="B561" s="84" t="s">
        <v>39</v>
      </c>
      <c r="C561" s="26" t="s">
        <v>110</v>
      </c>
      <c r="D561" s="20">
        <f t="shared" si="1278"/>
        <v>0</v>
      </c>
      <c r="E561" s="20">
        <f t="shared" si="1278"/>
        <v>0</v>
      </c>
      <c r="F561" s="24">
        <f t="shared" si="1278"/>
        <v>0</v>
      </c>
      <c r="G561" s="23">
        <f t="shared" si="1278"/>
        <v>0</v>
      </c>
      <c r="H561" s="22">
        <f t="shared" si="1260"/>
        <v>0</v>
      </c>
      <c r="I561" s="24">
        <f t="shared" si="1279"/>
        <v>0</v>
      </c>
      <c r="J561" s="23">
        <f t="shared" si="1279"/>
        <v>0</v>
      </c>
      <c r="K561" s="22">
        <f t="shared" si="1261"/>
        <v>0</v>
      </c>
      <c r="L561" s="24">
        <f t="shared" si="1280"/>
        <v>0</v>
      </c>
      <c r="M561" s="23">
        <f t="shared" si="1280"/>
        <v>0</v>
      </c>
      <c r="N561" s="22">
        <f t="shared" si="1262"/>
        <v>0</v>
      </c>
      <c r="O561" s="24">
        <f t="shared" si="1281"/>
        <v>0</v>
      </c>
      <c r="P561" s="23">
        <f t="shared" si="1281"/>
        <v>0</v>
      </c>
      <c r="Q561" s="22">
        <f t="shared" si="1263"/>
        <v>0</v>
      </c>
      <c r="R561" s="24">
        <f t="shared" si="1282"/>
        <v>0</v>
      </c>
      <c r="S561" s="23">
        <f t="shared" si="1282"/>
        <v>0</v>
      </c>
      <c r="T561" s="22">
        <f t="shared" si="1264"/>
        <v>0</v>
      </c>
      <c r="U561" s="24">
        <f t="shared" si="1283"/>
        <v>0</v>
      </c>
      <c r="V561" s="23">
        <f t="shared" si="1283"/>
        <v>0</v>
      </c>
      <c r="W561" s="22">
        <f t="shared" si="1265"/>
        <v>0</v>
      </c>
      <c r="X561" s="24">
        <f t="shared" si="1284"/>
        <v>0</v>
      </c>
      <c r="Y561" s="23">
        <f t="shared" si="1284"/>
        <v>0</v>
      </c>
      <c r="Z561" s="22">
        <f t="shared" si="1266"/>
        <v>0</v>
      </c>
      <c r="AA561" s="24">
        <f t="shared" si="1285"/>
        <v>0</v>
      </c>
      <c r="AB561" s="23">
        <f t="shared" si="1285"/>
        <v>0</v>
      </c>
      <c r="AC561" s="22">
        <f t="shared" si="1267"/>
        <v>0</v>
      </c>
      <c r="AD561" s="24">
        <f t="shared" si="1286"/>
        <v>0</v>
      </c>
      <c r="AE561" s="23">
        <f t="shared" si="1286"/>
        <v>0</v>
      </c>
      <c r="AF561" s="22">
        <f t="shared" si="1268"/>
        <v>0</v>
      </c>
      <c r="AG561" s="24">
        <f t="shared" si="1287"/>
        <v>0</v>
      </c>
      <c r="AH561" s="23">
        <f t="shared" si="1287"/>
        <v>0</v>
      </c>
      <c r="AI561" s="22">
        <f t="shared" si="1269"/>
        <v>0</v>
      </c>
      <c r="AJ561" s="24">
        <f t="shared" si="1288"/>
        <v>0</v>
      </c>
      <c r="AK561" s="23">
        <f t="shared" si="1288"/>
        <v>0</v>
      </c>
      <c r="AL561" s="22">
        <f t="shared" si="1270"/>
        <v>0</v>
      </c>
      <c r="AM561" s="24">
        <f t="shared" si="1289"/>
        <v>0</v>
      </c>
      <c r="AN561" s="23">
        <f t="shared" si="1289"/>
        <v>0</v>
      </c>
      <c r="AO561" s="22">
        <f t="shared" si="1271"/>
        <v>0</v>
      </c>
      <c r="AP561" s="24">
        <f t="shared" si="1290"/>
        <v>0</v>
      </c>
      <c r="AQ561" s="23">
        <f t="shared" si="1290"/>
        <v>0</v>
      </c>
      <c r="AR561" s="22">
        <f t="shared" si="1272"/>
        <v>0</v>
      </c>
      <c r="AS561" s="24">
        <f t="shared" si="1291"/>
        <v>0</v>
      </c>
      <c r="AT561" s="23">
        <f t="shared" si="1291"/>
        <v>0</v>
      </c>
      <c r="AU561" s="22">
        <f t="shared" si="1273"/>
        <v>0</v>
      </c>
      <c r="AV561" s="24">
        <f t="shared" si="1292"/>
        <v>0</v>
      </c>
      <c r="AW561" s="23">
        <f t="shared" si="1292"/>
        <v>0</v>
      </c>
      <c r="AX561" s="22">
        <f t="shared" si="1274"/>
        <v>0</v>
      </c>
      <c r="AY561" s="23">
        <f t="shared" si="1293"/>
        <v>0</v>
      </c>
      <c r="AZ561" s="23">
        <f t="shared" si="1293"/>
        <v>0</v>
      </c>
      <c r="BA561" s="22">
        <f t="shared" si="1275"/>
        <v>0</v>
      </c>
      <c r="BB561" s="24">
        <f t="shared" si="1294"/>
        <v>0</v>
      </c>
      <c r="BC561" s="23">
        <f t="shared" si="1294"/>
        <v>0</v>
      </c>
      <c r="BD561" s="22">
        <f t="shared" si="1276"/>
        <v>0</v>
      </c>
      <c r="BE561" s="24">
        <f t="shared" si="1258"/>
        <v>0</v>
      </c>
      <c r="BF561" s="24">
        <f t="shared" si="1258"/>
        <v>0</v>
      </c>
      <c r="BG561" s="20">
        <f t="shared" ref="BG561" si="1302">IF(BG112=0,0,BG461/BG112)</f>
        <v>0</v>
      </c>
    </row>
    <row r="562" spans="1:59" ht="13.5" hidden="1" customHeight="1" outlineLevel="1" x14ac:dyDescent="0.25">
      <c r="A562" s="60"/>
      <c r="B562" s="84" t="s">
        <v>40</v>
      </c>
      <c r="C562" s="26" t="s">
        <v>110</v>
      </c>
      <c r="D562" s="20">
        <f t="shared" si="1278"/>
        <v>0</v>
      </c>
      <c r="E562" s="20">
        <f t="shared" si="1278"/>
        <v>0</v>
      </c>
      <c r="F562" s="24">
        <f t="shared" si="1278"/>
        <v>0</v>
      </c>
      <c r="G562" s="23">
        <f t="shared" si="1278"/>
        <v>0</v>
      </c>
      <c r="H562" s="22">
        <f t="shared" si="1260"/>
        <v>0</v>
      </c>
      <c r="I562" s="24">
        <f t="shared" si="1279"/>
        <v>0</v>
      </c>
      <c r="J562" s="23">
        <f t="shared" si="1279"/>
        <v>0</v>
      </c>
      <c r="K562" s="22">
        <f t="shared" si="1261"/>
        <v>0</v>
      </c>
      <c r="L562" s="24">
        <f t="shared" si="1280"/>
        <v>0</v>
      </c>
      <c r="M562" s="23">
        <f t="shared" si="1280"/>
        <v>0</v>
      </c>
      <c r="N562" s="22">
        <f t="shared" si="1262"/>
        <v>0</v>
      </c>
      <c r="O562" s="24">
        <f t="shared" si="1281"/>
        <v>0</v>
      </c>
      <c r="P562" s="23">
        <f t="shared" si="1281"/>
        <v>0</v>
      </c>
      <c r="Q562" s="22">
        <f t="shared" si="1263"/>
        <v>0</v>
      </c>
      <c r="R562" s="24">
        <f t="shared" si="1282"/>
        <v>0</v>
      </c>
      <c r="S562" s="23">
        <f t="shared" si="1282"/>
        <v>0</v>
      </c>
      <c r="T562" s="22">
        <f t="shared" si="1264"/>
        <v>0</v>
      </c>
      <c r="U562" s="24">
        <f t="shared" si="1283"/>
        <v>0</v>
      </c>
      <c r="V562" s="23">
        <f t="shared" si="1283"/>
        <v>0</v>
      </c>
      <c r="W562" s="22">
        <f t="shared" si="1265"/>
        <v>0</v>
      </c>
      <c r="X562" s="24">
        <f t="shared" si="1284"/>
        <v>0</v>
      </c>
      <c r="Y562" s="23">
        <f t="shared" si="1284"/>
        <v>0</v>
      </c>
      <c r="Z562" s="22">
        <f t="shared" si="1266"/>
        <v>0</v>
      </c>
      <c r="AA562" s="24">
        <f t="shared" si="1285"/>
        <v>0</v>
      </c>
      <c r="AB562" s="23">
        <f t="shared" si="1285"/>
        <v>0</v>
      </c>
      <c r="AC562" s="22">
        <f t="shared" si="1267"/>
        <v>0</v>
      </c>
      <c r="AD562" s="24">
        <f t="shared" si="1286"/>
        <v>0</v>
      </c>
      <c r="AE562" s="23">
        <f t="shared" si="1286"/>
        <v>0</v>
      </c>
      <c r="AF562" s="22">
        <f t="shared" si="1268"/>
        <v>0</v>
      </c>
      <c r="AG562" s="24">
        <f t="shared" si="1287"/>
        <v>0</v>
      </c>
      <c r="AH562" s="23">
        <f t="shared" si="1287"/>
        <v>0</v>
      </c>
      <c r="AI562" s="22">
        <f t="shared" si="1269"/>
        <v>0</v>
      </c>
      <c r="AJ562" s="24">
        <f t="shared" si="1288"/>
        <v>0</v>
      </c>
      <c r="AK562" s="23">
        <f t="shared" si="1288"/>
        <v>0</v>
      </c>
      <c r="AL562" s="22">
        <f t="shared" si="1270"/>
        <v>0</v>
      </c>
      <c r="AM562" s="24">
        <f t="shared" si="1289"/>
        <v>0</v>
      </c>
      <c r="AN562" s="23">
        <f t="shared" si="1289"/>
        <v>0</v>
      </c>
      <c r="AO562" s="22">
        <f t="shared" si="1271"/>
        <v>0</v>
      </c>
      <c r="AP562" s="24">
        <f t="shared" si="1290"/>
        <v>0</v>
      </c>
      <c r="AQ562" s="23">
        <f t="shared" si="1290"/>
        <v>0</v>
      </c>
      <c r="AR562" s="22">
        <f t="shared" si="1272"/>
        <v>0</v>
      </c>
      <c r="AS562" s="24">
        <f t="shared" si="1291"/>
        <v>0</v>
      </c>
      <c r="AT562" s="23">
        <f t="shared" si="1291"/>
        <v>0</v>
      </c>
      <c r="AU562" s="22">
        <f t="shared" si="1273"/>
        <v>0</v>
      </c>
      <c r="AV562" s="24">
        <f t="shared" si="1292"/>
        <v>0</v>
      </c>
      <c r="AW562" s="23">
        <f t="shared" si="1292"/>
        <v>0</v>
      </c>
      <c r="AX562" s="22">
        <f t="shared" si="1274"/>
        <v>0</v>
      </c>
      <c r="AY562" s="23">
        <f t="shared" si="1293"/>
        <v>0</v>
      </c>
      <c r="AZ562" s="23">
        <f t="shared" si="1293"/>
        <v>0</v>
      </c>
      <c r="BA562" s="22">
        <f t="shared" si="1275"/>
        <v>0</v>
      </c>
      <c r="BB562" s="24">
        <f t="shared" si="1294"/>
        <v>0</v>
      </c>
      <c r="BC562" s="23">
        <f t="shared" si="1294"/>
        <v>0</v>
      </c>
      <c r="BD562" s="22">
        <f t="shared" si="1276"/>
        <v>0</v>
      </c>
      <c r="BE562" s="24">
        <f t="shared" si="1258"/>
        <v>0</v>
      </c>
      <c r="BF562" s="24">
        <f t="shared" si="1258"/>
        <v>0</v>
      </c>
      <c r="BG562" s="20">
        <f t="shared" ref="BG562" si="1303">IF(BG113=0,0,BG462/BG113)</f>
        <v>0</v>
      </c>
    </row>
    <row r="563" spans="1:59" ht="13.5" hidden="1" customHeight="1" outlineLevel="1" x14ac:dyDescent="0.25">
      <c r="A563" s="60"/>
      <c r="B563" s="84" t="s">
        <v>41</v>
      </c>
      <c r="C563" s="26" t="s">
        <v>110</v>
      </c>
      <c r="D563" s="20">
        <f t="shared" si="1278"/>
        <v>0</v>
      </c>
      <c r="E563" s="20">
        <f t="shared" si="1278"/>
        <v>0</v>
      </c>
      <c r="F563" s="24">
        <f t="shared" si="1278"/>
        <v>0</v>
      </c>
      <c r="G563" s="23">
        <f t="shared" si="1278"/>
        <v>0</v>
      </c>
      <c r="H563" s="22">
        <f t="shared" si="1260"/>
        <v>0</v>
      </c>
      <c r="I563" s="24">
        <f t="shared" si="1279"/>
        <v>0</v>
      </c>
      <c r="J563" s="23">
        <f t="shared" si="1279"/>
        <v>0</v>
      </c>
      <c r="K563" s="22">
        <f t="shared" si="1261"/>
        <v>0</v>
      </c>
      <c r="L563" s="24">
        <f t="shared" si="1280"/>
        <v>0</v>
      </c>
      <c r="M563" s="23">
        <f t="shared" si="1280"/>
        <v>0</v>
      </c>
      <c r="N563" s="22">
        <f t="shared" si="1262"/>
        <v>0</v>
      </c>
      <c r="O563" s="24">
        <f t="shared" si="1281"/>
        <v>0</v>
      </c>
      <c r="P563" s="23">
        <f t="shared" si="1281"/>
        <v>0</v>
      </c>
      <c r="Q563" s="22">
        <f t="shared" si="1263"/>
        <v>0</v>
      </c>
      <c r="R563" s="24">
        <f t="shared" si="1282"/>
        <v>0</v>
      </c>
      <c r="S563" s="23">
        <f t="shared" si="1282"/>
        <v>0</v>
      </c>
      <c r="T563" s="22">
        <f t="shared" si="1264"/>
        <v>0</v>
      </c>
      <c r="U563" s="24">
        <f t="shared" si="1283"/>
        <v>0</v>
      </c>
      <c r="V563" s="23">
        <f t="shared" si="1283"/>
        <v>0</v>
      </c>
      <c r="W563" s="22">
        <f t="shared" si="1265"/>
        <v>0</v>
      </c>
      <c r="X563" s="24">
        <f t="shared" si="1284"/>
        <v>0</v>
      </c>
      <c r="Y563" s="23">
        <f t="shared" si="1284"/>
        <v>0</v>
      </c>
      <c r="Z563" s="22">
        <f t="shared" si="1266"/>
        <v>0</v>
      </c>
      <c r="AA563" s="24">
        <f t="shared" si="1285"/>
        <v>0</v>
      </c>
      <c r="AB563" s="23">
        <f t="shared" si="1285"/>
        <v>0</v>
      </c>
      <c r="AC563" s="22">
        <f t="shared" si="1267"/>
        <v>0</v>
      </c>
      <c r="AD563" s="24">
        <f t="shared" si="1286"/>
        <v>0</v>
      </c>
      <c r="AE563" s="23">
        <f t="shared" si="1286"/>
        <v>0</v>
      </c>
      <c r="AF563" s="22">
        <f t="shared" si="1268"/>
        <v>0</v>
      </c>
      <c r="AG563" s="24">
        <f t="shared" si="1287"/>
        <v>0</v>
      </c>
      <c r="AH563" s="23">
        <f t="shared" si="1287"/>
        <v>0</v>
      </c>
      <c r="AI563" s="22">
        <f t="shared" si="1269"/>
        <v>0</v>
      </c>
      <c r="AJ563" s="24">
        <f t="shared" si="1288"/>
        <v>0</v>
      </c>
      <c r="AK563" s="23">
        <f t="shared" si="1288"/>
        <v>0</v>
      </c>
      <c r="AL563" s="22">
        <f t="shared" si="1270"/>
        <v>0</v>
      </c>
      <c r="AM563" s="24">
        <f t="shared" si="1289"/>
        <v>0</v>
      </c>
      <c r="AN563" s="23">
        <f t="shared" si="1289"/>
        <v>0</v>
      </c>
      <c r="AO563" s="22">
        <f t="shared" si="1271"/>
        <v>0</v>
      </c>
      <c r="AP563" s="24">
        <f t="shared" si="1290"/>
        <v>0</v>
      </c>
      <c r="AQ563" s="23">
        <f t="shared" si="1290"/>
        <v>0</v>
      </c>
      <c r="AR563" s="22">
        <f t="shared" si="1272"/>
        <v>0</v>
      </c>
      <c r="AS563" s="24">
        <f t="shared" si="1291"/>
        <v>0</v>
      </c>
      <c r="AT563" s="23">
        <f t="shared" si="1291"/>
        <v>0</v>
      </c>
      <c r="AU563" s="22">
        <f t="shared" si="1273"/>
        <v>0</v>
      </c>
      <c r="AV563" s="24">
        <f t="shared" si="1292"/>
        <v>0</v>
      </c>
      <c r="AW563" s="23">
        <f t="shared" si="1292"/>
        <v>0</v>
      </c>
      <c r="AX563" s="22">
        <f t="shared" si="1274"/>
        <v>0</v>
      </c>
      <c r="AY563" s="23">
        <f t="shared" si="1293"/>
        <v>0</v>
      </c>
      <c r="AZ563" s="23">
        <f t="shared" si="1293"/>
        <v>0</v>
      </c>
      <c r="BA563" s="22">
        <f t="shared" si="1275"/>
        <v>0</v>
      </c>
      <c r="BB563" s="24">
        <f t="shared" si="1294"/>
        <v>0</v>
      </c>
      <c r="BC563" s="23">
        <f t="shared" si="1294"/>
        <v>0</v>
      </c>
      <c r="BD563" s="22">
        <f t="shared" si="1276"/>
        <v>0</v>
      </c>
      <c r="BE563" s="24">
        <f t="shared" si="1258"/>
        <v>0</v>
      </c>
      <c r="BF563" s="24">
        <f t="shared" si="1258"/>
        <v>0</v>
      </c>
      <c r="BG563" s="20">
        <f t="shared" ref="BG563" si="1304">IF(BG114=0,0,BG463/BG114)</f>
        <v>0</v>
      </c>
    </row>
    <row r="564" spans="1:59" ht="13.5" hidden="1" customHeight="1" outlineLevel="1" x14ac:dyDescent="0.25">
      <c r="A564" s="60"/>
      <c r="B564" s="84" t="s">
        <v>42</v>
      </c>
      <c r="C564" s="26" t="s">
        <v>110</v>
      </c>
      <c r="D564" s="20">
        <f t="shared" si="1278"/>
        <v>0</v>
      </c>
      <c r="E564" s="20">
        <f t="shared" si="1278"/>
        <v>0</v>
      </c>
      <c r="F564" s="24">
        <f t="shared" si="1278"/>
        <v>0</v>
      </c>
      <c r="G564" s="23">
        <f t="shared" si="1278"/>
        <v>0</v>
      </c>
      <c r="H564" s="22">
        <f t="shared" si="1260"/>
        <v>0</v>
      </c>
      <c r="I564" s="24">
        <f t="shared" si="1279"/>
        <v>0</v>
      </c>
      <c r="J564" s="23">
        <f t="shared" si="1279"/>
        <v>0</v>
      </c>
      <c r="K564" s="22">
        <f t="shared" si="1261"/>
        <v>0</v>
      </c>
      <c r="L564" s="24">
        <f t="shared" si="1280"/>
        <v>0</v>
      </c>
      <c r="M564" s="23">
        <f t="shared" si="1280"/>
        <v>0</v>
      </c>
      <c r="N564" s="22">
        <f t="shared" si="1262"/>
        <v>0</v>
      </c>
      <c r="O564" s="24">
        <f t="shared" si="1281"/>
        <v>0</v>
      </c>
      <c r="P564" s="23">
        <f t="shared" si="1281"/>
        <v>0</v>
      </c>
      <c r="Q564" s="22">
        <f t="shared" si="1263"/>
        <v>0</v>
      </c>
      <c r="R564" s="24">
        <f t="shared" si="1282"/>
        <v>0</v>
      </c>
      <c r="S564" s="23">
        <f t="shared" si="1282"/>
        <v>0</v>
      </c>
      <c r="T564" s="22">
        <f t="shared" si="1264"/>
        <v>0</v>
      </c>
      <c r="U564" s="24">
        <f t="shared" si="1283"/>
        <v>0</v>
      </c>
      <c r="V564" s="23">
        <f t="shared" si="1283"/>
        <v>0</v>
      </c>
      <c r="W564" s="22">
        <f t="shared" si="1265"/>
        <v>0</v>
      </c>
      <c r="X564" s="24">
        <f t="shared" si="1284"/>
        <v>0</v>
      </c>
      <c r="Y564" s="23">
        <f t="shared" si="1284"/>
        <v>0</v>
      </c>
      <c r="Z564" s="22">
        <f t="shared" si="1266"/>
        <v>0</v>
      </c>
      <c r="AA564" s="24">
        <f t="shared" si="1285"/>
        <v>0</v>
      </c>
      <c r="AB564" s="23">
        <f t="shared" si="1285"/>
        <v>0</v>
      </c>
      <c r="AC564" s="22">
        <f t="shared" si="1267"/>
        <v>0</v>
      </c>
      <c r="AD564" s="24">
        <f t="shared" si="1286"/>
        <v>0</v>
      </c>
      <c r="AE564" s="23">
        <f t="shared" si="1286"/>
        <v>0</v>
      </c>
      <c r="AF564" s="22">
        <f t="shared" si="1268"/>
        <v>0</v>
      </c>
      <c r="AG564" s="24">
        <f t="shared" si="1287"/>
        <v>0</v>
      </c>
      <c r="AH564" s="23">
        <f t="shared" si="1287"/>
        <v>0</v>
      </c>
      <c r="AI564" s="22">
        <f t="shared" si="1269"/>
        <v>0</v>
      </c>
      <c r="AJ564" s="24">
        <f t="shared" si="1288"/>
        <v>0</v>
      </c>
      <c r="AK564" s="23">
        <f t="shared" si="1288"/>
        <v>0</v>
      </c>
      <c r="AL564" s="22">
        <f t="shared" si="1270"/>
        <v>0</v>
      </c>
      <c r="AM564" s="24">
        <f t="shared" si="1289"/>
        <v>0</v>
      </c>
      <c r="AN564" s="23">
        <f t="shared" si="1289"/>
        <v>0</v>
      </c>
      <c r="AO564" s="22">
        <f t="shared" si="1271"/>
        <v>0</v>
      </c>
      <c r="AP564" s="24">
        <f t="shared" si="1290"/>
        <v>0</v>
      </c>
      <c r="AQ564" s="23">
        <f t="shared" si="1290"/>
        <v>0</v>
      </c>
      <c r="AR564" s="22">
        <f t="shared" si="1272"/>
        <v>0</v>
      </c>
      <c r="AS564" s="24">
        <f t="shared" si="1291"/>
        <v>0</v>
      </c>
      <c r="AT564" s="23">
        <f t="shared" si="1291"/>
        <v>0</v>
      </c>
      <c r="AU564" s="22">
        <f t="shared" si="1273"/>
        <v>0</v>
      </c>
      <c r="AV564" s="24">
        <f t="shared" si="1292"/>
        <v>0</v>
      </c>
      <c r="AW564" s="23">
        <f t="shared" si="1292"/>
        <v>0</v>
      </c>
      <c r="AX564" s="22">
        <f t="shared" si="1274"/>
        <v>0</v>
      </c>
      <c r="AY564" s="23">
        <f t="shared" si="1293"/>
        <v>0</v>
      </c>
      <c r="AZ564" s="23">
        <f t="shared" si="1293"/>
        <v>0</v>
      </c>
      <c r="BA564" s="22">
        <f t="shared" si="1275"/>
        <v>0</v>
      </c>
      <c r="BB564" s="24">
        <f t="shared" si="1294"/>
        <v>0</v>
      </c>
      <c r="BC564" s="23">
        <f t="shared" si="1294"/>
        <v>0</v>
      </c>
      <c r="BD564" s="22">
        <f t="shared" si="1276"/>
        <v>0</v>
      </c>
      <c r="BE564" s="24">
        <f t="shared" si="1258"/>
        <v>0</v>
      </c>
      <c r="BF564" s="24">
        <f t="shared" si="1258"/>
        <v>0</v>
      </c>
      <c r="BG564" s="20">
        <f t="shared" ref="BG564" si="1305">IF(BG115=0,0,BG464/BG115)</f>
        <v>0</v>
      </c>
    </row>
    <row r="565" spans="1:59" s="210" customFormat="1" ht="13.5" customHeight="1" collapsed="1" x14ac:dyDescent="0.25">
      <c r="A565" s="103"/>
      <c r="B565" s="102" t="s">
        <v>43</v>
      </c>
      <c r="C565" s="77" t="s">
        <v>110</v>
      </c>
      <c r="D565" s="188">
        <f t="shared" si="1278"/>
        <v>0</v>
      </c>
      <c r="E565" s="188">
        <f t="shared" si="1278"/>
        <v>0</v>
      </c>
      <c r="F565" s="191">
        <f t="shared" si="1278"/>
        <v>0</v>
      </c>
      <c r="G565" s="189">
        <f t="shared" si="1278"/>
        <v>0</v>
      </c>
      <c r="H565" s="190">
        <f t="shared" si="1260"/>
        <v>0</v>
      </c>
      <c r="I565" s="191">
        <f t="shared" si="1279"/>
        <v>0</v>
      </c>
      <c r="J565" s="189">
        <f t="shared" si="1279"/>
        <v>0</v>
      </c>
      <c r="K565" s="190">
        <f t="shared" si="1261"/>
        <v>0</v>
      </c>
      <c r="L565" s="191">
        <f t="shared" si="1280"/>
        <v>0</v>
      </c>
      <c r="M565" s="189">
        <f t="shared" si="1280"/>
        <v>0</v>
      </c>
      <c r="N565" s="190">
        <f t="shared" si="1262"/>
        <v>0</v>
      </c>
      <c r="O565" s="191">
        <f t="shared" si="1281"/>
        <v>0</v>
      </c>
      <c r="P565" s="189">
        <f t="shared" si="1281"/>
        <v>0</v>
      </c>
      <c r="Q565" s="190">
        <f t="shared" si="1263"/>
        <v>0</v>
      </c>
      <c r="R565" s="191">
        <f t="shared" si="1282"/>
        <v>0</v>
      </c>
      <c r="S565" s="189">
        <f t="shared" si="1282"/>
        <v>0</v>
      </c>
      <c r="T565" s="190">
        <f t="shared" si="1264"/>
        <v>0</v>
      </c>
      <c r="U565" s="191">
        <f t="shared" si="1283"/>
        <v>0</v>
      </c>
      <c r="V565" s="189">
        <f t="shared" si="1283"/>
        <v>0</v>
      </c>
      <c r="W565" s="190">
        <f t="shared" si="1265"/>
        <v>0</v>
      </c>
      <c r="X565" s="191">
        <f t="shared" si="1284"/>
        <v>0</v>
      </c>
      <c r="Y565" s="189">
        <f t="shared" si="1284"/>
        <v>0</v>
      </c>
      <c r="Z565" s="190">
        <f t="shared" si="1266"/>
        <v>0</v>
      </c>
      <c r="AA565" s="191">
        <f t="shared" si="1285"/>
        <v>0</v>
      </c>
      <c r="AB565" s="189">
        <f t="shared" si="1285"/>
        <v>0</v>
      </c>
      <c r="AC565" s="190">
        <f t="shared" si="1267"/>
        <v>0</v>
      </c>
      <c r="AD565" s="191">
        <f t="shared" si="1286"/>
        <v>0</v>
      </c>
      <c r="AE565" s="189">
        <f t="shared" si="1286"/>
        <v>0</v>
      </c>
      <c r="AF565" s="190">
        <f t="shared" si="1268"/>
        <v>0</v>
      </c>
      <c r="AG565" s="191">
        <f t="shared" si="1287"/>
        <v>0</v>
      </c>
      <c r="AH565" s="189">
        <f t="shared" si="1287"/>
        <v>0</v>
      </c>
      <c r="AI565" s="190">
        <f t="shared" si="1269"/>
        <v>0</v>
      </c>
      <c r="AJ565" s="191">
        <f t="shared" si="1288"/>
        <v>0</v>
      </c>
      <c r="AK565" s="189">
        <f t="shared" si="1288"/>
        <v>0</v>
      </c>
      <c r="AL565" s="190">
        <f t="shared" si="1270"/>
        <v>0</v>
      </c>
      <c r="AM565" s="191">
        <f t="shared" si="1289"/>
        <v>0</v>
      </c>
      <c r="AN565" s="189">
        <f t="shared" si="1289"/>
        <v>0</v>
      </c>
      <c r="AO565" s="190">
        <f t="shared" si="1271"/>
        <v>0</v>
      </c>
      <c r="AP565" s="191">
        <f t="shared" si="1290"/>
        <v>0</v>
      </c>
      <c r="AQ565" s="189">
        <f t="shared" si="1290"/>
        <v>0</v>
      </c>
      <c r="AR565" s="190">
        <f t="shared" si="1272"/>
        <v>0</v>
      </c>
      <c r="AS565" s="191">
        <f t="shared" si="1291"/>
        <v>0</v>
      </c>
      <c r="AT565" s="189">
        <f t="shared" si="1291"/>
        <v>0</v>
      </c>
      <c r="AU565" s="190">
        <f t="shared" si="1273"/>
        <v>0</v>
      </c>
      <c r="AV565" s="191">
        <f t="shared" si="1292"/>
        <v>0</v>
      </c>
      <c r="AW565" s="189">
        <f t="shared" si="1292"/>
        <v>0</v>
      </c>
      <c r="AX565" s="190">
        <f t="shared" si="1274"/>
        <v>0</v>
      </c>
      <c r="AY565" s="189">
        <f t="shared" si="1293"/>
        <v>0</v>
      </c>
      <c r="AZ565" s="189">
        <f t="shared" si="1293"/>
        <v>0</v>
      </c>
      <c r="BA565" s="190">
        <f t="shared" si="1275"/>
        <v>0</v>
      </c>
      <c r="BB565" s="191">
        <f t="shared" si="1294"/>
        <v>0</v>
      </c>
      <c r="BC565" s="189">
        <f t="shared" si="1294"/>
        <v>0</v>
      </c>
      <c r="BD565" s="190">
        <f t="shared" si="1276"/>
        <v>0</v>
      </c>
      <c r="BE565" s="191">
        <f t="shared" si="1258"/>
        <v>0</v>
      </c>
      <c r="BF565" s="191">
        <f t="shared" si="1258"/>
        <v>0</v>
      </c>
      <c r="BG565" s="188">
        <f t="shared" ref="BG565" si="1306">IF(BG116=0,0,BG465/BG116)</f>
        <v>0</v>
      </c>
    </row>
    <row r="566" spans="1:59" ht="13.5" hidden="1" customHeight="1" outlineLevel="1" x14ac:dyDescent="0.25">
      <c r="A566" s="60"/>
      <c r="B566" s="84" t="s">
        <v>44</v>
      </c>
      <c r="C566" s="26" t="s">
        <v>110</v>
      </c>
      <c r="D566" s="20">
        <f t="shared" si="1278"/>
        <v>0</v>
      </c>
      <c r="E566" s="20">
        <f t="shared" si="1278"/>
        <v>0</v>
      </c>
      <c r="F566" s="24">
        <f t="shared" si="1278"/>
        <v>0</v>
      </c>
      <c r="G566" s="23">
        <f t="shared" si="1278"/>
        <v>0</v>
      </c>
      <c r="H566" s="22">
        <f t="shared" si="1260"/>
        <v>0</v>
      </c>
      <c r="I566" s="24">
        <f t="shared" si="1279"/>
        <v>0</v>
      </c>
      <c r="J566" s="23">
        <f t="shared" si="1279"/>
        <v>0</v>
      </c>
      <c r="K566" s="22">
        <f t="shared" si="1261"/>
        <v>0</v>
      </c>
      <c r="L566" s="24">
        <f t="shared" si="1280"/>
        <v>0</v>
      </c>
      <c r="M566" s="23">
        <f t="shared" si="1280"/>
        <v>0</v>
      </c>
      <c r="N566" s="22">
        <f t="shared" si="1262"/>
        <v>0</v>
      </c>
      <c r="O566" s="24">
        <f t="shared" si="1281"/>
        <v>0</v>
      </c>
      <c r="P566" s="23">
        <f t="shared" si="1281"/>
        <v>0</v>
      </c>
      <c r="Q566" s="22">
        <f t="shared" si="1263"/>
        <v>0</v>
      </c>
      <c r="R566" s="24">
        <f t="shared" si="1282"/>
        <v>0</v>
      </c>
      <c r="S566" s="23">
        <f t="shared" si="1282"/>
        <v>0</v>
      </c>
      <c r="T566" s="22">
        <f t="shared" si="1264"/>
        <v>0</v>
      </c>
      <c r="U566" s="24">
        <f t="shared" si="1283"/>
        <v>0</v>
      </c>
      <c r="V566" s="23">
        <f t="shared" si="1283"/>
        <v>0</v>
      </c>
      <c r="W566" s="22">
        <f t="shared" si="1265"/>
        <v>0</v>
      </c>
      <c r="X566" s="24">
        <f t="shared" si="1284"/>
        <v>0</v>
      </c>
      <c r="Y566" s="23">
        <f t="shared" si="1284"/>
        <v>0</v>
      </c>
      <c r="Z566" s="22">
        <f t="shared" si="1266"/>
        <v>0</v>
      </c>
      <c r="AA566" s="24">
        <f t="shared" si="1285"/>
        <v>0</v>
      </c>
      <c r="AB566" s="23">
        <f t="shared" si="1285"/>
        <v>0</v>
      </c>
      <c r="AC566" s="22">
        <f t="shared" si="1267"/>
        <v>0</v>
      </c>
      <c r="AD566" s="24">
        <f t="shared" si="1286"/>
        <v>0</v>
      </c>
      <c r="AE566" s="23">
        <f t="shared" si="1286"/>
        <v>0</v>
      </c>
      <c r="AF566" s="22">
        <f t="shared" si="1268"/>
        <v>0</v>
      </c>
      <c r="AG566" s="24">
        <f t="shared" si="1287"/>
        <v>0</v>
      </c>
      <c r="AH566" s="23">
        <f t="shared" si="1287"/>
        <v>0</v>
      </c>
      <c r="AI566" s="22">
        <f t="shared" si="1269"/>
        <v>0</v>
      </c>
      <c r="AJ566" s="24">
        <f t="shared" si="1288"/>
        <v>0</v>
      </c>
      <c r="AK566" s="23">
        <f t="shared" si="1288"/>
        <v>0</v>
      </c>
      <c r="AL566" s="22">
        <f t="shared" si="1270"/>
        <v>0</v>
      </c>
      <c r="AM566" s="24">
        <f t="shared" si="1289"/>
        <v>0</v>
      </c>
      <c r="AN566" s="23">
        <f t="shared" si="1289"/>
        <v>0</v>
      </c>
      <c r="AO566" s="22">
        <f t="shared" si="1271"/>
        <v>0</v>
      </c>
      <c r="AP566" s="24">
        <f t="shared" si="1290"/>
        <v>0</v>
      </c>
      <c r="AQ566" s="23">
        <f t="shared" si="1290"/>
        <v>0</v>
      </c>
      <c r="AR566" s="22">
        <f t="shared" si="1272"/>
        <v>0</v>
      </c>
      <c r="AS566" s="24">
        <f t="shared" si="1291"/>
        <v>0</v>
      </c>
      <c r="AT566" s="23">
        <f t="shared" si="1291"/>
        <v>0</v>
      </c>
      <c r="AU566" s="22">
        <f t="shared" si="1273"/>
        <v>0</v>
      </c>
      <c r="AV566" s="24">
        <f t="shared" si="1292"/>
        <v>0</v>
      </c>
      <c r="AW566" s="23">
        <f t="shared" si="1292"/>
        <v>0</v>
      </c>
      <c r="AX566" s="22">
        <f t="shared" si="1274"/>
        <v>0</v>
      </c>
      <c r="AY566" s="23">
        <f t="shared" si="1293"/>
        <v>0</v>
      </c>
      <c r="AZ566" s="23">
        <f t="shared" si="1293"/>
        <v>0</v>
      </c>
      <c r="BA566" s="22">
        <f t="shared" si="1275"/>
        <v>0</v>
      </c>
      <c r="BB566" s="24">
        <f t="shared" si="1294"/>
        <v>0</v>
      </c>
      <c r="BC566" s="23">
        <f t="shared" si="1294"/>
        <v>0</v>
      </c>
      <c r="BD566" s="22">
        <f t="shared" si="1276"/>
        <v>0</v>
      </c>
      <c r="BE566" s="24">
        <f t="shared" si="1258"/>
        <v>0</v>
      </c>
      <c r="BF566" s="24">
        <f t="shared" si="1258"/>
        <v>0</v>
      </c>
      <c r="BG566" s="20">
        <f t="shared" ref="BG566" si="1307">IF(BG117=0,0,BG466/BG117)</f>
        <v>0</v>
      </c>
    </row>
    <row r="567" spans="1:59" ht="13.5" hidden="1" customHeight="1" outlineLevel="1" x14ac:dyDescent="0.25">
      <c r="A567" s="60"/>
      <c r="B567" s="84" t="s">
        <v>45</v>
      </c>
      <c r="C567" s="26" t="s">
        <v>110</v>
      </c>
      <c r="D567" s="20">
        <f t="shared" si="1278"/>
        <v>0</v>
      </c>
      <c r="E567" s="20">
        <f t="shared" si="1278"/>
        <v>0</v>
      </c>
      <c r="F567" s="24">
        <f t="shared" si="1278"/>
        <v>0</v>
      </c>
      <c r="G567" s="23">
        <f t="shared" si="1278"/>
        <v>0</v>
      </c>
      <c r="H567" s="22">
        <f t="shared" si="1260"/>
        <v>0</v>
      </c>
      <c r="I567" s="24">
        <f t="shared" si="1279"/>
        <v>0</v>
      </c>
      <c r="J567" s="23">
        <f t="shared" si="1279"/>
        <v>0</v>
      </c>
      <c r="K567" s="22">
        <f t="shared" si="1261"/>
        <v>0</v>
      </c>
      <c r="L567" s="24">
        <f t="shared" si="1280"/>
        <v>0</v>
      </c>
      <c r="M567" s="23">
        <f t="shared" si="1280"/>
        <v>0</v>
      </c>
      <c r="N567" s="22">
        <f t="shared" si="1262"/>
        <v>0</v>
      </c>
      <c r="O567" s="24">
        <f t="shared" si="1281"/>
        <v>0</v>
      </c>
      <c r="P567" s="23">
        <f t="shared" si="1281"/>
        <v>0</v>
      </c>
      <c r="Q567" s="22">
        <f t="shared" si="1263"/>
        <v>0</v>
      </c>
      <c r="R567" s="24">
        <f t="shared" si="1282"/>
        <v>0</v>
      </c>
      <c r="S567" s="23">
        <f t="shared" si="1282"/>
        <v>0</v>
      </c>
      <c r="T567" s="22">
        <f t="shared" si="1264"/>
        <v>0</v>
      </c>
      <c r="U567" s="24">
        <f t="shared" si="1283"/>
        <v>0</v>
      </c>
      <c r="V567" s="23">
        <f t="shared" si="1283"/>
        <v>0</v>
      </c>
      <c r="W567" s="22">
        <f t="shared" si="1265"/>
        <v>0</v>
      </c>
      <c r="X567" s="24">
        <f t="shared" si="1284"/>
        <v>0</v>
      </c>
      <c r="Y567" s="23">
        <f t="shared" si="1284"/>
        <v>0</v>
      </c>
      <c r="Z567" s="22">
        <f t="shared" si="1266"/>
        <v>0</v>
      </c>
      <c r="AA567" s="24">
        <f t="shared" si="1285"/>
        <v>0</v>
      </c>
      <c r="AB567" s="23">
        <f t="shared" si="1285"/>
        <v>0</v>
      </c>
      <c r="AC567" s="22">
        <f t="shared" si="1267"/>
        <v>0</v>
      </c>
      <c r="AD567" s="24">
        <f t="shared" si="1286"/>
        <v>0</v>
      </c>
      <c r="AE567" s="23">
        <f t="shared" si="1286"/>
        <v>0</v>
      </c>
      <c r="AF567" s="22">
        <f t="shared" si="1268"/>
        <v>0</v>
      </c>
      <c r="AG567" s="24">
        <f t="shared" si="1287"/>
        <v>0</v>
      </c>
      <c r="AH567" s="23">
        <f t="shared" si="1287"/>
        <v>0</v>
      </c>
      <c r="AI567" s="22">
        <f t="shared" si="1269"/>
        <v>0</v>
      </c>
      <c r="AJ567" s="24">
        <f t="shared" si="1288"/>
        <v>0</v>
      </c>
      <c r="AK567" s="23">
        <f t="shared" si="1288"/>
        <v>0</v>
      </c>
      <c r="AL567" s="22">
        <f t="shared" si="1270"/>
        <v>0</v>
      </c>
      <c r="AM567" s="24">
        <f t="shared" si="1289"/>
        <v>0</v>
      </c>
      <c r="AN567" s="23">
        <f t="shared" si="1289"/>
        <v>0</v>
      </c>
      <c r="AO567" s="22">
        <f t="shared" si="1271"/>
        <v>0</v>
      </c>
      <c r="AP567" s="24">
        <f t="shared" si="1290"/>
        <v>0</v>
      </c>
      <c r="AQ567" s="23">
        <f t="shared" si="1290"/>
        <v>0</v>
      </c>
      <c r="AR567" s="22">
        <f t="shared" si="1272"/>
        <v>0</v>
      </c>
      <c r="AS567" s="24">
        <f t="shared" si="1291"/>
        <v>0</v>
      </c>
      <c r="AT567" s="23">
        <f t="shared" si="1291"/>
        <v>0</v>
      </c>
      <c r="AU567" s="22">
        <f t="shared" si="1273"/>
        <v>0</v>
      </c>
      <c r="AV567" s="24">
        <f t="shared" si="1292"/>
        <v>0</v>
      </c>
      <c r="AW567" s="23">
        <f t="shared" si="1292"/>
        <v>0</v>
      </c>
      <c r="AX567" s="22">
        <f t="shared" si="1274"/>
        <v>0</v>
      </c>
      <c r="AY567" s="23">
        <f t="shared" si="1293"/>
        <v>0</v>
      </c>
      <c r="AZ567" s="23">
        <f t="shared" si="1293"/>
        <v>0</v>
      </c>
      <c r="BA567" s="22">
        <f t="shared" si="1275"/>
        <v>0</v>
      </c>
      <c r="BB567" s="24">
        <f t="shared" si="1294"/>
        <v>0</v>
      </c>
      <c r="BC567" s="23">
        <f t="shared" si="1294"/>
        <v>0</v>
      </c>
      <c r="BD567" s="22">
        <f t="shared" si="1276"/>
        <v>0</v>
      </c>
      <c r="BE567" s="24">
        <f t="shared" ref="BE567:BF581" si="1308">IF(BE118=0,0,BE467/BE118)</f>
        <v>0</v>
      </c>
      <c r="BF567" s="24">
        <f t="shared" si="1308"/>
        <v>0</v>
      </c>
      <c r="BG567" s="20">
        <f t="shared" ref="BG567" si="1309">IF(BG118=0,0,BG467/BG118)</f>
        <v>0</v>
      </c>
    </row>
    <row r="568" spans="1:59" ht="13.5" hidden="1" customHeight="1" outlineLevel="1" x14ac:dyDescent="0.25">
      <c r="A568" s="60"/>
      <c r="B568" s="84" t="s">
        <v>46</v>
      </c>
      <c r="C568" s="26" t="s">
        <v>110</v>
      </c>
      <c r="D568" s="20">
        <f t="shared" si="1278"/>
        <v>0</v>
      </c>
      <c r="E568" s="20">
        <f t="shared" si="1278"/>
        <v>0</v>
      </c>
      <c r="F568" s="24">
        <f t="shared" si="1278"/>
        <v>0</v>
      </c>
      <c r="G568" s="23">
        <f t="shared" si="1278"/>
        <v>0</v>
      </c>
      <c r="H568" s="22">
        <f t="shared" si="1260"/>
        <v>0</v>
      </c>
      <c r="I568" s="24">
        <f t="shared" si="1279"/>
        <v>0</v>
      </c>
      <c r="J568" s="23">
        <f t="shared" si="1279"/>
        <v>0</v>
      </c>
      <c r="K568" s="22">
        <f t="shared" si="1261"/>
        <v>0</v>
      </c>
      <c r="L568" s="24">
        <f t="shared" si="1280"/>
        <v>0</v>
      </c>
      <c r="M568" s="23">
        <f t="shared" si="1280"/>
        <v>0</v>
      </c>
      <c r="N568" s="22">
        <f t="shared" si="1262"/>
        <v>0</v>
      </c>
      <c r="O568" s="24">
        <f t="shared" si="1281"/>
        <v>0</v>
      </c>
      <c r="P568" s="23">
        <f t="shared" si="1281"/>
        <v>0</v>
      </c>
      <c r="Q568" s="22">
        <f t="shared" si="1263"/>
        <v>0</v>
      </c>
      <c r="R568" s="24">
        <f t="shared" si="1282"/>
        <v>0</v>
      </c>
      <c r="S568" s="23">
        <f t="shared" si="1282"/>
        <v>0</v>
      </c>
      <c r="T568" s="22">
        <f t="shared" si="1264"/>
        <v>0</v>
      </c>
      <c r="U568" s="24">
        <f t="shared" si="1283"/>
        <v>0</v>
      </c>
      <c r="V568" s="23">
        <f t="shared" si="1283"/>
        <v>0</v>
      </c>
      <c r="W568" s="22">
        <f t="shared" si="1265"/>
        <v>0</v>
      </c>
      <c r="X568" s="24">
        <f t="shared" si="1284"/>
        <v>0</v>
      </c>
      <c r="Y568" s="23">
        <f t="shared" si="1284"/>
        <v>0</v>
      </c>
      <c r="Z568" s="22">
        <f t="shared" si="1266"/>
        <v>0</v>
      </c>
      <c r="AA568" s="24">
        <f t="shared" si="1285"/>
        <v>0</v>
      </c>
      <c r="AB568" s="23">
        <f t="shared" si="1285"/>
        <v>0</v>
      </c>
      <c r="AC568" s="22">
        <f t="shared" si="1267"/>
        <v>0</v>
      </c>
      <c r="AD568" s="24">
        <f t="shared" si="1286"/>
        <v>0</v>
      </c>
      <c r="AE568" s="23">
        <f t="shared" si="1286"/>
        <v>0</v>
      </c>
      <c r="AF568" s="22">
        <f t="shared" si="1268"/>
        <v>0</v>
      </c>
      <c r="AG568" s="24">
        <f t="shared" si="1287"/>
        <v>0</v>
      </c>
      <c r="AH568" s="23">
        <f t="shared" si="1287"/>
        <v>0</v>
      </c>
      <c r="AI568" s="22">
        <f t="shared" si="1269"/>
        <v>0</v>
      </c>
      <c r="AJ568" s="24">
        <f t="shared" si="1288"/>
        <v>0</v>
      </c>
      <c r="AK568" s="23">
        <f t="shared" si="1288"/>
        <v>0</v>
      </c>
      <c r="AL568" s="22">
        <f t="shared" si="1270"/>
        <v>0</v>
      </c>
      <c r="AM568" s="24">
        <f t="shared" si="1289"/>
        <v>0</v>
      </c>
      <c r="AN568" s="23">
        <f t="shared" si="1289"/>
        <v>0</v>
      </c>
      <c r="AO568" s="22">
        <f t="shared" si="1271"/>
        <v>0</v>
      </c>
      <c r="AP568" s="24">
        <f t="shared" si="1290"/>
        <v>0</v>
      </c>
      <c r="AQ568" s="23">
        <f t="shared" si="1290"/>
        <v>0</v>
      </c>
      <c r="AR568" s="22">
        <f t="shared" si="1272"/>
        <v>0</v>
      </c>
      <c r="AS568" s="24">
        <f t="shared" si="1291"/>
        <v>0</v>
      </c>
      <c r="AT568" s="23">
        <f t="shared" si="1291"/>
        <v>0</v>
      </c>
      <c r="AU568" s="22">
        <f t="shared" si="1273"/>
        <v>0</v>
      </c>
      <c r="AV568" s="24">
        <f t="shared" si="1292"/>
        <v>0</v>
      </c>
      <c r="AW568" s="23">
        <f t="shared" si="1292"/>
        <v>0</v>
      </c>
      <c r="AX568" s="22">
        <f t="shared" si="1274"/>
        <v>0</v>
      </c>
      <c r="AY568" s="23">
        <f t="shared" si="1293"/>
        <v>0</v>
      </c>
      <c r="AZ568" s="23">
        <f t="shared" si="1293"/>
        <v>0</v>
      </c>
      <c r="BA568" s="22">
        <f t="shared" si="1275"/>
        <v>0</v>
      </c>
      <c r="BB568" s="24">
        <f t="shared" si="1294"/>
        <v>0</v>
      </c>
      <c r="BC568" s="23">
        <f t="shared" si="1294"/>
        <v>0</v>
      </c>
      <c r="BD568" s="22">
        <f t="shared" si="1276"/>
        <v>0</v>
      </c>
      <c r="BE568" s="24">
        <f t="shared" si="1308"/>
        <v>0</v>
      </c>
      <c r="BF568" s="24">
        <f t="shared" si="1308"/>
        <v>0</v>
      </c>
      <c r="BG568" s="20">
        <f t="shared" ref="BG568" si="1310">IF(BG119=0,0,BG468/BG119)</f>
        <v>0</v>
      </c>
    </row>
    <row r="569" spans="1:59" ht="13.5" hidden="1" customHeight="1" outlineLevel="1" x14ac:dyDescent="0.25">
      <c r="A569" s="60"/>
      <c r="B569" s="84" t="s">
        <v>47</v>
      </c>
      <c r="C569" s="26" t="s">
        <v>110</v>
      </c>
      <c r="D569" s="20">
        <f t="shared" si="1278"/>
        <v>0</v>
      </c>
      <c r="E569" s="20">
        <f t="shared" si="1278"/>
        <v>0</v>
      </c>
      <c r="F569" s="24">
        <f t="shared" si="1278"/>
        <v>0</v>
      </c>
      <c r="G569" s="23">
        <f t="shared" si="1278"/>
        <v>0</v>
      </c>
      <c r="H569" s="22">
        <f t="shared" ref="H569:H584" si="1311">G569-F569</f>
        <v>0</v>
      </c>
      <c r="I569" s="24">
        <f t="shared" si="1279"/>
        <v>0</v>
      </c>
      <c r="J569" s="23">
        <f t="shared" si="1279"/>
        <v>0</v>
      </c>
      <c r="K569" s="22">
        <f t="shared" ref="K569:K584" si="1312">J569-I569</f>
        <v>0</v>
      </c>
      <c r="L569" s="24">
        <f t="shared" si="1280"/>
        <v>0</v>
      </c>
      <c r="M569" s="23">
        <f t="shared" si="1280"/>
        <v>0</v>
      </c>
      <c r="N569" s="22">
        <f t="shared" ref="N569:N584" si="1313">M569-L569</f>
        <v>0</v>
      </c>
      <c r="O569" s="24">
        <f t="shared" si="1281"/>
        <v>0</v>
      </c>
      <c r="P569" s="23">
        <f t="shared" si="1281"/>
        <v>0</v>
      </c>
      <c r="Q569" s="22">
        <f t="shared" ref="Q569:Q584" si="1314">P569-O569</f>
        <v>0</v>
      </c>
      <c r="R569" s="24">
        <f t="shared" si="1282"/>
        <v>0</v>
      </c>
      <c r="S569" s="23">
        <f t="shared" si="1282"/>
        <v>0</v>
      </c>
      <c r="T569" s="22">
        <f t="shared" ref="T569:T584" si="1315">S569-R569</f>
        <v>0</v>
      </c>
      <c r="U569" s="24">
        <f t="shared" si="1283"/>
        <v>0</v>
      </c>
      <c r="V569" s="23">
        <f t="shared" si="1283"/>
        <v>0</v>
      </c>
      <c r="W569" s="22">
        <f t="shared" ref="W569:W584" si="1316">V569-U569</f>
        <v>0</v>
      </c>
      <c r="X569" s="24">
        <f t="shared" si="1284"/>
        <v>0</v>
      </c>
      <c r="Y569" s="23">
        <f t="shared" si="1284"/>
        <v>0</v>
      </c>
      <c r="Z569" s="22">
        <f t="shared" ref="Z569:Z584" si="1317">Y569-X569</f>
        <v>0</v>
      </c>
      <c r="AA569" s="24">
        <f t="shared" si="1285"/>
        <v>0</v>
      </c>
      <c r="AB569" s="23">
        <f t="shared" si="1285"/>
        <v>0</v>
      </c>
      <c r="AC569" s="22">
        <f t="shared" ref="AC569:AC584" si="1318">AB569-AA569</f>
        <v>0</v>
      </c>
      <c r="AD569" s="24">
        <f t="shared" si="1286"/>
        <v>0</v>
      </c>
      <c r="AE569" s="23">
        <f t="shared" si="1286"/>
        <v>0</v>
      </c>
      <c r="AF569" s="22">
        <f t="shared" ref="AF569:AF584" si="1319">AE569-AD569</f>
        <v>0</v>
      </c>
      <c r="AG569" s="24">
        <f t="shared" si="1287"/>
        <v>0</v>
      </c>
      <c r="AH569" s="23">
        <f t="shared" si="1287"/>
        <v>0</v>
      </c>
      <c r="AI569" s="22">
        <f t="shared" ref="AI569:AI584" si="1320">AH569-AG569</f>
        <v>0</v>
      </c>
      <c r="AJ569" s="24">
        <f t="shared" si="1288"/>
        <v>0</v>
      </c>
      <c r="AK569" s="23">
        <f t="shared" si="1288"/>
        <v>0</v>
      </c>
      <c r="AL569" s="22">
        <f t="shared" ref="AL569:AL584" si="1321">AK569-AJ569</f>
        <v>0</v>
      </c>
      <c r="AM569" s="24">
        <f t="shared" si="1289"/>
        <v>0</v>
      </c>
      <c r="AN569" s="23">
        <f t="shared" si="1289"/>
        <v>0</v>
      </c>
      <c r="AO569" s="22">
        <f t="shared" ref="AO569:AO584" si="1322">AN569-AM569</f>
        <v>0</v>
      </c>
      <c r="AP569" s="24">
        <f t="shared" si="1290"/>
        <v>0</v>
      </c>
      <c r="AQ569" s="23">
        <f t="shared" si="1290"/>
        <v>0</v>
      </c>
      <c r="AR569" s="22">
        <f t="shared" ref="AR569:AR584" si="1323">AQ569-AP569</f>
        <v>0</v>
      </c>
      <c r="AS569" s="24">
        <f t="shared" si="1291"/>
        <v>0</v>
      </c>
      <c r="AT569" s="23">
        <f t="shared" si="1291"/>
        <v>0</v>
      </c>
      <c r="AU569" s="22">
        <f t="shared" ref="AU569:AU584" si="1324">AT569-AS569</f>
        <v>0</v>
      </c>
      <c r="AV569" s="24">
        <f t="shared" si="1292"/>
        <v>0</v>
      </c>
      <c r="AW569" s="23">
        <f t="shared" si="1292"/>
        <v>0</v>
      </c>
      <c r="AX569" s="22">
        <f t="shared" ref="AX569:AX584" si="1325">AW569-AV569</f>
        <v>0</v>
      </c>
      <c r="AY569" s="23">
        <f t="shared" si="1293"/>
        <v>0</v>
      </c>
      <c r="AZ569" s="23">
        <f t="shared" si="1293"/>
        <v>0</v>
      </c>
      <c r="BA569" s="22">
        <f t="shared" ref="BA569:BA584" si="1326">AZ569-AY569</f>
        <v>0</v>
      </c>
      <c r="BB569" s="24">
        <f t="shared" si="1294"/>
        <v>0</v>
      </c>
      <c r="BC569" s="23">
        <f t="shared" si="1294"/>
        <v>0</v>
      </c>
      <c r="BD569" s="22">
        <f t="shared" ref="BD569:BD584" si="1327">BC569-BB569</f>
        <v>0</v>
      </c>
      <c r="BE569" s="24">
        <f t="shared" si="1308"/>
        <v>0</v>
      </c>
      <c r="BF569" s="24">
        <f t="shared" si="1308"/>
        <v>0</v>
      </c>
      <c r="BG569" s="20">
        <f t="shared" ref="BG569" si="1328">IF(BG120=0,0,BG469/BG120)</f>
        <v>0</v>
      </c>
    </row>
    <row r="570" spans="1:59" ht="13.5" hidden="1" customHeight="1" outlineLevel="1" x14ac:dyDescent="0.25">
      <c r="A570" s="60"/>
      <c r="B570" s="84" t="s">
        <v>48</v>
      </c>
      <c r="C570" s="26" t="s">
        <v>110</v>
      </c>
      <c r="D570" s="20">
        <f t="shared" ref="D570:G585" si="1329">IF(D121=0,0,D470/D121)</f>
        <v>0</v>
      </c>
      <c r="E570" s="20">
        <f t="shared" si="1329"/>
        <v>0</v>
      </c>
      <c r="F570" s="24">
        <f t="shared" si="1329"/>
        <v>0</v>
      </c>
      <c r="G570" s="23">
        <f t="shared" si="1329"/>
        <v>0</v>
      </c>
      <c r="H570" s="22">
        <f t="shared" si="1311"/>
        <v>0</v>
      </c>
      <c r="I570" s="24">
        <f t="shared" ref="I570:J585" si="1330">IF(I121=0,0,I470/I121)</f>
        <v>0</v>
      </c>
      <c r="J570" s="23">
        <f t="shared" si="1330"/>
        <v>0</v>
      </c>
      <c r="K570" s="22">
        <f t="shared" si="1312"/>
        <v>0</v>
      </c>
      <c r="L570" s="24">
        <f t="shared" ref="L570:M585" si="1331">IF(L121=0,0,L470/L121)</f>
        <v>0</v>
      </c>
      <c r="M570" s="23">
        <f t="shared" si="1331"/>
        <v>0</v>
      </c>
      <c r="N570" s="22">
        <f t="shared" si="1313"/>
        <v>0</v>
      </c>
      <c r="O570" s="24">
        <f t="shared" ref="O570:P585" si="1332">IF(O121=0,0,O470/O121)</f>
        <v>0</v>
      </c>
      <c r="P570" s="23">
        <f t="shared" si="1332"/>
        <v>0</v>
      </c>
      <c r="Q570" s="22">
        <f t="shared" si="1314"/>
        <v>0</v>
      </c>
      <c r="R570" s="24">
        <f t="shared" ref="R570:S585" si="1333">IF(R121=0,0,R470/R121)</f>
        <v>0</v>
      </c>
      <c r="S570" s="23">
        <f t="shared" si="1333"/>
        <v>0</v>
      </c>
      <c r="T570" s="22">
        <f t="shared" si="1315"/>
        <v>0</v>
      </c>
      <c r="U570" s="24">
        <f t="shared" ref="U570:V585" si="1334">IF(U121=0,0,U470/U121)</f>
        <v>0</v>
      </c>
      <c r="V570" s="23">
        <f t="shared" si="1334"/>
        <v>0</v>
      </c>
      <c r="W570" s="22">
        <f t="shared" si="1316"/>
        <v>0</v>
      </c>
      <c r="X570" s="24">
        <f t="shared" ref="X570:Y585" si="1335">IF(X121=0,0,X470/X121)</f>
        <v>0</v>
      </c>
      <c r="Y570" s="23">
        <f t="shared" si="1335"/>
        <v>0</v>
      </c>
      <c r="Z570" s="22">
        <f t="shared" si="1317"/>
        <v>0</v>
      </c>
      <c r="AA570" s="24">
        <f t="shared" ref="AA570:AB585" si="1336">IF(AA121=0,0,AA470/AA121)</f>
        <v>0</v>
      </c>
      <c r="AB570" s="23">
        <f t="shared" si="1336"/>
        <v>0</v>
      </c>
      <c r="AC570" s="22">
        <f t="shared" si="1318"/>
        <v>0</v>
      </c>
      <c r="AD570" s="24">
        <f t="shared" ref="AD570:AE585" si="1337">IF(AD121=0,0,AD470/AD121)</f>
        <v>0</v>
      </c>
      <c r="AE570" s="23">
        <f t="shared" si="1337"/>
        <v>0</v>
      </c>
      <c r="AF570" s="22">
        <f t="shared" si="1319"/>
        <v>0</v>
      </c>
      <c r="AG570" s="24">
        <f t="shared" ref="AG570:AH585" si="1338">IF(AG121=0,0,AG470/AG121)</f>
        <v>0</v>
      </c>
      <c r="AH570" s="23">
        <f t="shared" si="1338"/>
        <v>0</v>
      </c>
      <c r="AI570" s="22">
        <f t="shared" si="1320"/>
        <v>0</v>
      </c>
      <c r="AJ570" s="24">
        <f t="shared" ref="AJ570:AK585" si="1339">IF(AJ121=0,0,AJ470/AJ121)</f>
        <v>0</v>
      </c>
      <c r="AK570" s="23">
        <f t="shared" si="1339"/>
        <v>0</v>
      </c>
      <c r="AL570" s="22">
        <f t="shared" si="1321"/>
        <v>0</v>
      </c>
      <c r="AM570" s="24">
        <f t="shared" ref="AM570:AN585" si="1340">IF(AM121=0,0,AM470/AM121)</f>
        <v>0</v>
      </c>
      <c r="AN570" s="23">
        <f t="shared" si="1340"/>
        <v>0</v>
      </c>
      <c r="AO570" s="22">
        <f t="shared" si="1322"/>
        <v>0</v>
      </c>
      <c r="AP570" s="24">
        <f t="shared" ref="AP570:AQ585" si="1341">IF(AP121=0,0,AP470/AP121)</f>
        <v>0</v>
      </c>
      <c r="AQ570" s="23">
        <f t="shared" si="1341"/>
        <v>0</v>
      </c>
      <c r="AR570" s="22">
        <f t="shared" si="1323"/>
        <v>0</v>
      </c>
      <c r="AS570" s="24">
        <f t="shared" ref="AS570:AT585" si="1342">IF(AS121=0,0,AS470/AS121)</f>
        <v>0</v>
      </c>
      <c r="AT570" s="23">
        <f t="shared" si="1342"/>
        <v>0</v>
      </c>
      <c r="AU570" s="22">
        <f t="shared" si="1324"/>
        <v>0</v>
      </c>
      <c r="AV570" s="24">
        <f t="shared" ref="AV570:AW585" si="1343">IF(AV121=0,0,AV470/AV121)</f>
        <v>0</v>
      </c>
      <c r="AW570" s="23">
        <f t="shared" si="1343"/>
        <v>0</v>
      </c>
      <c r="AX570" s="22">
        <f t="shared" si="1325"/>
        <v>0</v>
      </c>
      <c r="AY570" s="23">
        <f t="shared" ref="AY570:AZ585" si="1344">IF(AY121=0,0,AY470/AY121)</f>
        <v>0</v>
      </c>
      <c r="AZ570" s="23">
        <f t="shared" si="1344"/>
        <v>0</v>
      </c>
      <c r="BA570" s="22">
        <f t="shared" si="1326"/>
        <v>0</v>
      </c>
      <c r="BB570" s="24">
        <f t="shared" ref="BB570:BC585" si="1345">IF(BB121=0,0,BB470/BB121)</f>
        <v>0</v>
      </c>
      <c r="BC570" s="23">
        <f t="shared" si="1345"/>
        <v>0</v>
      </c>
      <c r="BD570" s="22">
        <f t="shared" si="1327"/>
        <v>0</v>
      </c>
      <c r="BE570" s="24">
        <f t="shared" si="1308"/>
        <v>0</v>
      </c>
      <c r="BF570" s="24">
        <f t="shared" si="1308"/>
        <v>0</v>
      </c>
      <c r="BG570" s="20">
        <f t="shared" ref="BG570" si="1346">IF(BG121=0,0,BG470/BG121)</f>
        <v>0</v>
      </c>
    </row>
    <row r="571" spans="1:59" ht="13.5" hidden="1" customHeight="1" outlineLevel="1" x14ac:dyDescent="0.25">
      <c r="A571" s="60"/>
      <c r="B571" s="84" t="s">
        <v>49</v>
      </c>
      <c r="C571" s="26" t="s">
        <v>110</v>
      </c>
      <c r="D571" s="20">
        <f t="shared" si="1329"/>
        <v>0</v>
      </c>
      <c r="E571" s="20">
        <f t="shared" si="1329"/>
        <v>0</v>
      </c>
      <c r="F571" s="24">
        <f t="shared" si="1329"/>
        <v>0</v>
      </c>
      <c r="G571" s="23">
        <f t="shared" si="1329"/>
        <v>0</v>
      </c>
      <c r="H571" s="22">
        <f t="shared" si="1311"/>
        <v>0</v>
      </c>
      <c r="I571" s="24">
        <f t="shared" si="1330"/>
        <v>0</v>
      </c>
      <c r="J571" s="23">
        <f t="shared" si="1330"/>
        <v>0</v>
      </c>
      <c r="K571" s="22">
        <f t="shared" si="1312"/>
        <v>0</v>
      </c>
      <c r="L571" s="24">
        <f t="shared" si="1331"/>
        <v>0</v>
      </c>
      <c r="M571" s="23">
        <f t="shared" si="1331"/>
        <v>0</v>
      </c>
      <c r="N571" s="22">
        <f t="shared" si="1313"/>
        <v>0</v>
      </c>
      <c r="O571" s="24">
        <f t="shared" si="1332"/>
        <v>0</v>
      </c>
      <c r="P571" s="23">
        <f t="shared" si="1332"/>
        <v>0</v>
      </c>
      <c r="Q571" s="22">
        <f t="shared" si="1314"/>
        <v>0</v>
      </c>
      <c r="R571" s="24">
        <f t="shared" si="1333"/>
        <v>0</v>
      </c>
      <c r="S571" s="23">
        <f t="shared" si="1333"/>
        <v>0</v>
      </c>
      <c r="T571" s="22">
        <f t="shared" si="1315"/>
        <v>0</v>
      </c>
      <c r="U571" s="24">
        <f t="shared" si="1334"/>
        <v>0</v>
      </c>
      <c r="V571" s="23">
        <f t="shared" si="1334"/>
        <v>0</v>
      </c>
      <c r="W571" s="22">
        <f t="shared" si="1316"/>
        <v>0</v>
      </c>
      <c r="X571" s="24">
        <f t="shared" si="1335"/>
        <v>0</v>
      </c>
      <c r="Y571" s="23">
        <f t="shared" si="1335"/>
        <v>0</v>
      </c>
      <c r="Z571" s="22">
        <f t="shared" si="1317"/>
        <v>0</v>
      </c>
      <c r="AA571" s="24">
        <f t="shared" si="1336"/>
        <v>0</v>
      </c>
      <c r="AB571" s="23">
        <f t="shared" si="1336"/>
        <v>0</v>
      </c>
      <c r="AC571" s="22">
        <f t="shared" si="1318"/>
        <v>0</v>
      </c>
      <c r="AD571" s="24">
        <f t="shared" si="1337"/>
        <v>0</v>
      </c>
      <c r="AE571" s="23">
        <f t="shared" si="1337"/>
        <v>0</v>
      </c>
      <c r="AF571" s="22">
        <f t="shared" si="1319"/>
        <v>0</v>
      </c>
      <c r="AG571" s="24">
        <f t="shared" si="1338"/>
        <v>0</v>
      </c>
      <c r="AH571" s="23">
        <f t="shared" si="1338"/>
        <v>0</v>
      </c>
      <c r="AI571" s="22">
        <f t="shared" si="1320"/>
        <v>0</v>
      </c>
      <c r="AJ571" s="24">
        <f t="shared" si="1339"/>
        <v>0</v>
      </c>
      <c r="AK571" s="23">
        <f t="shared" si="1339"/>
        <v>0</v>
      </c>
      <c r="AL571" s="22">
        <f t="shared" si="1321"/>
        <v>0</v>
      </c>
      <c r="AM571" s="24">
        <f t="shared" si="1340"/>
        <v>0</v>
      </c>
      <c r="AN571" s="23">
        <f t="shared" si="1340"/>
        <v>0</v>
      </c>
      <c r="AO571" s="22">
        <f t="shared" si="1322"/>
        <v>0</v>
      </c>
      <c r="AP571" s="24">
        <f t="shared" si="1341"/>
        <v>0</v>
      </c>
      <c r="AQ571" s="23">
        <f t="shared" si="1341"/>
        <v>0</v>
      </c>
      <c r="AR571" s="22">
        <f t="shared" si="1323"/>
        <v>0</v>
      </c>
      <c r="AS571" s="24">
        <f t="shared" si="1342"/>
        <v>0</v>
      </c>
      <c r="AT571" s="23">
        <f t="shared" si="1342"/>
        <v>0</v>
      </c>
      <c r="AU571" s="22">
        <f t="shared" si="1324"/>
        <v>0</v>
      </c>
      <c r="AV571" s="24">
        <f t="shared" si="1343"/>
        <v>0</v>
      </c>
      <c r="AW571" s="23">
        <f t="shared" si="1343"/>
        <v>0</v>
      </c>
      <c r="AX571" s="22">
        <f t="shared" si="1325"/>
        <v>0</v>
      </c>
      <c r="AY571" s="23">
        <f t="shared" si="1344"/>
        <v>0</v>
      </c>
      <c r="AZ571" s="23">
        <f t="shared" si="1344"/>
        <v>0</v>
      </c>
      <c r="BA571" s="22">
        <f t="shared" si="1326"/>
        <v>0</v>
      </c>
      <c r="BB571" s="24">
        <f t="shared" si="1345"/>
        <v>0</v>
      </c>
      <c r="BC571" s="23">
        <f t="shared" si="1345"/>
        <v>0</v>
      </c>
      <c r="BD571" s="22">
        <f t="shared" si="1327"/>
        <v>0</v>
      </c>
      <c r="BE571" s="24">
        <f t="shared" si="1308"/>
        <v>0</v>
      </c>
      <c r="BF571" s="24">
        <f t="shared" si="1308"/>
        <v>0</v>
      </c>
      <c r="BG571" s="20">
        <f t="shared" ref="BG571" si="1347">IF(BG122=0,0,BG471/BG122)</f>
        <v>0</v>
      </c>
    </row>
    <row r="572" spans="1:59" ht="13.5" hidden="1" customHeight="1" outlineLevel="1" x14ac:dyDescent="0.25">
      <c r="A572" s="60"/>
      <c r="B572" s="84" t="s">
        <v>50</v>
      </c>
      <c r="C572" s="26" t="s">
        <v>110</v>
      </c>
      <c r="D572" s="20">
        <f t="shared" si="1329"/>
        <v>0</v>
      </c>
      <c r="E572" s="20">
        <f t="shared" si="1329"/>
        <v>0</v>
      </c>
      <c r="F572" s="24">
        <f t="shared" si="1329"/>
        <v>0</v>
      </c>
      <c r="G572" s="23">
        <f t="shared" si="1329"/>
        <v>0</v>
      </c>
      <c r="H572" s="22">
        <f t="shared" si="1311"/>
        <v>0</v>
      </c>
      <c r="I572" s="24">
        <f t="shared" si="1330"/>
        <v>0</v>
      </c>
      <c r="J572" s="23">
        <f t="shared" si="1330"/>
        <v>0</v>
      </c>
      <c r="K572" s="22">
        <f t="shared" si="1312"/>
        <v>0</v>
      </c>
      <c r="L572" s="24">
        <f t="shared" si="1331"/>
        <v>0</v>
      </c>
      <c r="M572" s="23">
        <f t="shared" si="1331"/>
        <v>0</v>
      </c>
      <c r="N572" s="22">
        <f t="shared" si="1313"/>
        <v>0</v>
      </c>
      <c r="O572" s="24">
        <f t="shared" si="1332"/>
        <v>0</v>
      </c>
      <c r="P572" s="23">
        <f t="shared" si="1332"/>
        <v>0</v>
      </c>
      <c r="Q572" s="22">
        <f t="shared" si="1314"/>
        <v>0</v>
      </c>
      <c r="R572" s="24">
        <f t="shared" si="1333"/>
        <v>0</v>
      </c>
      <c r="S572" s="23">
        <f t="shared" si="1333"/>
        <v>0</v>
      </c>
      <c r="T572" s="22">
        <f t="shared" si="1315"/>
        <v>0</v>
      </c>
      <c r="U572" s="24">
        <f t="shared" si="1334"/>
        <v>0</v>
      </c>
      <c r="V572" s="23">
        <f t="shared" si="1334"/>
        <v>0</v>
      </c>
      <c r="W572" s="22">
        <f t="shared" si="1316"/>
        <v>0</v>
      </c>
      <c r="X572" s="24">
        <f t="shared" si="1335"/>
        <v>0</v>
      </c>
      <c r="Y572" s="23">
        <f t="shared" si="1335"/>
        <v>0</v>
      </c>
      <c r="Z572" s="22">
        <f t="shared" si="1317"/>
        <v>0</v>
      </c>
      <c r="AA572" s="24">
        <f t="shared" si="1336"/>
        <v>0</v>
      </c>
      <c r="AB572" s="23">
        <f t="shared" si="1336"/>
        <v>0</v>
      </c>
      <c r="AC572" s="22">
        <f t="shared" si="1318"/>
        <v>0</v>
      </c>
      <c r="AD572" s="24">
        <f t="shared" si="1337"/>
        <v>0</v>
      </c>
      <c r="AE572" s="23">
        <f t="shared" si="1337"/>
        <v>0</v>
      </c>
      <c r="AF572" s="22">
        <f t="shared" si="1319"/>
        <v>0</v>
      </c>
      <c r="AG572" s="24">
        <f t="shared" si="1338"/>
        <v>0</v>
      </c>
      <c r="AH572" s="23">
        <f t="shared" si="1338"/>
        <v>0</v>
      </c>
      <c r="AI572" s="22">
        <f t="shared" si="1320"/>
        <v>0</v>
      </c>
      <c r="AJ572" s="24">
        <f t="shared" si="1339"/>
        <v>0</v>
      </c>
      <c r="AK572" s="23">
        <f t="shared" si="1339"/>
        <v>0</v>
      </c>
      <c r="AL572" s="22">
        <f t="shared" si="1321"/>
        <v>0</v>
      </c>
      <c r="AM572" s="24">
        <f t="shared" si="1340"/>
        <v>0</v>
      </c>
      <c r="AN572" s="23">
        <f t="shared" si="1340"/>
        <v>0</v>
      </c>
      <c r="AO572" s="22">
        <f t="shared" si="1322"/>
        <v>0</v>
      </c>
      <c r="AP572" s="24">
        <f t="shared" si="1341"/>
        <v>0</v>
      </c>
      <c r="AQ572" s="23">
        <f t="shared" si="1341"/>
        <v>0</v>
      </c>
      <c r="AR572" s="22">
        <f t="shared" si="1323"/>
        <v>0</v>
      </c>
      <c r="AS572" s="24">
        <f t="shared" si="1342"/>
        <v>0</v>
      </c>
      <c r="AT572" s="23">
        <f t="shared" si="1342"/>
        <v>0</v>
      </c>
      <c r="AU572" s="22">
        <f t="shared" si="1324"/>
        <v>0</v>
      </c>
      <c r="AV572" s="24">
        <f t="shared" si="1343"/>
        <v>0</v>
      </c>
      <c r="AW572" s="23">
        <f t="shared" si="1343"/>
        <v>0</v>
      </c>
      <c r="AX572" s="22">
        <f t="shared" si="1325"/>
        <v>0</v>
      </c>
      <c r="AY572" s="23">
        <f t="shared" si="1344"/>
        <v>0</v>
      </c>
      <c r="AZ572" s="23">
        <f t="shared" si="1344"/>
        <v>0</v>
      </c>
      <c r="BA572" s="22">
        <f t="shared" si="1326"/>
        <v>0</v>
      </c>
      <c r="BB572" s="24">
        <f t="shared" si="1345"/>
        <v>0</v>
      </c>
      <c r="BC572" s="23">
        <f t="shared" si="1345"/>
        <v>0</v>
      </c>
      <c r="BD572" s="22">
        <f t="shared" si="1327"/>
        <v>0</v>
      </c>
      <c r="BE572" s="24">
        <f t="shared" si="1308"/>
        <v>0</v>
      </c>
      <c r="BF572" s="24">
        <f t="shared" si="1308"/>
        <v>0</v>
      </c>
      <c r="BG572" s="20">
        <f t="shared" ref="BG572" si="1348">IF(BG123=0,0,BG472/BG123)</f>
        <v>0</v>
      </c>
    </row>
    <row r="573" spans="1:59" ht="13.5" hidden="1" customHeight="1" outlineLevel="1" x14ac:dyDescent="0.25">
      <c r="A573" s="60"/>
      <c r="B573" s="84" t="s">
        <v>51</v>
      </c>
      <c r="C573" s="26" t="s">
        <v>110</v>
      </c>
      <c r="D573" s="20">
        <f t="shared" si="1329"/>
        <v>0</v>
      </c>
      <c r="E573" s="20">
        <f t="shared" si="1329"/>
        <v>0</v>
      </c>
      <c r="F573" s="24">
        <f t="shared" si="1329"/>
        <v>0</v>
      </c>
      <c r="G573" s="23">
        <f t="shared" si="1329"/>
        <v>0</v>
      </c>
      <c r="H573" s="22">
        <f t="shared" si="1311"/>
        <v>0</v>
      </c>
      <c r="I573" s="24">
        <f t="shared" si="1330"/>
        <v>0</v>
      </c>
      <c r="J573" s="23">
        <f t="shared" si="1330"/>
        <v>0</v>
      </c>
      <c r="K573" s="22">
        <f t="shared" si="1312"/>
        <v>0</v>
      </c>
      <c r="L573" s="24">
        <f t="shared" si="1331"/>
        <v>0</v>
      </c>
      <c r="M573" s="23">
        <f t="shared" si="1331"/>
        <v>0</v>
      </c>
      <c r="N573" s="22">
        <f t="shared" si="1313"/>
        <v>0</v>
      </c>
      <c r="O573" s="24">
        <f t="shared" si="1332"/>
        <v>0</v>
      </c>
      <c r="P573" s="23">
        <f t="shared" si="1332"/>
        <v>0</v>
      </c>
      <c r="Q573" s="22">
        <f t="shared" si="1314"/>
        <v>0</v>
      </c>
      <c r="R573" s="24">
        <f t="shared" si="1333"/>
        <v>0</v>
      </c>
      <c r="S573" s="23">
        <f t="shared" si="1333"/>
        <v>0</v>
      </c>
      <c r="T573" s="22">
        <f t="shared" si="1315"/>
        <v>0</v>
      </c>
      <c r="U573" s="24">
        <f t="shared" si="1334"/>
        <v>0</v>
      </c>
      <c r="V573" s="23">
        <f t="shared" si="1334"/>
        <v>0</v>
      </c>
      <c r="W573" s="22">
        <f t="shared" si="1316"/>
        <v>0</v>
      </c>
      <c r="X573" s="24">
        <f t="shared" si="1335"/>
        <v>0</v>
      </c>
      <c r="Y573" s="23">
        <f t="shared" si="1335"/>
        <v>0</v>
      </c>
      <c r="Z573" s="22">
        <f t="shared" si="1317"/>
        <v>0</v>
      </c>
      <c r="AA573" s="24">
        <f t="shared" si="1336"/>
        <v>0</v>
      </c>
      <c r="AB573" s="23">
        <f t="shared" si="1336"/>
        <v>0</v>
      </c>
      <c r="AC573" s="22">
        <f t="shared" si="1318"/>
        <v>0</v>
      </c>
      <c r="AD573" s="24">
        <f t="shared" si="1337"/>
        <v>0</v>
      </c>
      <c r="AE573" s="23">
        <f t="shared" si="1337"/>
        <v>0</v>
      </c>
      <c r="AF573" s="22">
        <f t="shared" si="1319"/>
        <v>0</v>
      </c>
      <c r="AG573" s="24">
        <f t="shared" si="1338"/>
        <v>0</v>
      </c>
      <c r="AH573" s="23">
        <f t="shared" si="1338"/>
        <v>0</v>
      </c>
      <c r="AI573" s="22">
        <f t="shared" si="1320"/>
        <v>0</v>
      </c>
      <c r="AJ573" s="24">
        <f t="shared" si="1339"/>
        <v>0</v>
      </c>
      <c r="AK573" s="23">
        <f t="shared" si="1339"/>
        <v>0</v>
      </c>
      <c r="AL573" s="22">
        <f t="shared" si="1321"/>
        <v>0</v>
      </c>
      <c r="AM573" s="24">
        <f t="shared" si="1340"/>
        <v>0</v>
      </c>
      <c r="AN573" s="23">
        <f t="shared" si="1340"/>
        <v>0</v>
      </c>
      <c r="AO573" s="22">
        <f t="shared" si="1322"/>
        <v>0</v>
      </c>
      <c r="AP573" s="24">
        <f t="shared" si="1341"/>
        <v>0</v>
      </c>
      <c r="AQ573" s="23">
        <f t="shared" si="1341"/>
        <v>0</v>
      </c>
      <c r="AR573" s="22">
        <f t="shared" si="1323"/>
        <v>0</v>
      </c>
      <c r="AS573" s="24">
        <f t="shared" si="1342"/>
        <v>0</v>
      </c>
      <c r="AT573" s="23">
        <f t="shared" si="1342"/>
        <v>0</v>
      </c>
      <c r="AU573" s="22">
        <f t="shared" si="1324"/>
        <v>0</v>
      </c>
      <c r="AV573" s="24">
        <f t="shared" si="1343"/>
        <v>0</v>
      </c>
      <c r="AW573" s="23">
        <f t="shared" si="1343"/>
        <v>0</v>
      </c>
      <c r="AX573" s="22">
        <f t="shared" si="1325"/>
        <v>0</v>
      </c>
      <c r="AY573" s="23">
        <f t="shared" si="1344"/>
        <v>0</v>
      </c>
      <c r="AZ573" s="23">
        <f t="shared" si="1344"/>
        <v>0</v>
      </c>
      <c r="BA573" s="22">
        <f t="shared" si="1326"/>
        <v>0</v>
      </c>
      <c r="BB573" s="24">
        <f t="shared" si="1345"/>
        <v>0</v>
      </c>
      <c r="BC573" s="23">
        <f t="shared" si="1345"/>
        <v>0</v>
      </c>
      <c r="BD573" s="22">
        <f t="shared" si="1327"/>
        <v>0</v>
      </c>
      <c r="BE573" s="24">
        <f t="shared" si="1308"/>
        <v>0</v>
      </c>
      <c r="BF573" s="24">
        <f t="shared" si="1308"/>
        <v>0</v>
      </c>
      <c r="BG573" s="20">
        <f t="shared" ref="BG573" si="1349">IF(BG124=0,0,BG473/BG124)</f>
        <v>0</v>
      </c>
    </row>
    <row r="574" spans="1:59" ht="13.5" hidden="1" customHeight="1" outlineLevel="1" x14ac:dyDescent="0.25">
      <c r="A574" s="60"/>
      <c r="B574" s="84" t="s">
        <v>52</v>
      </c>
      <c r="C574" s="26" t="s">
        <v>110</v>
      </c>
      <c r="D574" s="20">
        <f t="shared" si="1329"/>
        <v>0</v>
      </c>
      <c r="E574" s="20">
        <f t="shared" si="1329"/>
        <v>0</v>
      </c>
      <c r="F574" s="24">
        <f t="shared" si="1329"/>
        <v>0</v>
      </c>
      <c r="G574" s="23">
        <f t="shared" si="1329"/>
        <v>0</v>
      </c>
      <c r="H574" s="22">
        <f t="shared" si="1311"/>
        <v>0</v>
      </c>
      <c r="I574" s="24">
        <f t="shared" si="1330"/>
        <v>0</v>
      </c>
      <c r="J574" s="23">
        <f t="shared" si="1330"/>
        <v>0</v>
      </c>
      <c r="K574" s="22">
        <f t="shared" si="1312"/>
        <v>0</v>
      </c>
      <c r="L574" s="24">
        <f t="shared" si="1331"/>
        <v>0</v>
      </c>
      <c r="M574" s="23">
        <f t="shared" si="1331"/>
        <v>0</v>
      </c>
      <c r="N574" s="22">
        <f t="shared" si="1313"/>
        <v>0</v>
      </c>
      <c r="O574" s="24">
        <f t="shared" si="1332"/>
        <v>0</v>
      </c>
      <c r="P574" s="23">
        <f t="shared" si="1332"/>
        <v>0</v>
      </c>
      <c r="Q574" s="22">
        <f t="shared" si="1314"/>
        <v>0</v>
      </c>
      <c r="R574" s="24">
        <f t="shared" si="1333"/>
        <v>0</v>
      </c>
      <c r="S574" s="23">
        <f t="shared" si="1333"/>
        <v>0</v>
      </c>
      <c r="T574" s="22">
        <f t="shared" si="1315"/>
        <v>0</v>
      </c>
      <c r="U574" s="24">
        <f t="shared" si="1334"/>
        <v>0</v>
      </c>
      <c r="V574" s="23">
        <f t="shared" si="1334"/>
        <v>0</v>
      </c>
      <c r="W574" s="22">
        <f t="shared" si="1316"/>
        <v>0</v>
      </c>
      <c r="X574" s="24">
        <f t="shared" si="1335"/>
        <v>0</v>
      </c>
      <c r="Y574" s="23">
        <f t="shared" si="1335"/>
        <v>0</v>
      </c>
      <c r="Z574" s="22">
        <f t="shared" si="1317"/>
        <v>0</v>
      </c>
      <c r="AA574" s="24">
        <f t="shared" si="1336"/>
        <v>0</v>
      </c>
      <c r="AB574" s="23">
        <f t="shared" si="1336"/>
        <v>0</v>
      </c>
      <c r="AC574" s="22">
        <f t="shared" si="1318"/>
        <v>0</v>
      </c>
      <c r="AD574" s="24">
        <f t="shared" si="1337"/>
        <v>0</v>
      </c>
      <c r="AE574" s="23">
        <f t="shared" si="1337"/>
        <v>0</v>
      </c>
      <c r="AF574" s="22">
        <f t="shared" si="1319"/>
        <v>0</v>
      </c>
      <c r="AG574" s="24">
        <f t="shared" si="1338"/>
        <v>0</v>
      </c>
      <c r="AH574" s="23">
        <f t="shared" si="1338"/>
        <v>0</v>
      </c>
      <c r="AI574" s="22">
        <f t="shared" si="1320"/>
        <v>0</v>
      </c>
      <c r="AJ574" s="24">
        <f t="shared" si="1339"/>
        <v>0</v>
      </c>
      <c r="AK574" s="23">
        <f t="shared" si="1339"/>
        <v>0</v>
      </c>
      <c r="AL574" s="22">
        <f t="shared" si="1321"/>
        <v>0</v>
      </c>
      <c r="AM574" s="24">
        <f t="shared" si="1340"/>
        <v>0</v>
      </c>
      <c r="AN574" s="23">
        <f t="shared" si="1340"/>
        <v>0</v>
      </c>
      <c r="AO574" s="22">
        <f t="shared" si="1322"/>
        <v>0</v>
      </c>
      <c r="AP574" s="24">
        <f t="shared" si="1341"/>
        <v>0</v>
      </c>
      <c r="AQ574" s="23">
        <f t="shared" si="1341"/>
        <v>0</v>
      </c>
      <c r="AR574" s="22">
        <f t="shared" si="1323"/>
        <v>0</v>
      </c>
      <c r="AS574" s="24">
        <f t="shared" si="1342"/>
        <v>0</v>
      </c>
      <c r="AT574" s="23">
        <f t="shared" si="1342"/>
        <v>0</v>
      </c>
      <c r="AU574" s="22">
        <f t="shared" si="1324"/>
        <v>0</v>
      </c>
      <c r="AV574" s="24">
        <f t="shared" si="1343"/>
        <v>0</v>
      </c>
      <c r="AW574" s="23">
        <f t="shared" si="1343"/>
        <v>0</v>
      </c>
      <c r="AX574" s="22">
        <f t="shared" si="1325"/>
        <v>0</v>
      </c>
      <c r="AY574" s="23">
        <f t="shared" si="1344"/>
        <v>0</v>
      </c>
      <c r="AZ574" s="23">
        <f t="shared" si="1344"/>
        <v>0</v>
      </c>
      <c r="BA574" s="22">
        <f t="shared" si="1326"/>
        <v>0</v>
      </c>
      <c r="BB574" s="24">
        <f t="shared" si="1345"/>
        <v>0</v>
      </c>
      <c r="BC574" s="23">
        <f t="shared" si="1345"/>
        <v>0</v>
      </c>
      <c r="BD574" s="22">
        <f t="shared" si="1327"/>
        <v>0</v>
      </c>
      <c r="BE574" s="24">
        <f t="shared" si="1308"/>
        <v>0</v>
      </c>
      <c r="BF574" s="24">
        <f t="shared" si="1308"/>
        <v>0</v>
      </c>
      <c r="BG574" s="20">
        <f t="shared" ref="BG574" si="1350">IF(BG125=0,0,BG474/BG125)</f>
        <v>0</v>
      </c>
    </row>
    <row r="575" spans="1:59" ht="13.5" hidden="1" customHeight="1" outlineLevel="1" x14ac:dyDescent="0.25">
      <c r="A575" s="60"/>
      <c r="B575" s="84" t="s">
        <v>53</v>
      </c>
      <c r="C575" s="26" t="s">
        <v>110</v>
      </c>
      <c r="D575" s="20">
        <f t="shared" si="1329"/>
        <v>0</v>
      </c>
      <c r="E575" s="20">
        <f t="shared" si="1329"/>
        <v>0</v>
      </c>
      <c r="F575" s="24">
        <f t="shared" si="1329"/>
        <v>0</v>
      </c>
      <c r="G575" s="23">
        <f t="shared" si="1329"/>
        <v>0</v>
      </c>
      <c r="H575" s="22">
        <f t="shared" si="1311"/>
        <v>0</v>
      </c>
      <c r="I575" s="24">
        <f t="shared" si="1330"/>
        <v>0</v>
      </c>
      <c r="J575" s="23">
        <f t="shared" si="1330"/>
        <v>0</v>
      </c>
      <c r="K575" s="22">
        <f t="shared" si="1312"/>
        <v>0</v>
      </c>
      <c r="L575" s="24">
        <f t="shared" si="1331"/>
        <v>0</v>
      </c>
      <c r="M575" s="23">
        <f t="shared" si="1331"/>
        <v>0</v>
      </c>
      <c r="N575" s="22">
        <f t="shared" si="1313"/>
        <v>0</v>
      </c>
      <c r="O575" s="24">
        <f t="shared" si="1332"/>
        <v>0</v>
      </c>
      <c r="P575" s="23">
        <f t="shared" si="1332"/>
        <v>0</v>
      </c>
      <c r="Q575" s="22">
        <f t="shared" si="1314"/>
        <v>0</v>
      </c>
      <c r="R575" s="24">
        <f t="shared" si="1333"/>
        <v>0</v>
      </c>
      <c r="S575" s="23">
        <f t="shared" si="1333"/>
        <v>0</v>
      </c>
      <c r="T575" s="22">
        <f t="shared" si="1315"/>
        <v>0</v>
      </c>
      <c r="U575" s="24">
        <f t="shared" si="1334"/>
        <v>0</v>
      </c>
      <c r="V575" s="23">
        <f t="shared" si="1334"/>
        <v>0</v>
      </c>
      <c r="W575" s="22">
        <f t="shared" si="1316"/>
        <v>0</v>
      </c>
      <c r="X575" s="24">
        <f t="shared" si="1335"/>
        <v>0</v>
      </c>
      <c r="Y575" s="23">
        <f t="shared" si="1335"/>
        <v>0</v>
      </c>
      <c r="Z575" s="22">
        <f t="shared" si="1317"/>
        <v>0</v>
      </c>
      <c r="AA575" s="24">
        <f t="shared" si="1336"/>
        <v>0</v>
      </c>
      <c r="AB575" s="23">
        <f t="shared" si="1336"/>
        <v>0</v>
      </c>
      <c r="AC575" s="22">
        <f t="shared" si="1318"/>
        <v>0</v>
      </c>
      <c r="AD575" s="24">
        <f t="shared" si="1337"/>
        <v>0</v>
      </c>
      <c r="AE575" s="23">
        <f t="shared" si="1337"/>
        <v>0</v>
      </c>
      <c r="AF575" s="22">
        <f t="shared" si="1319"/>
        <v>0</v>
      </c>
      <c r="AG575" s="24">
        <f t="shared" si="1338"/>
        <v>0</v>
      </c>
      <c r="AH575" s="23">
        <f t="shared" si="1338"/>
        <v>0</v>
      </c>
      <c r="AI575" s="22">
        <f t="shared" si="1320"/>
        <v>0</v>
      </c>
      <c r="AJ575" s="24">
        <f t="shared" si="1339"/>
        <v>0</v>
      </c>
      <c r="AK575" s="23">
        <f t="shared" si="1339"/>
        <v>0</v>
      </c>
      <c r="AL575" s="22">
        <f t="shared" si="1321"/>
        <v>0</v>
      </c>
      <c r="AM575" s="24">
        <f t="shared" si="1340"/>
        <v>0</v>
      </c>
      <c r="AN575" s="23">
        <f t="shared" si="1340"/>
        <v>0</v>
      </c>
      <c r="AO575" s="22">
        <f t="shared" si="1322"/>
        <v>0</v>
      </c>
      <c r="AP575" s="24">
        <f t="shared" si="1341"/>
        <v>0</v>
      </c>
      <c r="AQ575" s="23">
        <f t="shared" si="1341"/>
        <v>0</v>
      </c>
      <c r="AR575" s="22">
        <f t="shared" si="1323"/>
        <v>0</v>
      </c>
      <c r="AS575" s="24">
        <f t="shared" si="1342"/>
        <v>0</v>
      </c>
      <c r="AT575" s="23">
        <f t="shared" si="1342"/>
        <v>0</v>
      </c>
      <c r="AU575" s="22">
        <f t="shared" si="1324"/>
        <v>0</v>
      </c>
      <c r="AV575" s="24">
        <f t="shared" si="1343"/>
        <v>0</v>
      </c>
      <c r="AW575" s="23">
        <f t="shared" si="1343"/>
        <v>0</v>
      </c>
      <c r="AX575" s="22">
        <f t="shared" si="1325"/>
        <v>0</v>
      </c>
      <c r="AY575" s="23">
        <f t="shared" si="1344"/>
        <v>0</v>
      </c>
      <c r="AZ575" s="23">
        <f t="shared" si="1344"/>
        <v>0</v>
      </c>
      <c r="BA575" s="22">
        <f t="shared" si="1326"/>
        <v>0</v>
      </c>
      <c r="BB575" s="24">
        <f t="shared" si="1345"/>
        <v>0</v>
      </c>
      <c r="BC575" s="23">
        <f t="shared" si="1345"/>
        <v>0</v>
      </c>
      <c r="BD575" s="22">
        <f t="shared" si="1327"/>
        <v>0</v>
      </c>
      <c r="BE575" s="24">
        <f t="shared" si="1308"/>
        <v>0</v>
      </c>
      <c r="BF575" s="24">
        <f t="shared" si="1308"/>
        <v>0</v>
      </c>
      <c r="BG575" s="20">
        <f t="shared" ref="BG575" si="1351">IF(BG126=0,0,BG475/BG126)</f>
        <v>0</v>
      </c>
    </row>
    <row r="576" spans="1:59" ht="13.5" hidden="1" customHeight="1" outlineLevel="1" x14ac:dyDescent="0.25">
      <c r="A576" s="60"/>
      <c r="B576" s="84" t="s">
        <v>54</v>
      </c>
      <c r="C576" s="26" t="s">
        <v>110</v>
      </c>
      <c r="D576" s="20">
        <f t="shared" si="1329"/>
        <v>0</v>
      </c>
      <c r="E576" s="20">
        <f t="shared" si="1329"/>
        <v>0</v>
      </c>
      <c r="F576" s="24">
        <f t="shared" si="1329"/>
        <v>0</v>
      </c>
      <c r="G576" s="23">
        <f t="shared" si="1329"/>
        <v>0</v>
      </c>
      <c r="H576" s="22">
        <f t="shared" si="1311"/>
        <v>0</v>
      </c>
      <c r="I576" s="24">
        <f t="shared" si="1330"/>
        <v>0</v>
      </c>
      <c r="J576" s="23">
        <f t="shared" si="1330"/>
        <v>0</v>
      </c>
      <c r="K576" s="22">
        <f t="shared" si="1312"/>
        <v>0</v>
      </c>
      <c r="L576" s="24">
        <f t="shared" si="1331"/>
        <v>0</v>
      </c>
      <c r="M576" s="23">
        <f t="shared" si="1331"/>
        <v>0</v>
      </c>
      <c r="N576" s="22">
        <f t="shared" si="1313"/>
        <v>0</v>
      </c>
      <c r="O576" s="24">
        <f t="shared" si="1332"/>
        <v>0</v>
      </c>
      <c r="P576" s="23">
        <f t="shared" si="1332"/>
        <v>0</v>
      </c>
      <c r="Q576" s="22">
        <f t="shared" si="1314"/>
        <v>0</v>
      </c>
      <c r="R576" s="24">
        <f t="shared" si="1333"/>
        <v>0</v>
      </c>
      <c r="S576" s="23">
        <f t="shared" si="1333"/>
        <v>0</v>
      </c>
      <c r="T576" s="22">
        <f t="shared" si="1315"/>
        <v>0</v>
      </c>
      <c r="U576" s="24">
        <f t="shared" si="1334"/>
        <v>0</v>
      </c>
      <c r="V576" s="23">
        <f t="shared" si="1334"/>
        <v>0</v>
      </c>
      <c r="W576" s="22">
        <f t="shared" si="1316"/>
        <v>0</v>
      </c>
      <c r="X576" s="24">
        <f t="shared" si="1335"/>
        <v>0</v>
      </c>
      <c r="Y576" s="23">
        <f t="shared" si="1335"/>
        <v>0</v>
      </c>
      <c r="Z576" s="22">
        <f t="shared" si="1317"/>
        <v>0</v>
      </c>
      <c r="AA576" s="24">
        <f t="shared" si="1336"/>
        <v>0</v>
      </c>
      <c r="AB576" s="23">
        <f t="shared" si="1336"/>
        <v>0</v>
      </c>
      <c r="AC576" s="22">
        <f t="shared" si="1318"/>
        <v>0</v>
      </c>
      <c r="AD576" s="24">
        <f t="shared" si="1337"/>
        <v>0</v>
      </c>
      <c r="AE576" s="23">
        <f t="shared" si="1337"/>
        <v>0</v>
      </c>
      <c r="AF576" s="22">
        <f t="shared" si="1319"/>
        <v>0</v>
      </c>
      <c r="AG576" s="24">
        <f t="shared" si="1338"/>
        <v>0</v>
      </c>
      <c r="AH576" s="23">
        <f t="shared" si="1338"/>
        <v>0</v>
      </c>
      <c r="AI576" s="22">
        <f t="shared" si="1320"/>
        <v>0</v>
      </c>
      <c r="AJ576" s="24">
        <f t="shared" si="1339"/>
        <v>0</v>
      </c>
      <c r="AK576" s="23">
        <f t="shared" si="1339"/>
        <v>0</v>
      </c>
      <c r="AL576" s="22">
        <f t="shared" si="1321"/>
        <v>0</v>
      </c>
      <c r="AM576" s="24">
        <f t="shared" si="1340"/>
        <v>0</v>
      </c>
      <c r="AN576" s="23">
        <f t="shared" si="1340"/>
        <v>0</v>
      </c>
      <c r="AO576" s="22">
        <f t="shared" si="1322"/>
        <v>0</v>
      </c>
      <c r="AP576" s="24">
        <f t="shared" si="1341"/>
        <v>0</v>
      </c>
      <c r="AQ576" s="23">
        <f t="shared" si="1341"/>
        <v>0</v>
      </c>
      <c r="AR576" s="22">
        <f t="shared" si="1323"/>
        <v>0</v>
      </c>
      <c r="AS576" s="24">
        <f t="shared" si="1342"/>
        <v>0</v>
      </c>
      <c r="AT576" s="23">
        <f t="shared" si="1342"/>
        <v>0</v>
      </c>
      <c r="AU576" s="22">
        <f t="shared" si="1324"/>
        <v>0</v>
      </c>
      <c r="AV576" s="24">
        <f t="shared" si="1343"/>
        <v>0</v>
      </c>
      <c r="AW576" s="23">
        <f t="shared" si="1343"/>
        <v>0</v>
      </c>
      <c r="AX576" s="22">
        <f t="shared" si="1325"/>
        <v>0</v>
      </c>
      <c r="AY576" s="23">
        <f t="shared" si="1344"/>
        <v>0</v>
      </c>
      <c r="AZ576" s="23">
        <f t="shared" si="1344"/>
        <v>0</v>
      </c>
      <c r="BA576" s="22">
        <f t="shared" si="1326"/>
        <v>0</v>
      </c>
      <c r="BB576" s="24">
        <f t="shared" si="1345"/>
        <v>0</v>
      </c>
      <c r="BC576" s="23">
        <f t="shared" si="1345"/>
        <v>0</v>
      </c>
      <c r="BD576" s="22">
        <f t="shared" si="1327"/>
        <v>0</v>
      </c>
      <c r="BE576" s="24">
        <f t="shared" si="1308"/>
        <v>0</v>
      </c>
      <c r="BF576" s="24">
        <f t="shared" si="1308"/>
        <v>0</v>
      </c>
      <c r="BG576" s="20">
        <f t="shared" ref="BG576" si="1352">IF(BG127=0,0,BG476/BG127)</f>
        <v>0</v>
      </c>
    </row>
    <row r="577" spans="1:59" ht="13.5" hidden="1" customHeight="1" outlineLevel="1" x14ac:dyDescent="0.25">
      <c r="A577" s="65"/>
      <c r="B577" s="84" t="s">
        <v>55</v>
      </c>
      <c r="C577" s="46" t="s">
        <v>110</v>
      </c>
      <c r="D577" s="168">
        <f t="shared" si="1329"/>
        <v>0</v>
      </c>
      <c r="E577" s="168">
        <f t="shared" si="1329"/>
        <v>0</v>
      </c>
      <c r="F577" s="171">
        <f t="shared" si="1329"/>
        <v>0</v>
      </c>
      <c r="G577" s="169">
        <f t="shared" si="1329"/>
        <v>0</v>
      </c>
      <c r="H577" s="170">
        <f t="shared" si="1311"/>
        <v>0</v>
      </c>
      <c r="I577" s="171">
        <f t="shared" si="1330"/>
        <v>0</v>
      </c>
      <c r="J577" s="169">
        <f t="shared" si="1330"/>
        <v>0</v>
      </c>
      <c r="K577" s="170">
        <f t="shared" si="1312"/>
        <v>0</v>
      </c>
      <c r="L577" s="171">
        <f t="shared" si="1331"/>
        <v>0</v>
      </c>
      <c r="M577" s="169">
        <f t="shared" si="1331"/>
        <v>0</v>
      </c>
      <c r="N577" s="170">
        <f t="shared" si="1313"/>
        <v>0</v>
      </c>
      <c r="O577" s="171">
        <f t="shared" si="1332"/>
        <v>0</v>
      </c>
      <c r="P577" s="169">
        <f t="shared" si="1332"/>
        <v>0</v>
      </c>
      <c r="Q577" s="170">
        <f t="shared" si="1314"/>
        <v>0</v>
      </c>
      <c r="R577" s="171">
        <f t="shared" si="1333"/>
        <v>0</v>
      </c>
      <c r="S577" s="169">
        <f t="shared" si="1333"/>
        <v>0</v>
      </c>
      <c r="T577" s="170">
        <f t="shared" si="1315"/>
        <v>0</v>
      </c>
      <c r="U577" s="171">
        <f t="shared" si="1334"/>
        <v>0</v>
      </c>
      <c r="V577" s="169">
        <f t="shared" si="1334"/>
        <v>0</v>
      </c>
      <c r="W577" s="170">
        <f t="shared" si="1316"/>
        <v>0</v>
      </c>
      <c r="X577" s="171">
        <f t="shared" si="1335"/>
        <v>0</v>
      </c>
      <c r="Y577" s="169">
        <f t="shared" si="1335"/>
        <v>0</v>
      </c>
      <c r="Z577" s="170">
        <f t="shared" si="1317"/>
        <v>0</v>
      </c>
      <c r="AA577" s="171">
        <f t="shared" si="1336"/>
        <v>0</v>
      </c>
      <c r="AB577" s="169">
        <f t="shared" si="1336"/>
        <v>0</v>
      </c>
      <c r="AC577" s="170">
        <f t="shared" si="1318"/>
        <v>0</v>
      </c>
      <c r="AD577" s="171">
        <f t="shared" si="1337"/>
        <v>0</v>
      </c>
      <c r="AE577" s="169">
        <f t="shared" si="1337"/>
        <v>0</v>
      </c>
      <c r="AF577" s="170">
        <f t="shared" si="1319"/>
        <v>0</v>
      </c>
      <c r="AG577" s="171">
        <f t="shared" si="1338"/>
        <v>0</v>
      </c>
      <c r="AH577" s="169">
        <f t="shared" si="1338"/>
        <v>0</v>
      </c>
      <c r="AI577" s="170">
        <f t="shared" si="1320"/>
        <v>0</v>
      </c>
      <c r="AJ577" s="171">
        <f t="shared" si="1339"/>
        <v>0</v>
      </c>
      <c r="AK577" s="169">
        <f t="shared" si="1339"/>
        <v>0</v>
      </c>
      <c r="AL577" s="170">
        <f t="shared" si="1321"/>
        <v>0</v>
      </c>
      <c r="AM577" s="171">
        <f t="shared" si="1340"/>
        <v>0</v>
      </c>
      <c r="AN577" s="169">
        <f t="shared" si="1340"/>
        <v>0</v>
      </c>
      <c r="AO577" s="170">
        <f t="shared" si="1322"/>
        <v>0</v>
      </c>
      <c r="AP577" s="171">
        <f t="shared" si="1341"/>
        <v>0</v>
      </c>
      <c r="AQ577" s="169">
        <f t="shared" si="1341"/>
        <v>0</v>
      </c>
      <c r="AR577" s="170">
        <f t="shared" si="1323"/>
        <v>0</v>
      </c>
      <c r="AS577" s="171">
        <f t="shared" si="1342"/>
        <v>0</v>
      </c>
      <c r="AT577" s="169">
        <f t="shared" si="1342"/>
        <v>0</v>
      </c>
      <c r="AU577" s="170">
        <f t="shared" si="1324"/>
        <v>0</v>
      </c>
      <c r="AV577" s="171">
        <f t="shared" si="1343"/>
        <v>0</v>
      </c>
      <c r="AW577" s="169">
        <f t="shared" si="1343"/>
        <v>0</v>
      </c>
      <c r="AX577" s="170">
        <f t="shared" si="1325"/>
        <v>0</v>
      </c>
      <c r="AY577" s="169">
        <f t="shared" si="1344"/>
        <v>0</v>
      </c>
      <c r="AZ577" s="169">
        <f t="shared" si="1344"/>
        <v>0</v>
      </c>
      <c r="BA577" s="170">
        <f t="shared" si="1326"/>
        <v>0</v>
      </c>
      <c r="BB577" s="171">
        <f t="shared" si="1345"/>
        <v>0</v>
      </c>
      <c r="BC577" s="169">
        <f t="shared" si="1345"/>
        <v>0</v>
      </c>
      <c r="BD577" s="170">
        <f t="shared" si="1327"/>
        <v>0</v>
      </c>
      <c r="BE577" s="171">
        <f t="shared" si="1308"/>
        <v>0</v>
      </c>
      <c r="BF577" s="171">
        <f t="shared" si="1308"/>
        <v>0</v>
      </c>
      <c r="BG577" s="168">
        <f t="shared" ref="BG577" si="1353">IF(BG128=0,0,BG477/BG128)</f>
        <v>0</v>
      </c>
    </row>
    <row r="578" spans="1:59" ht="13.5" hidden="1" customHeight="1" outlineLevel="1" x14ac:dyDescent="0.25">
      <c r="A578" s="65"/>
      <c r="B578" s="99" t="s">
        <v>56</v>
      </c>
      <c r="C578" s="46" t="s">
        <v>110</v>
      </c>
      <c r="D578" s="168">
        <f t="shared" si="1329"/>
        <v>0</v>
      </c>
      <c r="E578" s="168">
        <f t="shared" si="1329"/>
        <v>0</v>
      </c>
      <c r="F578" s="171">
        <f t="shared" si="1329"/>
        <v>0</v>
      </c>
      <c r="G578" s="169">
        <f t="shared" si="1329"/>
        <v>0</v>
      </c>
      <c r="H578" s="170">
        <f t="shared" si="1311"/>
        <v>0</v>
      </c>
      <c r="I578" s="171">
        <f t="shared" si="1330"/>
        <v>0</v>
      </c>
      <c r="J578" s="169">
        <f t="shared" si="1330"/>
        <v>0</v>
      </c>
      <c r="K578" s="170">
        <f t="shared" si="1312"/>
        <v>0</v>
      </c>
      <c r="L578" s="171">
        <f t="shared" si="1331"/>
        <v>0</v>
      </c>
      <c r="M578" s="169">
        <f t="shared" si="1331"/>
        <v>0</v>
      </c>
      <c r="N578" s="170">
        <f t="shared" si="1313"/>
        <v>0</v>
      </c>
      <c r="O578" s="171">
        <f t="shared" si="1332"/>
        <v>0</v>
      </c>
      <c r="P578" s="169">
        <f t="shared" si="1332"/>
        <v>0</v>
      </c>
      <c r="Q578" s="170">
        <f t="shared" si="1314"/>
        <v>0</v>
      </c>
      <c r="R578" s="171">
        <f t="shared" si="1333"/>
        <v>0</v>
      </c>
      <c r="S578" s="169">
        <f t="shared" si="1333"/>
        <v>0</v>
      </c>
      <c r="T578" s="170">
        <f t="shared" si="1315"/>
        <v>0</v>
      </c>
      <c r="U578" s="171">
        <f t="shared" si="1334"/>
        <v>0</v>
      </c>
      <c r="V578" s="169">
        <f t="shared" si="1334"/>
        <v>0</v>
      </c>
      <c r="W578" s="170">
        <f t="shared" si="1316"/>
        <v>0</v>
      </c>
      <c r="X578" s="171">
        <f t="shared" si="1335"/>
        <v>0</v>
      </c>
      <c r="Y578" s="169">
        <f t="shared" si="1335"/>
        <v>0</v>
      </c>
      <c r="Z578" s="170">
        <f t="shared" si="1317"/>
        <v>0</v>
      </c>
      <c r="AA578" s="171">
        <f t="shared" si="1336"/>
        <v>0</v>
      </c>
      <c r="AB578" s="169">
        <f t="shared" si="1336"/>
        <v>0</v>
      </c>
      <c r="AC578" s="170">
        <f t="shared" si="1318"/>
        <v>0</v>
      </c>
      <c r="AD578" s="171">
        <f t="shared" si="1337"/>
        <v>0</v>
      </c>
      <c r="AE578" s="169">
        <f t="shared" si="1337"/>
        <v>0</v>
      </c>
      <c r="AF578" s="170">
        <f t="shared" si="1319"/>
        <v>0</v>
      </c>
      <c r="AG578" s="171">
        <f t="shared" si="1338"/>
        <v>0</v>
      </c>
      <c r="AH578" s="169">
        <f t="shared" si="1338"/>
        <v>0</v>
      </c>
      <c r="AI578" s="170">
        <f t="shared" si="1320"/>
        <v>0</v>
      </c>
      <c r="AJ578" s="171">
        <f t="shared" si="1339"/>
        <v>0</v>
      </c>
      <c r="AK578" s="169">
        <f t="shared" si="1339"/>
        <v>0</v>
      </c>
      <c r="AL578" s="170">
        <f t="shared" si="1321"/>
        <v>0</v>
      </c>
      <c r="AM578" s="171">
        <f t="shared" si="1340"/>
        <v>0</v>
      </c>
      <c r="AN578" s="169">
        <f t="shared" si="1340"/>
        <v>0</v>
      </c>
      <c r="AO578" s="170">
        <f t="shared" si="1322"/>
        <v>0</v>
      </c>
      <c r="AP578" s="171">
        <f t="shared" si="1341"/>
        <v>0</v>
      </c>
      <c r="AQ578" s="169">
        <f t="shared" si="1341"/>
        <v>0</v>
      </c>
      <c r="AR578" s="170">
        <f t="shared" si="1323"/>
        <v>0</v>
      </c>
      <c r="AS578" s="171">
        <f t="shared" si="1342"/>
        <v>0</v>
      </c>
      <c r="AT578" s="169">
        <f t="shared" si="1342"/>
        <v>0</v>
      </c>
      <c r="AU578" s="170">
        <f t="shared" si="1324"/>
        <v>0</v>
      </c>
      <c r="AV578" s="171">
        <f t="shared" si="1343"/>
        <v>0</v>
      </c>
      <c r="AW578" s="169">
        <f t="shared" si="1343"/>
        <v>0</v>
      </c>
      <c r="AX578" s="170">
        <f t="shared" si="1325"/>
        <v>0</v>
      </c>
      <c r="AY578" s="169">
        <f t="shared" si="1344"/>
        <v>0</v>
      </c>
      <c r="AZ578" s="169">
        <f t="shared" si="1344"/>
        <v>0</v>
      </c>
      <c r="BA578" s="170">
        <f t="shared" si="1326"/>
        <v>0</v>
      </c>
      <c r="BB578" s="171">
        <f t="shared" si="1345"/>
        <v>0</v>
      </c>
      <c r="BC578" s="169">
        <f t="shared" si="1345"/>
        <v>0</v>
      </c>
      <c r="BD578" s="170">
        <f t="shared" si="1327"/>
        <v>0</v>
      </c>
      <c r="BE578" s="171">
        <f t="shared" si="1308"/>
        <v>0</v>
      </c>
      <c r="BF578" s="171">
        <f t="shared" si="1308"/>
        <v>0</v>
      </c>
      <c r="BG578" s="168">
        <f t="shared" ref="BG578" si="1354">IF(BG129=0,0,BG478/BG129)</f>
        <v>0</v>
      </c>
    </row>
    <row r="579" spans="1:59" ht="13.5" hidden="1" customHeight="1" outlineLevel="1" x14ac:dyDescent="0.25">
      <c r="A579" s="65"/>
      <c r="B579" s="84" t="s">
        <v>57</v>
      </c>
      <c r="C579" s="46" t="s">
        <v>110</v>
      </c>
      <c r="D579" s="168">
        <f t="shared" si="1329"/>
        <v>0</v>
      </c>
      <c r="E579" s="168">
        <f t="shared" si="1329"/>
        <v>0</v>
      </c>
      <c r="F579" s="171">
        <f t="shared" si="1329"/>
        <v>0</v>
      </c>
      <c r="G579" s="169">
        <f t="shared" si="1329"/>
        <v>0</v>
      </c>
      <c r="H579" s="170">
        <f t="shared" si="1311"/>
        <v>0</v>
      </c>
      <c r="I579" s="171">
        <f t="shared" si="1330"/>
        <v>0</v>
      </c>
      <c r="J579" s="169">
        <f t="shared" si="1330"/>
        <v>0</v>
      </c>
      <c r="K579" s="170">
        <f t="shared" si="1312"/>
        <v>0</v>
      </c>
      <c r="L579" s="171">
        <f t="shared" si="1331"/>
        <v>0</v>
      </c>
      <c r="M579" s="169">
        <f t="shared" si="1331"/>
        <v>0</v>
      </c>
      <c r="N579" s="170">
        <f t="shared" si="1313"/>
        <v>0</v>
      </c>
      <c r="O579" s="171">
        <f t="shared" si="1332"/>
        <v>0</v>
      </c>
      <c r="P579" s="169">
        <f t="shared" si="1332"/>
        <v>0</v>
      </c>
      <c r="Q579" s="170">
        <f t="shared" si="1314"/>
        <v>0</v>
      </c>
      <c r="R579" s="171">
        <f t="shared" si="1333"/>
        <v>0</v>
      </c>
      <c r="S579" s="169">
        <f t="shared" si="1333"/>
        <v>0</v>
      </c>
      <c r="T579" s="170">
        <f t="shared" si="1315"/>
        <v>0</v>
      </c>
      <c r="U579" s="171">
        <f t="shared" si="1334"/>
        <v>0</v>
      </c>
      <c r="V579" s="169">
        <f t="shared" si="1334"/>
        <v>0</v>
      </c>
      <c r="W579" s="170">
        <f t="shared" si="1316"/>
        <v>0</v>
      </c>
      <c r="X579" s="171">
        <f t="shared" si="1335"/>
        <v>0</v>
      </c>
      <c r="Y579" s="169">
        <f t="shared" si="1335"/>
        <v>0</v>
      </c>
      <c r="Z579" s="170">
        <f t="shared" si="1317"/>
        <v>0</v>
      </c>
      <c r="AA579" s="171">
        <f t="shared" si="1336"/>
        <v>0</v>
      </c>
      <c r="AB579" s="169">
        <f t="shared" si="1336"/>
        <v>0</v>
      </c>
      <c r="AC579" s="170">
        <f t="shared" si="1318"/>
        <v>0</v>
      </c>
      <c r="AD579" s="171">
        <f t="shared" si="1337"/>
        <v>0</v>
      </c>
      <c r="AE579" s="169">
        <f t="shared" si="1337"/>
        <v>0</v>
      </c>
      <c r="AF579" s="170">
        <f t="shared" si="1319"/>
        <v>0</v>
      </c>
      <c r="AG579" s="171">
        <f t="shared" si="1338"/>
        <v>0</v>
      </c>
      <c r="AH579" s="169">
        <f t="shared" si="1338"/>
        <v>0</v>
      </c>
      <c r="AI579" s="170">
        <f t="shared" si="1320"/>
        <v>0</v>
      </c>
      <c r="AJ579" s="171">
        <f t="shared" si="1339"/>
        <v>0</v>
      </c>
      <c r="AK579" s="169">
        <f t="shared" si="1339"/>
        <v>0</v>
      </c>
      <c r="AL579" s="170">
        <f t="shared" si="1321"/>
        <v>0</v>
      </c>
      <c r="AM579" s="171">
        <f t="shared" si="1340"/>
        <v>0</v>
      </c>
      <c r="AN579" s="169">
        <f t="shared" si="1340"/>
        <v>0</v>
      </c>
      <c r="AO579" s="170">
        <f t="shared" si="1322"/>
        <v>0</v>
      </c>
      <c r="AP579" s="171">
        <f t="shared" si="1341"/>
        <v>0</v>
      </c>
      <c r="AQ579" s="169">
        <f t="shared" si="1341"/>
        <v>0</v>
      </c>
      <c r="AR579" s="170">
        <f t="shared" si="1323"/>
        <v>0</v>
      </c>
      <c r="AS579" s="171">
        <f t="shared" si="1342"/>
        <v>0</v>
      </c>
      <c r="AT579" s="169">
        <f t="shared" si="1342"/>
        <v>0</v>
      </c>
      <c r="AU579" s="170">
        <f t="shared" si="1324"/>
        <v>0</v>
      </c>
      <c r="AV579" s="171">
        <f t="shared" si="1343"/>
        <v>0</v>
      </c>
      <c r="AW579" s="169">
        <f t="shared" si="1343"/>
        <v>0</v>
      </c>
      <c r="AX579" s="170">
        <f t="shared" si="1325"/>
        <v>0</v>
      </c>
      <c r="AY579" s="169">
        <f t="shared" si="1344"/>
        <v>0</v>
      </c>
      <c r="AZ579" s="169">
        <f t="shared" si="1344"/>
        <v>0</v>
      </c>
      <c r="BA579" s="170">
        <f t="shared" si="1326"/>
        <v>0</v>
      </c>
      <c r="BB579" s="171">
        <f t="shared" si="1345"/>
        <v>0</v>
      </c>
      <c r="BC579" s="169">
        <f t="shared" si="1345"/>
        <v>0</v>
      </c>
      <c r="BD579" s="170">
        <f t="shared" si="1327"/>
        <v>0</v>
      </c>
      <c r="BE579" s="171">
        <f t="shared" si="1308"/>
        <v>0</v>
      </c>
      <c r="BF579" s="171">
        <f t="shared" si="1308"/>
        <v>0</v>
      </c>
      <c r="BG579" s="168">
        <f t="shared" ref="BG579" si="1355">IF(BG130=0,0,BG479/BG130)</f>
        <v>0</v>
      </c>
    </row>
    <row r="580" spans="1:59" ht="13.5" hidden="1" customHeight="1" outlineLevel="1" x14ac:dyDescent="0.25">
      <c r="A580" s="65"/>
      <c r="B580" s="99" t="s">
        <v>58</v>
      </c>
      <c r="C580" s="46" t="s">
        <v>110</v>
      </c>
      <c r="D580" s="168">
        <f t="shared" si="1329"/>
        <v>0</v>
      </c>
      <c r="E580" s="168">
        <f t="shared" si="1329"/>
        <v>0</v>
      </c>
      <c r="F580" s="171">
        <f t="shared" si="1329"/>
        <v>0</v>
      </c>
      <c r="G580" s="169">
        <f t="shared" si="1329"/>
        <v>0</v>
      </c>
      <c r="H580" s="170">
        <f t="shared" si="1311"/>
        <v>0</v>
      </c>
      <c r="I580" s="171">
        <f t="shared" si="1330"/>
        <v>0</v>
      </c>
      <c r="J580" s="169">
        <f t="shared" si="1330"/>
        <v>0</v>
      </c>
      <c r="K580" s="170">
        <f t="shared" si="1312"/>
        <v>0</v>
      </c>
      <c r="L580" s="171">
        <f t="shared" si="1331"/>
        <v>0</v>
      </c>
      <c r="M580" s="169">
        <f t="shared" si="1331"/>
        <v>0</v>
      </c>
      <c r="N580" s="170">
        <f t="shared" si="1313"/>
        <v>0</v>
      </c>
      <c r="O580" s="171">
        <f t="shared" si="1332"/>
        <v>0</v>
      </c>
      <c r="P580" s="169">
        <f t="shared" si="1332"/>
        <v>0</v>
      </c>
      <c r="Q580" s="170">
        <f t="shared" si="1314"/>
        <v>0</v>
      </c>
      <c r="R580" s="171">
        <f t="shared" si="1333"/>
        <v>0</v>
      </c>
      <c r="S580" s="169">
        <f t="shared" si="1333"/>
        <v>0</v>
      </c>
      <c r="T580" s="170">
        <f t="shared" si="1315"/>
        <v>0</v>
      </c>
      <c r="U580" s="171">
        <f t="shared" si="1334"/>
        <v>0</v>
      </c>
      <c r="V580" s="169">
        <f t="shared" si="1334"/>
        <v>0</v>
      </c>
      <c r="W580" s="170">
        <f t="shared" si="1316"/>
        <v>0</v>
      </c>
      <c r="X580" s="171">
        <f t="shared" si="1335"/>
        <v>0</v>
      </c>
      <c r="Y580" s="169">
        <f t="shared" si="1335"/>
        <v>0</v>
      </c>
      <c r="Z580" s="170">
        <f t="shared" si="1317"/>
        <v>0</v>
      </c>
      <c r="AA580" s="171">
        <f t="shared" si="1336"/>
        <v>0</v>
      </c>
      <c r="AB580" s="169">
        <f t="shared" si="1336"/>
        <v>0</v>
      </c>
      <c r="AC580" s="170">
        <f t="shared" si="1318"/>
        <v>0</v>
      </c>
      <c r="AD580" s="171">
        <f t="shared" si="1337"/>
        <v>0</v>
      </c>
      <c r="AE580" s="169">
        <f t="shared" si="1337"/>
        <v>0</v>
      </c>
      <c r="AF580" s="170">
        <f t="shared" si="1319"/>
        <v>0</v>
      </c>
      <c r="AG580" s="171">
        <f t="shared" si="1338"/>
        <v>0</v>
      </c>
      <c r="AH580" s="169">
        <f t="shared" si="1338"/>
        <v>0</v>
      </c>
      <c r="AI580" s="170">
        <f t="shared" si="1320"/>
        <v>0</v>
      </c>
      <c r="AJ580" s="171">
        <f t="shared" si="1339"/>
        <v>0</v>
      </c>
      <c r="AK580" s="169">
        <f t="shared" si="1339"/>
        <v>0</v>
      </c>
      <c r="AL580" s="170">
        <f t="shared" si="1321"/>
        <v>0</v>
      </c>
      <c r="AM580" s="171">
        <f t="shared" si="1340"/>
        <v>0</v>
      </c>
      <c r="AN580" s="169">
        <f t="shared" si="1340"/>
        <v>0</v>
      </c>
      <c r="AO580" s="170">
        <f t="shared" si="1322"/>
        <v>0</v>
      </c>
      <c r="AP580" s="171">
        <f t="shared" si="1341"/>
        <v>0</v>
      </c>
      <c r="AQ580" s="169">
        <f t="shared" si="1341"/>
        <v>0</v>
      </c>
      <c r="AR580" s="170">
        <f t="shared" si="1323"/>
        <v>0</v>
      </c>
      <c r="AS580" s="171">
        <f t="shared" si="1342"/>
        <v>0</v>
      </c>
      <c r="AT580" s="169">
        <f t="shared" si="1342"/>
        <v>0</v>
      </c>
      <c r="AU580" s="170">
        <f t="shared" si="1324"/>
        <v>0</v>
      </c>
      <c r="AV580" s="171">
        <f t="shared" si="1343"/>
        <v>0</v>
      </c>
      <c r="AW580" s="169">
        <f t="shared" si="1343"/>
        <v>0</v>
      </c>
      <c r="AX580" s="170">
        <f t="shared" si="1325"/>
        <v>0</v>
      </c>
      <c r="AY580" s="169">
        <f t="shared" si="1344"/>
        <v>0</v>
      </c>
      <c r="AZ580" s="169">
        <f t="shared" si="1344"/>
        <v>0</v>
      </c>
      <c r="BA580" s="170">
        <f t="shared" si="1326"/>
        <v>0</v>
      </c>
      <c r="BB580" s="171">
        <f t="shared" si="1345"/>
        <v>0</v>
      </c>
      <c r="BC580" s="169">
        <f t="shared" si="1345"/>
        <v>0</v>
      </c>
      <c r="BD580" s="170">
        <f t="shared" si="1327"/>
        <v>0</v>
      </c>
      <c r="BE580" s="171">
        <f t="shared" si="1308"/>
        <v>0</v>
      </c>
      <c r="BF580" s="171">
        <f t="shared" si="1308"/>
        <v>0</v>
      </c>
      <c r="BG580" s="168">
        <f t="shared" ref="BG580" si="1356">IF(BG131=0,0,BG480/BG131)</f>
        <v>0</v>
      </c>
    </row>
    <row r="581" spans="1:59" ht="13.5" hidden="1" customHeight="1" outlineLevel="1" x14ac:dyDescent="0.25">
      <c r="A581" s="65"/>
      <c r="B581" s="84" t="s">
        <v>59</v>
      </c>
      <c r="C581" s="46" t="s">
        <v>110</v>
      </c>
      <c r="D581" s="168">
        <f t="shared" si="1329"/>
        <v>0</v>
      </c>
      <c r="E581" s="168">
        <f t="shared" si="1329"/>
        <v>0</v>
      </c>
      <c r="F581" s="171">
        <f t="shared" si="1329"/>
        <v>0</v>
      </c>
      <c r="G581" s="169">
        <f t="shared" si="1329"/>
        <v>0</v>
      </c>
      <c r="H581" s="170">
        <f t="shared" si="1311"/>
        <v>0</v>
      </c>
      <c r="I581" s="171">
        <f t="shared" si="1330"/>
        <v>0</v>
      </c>
      <c r="J581" s="169">
        <f t="shared" si="1330"/>
        <v>0</v>
      </c>
      <c r="K581" s="170">
        <f t="shared" si="1312"/>
        <v>0</v>
      </c>
      <c r="L581" s="171">
        <f t="shared" si="1331"/>
        <v>0</v>
      </c>
      <c r="M581" s="169">
        <f t="shared" si="1331"/>
        <v>0</v>
      </c>
      <c r="N581" s="170">
        <f t="shared" si="1313"/>
        <v>0</v>
      </c>
      <c r="O581" s="171">
        <f t="shared" si="1332"/>
        <v>0</v>
      </c>
      <c r="P581" s="169">
        <f t="shared" si="1332"/>
        <v>0</v>
      </c>
      <c r="Q581" s="170">
        <f t="shared" si="1314"/>
        <v>0</v>
      </c>
      <c r="R581" s="171">
        <f t="shared" si="1333"/>
        <v>0</v>
      </c>
      <c r="S581" s="169">
        <f t="shared" si="1333"/>
        <v>0</v>
      </c>
      <c r="T581" s="170">
        <f t="shared" si="1315"/>
        <v>0</v>
      </c>
      <c r="U581" s="171">
        <f t="shared" si="1334"/>
        <v>0</v>
      </c>
      <c r="V581" s="169">
        <f t="shared" si="1334"/>
        <v>0</v>
      </c>
      <c r="W581" s="170">
        <f t="shared" si="1316"/>
        <v>0</v>
      </c>
      <c r="X581" s="171">
        <f t="shared" si="1335"/>
        <v>0</v>
      </c>
      <c r="Y581" s="169">
        <f t="shared" si="1335"/>
        <v>0</v>
      </c>
      <c r="Z581" s="170">
        <f t="shared" si="1317"/>
        <v>0</v>
      </c>
      <c r="AA581" s="171">
        <f t="shared" si="1336"/>
        <v>0</v>
      </c>
      <c r="AB581" s="169">
        <f t="shared" si="1336"/>
        <v>0</v>
      </c>
      <c r="AC581" s="170">
        <f t="shared" si="1318"/>
        <v>0</v>
      </c>
      <c r="AD581" s="171">
        <f t="shared" si="1337"/>
        <v>0</v>
      </c>
      <c r="AE581" s="169">
        <f t="shared" si="1337"/>
        <v>0</v>
      </c>
      <c r="AF581" s="170">
        <f t="shared" si="1319"/>
        <v>0</v>
      </c>
      <c r="AG581" s="171">
        <f t="shared" si="1338"/>
        <v>0</v>
      </c>
      <c r="AH581" s="169">
        <f t="shared" si="1338"/>
        <v>0</v>
      </c>
      <c r="AI581" s="170">
        <f t="shared" si="1320"/>
        <v>0</v>
      </c>
      <c r="AJ581" s="171">
        <f t="shared" si="1339"/>
        <v>0</v>
      </c>
      <c r="AK581" s="169">
        <f t="shared" si="1339"/>
        <v>0</v>
      </c>
      <c r="AL581" s="170">
        <f t="shared" si="1321"/>
        <v>0</v>
      </c>
      <c r="AM581" s="171">
        <f t="shared" si="1340"/>
        <v>0</v>
      </c>
      <c r="AN581" s="169">
        <f t="shared" si="1340"/>
        <v>0</v>
      </c>
      <c r="AO581" s="170">
        <f t="shared" si="1322"/>
        <v>0</v>
      </c>
      <c r="AP581" s="171">
        <f t="shared" si="1341"/>
        <v>0</v>
      </c>
      <c r="AQ581" s="169">
        <f t="shared" si="1341"/>
        <v>0</v>
      </c>
      <c r="AR581" s="170">
        <f t="shared" si="1323"/>
        <v>0</v>
      </c>
      <c r="AS581" s="171">
        <f t="shared" si="1342"/>
        <v>0</v>
      </c>
      <c r="AT581" s="169">
        <f t="shared" si="1342"/>
        <v>0</v>
      </c>
      <c r="AU581" s="170">
        <f t="shared" si="1324"/>
        <v>0</v>
      </c>
      <c r="AV581" s="171">
        <f t="shared" si="1343"/>
        <v>0</v>
      </c>
      <c r="AW581" s="169">
        <f t="shared" si="1343"/>
        <v>0</v>
      </c>
      <c r="AX581" s="170">
        <f t="shared" si="1325"/>
        <v>0</v>
      </c>
      <c r="AY581" s="169">
        <f t="shared" si="1344"/>
        <v>0</v>
      </c>
      <c r="AZ581" s="169">
        <f t="shared" si="1344"/>
        <v>0</v>
      </c>
      <c r="BA581" s="170">
        <f t="shared" si="1326"/>
        <v>0</v>
      </c>
      <c r="BB581" s="171">
        <f t="shared" si="1345"/>
        <v>0</v>
      </c>
      <c r="BC581" s="169">
        <f t="shared" si="1345"/>
        <v>0</v>
      </c>
      <c r="BD581" s="170">
        <f t="shared" si="1327"/>
        <v>0</v>
      </c>
      <c r="BE581" s="171">
        <f t="shared" si="1308"/>
        <v>0</v>
      </c>
      <c r="BF581" s="171">
        <f t="shared" si="1308"/>
        <v>0</v>
      </c>
      <c r="BG581" s="168">
        <f t="shared" ref="BG581" si="1357">IF(BG132=0,0,BG481/BG132)</f>
        <v>0</v>
      </c>
    </row>
    <row r="582" spans="1:59" ht="13.5" hidden="1" customHeight="1" outlineLevel="1" x14ac:dyDescent="0.25">
      <c r="A582" s="65"/>
      <c r="B582" s="99" t="s">
        <v>60</v>
      </c>
      <c r="C582" s="46" t="s">
        <v>110</v>
      </c>
      <c r="D582" s="168">
        <f t="shared" si="1329"/>
        <v>0</v>
      </c>
      <c r="E582" s="168">
        <f t="shared" si="1329"/>
        <v>0</v>
      </c>
      <c r="F582" s="171">
        <f t="shared" si="1329"/>
        <v>0</v>
      </c>
      <c r="G582" s="169">
        <f t="shared" si="1329"/>
        <v>0</v>
      </c>
      <c r="H582" s="170">
        <f t="shared" si="1311"/>
        <v>0</v>
      </c>
      <c r="I582" s="171">
        <f t="shared" si="1330"/>
        <v>0</v>
      </c>
      <c r="J582" s="169">
        <f t="shared" si="1330"/>
        <v>0</v>
      </c>
      <c r="K582" s="170">
        <f t="shared" si="1312"/>
        <v>0</v>
      </c>
      <c r="L582" s="171">
        <f t="shared" si="1331"/>
        <v>0</v>
      </c>
      <c r="M582" s="169">
        <f t="shared" si="1331"/>
        <v>0</v>
      </c>
      <c r="N582" s="170">
        <f t="shared" si="1313"/>
        <v>0</v>
      </c>
      <c r="O582" s="171">
        <f t="shared" si="1332"/>
        <v>0</v>
      </c>
      <c r="P582" s="169">
        <f t="shared" si="1332"/>
        <v>0</v>
      </c>
      <c r="Q582" s="170">
        <f t="shared" si="1314"/>
        <v>0</v>
      </c>
      <c r="R582" s="171">
        <f t="shared" si="1333"/>
        <v>0</v>
      </c>
      <c r="S582" s="169">
        <f t="shared" si="1333"/>
        <v>0</v>
      </c>
      <c r="T582" s="170">
        <f t="shared" si="1315"/>
        <v>0</v>
      </c>
      <c r="U582" s="171">
        <f t="shared" si="1334"/>
        <v>0</v>
      </c>
      <c r="V582" s="169">
        <f t="shared" si="1334"/>
        <v>0</v>
      </c>
      <c r="W582" s="170">
        <f t="shared" si="1316"/>
        <v>0</v>
      </c>
      <c r="X582" s="171">
        <f t="shared" si="1335"/>
        <v>0</v>
      </c>
      <c r="Y582" s="169">
        <f t="shared" si="1335"/>
        <v>0</v>
      </c>
      <c r="Z582" s="170">
        <f t="shared" si="1317"/>
        <v>0</v>
      </c>
      <c r="AA582" s="171">
        <f t="shared" si="1336"/>
        <v>0</v>
      </c>
      <c r="AB582" s="169">
        <f t="shared" si="1336"/>
        <v>0</v>
      </c>
      <c r="AC582" s="170">
        <f t="shared" si="1318"/>
        <v>0</v>
      </c>
      <c r="AD582" s="171">
        <f t="shared" si="1337"/>
        <v>0</v>
      </c>
      <c r="AE582" s="169">
        <f t="shared" si="1337"/>
        <v>0</v>
      </c>
      <c r="AF582" s="170">
        <f t="shared" si="1319"/>
        <v>0</v>
      </c>
      <c r="AG582" s="171">
        <f t="shared" si="1338"/>
        <v>0</v>
      </c>
      <c r="AH582" s="169">
        <f t="shared" si="1338"/>
        <v>0</v>
      </c>
      <c r="AI582" s="170">
        <f t="shared" si="1320"/>
        <v>0</v>
      </c>
      <c r="AJ582" s="171">
        <f t="shared" si="1339"/>
        <v>0</v>
      </c>
      <c r="AK582" s="169">
        <f t="shared" si="1339"/>
        <v>0</v>
      </c>
      <c r="AL582" s="170">
        <f t="shared" si="1321"/>
        <v>0</v>
      </c>
      <c r="AM582" s="171">
        <f t="shared" si="1340"/>
        <v>0</v>
      </c>
      <c r="AN582" s="169">
        <f t="shared" si="1340"/>
        <v>0</v>
      </c>
      <c r="AO582" s="170">
        <f t="shared" si="1322"/>
        <v>0</v>
      </c>
      <c r="AP582" s="171">
        <f t="shared" si="1341"/>
        <v>0</v>
      </c>
      <c r="AQ582" s="169">
        <f t="shared" si="1341"/>
        <v>0</v>
      </c>
      <c r="AR582" s="170">
        <f t="shared" si="1323"/>
        <v>0</v>
      </c>
      <c r="AS582" s="171">
        <f t="shared" si="1342"/>
        <v>0</v>
      </c>
      <c r="AT582" s="169">
        <f t="shared" si="1342"/>
        <v>0</v>
      </c>
      <c r="AU582" s="170">
        <f t="shared" si="1324"/>
        <v>0</v>
      </c>
      <c r="AV582" s="171">
        <f t="shared" si="1343"/>
        <v>0</v>
      </c>
      <c r="AW582" s="169">
        <f t="shared" si="1343"/>
        <v>0</v>
      </c>
      <c r="AX582" s="170">
        <f t="shared" si="1325"/>
        <v>0</v>
      </c>
      <c r="AY582" s="169">
        <f t="shared" si="1344"/>
        <v>0</v>
      </c>
      <c r="AZ582" s="169">
        <f t="shared" si="1344"/>
        <v>0</v>
      </c>
      <c r="BA582" s="170">
        <f t="shared" si="1326"/>
        <v>0</v>
      </c>
      <c r="BB582" s="171">
        <f t="shared" si="1345"/>
        <v>0</v>
      </c>
      <c r="BC582" s="169">
        <f t="shared" si="1345"/>
        <v>0</v>
      </c>
      <c r="BD582" s="170">
        <f t="shared" si="1327"/>
        <v>0</v>
      </c>
      <c r="BE582" s="171">
        <f t="shared" ref="BE582:BF585" si="1358">IF(BE133=0,0,BE482/BE133)</f>
        <v>0</v>
      </c>
      <c r="BF582" s="171">
        <f t="shared" si="1358"/>
        <v>0</v>
      </c>
      <c r="BG582" s="168">
        <f t="shared" ref="BG582" si="1359">IF(BG133=0,0,BG482/BG133)</f>
        <v>0</v>
      </c>
    </row>
    <row r="583" spans="1:59" ht="13.5" hidden="1" customHeight="1" outlineLevel="1" x14ac:dyDescent="0.25">
      <c r="A583" s="65"/>
      <c r="B583" s="84" t="s">
        <v>61</v>
      </c>
      <c r="C583" s="46" t="s">
        <v>110</v>
      </c>
      <c r="D583" s="168">
        <f t="shared" si="1329"/>
        <v>0</v>
      </c>
      <c r="E583" s="168">
        <f t="shared" si="1329"/>
        <v>0</v>
      </c>
      <c r="F583" s="171">
        <f t="shared" si="1329"/>
        <v>0</v>
      </c>
      <c r="G583" s="169">
        <f t="shared" si="1329"/>
        <v>0</v>
      </c>
      <c r="H583" s="170">
        <f t="shared" si="1311"/>
        <v>0</v>
      </c>
      <c r="I583" s="171">
        <f t="shared" si="1330"/>
        <v>0</v>
      </c>
      <c r="J583" s="169">
        <f t="shared" si="1330"/>
        <v>0</v>
      </c>
      <c r="K583" s="170">
        <f t="shared" si="1312"/>
        <v>0</v>
      </c>
      <c r="L583" s="171">
        <f t="shared" si="1331"/>
        <v>0</v>
      </c>
      <c r="M583" s="169">
        <f t="shared" si="1331"/>
        <v>0</v>
      </c>
      <c r="N583" s="170">
        <f t="shared" si="1313"/>
        <v>0</v>
      </c>
      <c r="O583" s="171">
        <f t="shared" si="1332"/>
        <v>0</v>
      </c>
      <c r="P583" s="169">
        <f t="shared" si="1332"/>
        <v>0</v>
      </c>
      <c r="Q583" s="170">
        <f t="shared" si="1314"/>
        <v>0</v>
      </c>
      <c r="R583" s="171">
        <f t="shared" si="1333"/>
        <v>0</v>
      </c>
      <c r="S583" s="169">
        <f t="shared" si="1333"/>
        <v>0</v>
      </c>
      <c r="T583" s="170">
        <f t="shared" si="1315"/>
        <v>0</v>
      </c>
      <c r="U583" s="171">
        <f t="shared" si="1334"/>
        <v>0</v>
      </c>
      <c r="V583" s="169">
        <f t="shared" si="1334"/>
        <v>0</v>
      </c>
      <c r="W583" s="170">
        <f t="shared" si="1316"/>
        <v>0</v>
      </c>
      <c r="X583" s="171">
        <f t="shared" si="1335"/>
        <v>0</v>
      </c>
      <c r="Y583" s="169">
        <f t="shared" si="1335"/>
        <v>0</v>
      </c>
      <c r="Z583" s="170">
        <f t="shared" si="1317"/>
        <v>0</v>
      </c>
      <c r="AA583" s="171">
        <f t="shared" si="1336"/>
        <v>0</v>
      </c>
      <c r="AB583" s="169">
        <f t="shared" si="1336"/>
        <v>0</v>
      </c>
      <c r="AC583" s="170">
        <f t="shared" si="1318"/>
        <v>0</v>
      </c>
      <c r="AD583" s="171">
        <f t="shared" si="1337"/>
        <v>0</v>
      </c>
      <c r="AE583" s="169">
        <f t="shared" si="1337"/>
        <v>0</v>
      </c>
      <c r="AF583" s="170">
        <f t="shared" si="1319"/>
        <v>0</v>
      </c>
      <c r="AG583" s="171">
        <f t="shared" si="1338"/>
        <v>0</v>
      </c>
      <c r="AH583" s="169">
        <f t="shared" si="1338"/>
        <v>0</v>
      </c>
      <c r="AI583" s="170">
        <f t="shared" si="1320"/>
        <v>0</v>
      </c>
      <c r="AJ583" s="171">
        <f t="shared" si="1339"/>
        <v>0</v>
      </c>
      <c r="AK583" s="169">
        <f t="shared" si="1339"/>
        <v>0</v>
      </c>
      <c r="AL583" s="170">
        <f t="shared" si="1321"/>
        <v>0</v>
      </c>
      <c r="AM583" s="171">
        <f t="shared" si="1340"/>
        <v>0</v>
      </c>
      <c r="AN583" s="169">
        <f t="shared" si="1340"/>
        <v>0</v>
      </c>
      <c r="AO583" s="170">
        <f t="shared" si="1322"/>
        <v>0</v>
      </c>
      <c r="AP583" s="171">
        <f t="shared" si="1341"/>
        <v>0</v>
      </c>
      <c r="AQ583" s="169">
        <f t="shared" si="1341"/>
        <v>0</v>
      </c>
      <c r="AR583" s="170">
        <f t="shared" si="1323"/>
        <v>0</v>
      </c>
      <c r="AS583" s="171">
        <f t="shared" si="1342"/>
        <v>0</v>
      </c>
      <c r="AT583" s="169">
        <f t="shared" si="1342"/>
        <v>0</v>
      </c>
      <c r="AU583" s="170">
        <f t="shared" si="1324"/>
        <v>0</v>
      </c>
      <c r="AV583" s="171">
        <f t="shared" si="1343"/>
        <v>0</v>
      </c>
      <c r="AW583" s="169">
        <f t="shared" si="1343"/>
        <v>0</v>
      </c>
      <c r="AX583" s="170">
        <f t="shared" si="1325"/>
        <v>0</v>
      </c>
      <c r="AY583" s="169">
        <f t="shared" si="1344"/>
        <v>0</v>
      </c>
      <c r="AZ583" s="169">
        <f t="shared" si="1344"/>
        <v>0</v>
      </c>
      <c r="BA583" s="170">
        <f t="shared" si="1326"/>
        <v>0</v>
      </c>
      <c r="BB583" s="171">
        <f t="shared" si="1345"/>
        <v>0</v>
      </c>
      <c r="BC583" s="169">
        <f t="shared" si="1345"/>
        <v>0</v>
      </c>
      <c r="BD583" s="170">
        <f t="shared" si="1327"/>
        <v>0</v>
      </c>
      <c r="BE583" s="171">
        <f t="shared" si="1358"/>
        <v>0</v>
      </c>
      <c r="BF583" s="171">
        <f t="shared" si="1358"/>
        <v>0</v>
      </c>
      <c r="BG583" s="168">
        <f t="shared" ref="BG583" si="1360">IF(BG134=0,0,BG483/BG134)</f>
        <v>0</v>
      </c>
    </row>
    <row r="584" spans="1:59" s="210" customFormat="1" ht="13.5" customHeight="1" collapsed="1" thickBot="1" x14ac:dyDescent="0.3">
      <c r="A584" s="85"/>
      <c r="B584" s="95" t="s">
        <v>62</v>
      </c>
      <c r="C584" s="58" t="s">
        <v>110</v>
      </c>
      <c r="D584" s="164">
        <f t="shared" si="1329"/>
        <v>0</v>
      </c>
      <c r="E584" s="164">
        <f t="shared" si="1329"/>
        <v>0</v>
      </c>
      <c r="F584" s="167">
        <f t="shared" si="1329"/>
        <v>0</v>
      </c>
      <c r="G584" s="165">
        <f t="shared" si="1329"/>
        <v>0</v>
      </c>
      <c r="H584" s="166">
        <f t="shared" si="1311"/>
        <v>0</v>
      </c>
      <c r="I584" s="167">
        <f t="shared" si="1330"/>
        <v>0</v>
      </c>
      <c r="J584" s="165">
        <f t="shared" si="1330"/>
        <v>0</v>
      </c>
      <c r="K584" s="166">
        <f t="shared" si="1312"/>
        <v>0</v>
      </c>
      <c r="L584" s="167">
        <f t="shared" si="1331"/>
        <v>0</v>
      </c>
      <c r="M584" s="165">
        <f t="shared" si="1331"/>
        <v>0</v>
      </c>
      <c r="N584" s="166">
        <f t="shared" si="1313"/>
        <v>0</v>
      </c>
      <c r="O584" s="167">
        <f t="shared" si="1332"/>
        <v>0</v>
      </c>
      <c r="P584" s="165">
        <f t="shared" si="1332"/>
        <v>0</v>
      </c>
      <c r="Q584" s="166">
        <f t="shared" si="1314"/>
        <v>0</v>
      </c>
      <c r="R584" s="167">
        <f t="shared" si="1333"/>
        <v>0</v>
      </c>
      <c r="S584" s="165">
        <f t="shared" si="1333"/>
        <v>0</v>
      </c>
      <c r="T584" s="166">
        <f t="shared" si="1315"/>
        <v>0</v>
      </c>
      <c r="U584" s="167">
        <f t="shared" si="1334"/>
        <v>0</v>
      </c>
      <c r="V584" s="165">
        <f t="shared" si="1334"/>
        <v>0</v>
      </c>
      <c r="W584" s="166">
        <f t="shared" si="1316"/>
        <v>0</v>
      </c>
      <c r="X584" s="167">
        <f t="shared" si="1335"/>
        <v>0</v>
      </c>
      <c r="Y584" s="165">
        <f t="shared" si="1335"/>
        <v>0</v>
      </c>
      <c r="Z584" s="166">
        <f t="shared" si="1317"/>
        <v>0</v>
      </c>
      <c r="AA584" s="167">
        <f t="shared" si="1336"/>
        <v>0</v>
      </c>
      <c r="AB584" s="165">
        <f t="shared" si="1336"/>
        <v>0</v>
      </c>
      <c r="AC584" s="166">
        <f t="shared" si="1318"/>
        <v>0</v>
      </c>
      <c r="AD584" s="167">
        <f t="shared" si="1337"/>
        <v>0</v>
      </c>
      <c r="AE584" s="165">
        <f t="shared" si="1337"/>
        <v>0</v>
      </c>
      <c r="AF584" s="166">
        <f t="shared" si="1319"/>
        <v>0</v>
      </c>
      <c r="AG584" s="167">
        <f t="shared" si="1338"/>
        <v>0</v>
      </c>
      <c r="AH584" s="165">
        <f t="shared" si="1338"/>
        <v>0</v>
      </c>
      <c r="AI584" s="166">
        <f t="shared" si="1320"/>
        <v>0</v>
      </c>
      <c r="AJ584" s="167">
        <f t="shared" si="1339"/>
        <v>0</v>
      </c>
      <c r="AK584" s="165">
        <f t="shared" si="1339"/>
        <v>0</v>
      </c>
      <c r="AL584" s="166">
        <f t="shared" si="1321"/>
        <v>0</v>
      </c>
      <c r="AM584" s="167">
        <f t="shared" si="1340"/>
        <v>0</v>
      </c>
      <c r="AN584" s="165">
        <f t="shared" si="1340"/>
        <v>0</v>
      </c>
      <c r="AO584" s="166">
        <f t="shared" si="1322"/>
        <v>0</v>
      </c>
      <c r="AP584" s="167">
        <f t="shared" si="1341"/>
        <v>0</v>
      </c>
      <c r="AQ584" s="165">
        <f t="shared" si="1341"/>
        <v>0</v>
      </c>
      <c r="AR584" s="166">
        <f t="shared" si="1323"/>
        <v>0</v>
      </c>
      <c r="AS584" s="167">
        <f t="shared" si="1342"/>
        <v>0</v>
      </c>
      <c r="AT584" s="165">
        <f t="shared" si="1342"/>
        <v>0</v>
      </c>
      <c r="AU584" s="166">
        <f t="shared" si="1324"/>
        <v>0</v>
      </c>
      <c r="AV584" s="167">
        <f t="shared" si="1343"/>
        <v>0</v>
      </c>
      <c r="AW584" s="165">
        <f t="shared" si="1343"/>
        <v>0</v>
      </c>
      <c r="AX584" s="166">
        <f t="shared" si="1325"/>
        <v>0</v>
      </c>
      <c r="AY584" s="165">
        <f t="shared" si="1344"/>
        <v>0</v>
      </c>
      <c r="AZ584" s="165">
        <f t="shared" si="1344"/>
        <v>0</v>
      </c>
      <c r="BA584" s="166">
        <f t="shared" si="1326"/>
        <v>0</v>
      </c>
      <c r="BB584" s="167">
        <f t="shared" si="1345"/>
        <v>0</v>
      </c>
      <c r="BC584" s="165">
        <f t="shared" si="1345"/>
        <v>0</v>
      </c>
      <c r="BD584" s="166">
        <f t="shared" si="1327"/>
        <v>0</v>
      </c>
      <c r="BE584" s="167">
        <f t="shared" si="1358"/>
        <v>0</v>
      </c>
      <c r="BF584" s="167">
        <f t="shared" si="1358"/>
        <v>0</v>
      </c>
      <c r="BG584" s="164">
        <f t="shared" ref="BG584" si="1361">IF(BG135=0,0,BG484/BG135)</f>
        <v>0</v>
      </c>
    </row>
    <row r="585" spans="1:59" ht="13.5" hidden="1" customHeight="1" outlineLevel="1" thickBot="1" x14ac:dyDescent="0.3">
      <c r="A585" s="50"/>
      <c r="B585" s="84" t="s">
        <v>63</v>
      </c>
      <c r="C585" s="9" t="s">
        <v>110</v>
      </c>
      <c r="D585" s="4">
        <f t="shared" si="1329"/>
        <v>0</v>
      </c>
      <c r="E585" s="4">
        <f t="shared" si="1329"/>
        <v>0</v>
      </c>
      <c r="F585" s="7">
        <f t="shared" si="1329"/>
        <v>0</v>
      </c>
      <c r="G585" s="6">
        <f t="shared" si="1329"/>
        <v>0</v>
      </c>
      <c r="H585" s="5">
        <f t="shared" ref="H585:H600" si="1362">G585-F585</f>
        <v>0</v>
      </c>
      <c r="I585" s="7">
        <f t="shared" si="1330"/>
        <v>0</v>
      </c>
      <c r="J585" s="6">
        <f t="shared" si="1330"/>
        <v>0</v>
      </c>
      <c r="K585" s="5">
        <f t="shared" ref="K585:K600" si="1363">J585-I585</f>
        <v>0</v>
      </c>
      <c r="L585" s="7">
        <f t="shared" si="1331"/>
        <v>0</v>
      </c>
      <c r="M585" s="6">
        <f t="shared" si="1331"/>
        <v>0</v>
      </c>
      <c r="N585" s="5">
        <f t="shared" ref="N585:N600" si="1364">M585-L585</f>
        <v>0</v>
      </c>
      <c r="O585" s="7">
        <f t="shared" si="1332"/>
        <v>0</v>
      </c>
      <c r="P585" s="6">
        <f t="shared" si="1332"/>
        <v>0</v>
      </c>
      <c r="Q585" s="5">
        <f t="shared" ref="Q585:Q600" si="1365">P585-O585</f>
        <v>0</v>
      </c>
      <c r="R585" s="7">
        <f t="shared" si="1333"/>
        <v>0</v>
      </c>
      <c r="S585" s="6">
        <f t="shared" si="1333"/>
        <v>0</v>
      </c>
      <c r="T585" s="5">
        <f t="shared" ref="T585:T600" si="1366">S585-R585</f>
        <v>0</v>
      </c>
      <c r="U585" s="7">
        <f t="shared" si="1334"/>
        <v>0</v>
      </c>
      <c r="V585" s="6">
        <f t="shared" si="1334"/>
        <v>0</v>
      </c>
      <c r="W585" s="5">
        <f t="shared" ref="W585:W600" si="1367">V585-U585</f>
        <v>0</v>
      </c>
      <c r="X585" s="7">
        <f t="shared" si="1335"/>
        <v>0</v>
      </c>
      <c r="Y585" s="6">
        <f t="shared" si="1335"/>
        <v>0</v>
      </c>
      <c r="Z585" s="5">
        <f t="shared" ref="Z585:Z600" si="1368">Y585-X585</f>
        <v>0</v>
      </c>
      <c r="AA585" s="7">
        <f t="shared" si="1336"/>
        <v>0</v>
      </c>
      <c r="AB585" s="6">
        <f t="shared" si="1336"/>
        <v>0</v>
      </c>
      <c r="AC585" s="5">
        <f t="shared" ref="AC585:AC600" si="1369">AB585-AA585</f>
        <v>0</v>
      </c>
      <c r="AD585" s="7">
        <f t="shared" si="1337"/>
        <v>0</v>
      </c>
      <c r="AE585" s="6">
        <f t="shared" si="1337"/>
        <v>0</v>
      </c>
      <c r="AF585" s="5">
        <f t="shared" ref="AF585:AF600" si="1370">AE585-AD585</f>
        <v>0</v>
      </c>
      <c r="AG585" s="7">
        <f t="shared" si="1338"/>
        <v>0</v>
      </c>
      <c r="AH585" s="6">
        <f t="shared" si="1338"/>
        <v>0</v>
      </c>
      <c r="AI585" s="5">
        <f t="shared" ref="AI585:AI600" si="1371">AH585-AG585</f>
        <v>0</v>
      </c>
      <c r="AJ585" s="7">
        <f t="shared" si="1339"/>
        <v>0</v>
      </c>
      <c r="AK585" s="6">
        <f t="shared" si="1339"/>
        <v>0</v>
      </c>
      <c r="AL585" s="5">
        <f t="shared" ref="AL585:AL600" si="1372">AK585-AJ585</f>
        <v>0</v>
      </c>
      <c r="AM585" s="7">
        <f t="shared" si="1340"/>
        <v>0</v>
      </c>
      <c r="AN585" s="6">
        <f t="shared" si="1340"/>
        <v>0</v>
      </c>
      <c r="AO585" s="5">
        <f t="shared" ref="AO585:AO600" si="1373">AN585-AM585</f>
        <v>0</v>
      </c>
      <c r="AP585" s="7">
        <f t="shared" si="1341"/>
        <v>0</v>
      </c>
      <c r="AQ585" s="6">
        <f t="shared" si="1341"/>
        <v>0</v>
      </c>
      <c r="AR585" s="5">
        <f t="shared" ref="AR585:AR600" si="1374">AQ585-AP585</f>
        <v>0</v>
      </c>
      <c r="AS585" s="7">
        <f t="shared" si="1342"/>
        <v>0</v>
      </c>
      <c r="AT585" s="6">
        <f t="shared" si="1342"/>
        <v>0</v>
      </c>
      <c r="AU585" s="5">
        <f t="shared" ref="AU585:AU600" si="1375">AT585-AS585</f>
        <v>0</v>
      </c>
      <c r="AV585" s="7">
        <f t="shared" si="1343"/>
        <v>0</v>
      </c>
      <c r="AW585" s="6">
        <f t="shared" si="1343"/>
        <v>0</v>
      </c>
      <c r="AX585" s="5">
        <f t="shared" ref="AX585:AX600" si="1376">AW585-AV585</f>
        <v>0</v>
      </c>
      <c r="AY585" s="6">
        <f t="shared" si="1344"/>
        <v>0</v>
      </c>
      <c r="AZ585" s="6">
        <f t="shared" si="1344"/>
        <v>0</v>
      </c>
      <c r="BA585" s="5">
        <f t="shared" ref="BA585:BA600" si="1377">AZ585-AY585</f>
        <v>0</v>
      </c>
      <c r="BB585" s="7">
        <f t="shared" si="1345"/>
        <v>0</v>
      </c>
      <c r="BC585" s="6">
        <f t="shared" si="1345"/>
        <v>0</v>
      </c>
      <c r="BD585" s="5">
        <f t="shared" ref="BD585:BD600" si="1378">BC585-BB585</f>
        <v>0</v>
      </c>
      <c r="BE585" s="7">
        <f t="shared" si="1358"/>
        <v>0</v>
      </c>
      <c r="BF585" s="7">
        <f t="shared" si="1358"/>
        <v>0</v>
      </c>
      <c r="BG585" s="4">
        <f t="shared" ref="BG585" si="1379">IF(BG136=0,0,BG485/BG136)</f>
        <v>0</v>
      </c>
    </row>
    <row r="586" spans="1:59" ht="13.5" customHeight="1" collapsed="1" x14ac:dyDescent="0.25">
      <c r="A586" s="47" t="s">
        <v>128</v>
      </c>
      <c r="B586" s="105" t="s">
        <v>129</v>
      </c>
      <c r="C586" s="104" t="s">
        <v>110</v>
      </c>
      <c r="D586" s="149">
        <f t="shared" ref="D586:G601" si="1380">IF(D146=0,0,D489/D146)</f>
        <v>0</v>
      </c>
      <c r="E586" s="149">
        <f t="shared" si="1380"/>
        <v>0</v>
      </c>
      <c r="F586" s="152">
        <f t="shared" si="1380"/>
        <v>0</v>
      </c>
      <c r="G586" s="150">
        <f t="shared" si="1380"/>
        <v>0</v>
      </c>
      <c r="H586" s="151">
        <f t="shared" si="1362"/>
        <v>0</v>
      </c>
      <c r="I586" s="152">
        <f t="shared" ref="I586:J601" si="1381">IF(I146=0,0,I489/I146)</f>
        <v>0</v>
      </c>
      <c r="J586" s="150">
        <f t="shared" si="1381"/>
        <v>0</v>
      </c>
      <c r="K586" s="151">
        <f t="shared" si="1363"/>
        <v>0</v>
      </c>
      <c r="L586" s="152">
        <f t="shared" ref="L586:M601" si="1382">IF(L146=0,0,L489/L146)</f>
        <v>0</v>
      </c>
      <c r="M586" s="150">
        <f t="shared" si="1382"/>
        <v>0</v>
      </c>
      <c r="N586" s="151">
        <f t="shared" si="1364"/>
        <v>0</v>
      </c>
      <c r="O586" s="152">
        <f t="shared" ref="O586:P601" si="1383">IF(O146=0,0,O489/O146)</f>
        <v>0</v>
      </c>
      <c r="P586" s="150">
        <f t="shared" si="1383"/>
        <v>0</v>
      </c>
      <c r="Q586" s="151">
        <f t="shared" si="1365"/>
        <v>0</v>
      </c>
      <c r="R586" s="152">
        <f t="shared" ref="R586:S601" si="1384">IF(R146=0,0,R489/R146)</f>
        <v>0</v>
      </c>
      <c r="S586" s="150">
        <f t="shared" si="1384"/>
        <v>0</v>
      </c>
      <c r="T586" s="151">
        <f t="shared" si="1366"/>
        <v>0</v>
      </c>
      <c r="U586" s="152">
        <f t="shared" ref="U586:V601" si="1385">IF(U146=0,0,U489/U146)</f>
        <v>0</v>
      </c>
      <c r="V586" s="150">
        <f t="shared" si="1385"/>
        <v>0</v>
      </c>
      <c r="W586" s="151">
        <f t="shared" si="1367"/>
        <v>0</v>
      </c>
      <c r="X586" s="152">
        <f t="shared" ref="X586:Y601" si="1386">IF(X146=0,0,X489/X146)</f>
        <v>0</v>
      </c>
      <c r="Y586" s="150">
        <f t="shared" si="1386"/>
        <v>0</v>
      </c>
      <c r="Z586" s="151">
        <f t="shared" si="1368"/>
        <v>0</v>
      </c>
      <c r="AA586" s="152">
        <f t="shared" ref="AA586:AB601" si="1387">IF(AA146=0,0,AA489/AA146)</f>
        <v>0</v>
      </c>
      <c r="AB586" s="150">
        <f t="shared" si="1387"/>
        <v>0</v>
      </c>
      <c r="AC586" s="151">
        <f t="shared" si="1369"/>
        <v>0</v>
      </c>
      <c r="AD586" s="152">
        <f t="shared" ref="AD586:AE601" si="1388">IF(AD146=0,0,AD489/AD146)</f>
        <v>0</v>
      </c>
      <c r="AE586" s="150">
        <f t="shared" si="1388"/>
        <v>0</v>
      </c>
      <c r="AF586" s="151">
        <f t="shared" si="1370"/>
        <v>0</v>
      </c>
      <c r="AG586" s="152">
        <f t="shared" ref="AG586:AH601" si="1389">IF(AG146=0,0,AG489/AG146)</f>
        <v>0</v>
      </c>
      <c r="AH586" s="150">
        <f t="shared" si="1389"/>
        <v>0</v>
      </c>
      <c r="AI586" s="151">
        <f t="shared" si="1371"/>
        <v>0</v>
      </c>
      <c r="AJ586" s="152">
        <f t="shared" ref="AJ586:AK601" si="1390">IF(AJ146=0,0,AJ489/AJ146)</f>
        <v>0</v>
      </c>
      <c r="AK586" s="150">
        <f t="shared" si="1390"/>
        <v>0</v>
      </c>
      <c r="AL586" s="151">
        <f t="shared" si="1372"/>
        <v>0</v>
      </c>
      <c r="AM586" s="152">
        <f t="shared" ref="AM586:AN601" si="1391">IF(AM146=0,0,AM489/AM146)</f>
        <v>0</v>
      </c>
      <c r="AN586" s="150">
        <f t="shared" si="1391"/>
        <v>0</v>
      </c>
      <c r="AO586" s="151">
        <f t="shared" si="1373"/>
        <v>0</v>
      </c>
      <c r="AP586" s="152">
        <f t="shared" ref="AP586:AQ601" si="1392">IF(AP146=0,0,AP489/AP146)</f>
        <v>0</v>
      </c>
      <c r="AQ586" s="150">
        <f t="shared" si="1392"/>
        <v>0</v>
      </c>
      <c r="AR586" s="151">
        <f t="shared" si="1374"/>
        <v>0</v>
      </c>
      <c r="AS586" s="152">
        <f t="shared" ref="AS586:AT601" si="1393">IF(AS146=0,0,AS489/AS146)</f>
        <v>0</v>
      </c>
      <c r="AT586" s="150">
        <f t="shared" si="1393"/>
        <v>0</v>
      </c>
      <c r="AU586" s="151">
        <f t="shared" si="1375"/>
        <v>0</v>
      </c>
      <c r="AV586" s="152">
        <f t="shared" ref="AV586:AW601" si="1394">IF(AV146=0,0,AV489/AV146)</f>
        <v>0</v>
      </c>
      <c r="AW586" s="150">
        <f t="shared" si="1394"/>
        <v>0</v>
      </c>
      <c r="AX586" s="151">
        <f t="shared" si="1376"/>
        <v>0</v>
      </c>
      <c r="AY586" s="150">
        <f t="shared" ref="AY586:AZ601" si="1395">IF(AY146=0,0,AY489/AY146)</f>
        <v>0</v>
      </c>
      <c r="AZ586" s="150">
        <f t="shared" si="1395"/>
        <v>0</v>
      </c>
      <c r="BA586" s="151">
        <f t="shared" si="1377"/>
        <v>0</v>
      </c>
      <c r="BB586" s="152">
        <f t="shared" ref="BB586:BC601" si="1396">IF(BB146=0,0,BB489/BB146)</f>
        <v>0</v>
      </c>
      <c r="BC586" s="150">
        <f t="shared" si="1396"/>
        <v>0</v>
      </c>
      <c r="BD586" s="151">
        <f t="shared" si="1378"/>
        <v>0</v>
      </c>
      <c r="BE586" s="152">
        <f t="shared" ref="BE586:BF600" si="1397">IF(BE146=0,0,BE489/BE146)</f>
        <v>0</v>
      </c>
      <c r="BF586" s="152">
        <f t="shared" si="1397"/>
        <v>0</v>
      </c>
      <c r="BG586" s="149">
        <f t="shared" ref="BG586" si="1398">IF(BG146=0,0,BG489/BG146)</f>
        <v>0</v>
      </c>
    </row>
    <row r="587" spans="1:59" s="210" customFormat="1" ht="13.5" customHeight="1" x14ac:dyDescent="0.25">
      <c r="A587" s="103"/>
      <c r="B587" s="102" t="s">
        <v>33</v>
      </c>
      <c r="C587" s="77" t="s">
        <v>110</v>
      </c>
      <c r="D587" s="145">
        <f t="shared" si="1380"/>
        <v>0</v>
      </c>
      <c r="E587" s="145">
        <f t="shared" si="1380"/>
        <v>0</v>
      </c>
      <c r="F587" s="148">
        <f t="shared" si="1380"/>
        <v>0</v>
      </c>
      <c r="G587" s="146">
        <f t="shared" si="1380"/>
        <v>0</v>
      </c>
      <c r="H587" s="147">
        <f t="shared" si="1362"/>
        <v>0</v>
      </c>
      <c r="I587" s="148">
        <f t="shared" si="1381"/>
        <v>0</v>
      </c>
      <c r="J587" s="146">
        <f t="shared" si="1381"/>
        <v>0</v>
      </c>
      <c r="K587" s="147">
        <f t="shared" si="1363"/>
        <v>0</v>
      </c>
      <c r="L587" s="148">
        <f t="shared" si="1382"/>
        <v>0</v>
      </c>
      <c r="M587" s="146">
        <f t="shared" si="1382"/>
        <v>0</v>
      </c>
      <c r="N587" s="147">
        <f t="shared" si="1364"/>
        <v>0</v>
      </c>
      <c r="O587" s="148">
        <f t="shared" si="1383"/>
        <v>0</v>
      </c>
      <c r="P587" s="146">
        <f t="shared" si="1383"/>
        <v>0</v>
      </c>
      <c r="Q587" s="147">
        <f t="shared" si="1365"/>
        <v>0</v>
      </c>
      <c r="R587" s="148">
        <f t="shared" si="1384"/>
        <v>0</v>
      </c>
      <c r="S587" s="146">
        <f t="shared" si="1384"/>
        <v>0</v>
      </c>
      <c r="T587" s="147">
        <f t="shared" si="1366"/>
        <v>0</v>
      </c>
      <c r="U587" s="148">
        <f t="shared" si="1385"/>
        <v>0</v>
      </c>
      <c r="V587" s="146">
        <f t="shared" si="1385"/>
        <v>0</v>
      </c>
      <c r="W587" s="147">
        <f t="shared" si="1367"/>
        <v>0</v>
      </c>
      <c r="X587" s="148">
        <f t="shared" si="1386"/>
        <v>0</v>
      </c>
      <c r="Y587" s="146">
        <f t="shared" si="1386"/>
        <v>0</v>
      </c>
      <c r="Z587" s="147">
        <f t="shared" si="1368"/>
        <v>0</v>
      </c>
      <c r="AA587" s="148">
        <f t="shared" si="1387"/>
        <v>0</v>
      </c>
      <c r="AB587" s="146">
        <f t="shared" si="1387"/>
        <v>0</v>
      </c>
      <c r="AC587" s="147">
        <f t="shared" si="1369"/>
        <v>0</v>
      </c>
      <c r="AD587" s="148">
        <f t="shared" si="1388"/>
        <v>0</v>
      </c>
      <c r="AE587" s="146">
        <f t="shared" si="1388"/>
        <v>0</v>
      </c>
      <c r="AF587" s="147">
        <f t="shared" si="1370"/>
        <v>0</v>
      </c>
      <c r="AG587" s="148">
        <f t="shared" si="1389"/>
        <v>0</v>
      </c>
      <c r="AH587" s="146">
        <f t="shared" si="1389"/>
        <v>0</v>
      </c>
      <c r="AI587" s="147">
        <f t="shared" si="1371"/>
        <v>0</v>
      </c>
      <c r="AJ587" s="148">
        <f t="shared" si="1390"/>
        <v>0</v>
      </c>
      <c r="AK587" s="146">
        <f t="shared" si="1390"/>
        <v>0</v>
      </c>
      <c r="AL587" s="147">
        <f t="shared" si="1372"/>
        <v>0</v>
      </c>
      <c r="AM587" s="148">
        <f t="shared" si="1391"/>
        <v>0</v>
      </c>
      <c r="AN587" s="146">
        <f t="shared" si="1391"/>
        <v>0</v>
      </c>
      <c r="AO587" s="147">
        <f t="shared" si="1373"/>
        <v>0</v>
      </c>
      <c r="AP587" s="148">
        <f t="shared" si="1392"/>
        <v>0</v>
      </c>
      <c r="AQ587" s="146">
        <f t="shared" si="1392"/>
        <v>0</v>
      </c>
      <c r="AR587" s="147">
        <f t="shared" si="1374"/>
        <v>0</v>
      </c>
      <c r="AS587" s="148">
        <f t="shared" si="1393"/>
        <v>0</v>
      </c>
      <c r="AT587" s="146">
        <f t="shared" si="1393"/>
        <v>0</v>
      </c>
      <c r="AU587" s="147">
        <f t="shared" si="1375"/>
        <v>0</v>
      </c>
      <c r="AV587" s="148">
        <f t="shared" si="1394"/>
        <v>0</v>
      </c>
      <c r="AW587" s="146">
        <f t="shared" si="1394"/>
        <v>0</v>
      </c>
      <c r="AX587" s="147">
        <f t="shared" si="1376"/>
        <v>0</v>
      </c>
      <c r="AY587" s="146">
        <f t="shared" si="1395"/>
        <v>0</v>
      </c>
      <c r="AZ587" s="146">
        <f t="shared" si="1395"/>
        <v>0</v>
      </c>
      <c r="BA587" s="147">
        <f t="shared" si="1377"/>
        <v>0</v>
      </c>
      <c r="BB587" s="148">
        <f t="shared" si="1396"/>
        <v>0</v>
      </c>
      <c r="BC587" s="146">
        <f t="shared" si="1396"/>
        <v>0</v>
      </c>
      <c r="BD587" s="147">
        <f t="shared" si="1378"/>
        <v>0</v>
      </c>
      <c r="BE587" s="148">
        <f t="shared" si="1397"/>
        <v>0</v>
      </c>
      <c r="BF587" s="148">
        <f t="shared" si="1397"/>
        <v>0</v>
      </c>
      <c r="BG587" s="145">
        <f t="shared" ref="BG587" si="1399">IF(BG147=0,0,BG490/BG147)</f>
        <v>0</v>
      </c>
    </row>
    <row r="588" spans="1:59" ht="13.5" hidden="1" customHeight="1" outlineLevel="1" x14ac:dyDescent="0.25">
      <c r="A588" s="60"/>
      <c r="B588" s="84" t="s">
        <v>34</v>
      </c>
      <c r="C588" s="26" t="s">
        <v>110</v>
      </c>
      <c r="D588" s="141">
        <f t="shared" si="1380"/>
        <v>0</v>
      </c>
      <c r="E588" s="141">
        <f t="shared" si="1380"/>
        <v>0</v>
      </c>
      <c r="F588" s="144">
        <f t="shared" si="1380"/>
        <v>0</v>
      </c>
      <c r="G588" s="142">
        <f t="shared" si="1380"/>
        <v>0</v>
      </c>
      <c r="H588" s="143">
        <f t="shared" si="1362"/>
        <v>0</v>
      </c>
      <c r="I588" s="144">
        <f t="shared" si="1381"/>
        <v>0</v>
      </c>
      <c r="J588" s="142">
        <f t="shared" si="1381"/>
        <v>0</v>
      </c>
      <c r="K588" s="143">
        <f t="shared" si="1363"/>
        <v>0</v>
      </c>
      <c r="L588" s="144">
        <f t="shared" si="1382"/>
        <v>0</v>
      </c>
      <c r="M588" s="142">
        <f t="shared" si="1382"/>
        <v>0</v>
      </c>
      <c r="N588" s="143">
        <f t="shared" si="1364"/>
        <v>0</v>
      </c>
      <c r="O588" s="144">
        <f t="shared" si="1383"/>
        <v>0</v>
      </c>
      <c r="P588" s="142">
        <f t="shared" si="1383"/>
        <v>0</v>
      </c>
      <c r="Q588" s="143">
        <f t="shared" si="1365"/>
        <v>0</v>
      </c>
      <c r="R588" s="144">
        <f t="shared" si="1384"/>
        <v>0</v>
      </c>
      <c r="S588" s="142">
        <f t="shared" si="1384"/>
        <v>0</v>
      </c>
      <c r="T588" s="143">
        <f t="shared" si="1366"/>
        <v>0</v>
      </c>
      <c r="U588" s="144">
        <f t="shared" si="1385"/>
        <v>0</v>
      </c>
      <c r="V588" s="142">
        <f t="shared" si="1385"/>
        <v>0</v>
      </c>
      <c r="W588" s="143">
        <f t="shared" si="1367"/>
        <v>0</v>
      </c>
      <c r="X588" s="144">
        <f t="shared" si="1386"/>
        <v>0</v>
      </c>
      <c r="Y588" s="142">
        <f t="shared" si="1386"/>
        <v>0</v>
      </c>
      <c r="Z588" s="143">
        <f t="shared" si="1368"/>
        <v>0</v>
      </c>
      <c r="AA588" s="144">
        <f t="shared" si="1387"/>
        <v>0</v>
      </c>
      <c r="AB588" s="142">
        <f t="shared" si="1387"/>
        <v>0</v>
      </c>
      <c r="AC588" s="143">
        <f t="shared" si="1369"/>
        <v>0</v>
      </c>
      <c r="AD588" s="144">
        <f t="shared" si="1388"/>
        <v>0</v>
      </c>
      <c r="AE588" s="142">
        <f t="shared" si="1388"/>
        <v>0</v>
      </c>
      <c r="AF588" s="143">
        <f t="shared" si="1370"/>
        <v>0</v>
      </c>
      <c r="AG588" s="144">
        <f t="shared" si="1389"/>
        <v>0</v>
      </c>
      <c r="AH588" s="142">
        <f t="shared" si="1389"/>
        <v>0</v>
      </c>
      <c r="AI588" s="143">
        <f t="shared" si="1371"/>
        <v>0</v>
      </c>
      <c r="AJ588" s="144">
        <f t="shared" si="1390"/>
        <v>0</v>
      </c>
      <c r="AK588" s="142">
        <f t="shared" si="1390"/>
        <v>0</v>
      </c>
      <c r="AL588" s="143">
        <f t="shared" si="1372"/>
        <v>0</v>
      </c>
      <c r="AM588" s="144">
        <f t="shared" si="1391"/>
        <v>0</v>
      </c>
      <c r="AN588" s="142">
        <f t="shared" si="1391"/>
        <v>0</v>
      </c>
      <c r="AO588" s="143">
        <f t="shared" si="1373"/>
        <v>0</v>
      </c>
      <c r="AP588" s="144">
        <f t="shared" si="1392"/>
        <v>0</v>
      </c>
      <c r="AQ588" s="142">
        <f t="shared" si="1392"/>
        <v>0</v>
      </c>
      <c r="AR588" s="143">
        <f t="shared" si="1374"/>
        <v>0</v>
      </c>
      <c r="AS588" s="144">
        <f t="shared" si="1393"/>
        <v>0</v>
      </c>
      <c r="AT588" s="142">
        <f t="shared" si="1393"/>
        <v>0</v>
      </c>
      <c r="AU588" s="143">
        <f t="shared" si="1375"/>
        <v>0</v>
      </c>
      <c r="AV588" s="144">
        <f t="shared" si="1394"/>
        <v>0</v>
      </c>
      <c r="AW588" s="142">
        <f t="shared" si="1394"/>
        <v>0</v>
      </c>
      <c r="AX588" s="143">
        <f t="shared" si="1376"/>
        <v>0</v>
      </c>
      <c r="AY588" s="142">
        <f t="shared" si="1395"/>
        <v>0</v>
      </c>
      <c r="AZ588" s="142">
        <f t="shared" si="1395"/>
        <v>0</v>
      </c>
      <c r="BA588" s="143">
        <f t="shared" si="1377"/>
        <v>0</v>
      </c>
      <c r="BB588" s="144">
        <f t="shared" si="1396"/>
        <v>0</v>
      </c>
      <c r="BC588" s="142">
        <f t="shared" si="1396"/>
        <v>0</v>
      </c>
      <c r="BD588" s="143">
        <f t="shared" si="1378"/>
        <v>0</v>
      </c>
      <c r="BE588" s="144">
        <f t="shared" si="1397"/>
        <v>0</v>
      </c>
      <c r="BF588" s="144">
        <f t="shared" si="1397"/>
        <v>0</v>
      </c>
      <c r="BG588" s="141">
        <f t="shared" ref="BG588" si="1400">IF(BG148=0,0,BG491/BG148)</f>
        <v>0</v>
      </c>
    </row>
    <row r="589" spans="1:59" ht="13.5" hidden="1" customHeight="1" outlineLevel="1" x14ac:dyDescent="0.25">
      <c r="A589" s="60"/>
      <c r="B589" s="84" t="s">
        <v>35</v>
      </c>
      <c r="C589" s="26" t="s">
        <v>110</v>
      </c>
      <c r="D589" s="141">
        <f t="shared" si="1380"/>
        <v>0</v>
      </c>
      <c r="E589" s="141">
        <f t="shared" si="1380"/>
        <v>0</v>
      </c>
      <c r="F589" s="144">
        <f t="shared" si="1380"/>
        <v>0</v>
      </c>
      <c r="G589" s="142">
        <f t="shared" si="1380"/>
        <v>0</v>
      </c>
      <c r="H589" s="143">
        <f t="shared" si="1362"/>
        <v>0</v>
      </c>
      <c r="I589" s="144">
        <f t="shared" si="1381"/>
        <v>0</v>
      </c>
      <c r="J589" s="142">
        <f t="shared" si="1381"/>
        <v>0</v>
      </c>
      <c r="K589" s="143">
        <f t="shared" si="1363"/>
        <v>0</v>
      </c>
      <c r="L589" s="144">
        <f t="shared" si="1382"/>
        <v>0</v>
      </c>
      <c r="M589" s="142">
        <f t="shared" si="1382"/>
        <v>0</v>
      </c>
      <c r="N589" s="143">
        <f t="shared" si="1364"/>
        <v>0</v>
      </c>
      <c r="O589" s="144">
        <f t="shared" si="1383"/>
        <v>0</v>
      </c>
      <c r="P589" s="142">
        <f t="shared" si="1383"/>
        <v>0</v>
      </c>
      <c r="Q589" s="143">
        <f t="shared" si="1365"/>
        <v>0</v>
      </c>
      <c r="R589" s="144">
        <f t="shared" si="1384"/>
        <v>0</v>
      </c>
      <c r="S589" s="142">
        <f t="shared" si="1384"/>
        <v>0</v>
      </c>
      <c r="T589" s="143">
        <f t="shared" si="1366"/>
        <v>0</v>
      </c>
      <c r="U589" s="144">
        <f t="shared" si="1385"/>
        <v>0</v>
      </c>
      <c r="V589" s="142">
        <f t="shared" si="1385"/>
        <v>0</v>
      </c>
      <c r="W589" s="143">
        <f t="shared" si="1367"/>
        <v>0</v>
      </c>
      <c r="X589" s="144">
        <f t="shared" si="1386"/>
        <v>0</v>
      </c>
      <c r="Y589" s="142">
        <f t="shared" si="1386"/>
        <v>0</v>
      </c>
      <c r="Z589" s="143">
        <f t="shared" si="1368"/>
        <v>0</v>
      </c>
      <c r="AA589" s="144">
        <f t="shared" si="1387"/>
        <v>0</v>
      </c>
      <c r="AB589" s="142">
        <f t="shared" si="1387"/>
        <v>0</v>
      </c>
      <c r="AC589" s="143">
        <f t="shared" si="1369"/>
        <v>0</v>
      </c>
      <c r="AD589" s="144">
        <f t="shared" si="1388"/>
        <v>0</v>
      </c>
      <c r="AE589" s="142">
        <f t="shared" si="1388"/>
        <v>0</v>
      </c>
      <c r="AF589" s="143">
        <f t="shared" si="1370"/>
        <v>0</v>
      </c>
      <c r="AG589" s="144">
        <f t="shared" si="1389"/>
        <v>0</v>
      </c>
      <c r="AH589" s="142">
        <f t="shared" si="1389"/>
        <v>0</v>
      </c>
      <c r="AI589" s="143">
        <f t="shared" si="1371"/>
        <v>0</v>
      </c>
      <c r="AJ589" s="144">
        <f t="shared" si="1390"/>
        <v>0</v>
      </c>
      <c r="AK589" s="142">
        <f t="shared" si="1390"/>
        <v>0</v>
      </c>
      <c r="AL589" s="143">
        <f t="shared" si="1372"/>
        <v>0</v>
      </c>
      <c r="AM589" s="144">
        <f t="shared" si="1391"/>
        <v>0</v>
      </c>
      <c r="AN589" s="142">
        <f t="shared" si="1391"/>
        <v>0</v>
      </c>
      <c r="AO589" s="143">
        <f t="shared" si="1373"/>
        <v>0</v>
      </c>
      <c r="AP589" s="144">
        <f t="shared" si="1392"/>
        <v>0</v>
      </c>
      <c r="AQ589" s="142">
        <f t="shared" si="1392"/>
        <v>0</v>
      </c>
      <c r="AR589" s="143">
        <f t="shared" si="1374"/>
        <v>0</v>
      </c>
      <c r="AS589" s="144">
        <f t="shared" si="1393"/>
        <v>0</v>
      </c>
      <c r="AT589" s="142">
        <f t="shared" si="1393"/>
        <v>0</v>
      </c>
      <c r="AU589" s="143">
        <f t="shared" si="1375"/>
        <v>0</v>
      </c>
      <c r="AV589" s="144">
        <f t="shared" si="1394"/>
        <v>0</v>
      </c>
      <c r="AW589" s="142">
        <f t="shared" si="1394"/>
        <v>0</v>
      </c>
      <c r="AX589" s="143">
        <f t="shared" si="1376"/>
        <v>0</v>
      </c>
      <c r="AY589" s="142">
        <f t="shared" si="1395"/>
        <v>0</v>
      </c>
      <c r="AZ589" s="142">
        <f t="shared" si="1395"/>
        <v>0</v>
      </c>
      <c r="BA589" s="143">
        <f t="shared" si="1377"/>
        <v>0</v>
      </c>
      <c r="BB589" s="144">
        <f t="shared" si="1396"/>
        <v>0</v>
      </c>
      <c r="BC589" s="142">
        <f t="shared" si="1396"/>
        <v>0</v>
      </c>
      <c r="BD589" s="143">
        <f t="shared" si="1378"/>
        <v>0</v>
      </c>
      <c r="BE589" s="144">
        <f t="shared" si="1397"/>
        <v>0</v>
      </c>
      <c r="BF589" s="144">
        <f t="shared" si="1397"/>
        <v>0</v>
      </c>
      <c r="BG589" s="141">
        <f t="shared" ref="BG589" si="1401">IF(BG149=0,0,BG492/BG149)</f>
        <v>0</v>
      </c>
    </row>
    <row r="590" spans="1:59" ht="13.5" hidden="1" customHeight="1" outlineLevel="1" x14ac:dyDescent="0.25">
      <c r="A590" s="60"/>
      <c r="B590" s="84" t="s">
        <v>36</v>
      </c>
      <c r="C590" s="26" t="s">
        <v>110</v>
      </c>
      <c r="D590" s="141">
        <f t="shared" si="1380"/>
        <v>0</v>
      </c>
      <c r="E590" s="141">
        <f t="shared" si="1380"/>
        <v>0</v>
      </c>
      <c r="F590" s="144">
        <f t="shared" si="1380"/>
        <v>0</v>
      </c>
      <c r="G590" s="142">
        <f t="shared" si="1380"/>
        <v>0</v>
      </c>
      <c r="H590" s="143">
        <f t="shared" si="1362"/>
        <v>0</v>
      </c>
      <c r="I590" s="144">
        <f t="shared" si="1381"/>
        <v>0</v>
      </c>
      <c r="J590" s="142">
        <f t="shared" si="1381"/>
        <v>0</v>
      </c>
      <c r="K590" s="143">
        <f t="shared" si="1363"/>
        <v>0</v>
      </c>
      <c r="L590" s="144">
        <f t="shared" si="1382"/>
        <v>0</v>
      </c>
      <c r="M590" s="142">
        <f t="shared" si="1382"/>
        <v>0</v>
      </c>
      <c r="N590" s="143">
        <f t="shared" si="1364"/>
        <v>0</v>
      </c>
      <c r="O590" s="144">
        <f t="shared" si="1383"/>
        <v>0</v>
      </c>
      <c r="P590" s="142">
        <f t="shared" si="1383"/>
        <v>0</v>
      </c>
      <c r="Q590" s="143">
        <f t="shared" si="1365"/>
        <v>0</v>
      </c>
      <c r="R590" s="144">
        <f t="shared" si="1384"/>
        <v>0</v>
      </c>
      <c r="S590" s="142">
        <f t="shared" si="1384"/>
        <v>0</v>
      </c>
      <c r="T590" s="143">
        <f t="shared" si="1366"/>
        <v>0</v>
      </c>
      <c r="U590" s="144">
        <f t="shared" si="1385"/>
        <v>0</v>
      </c>
      <c r="V590" s="142">
        <f t="shared" si="1385"/>
        <v>0</v>
      </c>
      <c r="W590" s="143">
        <f t="shared" si="1367"/>
        <v>0</v>
      </c>
      <c r="X590" s="144">
        <f t="shared" si="1386"/>
        <v>0</v>
      </c>
      <c r="Y590" s="142">
        <f t="shared" si="1386"/>
        <v>0</v>
      </c>
      <c r="Z590" s="143">
        <f t="shared" si="1368"/>
        <v>0</v>
      </c>
      <c r="AA590" s="144">
        <f t="shared" si="1387"/>
        <v>0</v>
      </c>
      <c r="AB590" s="142">
        <f t="shared" si="1387"/>
        <v>0</v>
      </c>
      <c r="AC590" s="143">
        <f t="shared" si="1369"/>
        <v>0</v>
      </c>
      <c r="AD590" s="144">
        <f t="shared" si="1388"/>
        <v>0</v>
      </c>
      <c r="AE590" s="142">
        <f t="shared" si="1388"/>
        <v>0</v>
      </c>
      <c r="AF590" s="143">
        <f t="shared" si="1370"/>
        <v>0</v>
      </c>
      <c r="AG590" s="144">
        <f t="shared" si="1389"/>
        <v>0</v>
      </c>
      <c r="AH590" s="142">
        <f t="shared" si="1389"/>
        <v>0</v>
      </c>
      <c r="AI590" s="143">
        <f t="shared" si="1371"/>
        <v>0</v>
      </c>
      <c r="AJ590" s="144">
        <f t="shared" si="1390"/>
        <v>0</v>
      </c>
      <c r="AK590" s="142">
        <f t="shared" si="1390"/>
        <v>0</v>
      </c>
      <c r="AL590" s="143">
        <f t="shared" si="1372"/>
        <v>0</v>
      </c>
      <c r="AM590" s="144">
        <f t="shared" si="1391"/>
        <v>0</v>
      </c>
      <c r="AN590" s="142">
        <f t="shared" si="1391"/>
        <v>0</v>
      </c>
      <c r="AO590" s="143">
        <f t="shared" si="1373"/>
        <v>0</v>
      </c>
      <c r="AP590" s="144">
        <f t="shared" si="1392"/>
        <v>0</v>
      </c>
      <c r="AQ590" s="142">
        <f t="shared" si="1392"/>
        <v>0</v>
      </c>
      <c r="AR590" s="143">
        <f t="shared" si="1374"/>
        <v>0</v>
      </c>
      <c r="AS590" s="144">
        <f t="shared" si="1393"/>
        <v>0</v>
      </c>
      <c r="AT590" s="142">
        <f t="shared" si="1393"/>
        <v>0</v>
      </c>
      <c r="AU590" s="143">
        <f t="shared" si="1375"/>
        <v>0</v>
      </c>
      <c r="AV590" s="144">
        <f t="shared" si="1394"/>
        <v>0</v>
      </c>
      <c r="AW590" s="142">
        <f t="shared" si="1394"/>
        <v>0</v>
      </c>
      <c r="AX590" s="143">
        <f t="shared" si="1376"/>
        <v>0</v>
      </c>
      <c r="AY590" s="142">
        <f t="shared" si="1395"/>
        <v>0</v>
      </c>
      <c r="AZ590" s="142">
        <f t="shared" si="1395"/>
        <v>0</v>
      </c>
      <c r="BA590" s="143">
        <f t="shared" si="1377"/>
        <v>0</v>
      </c>
      <c r="BB590" s="144">
        <f t="shared" si="1396"/>
        <v>0</v>
      </c>
      <c r="BC590" s="142">
        <f t="shared" si="1396"/>
        <v>0</v>
      </c>
      <c r="BD590" s="143">
        <f t="shared" si="1378"/>
        <v>0</v>
      </c>
      <c r="BE590" s="144">
        <f t="shared" si="1397"/>
        <v>0</v>
      </c>
      <c r="BF590" s="144">
        <f t="shared" si="1397"/>
        <v>0</v>
      </c>
      <c r="BG590" s="141">
        <f t="shared" ref="BG590" si="1402">IF(BG150=0,0,BG493/BG150)</f>
        <v>0</v>
      </c>
    </row>
    <row r="591" spans="1:59" ht="13.5" hidden="1" customHeight="1" outlineLevel="1" x14ac:dyDescent="0.25">
      <c r="A591" s="60"/>
      <c r="B591" s="84" t="s">
        <v>37</v>
      </c>
      <c r="C591" s="26" t="s">
        <v>110</v>
      </c>
      <c r="D591" s="141">
        <f t="shared" si="1380"/>
        <v>0</v>
      </c>
      <c r="E591" s="141">
        <f t="shared" si="1380"/>
        <v>0</v>
      </c>
      <c r="F591" s="144">
        <f t="shared" si="1380"/>
        <v>0</v>
      </c>
      <c r="G591" s="142">
        <f t="shared" si="1380"/>
        <v>0</v>
      </c>
      <c r="H591" s="143">
        <f t="shared" si="1362"/>
        <v>0</v>
      </c>
      <c r="I591" s="144">
        <f t="shared" si="1381"/>
        <v>0</v>
      </c>
      <c r="J591" s="142">
        <f t="shared" si="1381"/>
        <v>0</v>
      </c>
      <c r="K591" s="143">
        <f t="shared" si="1363"/>
        <v>0</v>
      </c>
      <c r="L591" s="144">
        <f t="shared" si="1382"/>
        <v>0</v>
      </c>
      <c r="M591" s="142">
        <f t="shared" si="1382"/>
        <v>0</v>
      </c>
      <c r="N591" s="143">
        <f t="shared" si="1364"/>
        <v>0</v>
      </c>
      <c r="O591" s="144">
        <f t="shared" si="1383"/>
        <v>0</v>
      </c>
      <c r="P591" s="142">
        <f t="shared" si="1383"/>
        <v>0</v>
      </c>
      <c r="Q591" s="143">
        <f t="shared" si="1365"/>
        <v>0</v>
      </c>
      <c r="R591" s="144">
        <f t="shared" si="1384"/>
        <v>0</v>
      </c>
      <c r="S591" s="142">
        <f t="shared" si="1384"/>
        <v>0</v>
      </c>
      <c r="T591" s="143">
        <f t="shared" si="1366"/>
        <v>0</v>
      </c>
      <c r="U591" s="144">
        <f t="shared" si="1385"/>
        <v>0</v>
      </c>
      <c r="V591" s="142">
        <f t="shared" si="1385"/>
        <v>0</v>
      </c>
      <c r="W591" s="143">
        <f t="shared" si="1367"/>
        <v>0</v>
      </c>
      <c r="X591" s="144">
        <f t="shared" si="1386"/>
        <v>0</v>
      </c>
      <c r="Y591" s="142">
        <f t="shared" si="1386"/>
        <v>0</v>
      </c>
      <c r="Z591" s="143">
        <f t="shared" si="1368"/>
        <v>0</v>
      </c>
      <c r="AA591" s="144">
        <f t="shared" si="1387"/>
        <v>0</v>
      </c>
      <c r="AB591" s="142">
        <f t="shared" si="1387"/>
        <v>0</v>
      </c>
      <c r="AC591" s="143">
        <f t="shared" si="1369"/>
        <v>0</v>
      </c>
      <c r="AD591" s="144">
        <f t="shared" si="1388"/>
        <v>0</v>
      </c>
      <c r="AE591" s="142">
        <f t="shared" si="1388"/>
        <v>0</v>
      </c>
      <c r="AF591" s="143">
        <f t="shared" si="1370"/>
        <v>0</v>
      </c>
      <c r="AG591" s="144">
        <f t="shared" si="1389"/>
        <v>0</v>
      </c>
      <c r="AH591" s="142">
        <f t="shared" si="1389"/>
        <v>0</v>
      </c>
      <c r="AI591" s="143">
        <f t="shared" si="1371"/>
        <v>0</v>
      </c>
      <c r="AJ591" s="144">
        <f t="shared" si="1390"/>
        <v>0</v>
      </c>
      <c r="AK591" s="142">
        <f t="shared" si="1390"/>
        <v>0</v>
      </c>
      <c r="AL591" s="143">
        <f t="shared" si="1372"/>
        <v>0</v>
      </c>
      <c r="AM591" s="144">
        <f t="shared" si="1391"/>
        <v>0</v>
      </c>
      <c r="AN591" s="142">
        <f t="shared" si="1391"/>
        <v>0</v>
      </c>
      <c r="AO591" s="143">
        <f t="shared" si="1373"/>
        <v>0</v>
      </c>
      <c r="AP591" s="144">
        <f t="shared" si="1392"/>
        <v>0</v>
      </c>
      <c r="AQ591" s="142">
        <f t="shared" si="1392"/>
        <v>0</v>
      </c>
      <c r="AR591" s="143">
        <f t="shared" si="1374"/>
        <v>0</v>
      </c>
      <c r="AS591" s="144">
        <f t="shared" si="1393"/>
        <v>0</v>
      </c>
      <c r="AT591" s="142">
        <f t="shared" si="1393"/>
        <v>0</v>
      </c>
      <c r="AU591" s="143">
        <f t="shared" si="1375"/>
        <v>0</v>
      </c>
      <c r="AV591" s="144">
        <f t="shared" si="1394"/>
        <v>0</v>
      </c>
      <c r="AW591" s="142">
        <f t="shared" si="1394"/>
        <v>0</v>
      </c>
      <c r="AX591" s="143">
        <f t="shared" si="1376"/>
        <v>0</v>
      </c>
      <c r="AY591" s="142">
        <f t="shared" si="1395"/>
        <v>0</v>
      </c>
      <c r="AZ591" s="142">
        <f t="shared" si="1395"/>
        <v>0</v>
      </c>
      <c r="BA591" s="143">
        <f t="shared" si="1377"/>
        <v>0</v>
      </c>
      <c r="BB591" s="144">
        <f t="shared" si="1396"/>
        <v>0</v>
      </c>
      <c r="BC591" s="142">
        <f t="shared" si="1396"/>
        <v>0</v>
      </c>
      <c r="BD591" s="143">
        <f t="shared" si="1378"/>
        <v>0</v>
      </c>
      <c r="BE591" s="144">
        <f t="shared" si="1397"/>
        <v>0</v>
      </c>
      <c r="BF591" s="144">
        <f t="shared" si="1397"/>
        <v>0</v>
      </c>
      <c r="BG591" s="141">
        <f t="shared" ref="BG591" si="1403">IF(BG151=0,0,BG494/BG151)</f>
        <v>0</v>
      </c>
    </row>
    <row r="592" spans="1:59" ht="13.5" hidden="1" customHeight="1" outlineLevel="1" x14ac:dyDescent="0.25">
      <c r="A592" s="60"/>
      <c r="B592" s="84" t="s">
        <v>38</v>
      </c>
      <c r="C592" s="26" t="s">
        <v>110</v>
      </c>
      <c r="D592" s="141">
        <f t="shared" si="1380"/>
        <v>0</v>
      </c>
      <c r="E592" s="141">
        <f t="shared" si="1380"/>
        <v>0</v>
      </c>
      <c r="F592" s="144">
        <f t="shared" si="1380"/>
        <v>0</v>
      </c>
      <c r="G592" s="142">
        <f t="shared" si="1380"/>
        <v>0</v>
      </c>
      <c r="H592" s="143">
        <f t="shared" si="1362"/>
        <v>0</v>
      </c>
      <c r="I592" s="144">
        <f t="shared" si="1381"/>
        <v>0</v>
      </c>
      <c r="J592" s="142">
        <f t="shared" si="1381"/>
        <v>0</v>
      </c>
      <c r="K592" s="143">
        <f t="shared" si="1363"/>
        <v>0</v>
      </c>
      <c r="L592" s="144">
        <f t="shared" si="1382"/>
        <v>0</v>
      </c>
      <c r="M592" s="142">
        <f t="shared" si="1382"/>
        <v>0</v>
      </c>
      <c r="N592" s="143">
        <f t="shared" si="1364"/>
        <v>0</v>
      </c>
      <c r="O592" s="144">
        <f t="shared" si="1383"/>
        <v>0</v>
      </c>
      <c r="P592" s="142">
        <f t="shared" si="1383"/>
        <v>0</v>
      </c>
      <c r="Q592" s="143">
        <f t="shared" si="1365"/>
        <v>0</v>
      </c>
      <c r="R592" s="144">
        <f t="shared" si="1384"/>
        <v>0</v>
      </c>
      <c r="S592" s="142">
        <f t="shared" si="1384"/>
        <v>0</v>
      </c>
      <c r="T592" s="143">
        <f t="shared" si="1366"/>
        <v>0</v>
      </c>
      <c r="U592" s="144">
        <f t="shared" si="1385"/>
        <v>0</v>
      </c>
      <c r="V592" s="142">
        <f t="shared" si="1385"/>
        <v>0</v>
      </c>
      <c r="W592" s="143">
        <f t="shared" si="1367"/>
        <v>0</v>
      </c>
      <c r="X592" s="144">
        <f t="shared" si="1386"/>
        <v>0</v>
      </c>
      <c r="Y592" s="142">
        <f t="shared" si="1386"/>
        <v>0</v>
      </c>
      <c r="Z592" s="143">
        <f t="shared" si="1368"/>
        <v>0</v>
      </c>
      <c r="AA592" s="144">
        <f t="shared" si="1387"/>
        <v>0</v>
      </c>
      <c r="AB592" s="142">
        <f t="shared" si="1387"/>
        <v>0</v>
      </c>
      <c r="AC592" s="143">
        <f t="shared" si="1369"/>
        <v>0</v>
      </c>
      <c r="AD592" s="144">
        <f t="shared" si="1388"/>
        <v>0</v>
      </c>
      <c r="AE592" s="142">
        <f t="shared" si="1388"/>
        <v>0</v>
      </c>
      <c r="AF592" s="143">
        <f t="shared" si="1370"/>
        <v>0</v>
      </c>
      <c r="AG592" s="144">
        <f t="shared" si="1389"/>
        <v>0</v>
      </c>
      <c r="AH592" s="142">
        <f t="shared" si="1389"/>
        <v>0</v>
      </c>
      <c r="AI592" s="143">
        <f t="shared" si="1371"/>
        <v>0</v>
      </c>
      <c r="AJ592" s="144">
        <f t="shared" si="1390"/>
        <v>0</v>
      </c>
      <c r="AK592" s="142">
        <f t="shared" si="1390"/>
        <v>0</v>
      </c>
      <c r="AL592" s="143">
        <f t="shared" si="1372"/>
        <v>0</v>
      </c>
      <c r="AM592" s="144">
        <f t="shared" si="1391"/>
        <v>0</v>
      </c>
      <c r="AN592" s="142">
        <f t="shared" si="1391"/>
        <v>0</v>
      </c>
      <c r="AO592" s="143">
        <f t="shared" si="1373"/>
        <v>0</v>
      </c>
      <c r="AP592" s="144">
        <f t="shared" si="1392"/>
        <v>0</v>
      </c>
      <c r="AQ592" s="142">
        <f t="shared" si="1392"/>
        <v>0</v>
      </c>
      <c r="AR592" s="143">
        <f t="shared" si="1374"/>
        <v>0</v>
      </c>
      <c r="AS592" s="144">
        <f t="shared" si="1393"/>
        <v>0</v>
      </c>
      <c r="AT592" s="142">
        <f t="shared" si="1393"/>
        <v>0</v>
      </c>
      <c r="AU592" s="143">
        <f t="shared" si="1375"/>
        <v>0</v>
      </c>
      <c r="AV592" s="144">
        <f t="shared" si="1394"/>
        <v>0</v>
      </c>
      <c r="AW592" s="142">
        <f t="shared" si="1394"/>
        <v>0</v>
      </c>
      <c r="AX592" s="143">
        <f t="shared" si="1376"/>
        <v>0</v>
      </c>
      <c r="AY592" s="142">
        <f t="shared" si="1395"/>
        <v>0</v>
      </c>
      <c r="AZ592" s="142">
        <f t="shared" si="1395"/>
        <v>0</v>
      </c>
      <c r="BA592" s="143">
        <f t="shared" si="1377"/>
        <v>0</v>
      </c>
      <c r="BB592" s="144">
        <f t="shared" si="1396"/>
        <v>0</v>
      </c>
      <c r="BC592" s="142">
        <f t="shared" si="1396"/>
        <v>0</v>
      </c>
      <c r="BD592" s="143">
        <f t="shared" si="1378"/>
        <v>0</v>
      </c>
      <c r="BE592" s="144">
        <f t="shared" si="1397"/>
        <v>0</v>
      </c>
      <c r="BF592" s="144">
        <f t="shared" si="1397"/>
        <v>0</v>
      </c>
      <c r="BG592" s="141">
        <f t="shared" ref="BG592" si="1404">IF(BG152=0,0,BG495/BG152)</f>
        <v>0</v>
      </c>
    </row>
    <row r="593" spans="1:59" ht="13.5" hidden="1" customHeight="1" outlineLevel="1" x14ac:dyDescent="0.25">
      <c r="A593" s="60"/>
      <c r="B593" s="84" t="s">
        <v>39</v>
      </c>
      <c r="C593" s="26" t="s">
        <v>110</v>
      </c>
      <c r="D593" s="141">
        <f t="shared" si="1380"/>
        <v>0</v>
      </c>
      <c r="E593" s="141">
        <f t="shared" si="1380"/>
        <v>0</v>
      </c>
      <c r="F593" s="144">
        <f t="shared" si="1380"/>
        <v>0</v>
      </c>
      <c r="G593" s="142">
        <f t="shared" si="1380"/>
        <v>0</v>
      </c>
      <c r="H593" s="143">
        <f t="shared" si="1362"/>
        <v>0</v>
      </c>
      <c r="I593" s="144">
        <f t="shared" si="1381"/>
        <v>0</v>
      </c>
      <c r="J593" s="142">
        <f t="shared" si="1381"/>
        <v>0</v>
      </c>
      <c r="K593" s="143">
        <f t="shared" si="1363"/>
        <v>0</v>
      </c>
      <c r="L593" s="144">
        <f t="shared" si="1382"/>
        <v>0</v>
      </c>
      <c r="M593" s="142">
        <f t="shared" si="1382"/>
        <v>0</v>
      </c>
      <c r="N593" s="143">
        <f t="shared" si="1364"/>
        <v>0</v>
      </c>
      <c r="O593" s="144">
        <f t="shared" si="1383"/>
        <v>0</v>
      </c>
      <c r="P593" s="142">
        <f t="shared" si="1383"/>
        <v>0</v>
      </c>
      <c r="Q593" s="143">
        <f t="shared" si="1365"/>
        <v>0</v>
      </c>
      <c r="R593" s="144">
        <f t="shared" si="1384"/>
        <v>0</v>
      </c>
      <c r="S593" s="142">
        <f t="shared" si="1384"/>
        <v>0</v>
      </c>
      <c r="T593" s="143">
        <f t="shared" si="1366"/>
        <v>0</v>
      </c>
      <c r="U593" s="144">
        <f t="shared" si="1385"/>
        <v>0</v>
      </c>
      <c r="V593" s="142">
        <f t="shared" si="1385"/>
        <v>0</v>
      </c>
      <c r="W593" s="143">
        <f t="shared" si="1367"/>
        <v>0</v>
      </c>
      <c r="X593" s="144">
        <f t="shared" si="1386"/>
        <v>0</v>
      </c>
      <c r="Y593" s="142">
        <f t="shared" si="1386"/>
        <v>0</v>
      </c>
      <c r="Z593" s="143">
        <f t="shared" si="1368"/>
        <v>0</v>
      </c>
      <c r="AA593" s="144">
        <f t="shared" si="1387"/>
        <v>0</v>
      </c>
      <c r="AB593" s="142">
        <f t="shared" si="1387"/>
        <v>0</v>
      </c>
      <c r="AC593" s="143">
        <f t="shared" si="1369"/>
        <v>0</v>
      </c>
      <c r="AD593" s="144">
        <f t="shared" si="1388"/>
        <v>0</v>
      </c>
      <c r="AE593" s="142">
        <f t="shared" si="1388"/>
        <v>0</v>
      </c>
      <c r="AF593" s="143">
        <f t="shared" si="1370"/>
        <v>0</v>
      </c>
      <c r="AG593" s="144">
        <f t="shared" si="1389"/>
        <v>0</v>
      </c>
      <c r="AH593" s="142">
        <f t="shared" si="1389"/>
        <v>0</v>
      </c>
      <c r="AI593" s="143">
        <f t="shared" si="1371"/>
        <v>0</v>
      </c>
      <c r="AJ593" s="144">
        <f t="shared" si="1390"/>
        <v>0</v>
      </c>
      <c r="AK593" s="142">
        <f t="shared" si="1390"/>
        <v>0</v>
      </c>
      <c r="AL593" s="143">
        <f t="shared" si="1372"/>
        <v>0</v>
      </c>
      <c r="AM593" s="144">
        <f t="shared" si="1391"/>
        <v>0</v>
      </c>
      <c r="AN593" s="142">
        <f t="shared" si="1391"/>
        <v>0</v>
      </c>
      <c r="AO593" s="143">
        <f t="shared" si="1373"/>
        <v>0</v>
      </c>
      <c r="AP593" s="144">
        <f t="shared" si="1392"/>
        <v>0</v>
      </c>
      <c r="AQ593" s="142">
        <f t="shared" si="1392"/>
        <v>0</v>
      </c>
      <c r="AR593" s="143">
        <f t="shared" si="1374"/>
        <v>0</v>
      </c>
      <c r="AS593" s="144">
        <f t="shared" si="1393"/>
        <v>0</v>
      </c>
      <c r="AT593" s="142">
        <f t="shared" si="1393"/>
        <v>0</v>
      </c>
      <c r="AU593" s="143">
        <f t="shared" si="1375"/>
        <v>0</v>
      </c>
      <c r="AV593" s="144">
        <f t="shared" si="1394"/>
        <v>0</v>
      </c>
      <c r="AW593" s="142">
        <f t="shared" si="1394"/>
        <v>0</v>
      </c>
      <c r="AX593" s="143">
        <f t="shared" si="1376"/>
        <v>0</v>
      </c>
      <c r="AY593" s="142">
        <f t="shared" si="1395"/>
        <v>0</v>
      </c>
      <c r="AZ593" s="142">
        <f t="shared" si="1395"/>
        <v>0</v>
      </c>
      <c r="BA593" s="143">
        <f t="shared" si="1377"/>
        <v>0</v>
      </c>
      <c r="BB593" s="144">
        <f t="shared" si="1396"/>
        <v>0</v>
      </c>
      <c r="BC593" s="142">
        <f t="shared" si="1396"/>
        <v>0</v>
      </c>
      <c r="BD593" s="143">
        <f t="shared" si="1378"/>
        <v>0</v>
      </c>
      <c r="BE593" s="144">
        <f t="shared" si="1397"/>
        <v>0</v>
      </c>
      <c r="BF593" s="144">
        <f t="shared" si="1397"/>
        <v>0</v>
      </c>
      <c r="BG593" s="141">
        <f t="shared" ref="BG593" si="1405">IF(BG153=0,0,BG496/BG153)</f>
        <v>0</v>
      </c>
    </row>
    <row r="594" spans="1:59" ht="13.5" hidden="1" customHeight="1" outlineLevel="1" x14ac:dyDescent="0.25">
      <c r="A594" s="60"/>
      <c r="B594" s="84" t="s">
        <v>40</v>
      </c>
      <c r="C594" s="26" t="s">
        <v>110</v>
      </c>
      <c r="D594" s="141">
        <f t="shared" si="1380"/>
        <v>0</v>
      </c>
      <c r="E594" s="141">
        <f t="shared" si="1380"/>
        <v>0</v>
      </c>
      <c r="F594" s="144">
        <f t="shared" si="1380"/>
        <v>0</v>
      </c>
      <c r="G594" s="142">
        <f t="shared" si="1380"/>
        <v>0</v>
      </c>
      <c r="H594" s="143">
        <f t="shared" si="1362"/>
        <v>0</v>
      </c>
      <c r="I594" s="144">
        <f t="shared" si="1381"/>
        <v>0</v>
      </c>
      <c r="J594" s="142">
        <f t="shared" si="1381"/>
        <v>0</v>
      </c>
      <c r="K594" s="143">
        <f t="shared" si="1363"/>
        <v>0</v>
      </c>
      <c r="L594" s="144">
        <f t="shared" si="1382"/>
        <v>0</v>
      </c>
      <c r="M594" s="142">
        <f t="shared" si="1382"/>
        <v>0</v>
      </c>
      <c r="N594" s="143">
        <f t="shared" si="1364"/>
        <v>0</v>
      </c>
      <c r="O594" s="144">
        <f t="shared" si="1383"/>
        <v>0</v>
      </c>
      <c r="P594" s="142">
        <f t="shared" si="1383"/>
        <v>0</v>
      </c>
      <c r="Q594" s="143">
        <f t="shared" si="1365"/>
        <v>0</v>
      </c>
      <c r="R594" s="144">
        <f t="shared" si="1384"/>
        <v>0</v>
      </c>
      <c r="S594" s="142">
        <f t="shared" si="1384"/>
        <v>0</v>
      </c>
      <c r="T594" s="143">
        <f t="shared" si="1366"/>
        <v>0</v>
      </c>
      <c r="U594" s="144">
        <f t="shared" si="1385"/>
        <v>0</v>
      </c>
      <c r="V594" s="142">
        <f t="shared" si="1385"/>
        <v>0</v>
      </c>
      <c r="W594" s="143">
        <f t="shared" si="1367"/>
        <v>0</v>
      </c>
      <c r="X594" s="144">
        <f t="shared" si="1386"/>
        <v>0</v>
      </c>
      <c r="Y594" s="142">
        <f t="shared" si="1386"/>
        <v>0</v>
      </c>
      <c r="Z594" s="143">
        <f t="shared" si="1368"/>
        <v>0</v>
      </c>
      <c r="AA594" s="144">
        <f t="shared" si="1387"/>
        <v>0</v>
      </c>
      <c r="AB594" s="142">
        <f t="shared" si="1387"/>
        <v>0</v>
      </c>
      <c r="AC594" s="143">
        <f t="shared" si="1369"/>
        <v>0</v>
      </c>
      <c r="AD594" s="144">
        <f t="shared" si="1388"/>
        <v>0</v>
      </c>
      <c r="AE594" s="142">
        <f t="shared" si="1388"/>
        <v>0</v>
      </c>
      <c r="AF594" s="143">
        <f t="shared" si="1370"/>
        <v>0</v>
      </c>
      <c r="AG594" s="144">
        <f t="shared" si="1389"/>
        <v>0</v>
      </c>
      <c r="AH594" s="142">
        <f t="shared" si="1389"/>
        <v>0</v>
      </c>
      <c r="AI594" s="143">
        <f t="shared" si="1371"/>
        <v>0</v>
      </c>
      <c r="AJ594" s="144">
        <f t="shared" si="1390"/>
        <v>0</v>
      </c>
      <c r="AK594" s="142">
        <f t="shared" si="1390"/>
        <v>0</v>
      </c>
      <c r="AL594" s="143">
        <f t="shared" si="1372"/>
        <v>0</v>
      </c>
      <c r="AM594" s="144">
        <f t="shared" si="1391"/>
        <v>0</v>
      </c>
      <c r="AN594" s="142">
        <f t="shared" si="1391"/>
        <v>0</v>
      </c>
      <c r="AO594" s="143">
        <f t="shared" si="1373"/>
        <v>0</v>
      </c>
      <c r="AP594" s="144">
        <f t="shared" si="1392"/>
        <v>0</v>
      </c>
      <c r="AQ594" s="142">
        <f t="shared" si="1392"/>
        <v>0</v>
      </c>
      <c r="AR594" s="143">
        <f t="shared" si="1374"/>
        <v>0</v>
      </c>
      <c r="AS594" s="144">
        <f t="shared" si="1393"/>
        <v>0</v>
      </c>
      <c r="AT594" s="142">
        <f t="shared" si="1393"/>
        <v>0</v>
      </c>
      <c r="AU594" s="143">
        <f t="shared" si="1375"/>
        <v>0</v>
      </c>
      <c r="AV594" s="144">
        <f t="shared" si="1394"/>
        <v>0</v>
      </c>
      <c r="AW594" s="142">
        <f t="shared" si="1394"/>
        <v>0</v>
      </c>
      <c r="AX594" s="143">
        <f t="shared" si="1376"/>
        <v>0</v>
      </c>
      <c r="AY594" s="142">
        <f t="shared" si="1395"/>
        <v>0</v>
      </c>
      <c r="AZ594" s="142">
        <f t="shared" si="1395"/>
        <v>0</v>
      </c>
      <c r="BA594" s="143">
        <f t="shared" si="1377"/>
        <v>0</v>
      </c>
      <c r="BB594" s="144">
        <f t="shared" si="1396"/>
        <v>0</v>
      </c>
      <c r="BC594" s="142">
        <f t="shared" si="1396"/>
        <v>0</v>
      </c>
      <c r="BD594" s="143">
        <f t="shared" si="1378"/>
        <v>0</v>
      </c>
      <c r="BE594" s="144">
        <f t="shared" si="1397"/>
        <v>0</v>
      </c>
      <c r="BF594" s="144">
        <f t="shared" si="1397"/>
        <v>0</v>
      </c>
      <c r="BG594" s="141">
        <f t="shared" ref="BG594" si="1406">IF(BG154=0,0,BG497/BG154)</f>
        <v>0</v>
      </c>
    </row>
    <row r="595" spans="1:59" ht="13.5" hidden="1" customHeight="1" outlineLevel="1" x14ac:dyDescent="0.25">
      <c r="A595" s="60"/>
      <c r="B595" s="84" t="s">
        <v>41</v>
      </c>
      <c r="C595" s="26" t="s">
        <v>110</v>
      </c>
      <c r="D595" s="141">
        <f t="shared" si="1380"/>
        <v>0</v>
      </c>
      <c r="E595" s="141">
        <f t="shared" si="1380"/>
        <v>0</v>
      </c>
      <c r="F595" s="144">
        <f t="shared" si="1380"/>
        <v>0</v>
      </c>
      <c r="G595" s="142">
        <f t="shared" si="1380"/>
        <v>0</v>
      </c>
      <c r="H595" s="143">
        <f t="shared" si="1362"/>
        <v>0</v>
      </c>
      <c r="I595" s="144">
        <f t="shared" si="1381"/>
        <v>0</v>
      </c>
      <c r="J595" s="142">
        <f t="shared" si="1381"/>
        <v>0</v>
      </c>
      <c r="K595" s="143">
        <f t="shared" si="1363"/>
        <v>0</v>
      </c>
      <c r="L595" s="144">
        <f t="shared" si="1382"/>
        <v>0</v>
      </c>
      <c r="M595" s="142">
        <f t="shared" si="1382"/>
        <v>0</v>
      </c>
      <c r="N595" s="143">
        <f t="shared" si="1364"/>
        <v>0</v>
      </c>
      <c r="O595" s="144">
        <f t="shared" si="1383"/>
        <v>0</v>
      </c>
      <c r="P595" s="142">
        <f t="shared" si="1383"/>
        <v>0</v>
      </c>
      <c r="Q595" s="143">
        <f t="shared" si="1365"/>
        <v>0</v>
      </c>
      <c r="R595" s="144">
        <f t="shared" si="1384"/>
        <v>0</v>
      </c>
      <c r="S595" s="142">
        <f t="shared" si="1384"/>
        <v>0</v>
      </c>
      <c r="T595" s="143">
        <f t="shared" si="1366"/>
        <v>0</v>
      </c>
      <c r="U595" s="144">
        <f t="shared" si="1385"/>
        <v>0</v>
      </c>
      <c r="V595" s="142">
        <f t="shared" si="1385"/>
        <v>0</v>
      </c>
      <c r="W595" s="143">
        <f t="shared" si="1367"/>
        <v>0</v>
      </c>
      <c r="X595" s="144">
        <f t="shared" si="1386"/>
        <v>0</v>
      </c>
      <c r="Y595" s="142">
        <f t="shared" si="1386"/>
        <v>0</v>
      </c>
      <c r="Z595" s="143">
        <f t="shared" si="1368"/>
        <v>0</v>
      </c>
      <c r="AA595" s="144">
        <f t="shared" si="1387"/>
        <v>0</v>
      </c>
      <c r="AB595" s="142">
        <f t="shared" si="1387"/>
        <v>0</v>
      </c>
      <c r="AC595" s="143">
        <f t="shared" si="1369"/>
        <v>0</v>
      </c>
      <c r="AD595" s="144">
        <f t="shared" si="1388"/>
        <v>0</v>
      </c>
      <c r="AE595" s="142">
        <f t="shared" si="1388"/>
        <v>0</v>
      </c>
      <c r="AF595" s="143">
        <f t="shared" si="1370"/>
        <v>0</v>
      </c>
      <c r="AG595" s="144">
        <f t="shared" si="1389"/>
        <v>0</v>
      </c>
      <c r="AH595" s="142">
        <f t="shared" si="1389"/>
        <v>0</v>
      </c>
      <c r="AI595" s="143">
        <f t="shared" si="1371"/>
        <v>0</v>
      </c>
      <c r="AJ595" s="144">
        <f t="shared" si="1390"/>
        <v>0</v>
      </c>
      <c r="AK595" s="142">
        <f t="shared" si="1390"/>
        <v>0</v>
      </c>
      <c r="AL595" s="143">
        <f t="shared" si="1372"/>
        <v>0</v>
      </c>
      <c r="AM595" s="144">
        <f t="shared" si="1391"/>
        <v>0</v>
      </c>
      <c r="AN595" s="142">
        <f t="shared" si="1391"/>
        <v>0</v>
      </c>
      <c r="AO595" s="143">
        <f t="shared" si="1373"/>
        <v>0</v>
      </c>
      <c r="AP595" s="144">
        <f t="shared" si="1392"/>
        <v>0</v>
      </c>
      <c r="AQ595" s="142">
        <f t="shared" si="1392"/>
        <v>0</v>
      </c>
      <c r="AR595" s="143">
        <f t="shared" si="1374"/>
        <v>0</v>
      </c>
      <c r="AS595" s="144">
        <f t="shared" si="1393"/>
        <v>0</v>
      </c>
      <c r="AT595" s="142">
        <f t="shared" si="1393"/>
        <v>0</v>
      </c>
      <c r="AU595" s="143">
        <f t="shared" si="1375"/>
        <v>0</v>
      </c>
      <c r="AV595" s="144">
        <f t="shared" si="1394"/>
        <v>0</v>
      </c>
      <c r="AW595" s="142">
        <f t="shared" si="1394"/>
        <v>0</v>
      </c>
      <c r="AX595" s="143">
        <f t="shared" si="1376"/>
        <v>0</v>
      </c>
      <c r="AY595" s="142">
        <f t="shared" si="1395"/>
        <v>0</v>
      </c>
      <c r="AZ595" s="142">
        <f t="shared" si="1395"/>
        <v>0</v>
      </c>
      <c r="BA595" s="143">
        <f t="shared" si="1377"/>
        <v>0</v>
      </c>
      <c r="BB595" s="144">
        <f t="shared" si="1396"/>
        <v>0</v>
      </c>
      <c r="BC595" s="142">
        <f t="shared" si="1396"/>
        <v>0</v>
      </c>
      <c r="BD595" s="143">
        <f t="shared" si="1378"/>
        <v>0</v>
      </c>
      <c r="BE595" s="144">
        <f t="shared" si="1397"/>
        <v>0</v>
      </c>
      <c r="BF595" s="144">
        <f t="shared" si="1397"/>
        <v>0</v>
      </c>
      <c r="BG595" s="141">
        <f t="shared" ref="BG595" si="1407">IF(BG155=0,0,BG498/BG155)</f>
        <v>0</v>
      </c>
    </row>
    <row r="596" spans="1:59" ht="13.5" hidden="1" customHeight="1" outlineLevel="1" x14ac:dyDescent="0.25">
      <c r="A596" s="60"/>
      <c r="B596" s="84" t="s">
        <v>42</v>
      </c>
      <c r="C596" s="26" t="s">
        <v>110</v>
      </c>
      <c r="D596" s="141">
        <f t="shared" si="1380"/>
        <v>0</v>
      </c>
      <c r="E596" s="141">
        <f t="shared" si="1380"/>
        <v>0</v>
      </c>
      <c r="F596" s="144">
        <f t="shared" si="1380"/>
        <v>0</v>
      </c>
      <c r="G596" s="142">
        <f t="shared" si="1380"/>
        <v>0</v>
      </c>
      <c r="H596" s="143">
        <f t="shared" si="1362"/>
        <v>0</v>
      </c>
      <c r="I596" s="144">
        <f t="shared" si="1381"/>
        <v>0</v>
      </c>
      <c r="J596" s="142">
        <f t="shared" si="1381"/>
        <v>0</v>
      </c>
      <c r="K596" s="143">
        <f t="shared" si="1363"/>
        <v>0</v>
      </c>
      <c r="L596" s="144">
        <f t="shared" si="1382"/>
        <v>0</v>
      </c>
      <c r="M596" s="142">
        <f t="shared" si="1382"/>
        <v>0</v>
      </c>
      <c r="N596" s="143">
        <f t="shared" si="1364"/>
        <v>0</v>
      </c>
      <c r="O596" s="144">
        <f t="shared" si="1383"/>
        <v>0</v>
      </c>
      <c r="P596" s="142">
        <f t="shared" si="1383"/>
        <v>0</v>
      </c>
      <c r="Q596" s="143">
        <f t="shared" si="1365"/>
        <v>0</v>
      </c>
      <c r="R596" s="144">
        <f t="shared" si="1384"/>
        <v>0</v>
      </c>
      <c r="S596" s="142">
        <f t="shared" si="1384"/>
        <v>0</v>
      </c>
      <c r="T596" s="143">
        <f t="shared" si="1366"/>
        <v>0</v>
      </c>
      <c r="U596" s="144">
        <f t="shared" si="1385"/>
        <v>0</v>
      </c>
      <c r="V596" s="142">
        <f t="shared" si="1385"/>
        <v>0</v>
      </c>
      <c r="W596" s="143">
        <f t="shared" si="1367"/>
        <v>0</v>
      </c>
      <c r="X596" s="144">
        <f t="shared" si="1386"/>
        <v>0</v>
      </c>
      <c r="Y596" s="142">
        <f t="shared" si="1386"/>
        <v>0</v>
      </c>
      <c r="Z596" s="143">
        <f t="shared" si="1368"/>
        <v>0</v>
      </c>
      <c r="AA596" s="144">
        <f t="shared" si="1387"/>
        <v>0</v>
      </c>
      <c r="AB596" s="142">
        <f t="shared" si="1387"/>
        <v>0</v>
      </c>
      <c r="AC596" s="143">
        <f t="shared" si="1369"/>
        <v>0</v>
      </c>
      <c r="AD596" s="144">
        <f t="shared" si="1388"/>
        <v>0</v>
      </c>
      <c r="AE596" s="142">
        <f t="shared" si="1388"/>
        <v>0</v>
      </c>
      <c r="AF596" s="143">
        <f t="shared" si="1370"/>
        <v>0</v>
      </c>
      <c r="AG596" s="144">
        <f t="shared" si="1389"/>
        <v>0</v>
      </c>
      <c r="AH596" s="142">
        <f t="shared" si="1389"/>
        <v>0</v>
      </c>
      <c r="AI596" s="143">
        <f t="shared" si="1371"/>
        <v>0</v>
      </c>
      <c r="AJ596" s="144">
        <f t="shared" si="1390"/>
        <v>0</v>
      </c>
      <c r="AK596" s="142">
        <f t="shared" si="1390"/>
        <v>0</v>
      </c>
      <c r="AL596" s="143">
        <f t="shared" si="1372"/>
        <v>0</v>
      </c>
      <c r="AM596" s="144">
        <f t="shared" si="1391"/>
        <v>0</v>
      </c>
      <c r="AN596" s="142">
        <f t="shared" si="1391"/>
        <v>0</v>
      </c>
      <c r="AO596" s="143">
        <f t="shared" si="1373"/>
        <v>0</v>
      </c>
      <c r="AP596" s="144">
        <f t="shared" si="1392"/>
        <v>0</v>
      </c>
      <c r="AQ596" s="142">
        <f t="shared" si="1392"/>
        <v>0</v>
      </c>
      <c r="AR596" s="143">
        <f t="shared" si="1374"/>
        <v>0</v>
      </c>
      <c r="AS596" s="144">
        <f t="shared" si="1393"/>
        <v>0</v>
      </c>
      <c r="AT596" s="142">
        <f t="shared" si="1393"/>
        <v>0</v>
      </c>
      <c r="AU596" s="143">
        <f t="shared" si="1375"/>
        <v>0</v>
      </c>
      <c r="AV596" s="144">
        <f t="shared" si="1394"/>
        <v>0</v>
      </c>
      <c r="AW596" s="142">
        <f t="shared" si="1394"/>
        <v>0</v>
      </c>
      <c r="AX596" s="143">
        <f t="shared" si="1376"/>
        <v>0</v>
      </c>
      <c r="AY596" s="142">
        <f t="shared" si="1395"/>
        <v>0</v>
      </c>
      <c r="AZ596" s="142">
        <f t="shared" si="1395"/>
        <v>0</v>
      </c>
      <c r="BA596" s="143">
        <f t="shared" si="1377"/>
        <v>0</v>
      </c>
      <c r="BB596" s="144">
        <f t="shared" si="1396"/>
        <v>0</v>
      </c>
      <c r="BC596" s="142">
        <f t="shared" si="1396"/>
        <v>0</v>
      </c>
      <c r="BD596" s="143">
        <f t="shared" si="1378"/>
        <v>0</v>
      </c>
      <c r="BE596" s="144">
        <f t="shared" si="1397"/>
        <v>0</v>
      </c>
      <c r="BF596" s="144">
        <f t="shared" si="1397"/>
        <v>0</v>
      </c>
      <c r="BG596" s="141">
        <f t="shared" ref="BG596" si="1408">IF(BG156=0,0,BG499/BG156)</f>
        <v>0</v>
      </c>
    </row>
    <row r="597" spans="1:59" s="210" customFormat="1" ht="13.5" customHeight="1" collapsed="1" x14ac:dyDescent="0.25">
      <c r="A597" s="103"/>
      <c r="B597" s="102" t="s">
        <v>43</v>
      </c>
      <c r="C597" s="77" t="s">
        <v>110</v>
      </c>
      <c r="D597" s="145">
        <f t="shared" si="1380"/>
        <v>0</v>
      </c>
      <c r="E597" s="145">
        <f t="shared" si="1380"/>
        <v>0</v>
      </c>
      <c r="F597" s="148">
        <f t="shared" si="1380"/>
        <v>0</v>
      </c>
      <c r="G597" s="146">
        <f t="shared" si="1380"/>
        <v>0</v>
      </c>
      <c r="H597" s="147">
        <f t="shared" si="1362"/>
        <v>0</v>
      </c>
      <c r="I597" s="148">
        <f t="shared" si="1381"/>
        <v>0</v>
      </c>
      <c r="J597" s="146">
        <f t="shared" si="1381"/>
        <v>0</v>
      </c>
      <c r="K597" s="147">
        <f t="shared" si="1363"/>
        <v>0</v>
      </c>
      <c r="L597" s="148">
        <f t="shared" si="1382"/>
        <v>0</v>
      </c>
      <c r="M597" s="146">
        <f t="shared" si="1382"/>
        <v>0</v>
      </c>
      <c r="N597" s="147">
        <f t="shared" si="1364"/>
        <v>0</v>
      </c>
      <c r="O597" s="148">
        <f t="shared" si="1383"/>
        <v>0</v>
      </c>
      <c r="P597" s="146">
        <f t="shared" si="1383"/>
        <v>0</v>
      </c>
      <c r="Q597" s="147">
        <f t="shared" si="1365"/>
        <v>0</v>
      </c>
      <c r="R597" s="148">
        <f t="shared" si="1384"/>
        <v>0</v>
      </c>
      <c r="S597" s="146">
        <f t="shared" si="1384"/>
        <v>0</v>
      </c>
      <c r="T597" s="147">
        <f t="shared" si="1366"/>
        <v>0</v>
      </c>
      <c r="U597" s="148">
        <f t="shared" si="1385"/>
        <v>0</v>
      </c>
      <c r="V597" s="146">
        <f t="shared" si="1385"/>
        <v>0</v>
      </c>
      <c r="W597" s="147">
        <f t="shared" si="1367"/>
        <v>0</v>
      </c>
      <c r="X597" s="148">
        <f t="shared" si="1386"/>
        <v>0</v>
      </c>
      <c r="Y597" s="146">
        <f t="shared" si="1386"/>
        <v>0</v>
      </c>
      <c r="Z597" s="147">
        <f t="shared" si="1368"/>
        <v>0</v>
      </c>
      <c r="AA597" s="148">
        <f t="shared" si="1387"/>
        <v>0</v>
      </c>
      <c r="AB597" s="146">
        <f t="shared" si="1387"/>
        <v>0</v>
      </c>
      <c r="AC597" s="147">
        <f t="shared" si="1369"/>
        <v>0</v>
      </c>
      <c r="AD597" s="148">
        <f t="shared" si="1388"/>
        <v>0</v>
      </c>
      <c r="AE597" s="146">
        <f t="shared" si="1388"/>
        <v>0</v>
      </c>
      <c r="AF597" s="147">
        <f t="shared" si="1370"/>
        <v>0</v>
      </c>
      <c r="AG597" s="148">
        <f t="shared" si="1389"/>
        <v>0</v>
      </c>
      <c r="AH597" s="146">
        <f t="shared" si="1389"/>
        <v>0</v>
      </c>
      <c r="AI597" s="147">
        <f t="shared" si="1371"/>
        <v>0</v>
      </c>
      <c r="AJ597" s="148">
        <f t="shared" si="1390"/>
        <v>0</v>
      </c>
      <c r="AK597" s="146">
        <f t="shared" si="1390"/>
        <v>0</v>
      </c>
      <c r="AL597" s="147">
        <f t="shared" si="1372"/>
        <v>0</v>
      </c>
      <c r="AM597" s="148">
        <f t="shared" si="1391"/>
        <v>0</v>
      </c>
      <c r="AN597" s="146">
        <f t="shared" si="1391"/>
        <v>0</v>
      </c>
      <c r="AO597" s="147">
        <f t="shared" si="1373"/>
        <v>0</v>
      </c>
      <c r="AP597" s="148">
        <f t="shared" si="1392"/>
        <v>0</v>
      </c>
      <c r="AQ597" s="146">
        <f t="shared" si="1392"/>
        <v>0</v>
      </c>
      <c r="AR597" s="147">
        <f t="shared" si="1374"/>
        <v>0</v>
      </c>
      <c r="AS597" s="148">
        <f t="shared" si="1393"/>
        <v>0</v>
      </c>
      <c r="AT597" s="146">
        <f t="shared" si="1393"/>
        <v>0</v>
      </c>
      <c r="AU597" s="147">
        <f t="shared" si="1375"/>
        <v>0</v>
      </c>
      <c r="AV597" s="148">
        <f t="shared" si="1394"/>
        <v>0</v>
      </c>
      <c r="AW597" s="146">
        <f t="shared" si="1394"/>
        <v>0</v>
      </c>
      <c r="AX597" s="147">
        <f t="shared" si="1376"/>
        <v>0</v>
      </c>
      <c r="AY597" s="146">
        <f t="shared" si="1395"/>
        <v>0</v>
      </c>
      <c r="AZ597" s="146">
        <f t="shared" si="1395"/>
        <v>0</v>
      </c>
      <c r="BA597" s="147">
        <f t="shared" si="1377"/>
        <v>0</v>
      </c>
      <c r="BB597" s="148">
        <f t="shared" si="1396"/>
        <v>0</v>
      </c>
      <c r="BC597" s="146">
        <f t="shared" si="1396"/>
        <v>0</v>
      </c>
      <c r="BD597" s="147">
        <f t="shared" si="1378"/>
        <v>0</v>
      </c>
      <c r="BE597" s="148">
        <f t="shared" si="1397"/>
        <v>0</v>
      </c>
      <c r="BF597" s="148">
        <f t="shared" si="1397"/>
        <v>0</v>
      </c>
      <c r="BG597" s="145">
        <f t="shared" ref="BG597" si="1409">IF(BG157=0,0,BG500/BG157)</f>
        <v>0</v>
      </c>
    </row>
    <row r="598" spans="1:59" ht="13.5" hidden="1" customHeight="1" outlineLevel="1" x14ac:dyDescent="0.25">
      <c r="A598" s="60"/>
      <c r="B598" s="84" t="s">
        <v>44</v>
      </c>
      <c r="C598" s="26" t="s">
        <v>110</v>
      </c>
      <c r="D598" s="141">
        <f t="shared" si="1380"/>
        <v>0</v>
      </c>
      <c r="E598" s="141">
        <f t="shared" si="1380"/>
        <v>0</v>
      </c>
      <c r="F598" s="144">
        <f t="shared" si="1380"/>
        <v>0</v>
      </c>
      <c r="G598" s="142">
        <f t="shared" si="1380"/>
        <v>0</v>
      </c>
      <c r="H598" s="143">
        <f t="shared" si="1362"/>
        <v>0</v>
      </c>
      <c r="I598" s="144">
        <f t="shared" si="1381"/>
        <v>0</v>
      </c>
      <c r="J598" s="142">
        <f t="shared" si="1381"/>
        <v>0</v>
      </c>
      <c r="K598" s="143">
        <f t="shared" si="1363"/>
        <v>0</v>
      </c>
      <c r="L598" s="144">
        <f t="shared" si="1382"/>
        <v>0</v>
      </c>
      <c r="M598" s="142">
        <f t="shared" si="1382"/>
        <v>0</v>
      </c>
      <c r="N598" s="143">
        <f t="shared" si="1364"/>
        <v>0</v>
      </c>
      <c r="O598" s="144">
        <f t="shared" si="1383"/>
        <v>0</v>
      </c>
      <c r="P598" s="142">
        <f t="shared" si="1383"/>
        <v>0</v>
      </c>
      <c r="Q598" s="143">
        <f t="shared" si="1365"/>
        <v>0</v>
      </c>
      <c r="R598" s="144">
        <f t="shared" si="1384"/>
        <v>0</v>
      </c>
      <c r="S598" s="142">
        <f t="shared" si="1384"/>
        <v>0</v>
      </c>
      <c r="T598" s="143">
        <f t="shared" si="1366"/>
        <v>0</v>
      </c>
      <c r="U598" s="144">
        <f t="shared" si="1385"/>
        <v>0</v>
      </c>
      <c r="V598" s="142">
        <f t="shared" si="1385"/>
        <v>0</v>
      </c>
      <c r="W598" s="143">
        <f t="shared" si="1367"/>
        <v>0</v>
      </c>
      <c r="X598" s="144">
        <f t="shared" si="1386"/>
        <v>0</v>
      </c>
      <c r="Y598" s="142">
        <f t="shared" si="1386"/>
        <v>0</v>
      </c>
      <c r="Z598" s="143">
        <f t="shared" si="1368"/>
        <v>0</v>
      </c>
      <c r="AA598" s="144">
        <f t="shared" si="1387"/>
        <v>0</v>
      </c>
      <c r="AB598" s="142">
        <f t="shared" si="1387"/>
        <v>0</v>
      </c>
      <c r="AC598" s="143">
        <f t="shared" si="1369"/>
        <v>0</v>
      </c>
      <c r="AD598" s="144">
        <f t="shared" si="1388"/>
        <v>0</v>
      </c>
      <c r="AE598" s="142">
        <f t="shared" si="1388"/>
        <v>0</v>
      </c>
      <c r="AF598" s="143">
        <f t="shared" si="1370"/>
        <v>0</v>
      </c>
      <c r="AG598" s="144">
        <f t="shared" si="1389"/>
        <v>0</v>
      </c>
      <c r="AH598" s="142">
        <f t="shared" si="1389"/>
        <v>0</v>
      </c>
      <c r="AI598" s="143">
        <f t="shared" si="1371"/>
        <v>0</v>
      </c>
      <c r="AJ598" s="144">
        <f t="shared" si="1390"/>
        <v>0</v>
      </c>
      <c r="AK598" s="142">
        <f t="shared" si="1390"/>
        <v>0</v>
      </c>
      <c r="AL598" s="143">
        <f t="shared" si="1372"/>
        <v>0</v>
      </c>
      <c r="AM598" s="144">
        <f t="shared" si="1391"/>
        <v>0</v>
      </c>
      <c r="AN598" s="142">
        <f t="shared" si="1391"/>
        <v>0</v>
      </c>
      <c r="AO598" s="143">
        <f t="shared" si="1373"/>
        <v>0</v>
      </c>
      <c r="AP598" s="144">
        <f t="shared" si="1392"/>
        <v>0</v>
      </c>
      <c r="AQ598" s="142">
        <f t="shared" si="1392"/>
        <v>0</v>
      </c>
      <c r="AR598" s="143">
        <f t="shared" si="1374"/>
        <v>0</v>
      </c>
      <c r="AS598" s="144">
        <f t="shared" si="1393"/>
        <v>0</v>
      </c>
      <c r="AT598" s="142">
        <f t="shared" si="1393"/>
        <v>0</v>
      </c>
      <c r="AU598" s="143">
        <f t="shared" si="1375"/>
        <v>0</v>
      </c>
      <c r="AV598" s="144">
        <f t="shared" si="1394"/>
        <v>0</v>
      </c>
      <c r="AW598" s="142">
        <f t="shared" si="1394"/>
        <v>0</v>
      </c>
      <c r="AX598" s="143">
        <f t="shared" si="1376"/>
        <v>0</v>
      </c>
      <c r="AY598" s="142">
        <f t="shared" si="1395"/>
        <v>0</v>
      </c>
      <c r="AZ598" s="142">
        <f t="shared" si="1395"/>
        <v>0</v>
      </c>
      <c r="BA598" s="143">
        <f t="shared" si="1377"/>
        <v>0</v>
      </c>
      <c r="BB598" s="144">
        <f t="shared" si="1396"/>
        <v>0</v>
      </c>
      <c r="BC598" s="142">
        <f t="shared" si="1396"/>
        <v>0</v>
      </c>
      <c r="BD598" s="143">
        <f t="shared" si="1378"/>
        <v>0</v>
      </c>
      <c r="BE598" s="144">
        <f t="shared" si="1397"/>
        <v>0</v>
      </c>
      <c r="BF598" s="144">
        <f t="shared" si="1397"/>
        <v>0</v>
      </c>
      <c r="BG598" s="141">
        <f t="shared" ref="BG598" si="1410">IF(BG158=0,0,BG501/BG158)</f>
        <v>0</v>
      </c>
    </row>
    <row r="599" spans="1:59" ht="13.5" hidden="1" customHeight="1" outlineLevel="1" x14ac:dyDescent="0.25">
      <c r="A599" s="60"/>
      <c r="B599" s="84" t="s">
        <v>45</v>
      </c>
      <c r="C599" s="26" t="s">
        <v>110</v>
      </c>
      <c r="D599" s="141">
        <f t="shared" si="1380"/>
        <v>0</v>
      </c>
      <c r="E599" s="141">
        <f t="shared" si="1380"/>
        <v>0</v>
      </c>
      <c r="F599" s="144">
        <f t="shared" si="1380"/>
        <v>0</v>
      </c>
      <c r="G599" s="142">
        <f t="shared" si="1380"/>
        <v>0</v>
      </c>
      <c r="H599" s="143">
        <f t="shared" si="1362"/>
        <v>0</v>
      </c>
      <c r="I599" s="144">
        <f t="shared" si="1381"/>
        <v>0</v>
      </c>
      <c r="J599" s="142">
        <f t="shared" si="1381"/>
        <v>0</v>
      </c>
      <c r="K599" s="143">
        <f t="shared" si="1363"/>
        <v>0</v>
      </c>
      <c r="L599" s="144">
        <f t="shared" si="1382"/>
        <v>0</v>
      </c>
      <c r="M599" s="142">
        <f t="shared" si="1382"/>
        <v>0</v>
      </c>
      <c r="N599" s="143">
        <f t="shared" si="1364"/>
        <v>0</v>
      </c>
      <c r="O599" s="144">
        <f t="shared" si="1383"/>
        <v>0</v>
      </c>
      <c r="P599" s="142">
        <f t="shared" si="1383"/>
        <v>0</v>
      </c>
      <c r="Q599" s="143">
        <f t="shared" si="1365"/>
        <v>0</v>
      </c>
      <c r="R599" s="144">
        <f t="shared" si="1384"/>
        <v>0</v>
      </c>
      <c r="S599" s="142">
        <f t="shared" si="1384"/>
        <v>0</v>
      </c>
      <c r="T599" s="143">
        <f t="shared" si="1366"/>
        <v>0</v>
      </c>
      <c r="U599" s="144">
        <f t="shared" si="1385"/>
        <v>0</v>
      </c>
      <c r="V599" s="142">
        <f t="shared" si="1385"/>
        <v>0</v>
      </c>
      <c r="W599" s="143">
        <f t="shared" si="1367"/>
        <v>0</v>
      </c>
      <c r="X599" s="144">
        <f t="shared" si="1386"/>
        <v>0</v>
      </c>
      <c r="Y599" s="142">
        <f t="shared" si="1386"/>
        <v>0</v>
      </c>
      <c r="Z599" s="143">
        <f t="shared" si="1368"/>
        <v>0</v>
      </c>
      <c r="AA599" s="144">
        <f t="shared" si="1387"/>
        <v>0</v>
      </c>
      <c r="AB599" s="142">
        <f t="shared" si="1387"/>
        <v>0</v>
      </c>
      <c r="AC599" s="143">
        <f t="shared" si="1369"/>
        <v>0</v>
      </c>
      <c r="AD599" s="144">
        <f t="shared" si="1388"/>
        <v>0</v>
      </c>
      <c r="AE599" s="142">
        <f t="shared" si="1388"/>
        <v>0</v>
      </c>
      <c r="AF599" s="143">
        <f t="shared" si="1370"/>
        <v>0</v>
      </c>
      <c r="AG599" s="144">
        <f t="shared" si="1389"/>
        <v>0</v>
      </c>
      <c r="AH599" s="142">
        <f t="shared" si="1389"/>
        <v>0</v>
      </c>
      <c r="AI599" s="143">
        <f t="shared" si="1371"/>
        <v>0</v>
      </c>
      <c r="AJ599" s="144">
        <f t="shared" si="1390"/>
        <v>0</v>
      </c>
      <c r="AK599" s="142">
        <f t="shared" si="1390"/>
        <v>0</v>
      </c>
      <c r="AL599" s="143">
        <f t="shared" si="1372"/>
        <v>0</v>
      </c>
      <c r="AM599" s="144">
        <f t="shared" si="1391"/>
        <v>0</v>
      </c>
      <c r="AN599" s="142">
        <f t="shared" si="1391"/>
        <v>0</v>
      </c>
      <c r="AO599" s="143">
        <f t="shared" si="1373"/>
        <v>0</v>
      </c>
      <c r="AP599" s="144">
        <f t="shared" si="1392"/>
        <v>0</v>
      </c>
      <c r="AQ599" s="142">
        <f t="shared" si="1392"/>
        <v>0</v>
      </c>
      <c r="AR599" s="143">
        <f t="shared" si="1374"/>
        <v>0</v>
      </c>
      <c r="AS599" s="144">
        <f t="shared" si="1393"/>
        <v>0</v>
      </c>
      <c r="AT599" s="142">
        <f t="shared" si="1393"/>
        <v>0</v>
      </c>
      <c r="AU599" s="143">
        <f t="shared" si="1375"/>
        <v>0</v>
      </c>
      <c r="AV599" s="144">
        <f t="shared" si="1394"/>
        <v>0</v>
      </c>
      <c r="AW599" s="142">
        <f t="shared" si="1394"/>
        <v>0</v>
      </c>
      <c r="AX599" s="143">
        <f t="shared" si="1376"/>
        <v>0</v>
      </c>
      <c r="AY599" s="142">
        <f t="shared" si="1395"/>
        <v>0</v>
      </c>
      <c r="AZ599" s="142">
        <f t="shared" si="1395"/>
        <v>0</v>
      </c>
      <c r="BA599" s="143">
        <f t="shared" si="1377"/>
        <v>0</v>
      </c>
      <c r="BB599" s="144">
        <f t="shared" si="1396"/>
        <v>0</v>
      </c>
      <c r="BC599" s="142">
        <f t="shared" si="1396"/>
        <v>0</v>
      </c>
      <c r="BD599" s="143">
        <f t="shared" si="1378"/>
        <v>0</v>
      </c>
      <c r="BE599" s="144">
        <f t="shared" si="1397"/>
        <v>0</v>
      </c>
      <c r="BF599" s="144">
        <f t="shared" si="1397"/>
        <v>0</v>
      </c>
      <c r="BG599" s="141">
        <f t="shared" ref="BG599" si="1411">IF(BG159=0,0,BG502/BG159)</f>
        <v>0</v>
      </c>
    </row>
    <row r="600" spans="1:59" ht="13.5" hidden="1" customHeight="1" outlineLevel="1" x14ac:dyDescent="0.25">
      <c r="A600" s="60"/>
      <c r="B600" s="84" t="s">
        <v>46</v>
      </c>
      <c r="C600" s="26" t="s">
        <v>110</v>
      </c>
      <c r="D600" s="141">
        <f t="shared" si="1380"/>
        <v>0</v>
      </c>
      <c r="E600" s="141">
        <f t="shared" si="1380"/>
        <v>0</v>
      </c>
      <c r="F600" s="144">
        <f t="shared" si="1380"/>
        <v>0</v>
      </c>
      <c r="G600" s="142">
        <f t="shared" si="1380"/>
        <v>0</v>
      </c>
      <c r="H600" s="143">
        <f t="shared" si="1362"/>
        <v>0</v>
      </c>
      <c r="I600" s="144">
        <f t="shared" si="1381"/>
        <v>0</v>
      </c>
      <c r="J600" s="142">
        <f t="shared" si="1381"/>
        <v>0</v>
      </c>
      <c r="K600" s="143">
        <f t="shared" si="1363"/>
        <v>0</v>
      </c>
      <c r="L600" s="144">
        <f t="shared" si="1382"/>
        <v>0</v>
      </c>
      <c r="M600" s="142">
        <f t="shared" si="1382"/>
        <v>0</v>
      </c>
      <c r="N600" s="143">
        <f t="shared" si="1364"/>
        <v>0</v>
      </c>
      <c r="O600" s="144">
        <f t="shared" si="1383"/>
        <v>0</v>
      </c>
      <c r="P600" s="142">
        <f t="shared" si="1383"/>
        <v>0</v>
      </c>
      <c r="Q600" s="143">
        <f t="shared" si="1365"/>
        <v>0</v>
      </c>
      <c r="R600" s="144">
        <f t="shared" si="1384"/>
        <v>0</v>
      </c>
      <c r="S600" s="142">
        <f t="shared" si="1384"/>
        <v>0</v>
      </c>
      <c r="T600" s="143">
        <f t="shared" si="1366"/>
        <v>0</v>
      </c>
      <c r="U600" s="144">
        <f t="shared" si="1385"/>
        <v>0</v>
      </c>
      <c r="V600" s="142">
        <f t="shared" si="1385"/>
        <v>0</v>
      </c>
      <c r="W600" s="143">
        <f t="shared" si="1367"/>
        <v>0</v>
      </c>
      <c r="X600" s="144">
        <f t="shared" si="1386"/>
        <v>0</v>
      </c>
      <c r="Y600" s="142">
        <f t="shared" si="1386"/>
        <v>0</v>
      </c>
      <c r="Z600" s="143">
        <f t="shared" si="1368"/>
        <v>0</v>
      </c>
      <c r="AA600" s="144">
        <f t="shared" si="1387"/>
        <v>0</v>
      </c>
      <c r="AB600" s="142">
        <f t="shared" si="1387"/>
        <v>0</v>
      </c>
      <c r="AC600" s="143">
        <f t="shared" si="1369"/>
        <v>0</v>
      </c>
      <c r="AD600" s="144">
        <f t="shared" si="1388"/>
        <v>0</v>
      </c>
      <c r="AE600" s="142">
        <f t="shared" si="1388"/>
        <v>0</v>
      </c>
      <c r="AF600" s="143">
        <f t="shared" si="1370"/>
        <v>0</v>
      </c>
      <c r="AG600" s="144">
        <f t="shared" si="1389"/>
        <v>0</v>
      </c>
      <c r="AH600" s="142">
        <f t="shared" si="1389"/>
        <v>0</v>
      </c>
      <c r="AI600" s="143">
        <f t="shared" si="1371"/>
        <v>0</v>
      </c>
      <c r="AJ600" s="144">
        <f t="shared" si="1390"/>
        <v>0</v>
      </c>
      <c r="AK600" s="142">
        <f t="shared" si="1390"/>
        <v>0</v>
      </c>
      <c r="AL600" s="143">
        <f t="shared" si="1372"/>
        <v>0</v>
      </c>
      <c r="AM600" s="144">
        <f t="shared" si="1391"/>
        <v>0</v>
      </c>
      <c r="AN600" s="142">
        <f t="shared" si="1391"/>
        <v>0</v>
      </c>
      <c r="AO600" s="143">
        <f t="shared" si="1373"/>
        <v>0</v>
      </c>
      <c r="AP600" s="144">
        <f t="shared" si="1392"/>
        <v>0</v>
      </c>
      <c r="AQ600" s="142">
        <f t="shared" si="1392"/>
        <v>0</v>
      </c>
      <c r="AR600" s="143">
        <f t="shared" si="1374"/>
        <v>0</v>
      </c>
      <c r="AS600" s="144">
        <f t="shared" si="1393"/>
        <v>0</v>
      </c>
      <c r="AT600" s="142">
        <f t="shared" si="1393"/>
        <v>0</v>
      </c>
      <c r="AU600" s="143">
        <f t="shared" si="1375"/>
        <v>0</v>
      </c>
      <c r="AV600" s="144">
        <f t="shared" si="1394"/>
        <v>0</v>
      </c>
      <c r="AW600" s="142">
        <f t="shared" si="1394"/>
        <v>0</v>
      </c>
      <c r="AX600" s="143">
        <f t="shared" si="1376"/>
        <v>0</v>
      </c>
      <c r="AY600" s="142">
        <f t="shared" si="1395"/>
        <v>0</v>
      </c>
      <c r="AZ600" s="142">
        <f t="shared" si="1395"/>
        <v>0</v>
      </c>
      <c r="BA600" s="143">
        <f t="shared" si="1377"/>
        <v>0</v>
      </c>
      <c r="BB600" s="144">
        <f t="shared" si="1396"/>
        <v>0</v>
      </c>
      <c r="BC600" s="142">
        <f t="shared" si="1396"/>
        <v>0</v>
      </c>
      <c r="BD600" s="143">
        <f t="shared" si="1378"/>
        <v>0</v>
      </c>
      <c r="BE600" s="144">
        <f t="shared" si="1397"/>
        <v>0</v>
      </c>
      <c r="BF600" s="144">
        <f t="shared" si="1397"/>
        <v>0</v>
      </c>
      <c r="BG600" s="141">
        <f t="shared" ref="BG600" si="1412">IF(BG160=0,0,BG503/BG160)</f>
        <v>0</v>
      </c>
    </row>
    <row r="601" spans="1:59" ht="13.5" hidden="1" customHeight="1" outlineLevel="1" x14ac:dyDescent="0.25">
      <c r="A601" s="60"/>
      <c r="B601" s="84" t="s">
        <v>47</v>
      </c>
      <c r="C601" s="26" t="s">
        <v>110</v>
      </c>
      <c r="D601" s="141">
        <f t="shared" si="1380"/>
        <v>0</v>
      </c>
      <c r="E601" s="141">
        <f t="shared" si="1380"/>
        <v>0</v>
      </c>
      <c r="F601" s="144">
        <f t="shared" si="1380"/>
        <v>0</v>
      </c>
      <c r="G601" s="142">
        <f t="shared" si="1380"/>
        <v>0</v>
      </c>
      <c r="H601" s="143">
        <f t="shared" ref="H601:H616" si="1413">G601-F601</f>
        <v>0</v>
      </c>
      <c r="I601" s="144">
        <f t="shared" si="1381"/>
        <v>0</v>
      </c>
      <c r="J601" s="142">
        <f t="shared" si="1381"/>
        <v>0</v>
      </c>
      <c r="K601" s="143">
        <f t="shared" ref="K601:K616" si="1414">J601-I601</f>
        <v>0</v>
      </c>
      <c r="L601" s="144">
        <f t="shared" si="1382"/>
        <v>0</v>
      </c>
      <c r="M601" s="142">
        <f t="shared" si="1382"/>
        <v>0</v>
      </c>
      <c r="N601" s="143">
        <f t="shared" ref="N601:N616" si="1415">M601-L601</f>
        <v>0</v>
      </c>
      <c r="O601" s="144">
        <f t="shared" si="1383"/>
        <v>0</v>
      </c>
      <c r="P601" s="142">
        <f t="shared" si="1383"/>
        <v>0</v>
      </c>
      <c r="Q601" s="143">
        <f t="shared" ref="Q601:Q616" si="1416">P601-O601</f>
        <v>0</v>
      </c>
      <c r="R601" s="144">
        <f t="shared" si="1384"/>
        <v>0</v>
      </c>
      <c r="S601" s="142">
        <f t="shared" si="1384"/>
        <v>0</v>
      </c>
      <c r="T601" s="143">
        <f t="shared" ref="T601:T616" si="1417">S601-R601</f>
        <v>0</v>
      </c>
      <c r="U601" s="144">
        <f t="shared" si="1385"/>
        <v>0</v>
      </c>
      <c r="V601" s="142">
        <f t="shared" si="1385"/>
        <v>0</v>
      </c>
      <c r="W601" s="143">
        <f t="shared" ref="W601:W616" si="1418">V601-U601</f>
        <v>0</v>
      </c>
      <c r="X601" s="144">
        <f t="shared" si="1386"/>
        <v>0</v>
      </c>
      <c r="Y601" s="142">
        <f t="shared" si="1386"/>
        <v>0</v>
      </c>
      <c r="Z601" s="143">
        <f t="shared" ref="Z601:Z616" si="1419">Y601-X601</f>
        <v>0</v>
      </c>
      <c r="AA601" s="144">
        <f t="shared" si="1387"/>
        <v>0</v>
      </c>
      <c r="AB601" s="142">
        <f t="shared" si="1387"/>
        <v>0</v>
      </c>
      <c r="AC601" s="143">
        <f t="shared" ref="AC601:AC616" si="1420">AB601-AA601</f>
        <v>0</v>
      </c>
      <c r="AD601" s="144">
        <f t="shared" si="1388"/>
        <v>0</v>
      </c>
      <c r="AE601" s="142">
        <f t="shared" si="1388"/>
        <v>0</v>
      </c>
      <c r="AF601" s="143">
        <f t="shared" ref="AF601:AF616" si="1421">AE601-AD601</f>
        <v>0</v>
      </c>
      <c r="AG601" s="144">
        <f t="shared" si="1389"/>
        <v>0</v>
      </c>
      <c r="AH601" s="142">
        <f t="shared" si="1389"/>
        <v>0</v>
      </c>
      <c r="AI601" s="143">
        <f t="shared" ref="AI601:AI616" si="1422">AH601-AG601</f>
        <v>0</v>
      </c>
      <c r="AJ601" s="144">
        <f t="shared" si="1390"/>
        <v>0</v>
      </c>
      <c r="AK601" s="142">
        <f t="shared" si="1390"/>
        <v>0</v>
      </c>
      <c r="AL601" s="143">
        <f t="shared" ref="AL601:AL616" si="1423">AK601-AJ601</f>
        <v>0</v>
      </c>
      <c r="AM601" s="144">
        <f t="shared" si="1391"/>
        <v>0</v>
      </c>
      <c r="AN601" s="142">
        <f t="shared" si="1391"/>
        <v>0</v>
      </c>
      <c r="AO601" s="143">
        <f t="shared" ref="AO601:AO616" si="1424">AN601-AM601</f>
        <v>0</v>
      </c>
      <c r="AP601" s="144">
        <f t="shared" si="1392"/>
        <v>0</v>
      </c>
      <c r="AQ601" s="142">
        <f t="shared" si="1392"/>
        <v>0</v>
      </c>
      <c r="AR601" s="143">
        <f t="shared" ref="AR601:AR616" si="1425">AQ601-AP601</f>
        <v>0</v>
      </c>
      <c r="AS601" s="144">
        <f t="shared" si="1393"/>
        <v>0</v>
      </c>
      <c r="AT601" s="142">
        <f t="shared" si="1393"/>
        <v>0</v>
      </c>
      <c r="AU601" s="143">
        <f t="shared" ref="AU601:AU616" si="1426">AT601-AS601</f>
        <v>0</v>
      </c>
      <c r="AV601" s="144">
        <f t="shared" si="1394"/>
        <v>0</v>
      </c>
      <c r="AW601" s="142">
        <f t="shared" si="1394"/>
        <v>0</v>
      </c>
      <c r="AX601" s="143">
        <f t="shared" ref="AX601:AX616" si="1427">AW601-AV601</f>
        <v>0</v>
      </c>
      <c r="AY601" s="142">
        <f t="shared" si="1395"/>
        <v>0</v>
      </c>
      <c r="AZ601" s="142">
        <f t="shared" si="1395"/>
        <v>0</v>
      </c>
      <c r="BA601" s="143">
        <f t="shared" ref="BA601:BA616" si="1428">AZ601-AY601</f>
        <v>0</v>
      </c>
      <c r="BB601" s="144">
        <f t="shared" si="1396"/>
        <v>0</v>
      </c>
      <c r="BC601" s="142">
        <f t="shared" si="1396"/>
        <v>0</v>
      </c>
      <c r="BD601" s="143">
        <f t="shared" ref="BD601:BD616" si="1429">BC601-BB601</f>
        <v>0</v>
      </c>
      <c r="BE601" s="144">
        <f t="shared" ref="BE601:BF615" si="1430">IF(BE161=0,0,BE504/BE161)</f>
        <v>0</v>
      </c>
      <c r="BF601" s="144">
        <f t="shared" si="1430"/>
        <v>0</v>
      </c>
      <c r="BG601" s="141">
        <f t="shared" ref="BG601" si="1431">IF(BG161=0,0,BG504/BG161)</f>
        <v>0</v>
      </c>
    </row>
    <row r="602" spans="1:59" ht="13.5" hidden="1" customHeight="1" outlineLevel="1" x14ac:dyDescent="0.25">
      <c r="A602" s="60"/>
      <c r="B602" s="84" t="s">
        <v>48</v>
      </c>
      <c r="C602" s="26" t="s">
        <v>110</v>
      </c>
      <c r="D602" s="141">
        <f t="shared" ref="D602:G617" si="1432">IF(D162=0,0,D505/D162)</f>
        <v>0</v>
      </c>
      <c r="E602" s="141">
        <f t="shared" si="1432"/>
        <v>0</v>
      </c>
      <c r="F602" s="144">
        <f t="shared" si="1432"/>
        <v>0</v>
      </c>
      <c r="G602" s="142">
        <f t="shared" si="1432"/>
        <v>0</v>
      </c>
      <c r="H602" s="143">
        <f t="shared" si="1413"/>
        <v>0</v>
      </c>
      <c r="I602" s="144">
        <f t="shared" ref="I602:J617" si="1433">IF(I162=0,0,I505/I162)</f>
        <v>0</v>
      </c>
      <c r="J602" s="142">
        <f t="shared" si="1433"/>
        <v>0</v>
      </c>
      <c r="K602" s="143">
        <f t="shared" si="1414"/>
        <v>0</v>
      </c>
      <c r="L602" s="144">
        <f t="shared" ref="L602:M617" si="1434">IF(L162=0,0,L505/L162)</f>
        <v>0</v>
      </c>
      <c r="M602" s="142">
        <f t="shared" si="1434"/>
        <v>0</v>
      </c>
      <c r="N602" s="143">
        <f t="shared" si="1415"/>
        <v>0</v>
      </c>
      <c r="O602" s="144">
        <f t="shared" ref="O602:P617" si="1435">IF(O162=0,0,O505/O162)</f>
        <v>0</v>
      </c>
      <c r="P602" s="142">
        <f t="shared" si="1435"/>
        <v>0</v>
      </c>
      <c r="Q602" s="143">
        <f t="shared" si="1416"/>
        <v>0</v>
      </c>
      <c r="R602" s="144">
        <f t="shared" ref="R602:S617" si="1436">IF(R162=0,0,R505/R162)</f>
        <v>0</v>
      </c>
      <c r="S602" s="142">
        <f t="shared" si="1436"/>
        <v>0</v>
      </c>
      <c r="T602" s="143">
        <f t="shared" si="1417"/>
        <v>0</v>
      </c>
      <c r="U602" s="144">
        <f t="shared" ref="U602:V617" si="1437">IF(U162=0,0,U505/U162)</f>
        <v>0</v>
      </c>
      <c r="V602" s="142">
        <f t="shared" si="1437"/>
        <v>0</v>
      </c>
      <c r="W602" s="143">
        <f t="shared" si="1418"/>
        <v>0</v>
      </c>
      <c r="X602" s="144">
        <f t="shared" ref="X602:Y617" si="1438">IF(X162=0,0,X505/X162)</f>
        <v>0</v>
      </c>
      <c r="Y602" s="142">
        <f t="shared" si="1438"/>
        <v>0</v>
      </c>
      <c r="Z602" s="143">
        <f t="shared" si="1419"/>
        <v>0</v>
      </c>
      <c r="AA602" s="144">
        <f t="shared" ref="AA602:AB617" si="1439">IF(AA162=0,0,AA505/AA162)</f>
        <v>0</v>
      </c>
      <c r="AB602" s="142">
        <f t="shared" si="1439"/>
        <v>0</v>
      </c>
      <c r="AC602" s="143">
        <f t="shared" si="1420"/>
        <v>0</v>
      </c>
      <c r="AD602" s="144">
        <f t="shared" ref="AD602:AE617" si="1440">IF(AD162=0,0,AD505/AD162)</f>
        <v>0</v>
      </c>
      <c r="AE602" s="142">
        <f t="shared" si="1440"/>
        <v>0</v>
      </c>
      <c r="AF602" s="143">
        <f t="shared" si="1421"/>
        <v>0</v>
      </c>
      <c r="AG602" s="144">
        <f t="shared" ref="AG602:AH617" si="1441">IF(AG162=0,0,AG505/AG162)</f>
        <v>0</v>
      </c>
      <c r="AH602" s="142">
        <f t="shared" si="1441"/>
        <v>0</v>
      </c>
      <c r="AI602" s="143">
        <f t="shared" si="1422"/>
        <v>0</v>
      </c>
      <c r="AJ602" s="144">
        <f t="shared" ref="AJ602:AK617" si="1442">IF(AJ162=0,0,AJ505/AJ162)</f>
        <v>0</v>
      </c>
      <c r="AK602" s="142">
        <f t="shared" si="1442"/>
        <v>0</v>
      </c>
      <c r="AL602" s="143">
        <f t="shared" si="1423"/>
        <v>0</v>
      </c>
      <c r="AM602" s="144">
        <f t="shared" ref="AM602:AN617" si="1443">IF(AM162=0,0,AM505/AM162)</f>
        <v>0</v>
      </c>
      <c r="AN602" s="142">
        <f t="shared" si="1443"/>
        <v>0</v>
      </c>
      <c r="AO602" s="143">
        <f t="shared" si="1424"/>
        <v>0</v>
      </c>
      <c r="AP602" s="144">
        <f t="shared" ref="AP602:AQ617" si="1444">IF(AP162=0,0,AP505/AP162)</f>
        <v>0</v>
      </c>
      <c r="AQ602" s="142">
        <f t="shared" si="1444"/>
        <v>0</v>
      </c>
      <c r="AR602" s="143">
        <f t="shared" si="1425"/>
        <v>0</v>
      </c>
      <c r="AS602" s="144">
        <f t="shared" ref="AS602:AT617" si="1445">IF(AS162=0,0,AS505/AS162)</f>
        <v>0</v>
      </c>
      <c r="AT602" s="142">
        <f t="shared" si="1445"/>
        <v>0</v>
      </c>
      <c r="AU602" s="143">
        <f t="shared" si="1426"/>
        <v>0</v>
      </c>
      <c r="AV602" s="144">
        <f t="shared" ref="AV602:AW617" si="1446">IF(AV162=0,0,AV505/AV162)</f>
        <v>0</v>
      </c>
      <c r="AW602" s="142">
        <f t="shared" si="1446"/>
        <v>0</v>
      </c>
      <c r="AX602" s="143">
        <f t="shared" si="1427"/>
        <v>0</v>
      </c>
      <c r="AY602" s="142">
        <f t="shared" ref="AY602:AZ617" si="1447">IF(AY162=0,0,AY505/AY162)</f>
        <v>0</v>
      </c>
      <c r="AZ602" s="142">
        <f t="shared" si="1447"/>
        <v>0</v>
      </c>
      <c r="BA602" s="143">
        <f t="shared" si="1428"/>
        <v>0</v>
      </c>
      <c r="BB602" s="144">
        <f t="shared" ref="BB602:BC617" si="1448">IF(BB162=0,0,BB505/BB162)</f>
        <v>0</v>
      </c>
      <c r="BC602" s="142">
        <f t="shared" si="1448"/>
        <v>0</v>
      </c>
      <c r="BD602" s="143">
        <f t="shared" si="1429"/>
        <v>0</v>
      </c>
      <c r="BE602" s="144">
        <f t="shared" si="1430"/>
        <v>0</v>
      </c>
      <c r="BF602" s="144">
        <f t="shared" si="1430"/>
        <v>0</v>
      </c>
      <c r="BG602" s="141">
        <f t="shared" ref="BG602" si="1449">IF(BG162=0,0,BG505/BG162)</f>
        <v>0</v>
      </c>
    </row>
    <row r="603" spans="1:59" ht="13.5" hidden="1" customHeight="1" outlineLevel="1" x14ac:dyDescent="0.25">
      <c r="A603" s="60"/>
      <c r="B603" s="84" t="s">
        <v>49</v>
      </c>
      <c r="C603" s="26" t="s">
        <v>110</v>
      </c>
      <c r="D603" s="141">
        <f t="shared" si="1432"/>
        <v>0</v>
      </c>
      <c r="E603" s="141">
        <f t="shared" si="1432"/>
        <v>0</v>
      </c>
      <c r="F603" s="144">
        <f t="shared" si="1432"/>
        <v>0</v>
      </c>
      <c r="G603" s="142">
        <f t="shared" si="1432"/>
        <v>0</v>
      </c>
      <c r="H603" s="143">
        <f t="shared" si="1413"/>
        <v>0</v>
      </c>
      <c r="I603" s="144">
        <f t="shared" si="1433"/>
        <v>0</v>
      </c>
      <c r="J603" s="142">
        <f t="shared" si="1433"/>
        <v>0</v>
      </c>
      <c r="K603" s="143">
        <f t="shared" si="1414"/>
        <v>0</v>
      </c>
      <c r="L603" s="144">
        <f t="shared" si="1434"/>
        <v>0</v>
      </c>
      <c r="M603" s="142">
        <f t="shared" si="1434"/>
        <v>0</v>
      </c>
      <c r="N603" s="143">
        <f t="shared" si="1415"/>
        <v>0</v>
      </c>
      <c r="O603" s="144">
        <f t="shared" si="1435"/>
        <v>0</v>
      </c>
      <c r="P603" s="142">
        <f t="shared" si="1435"/>
        <v>0</v>
      </c>
      <c r="Q603" s="143">
        <f t="shared" si="1416"/>
        <v>0</v>
      </c>
      <c r="R603" s="144">
        <f t="shared" si="1436"/>
        <v>0</v>
      </c>
      <c r="S603" s="142">
        <f t="shared" si="1436"/>
        <v>0</v>
      </c>
      <c r="T603" s="143">
        <f t="shared" si="1417"/>
        <v>0</v>
      </c>
      <c r="U603" s="144">
        <f t="shared" si="1437"/>
        <v>0</v>
      </c>
      <c r="V603" s="142">
        <f t="shared" si="1437"/>
        <v>0</v>
      </c>
      <c r="W603" s="143">
        <f t="shared" si="1418"/>
        <v>0</v>
      </c>
      <c r="X603" s="144">
        <f t="shared" si="1438"/>
        <v>0</v>
      </c>
      <c r="Y603" s="142">
        <f t="shared" si="1438"/>
        <v>0</v>
      </c>
      <c r="Z603" s="143">
        <f t="shared" si="1419"/>
        <v>0</v>
      </c>
      <c r="AA603" s="144">
        <f t="shared" si="1439"/>
        <v>0</v>
      </c>
      <c r="AB603" s="142">
        <f t="shared" si="1439"/>
        <v>0</v>
      </c>
      <c r="AC603" s="143">
        <f t="shared" si="1420"/>
        <v>0</v>
      </c>
      <c r="AD603" s="144">
        <f t="shared" si="1440"/>
        <v>0</v>
      </c>
      <c r="AE603" s="142">
        <f t="shared" si="1440"/>
        <v>0</v>
      </c>
      <c r="AF603" s="143">
        <f t="shared" si="1421"/>
        <v>0</v>
      </c>
      <c r="AG603" s="144">
        <f t="shared" si="1441"/>
        <v>0</v>
      </c>
      <c r="AH603" s="142">
        <f t="shared" si="1441"/>
        <v>0</v>
      </c>
      <c r="AI603" s="143">
        <f t="shared" si="1422"/>
        <v>0</v>
      </c>
      <c r="AJ603" s="144">
        <f t="shared" si="1442"/>
        <v>0</v>
      </c>
      <c r="AK603" s="142">
        <f t="shared" si="1442"/>
        <v>0</v>
      </c>
      <c r="AL603" s="143">
        <f t="shared" si="1423"/>
        <v>0</v>
      </c>
      <c r="AM603" s="144">
        <f t="shared" si="1443"/>
        <v>0</v>
      </c>
      <c r="AN603" s="142">
        <f t="shared" si="1443"/>
        <v>0</v>
      </c>
      <c r="AO603" s="143">
        <f t="shared" si="1424"/>
        <v>0</v>
      </c>
      <c r="AP603" s="144">
        <f t="shared" si="1444"/>
        <v>0</v>
      </c>
      <c r="AQ603" s="142">
        <f t="shared" si="1444"/>
        <v>0</v>
      </c>
      <c r="AR603" s="143">
        <f t="shared" si="1425"/>
        <v>0</v>
      </c>
      <c r="AS603" s="144">
        <f t="shared" si="1445"/>
        <v>0</v>
      </c>
      <c r="AT603" s="142">
        <f t="shared" si="1445"/>
        <v>0</v>
      </c>
      <c r="AU603" s="143">
        <f t="shared" si="1426"/>
        <v>0</v>
      </c>
      <c r="AV603" s="144">
        <f t="shared" si="1446"/>
        <v>0</v>
      </c>
      <c r="AW603" s="142">
        <f t="shared" si="1446"/>
        <v>0</v>
      </c>
      <c r="AX603" s="143">
        <f t="shared" si="1427"/>
        <v>0</v>
      </c>
      <c r="AY603" s="142">
        <f t="shared" si="1447"/>
        <v>0</v>
      </c>
      <c r="AZ603" s="142">
        <f t="shared" si="1447"/>
        <v>0</v>
      </c>
      <c r="BA603" s="143">
        <f t="shared" si="1428"/>
        <v>0</v>
      </c>
      <c r="BB603" s="144">
        <f t="shared" si="1448"/>
        <v>0</v>
      </c>
      <c r="BC603" s="142">
        <f t="shared" si="1448"/>
        <v>0</v>
      </c>
      <c r="BD603" s="143">
        <f t="shared" si="1429"/>
        <v>0</v>
      </c>
      <c r="BE603" s="144">
        <f t="shared" si="1430"/>
        <v>0</v>
      </c>
      <c r="BF603" s="144">
        <f t="shared" si="1430"/>
        <v>0</v>
      </c>
      <c r="BG603" s="141">
        <f t="shared" ref="BG603" si="1450">IF(BG163=0,0,BG506/BG163)</f>
        <v>0</v>
      </c>
    </row>
    <row r="604" spans="1:59" ht="13.5" hidden="1" customHeight="1" outlineLevel="1" x14ac:dyDescent="0.25">
      <c r="A604" s="60"/>
      <c r="B604" s="84" t="s">
        <v>50</v>
      </c>
      <c r="C604" s="26" t="s">
        <v>110</v>
      </c>
      <c r="D604" s="141">
        <f t="shared" si="1432"/>
        <v>0</v>
      </c>
      <c r="E604" s="141">
        <f t="shared" si="1432"/>
        <v>0</v>
      </c>
      <c r="F604" s="144">
        <f t="shared" si="1432"/>
        <v>0</v>
      </c>
      <c r="G604" s="142">
        <f t="shared" si="1432"/>
        <v>0</v>
      </c>
      <c r="H604" s="143">
        <f t="shared" si="1413"/>
        <v>0</v>
      </c>
      <c r="I604" s="144">
        <f t="shared" si="1433"/>
        <v>0</v>
      </c>
      <c r="J604" s="142">
        <f t="shared" si="1433"/>
        <v>0</v>
      </c>
      <c r="K604" s="143">
        <f t="shared" si="1414"/>
        <v>0</v>
      </c>
      <c r="L604" s="144">
        <f t="shared" si="1434"/>
        <v>0</v>
      </c>
      <c r="M604" s="142">
        <f t="shared" si="1434"/>
        <v>0</v>
      </c>
      <c r="N604" s="143">
        <f t="shared" si="1415"/>
        <v>0</v>
      </c>
      <c r="O604" s="144">
        <f t="shared" si="1435"/>
        <v>0</v>
      </c>
      <c r="P604" s="142">
        <f t="shared" si="1435"/>
        <v>0</v>
      </c>
      <c r="Q604" s="143">
        <f t="shared" si="1416"/>
        <v>0</v>
      </c>
      <c r="R604" s="144">
        <f t="shared" si="1436"/>
        <v>0</v>
      </c>
      <c r="S604" s="142">
        <f t="shared" si="1436"/>
        <v>0</v>
      </c>
      <c r="T604" s="143">
        <f t="shared" si="1417"/>
        <v>0</v>
      </c>
      <c r="U604" s="144">
        <f t="shared" si="1437"/>
        <v>0</v>
      </c>
      <c r="V604" s="142">
        <f t="shared" si="1437"/>
        <v>0</v>
      </c>
      <c r="W604" s="143">
        <f t="shared" si="1418"/>
        <v>0</v>
      </c>
      <c r="X604" s="144">
        <f t="shared" si="1438"/>
        <v>0</v>
      </c>
      <c r="Y604" s="142">
        <f t="shared" si="1438"/>
        <v>0</v>
      </c>
      <c r="Z604" s="143">
        <f t="shared" si="1419"/>
        <v>0</v>
      </c>
      <c r="AA604" s="144">
        <f t="shared" si="1439"/>
        <v>0</v>
      </c>
      <c r="AB604" s="142">
        <f t="shared" si="1439"/>
        <v>0</v>
      </c>
      <c r="AC604" s="143">
        <f t="shared" si="1420"/>
        <v>0</v>
      </c>
      <c r="AD604" s="144">
        <f t="shared" si="1440"/>
        <v>0</v>
      </c>
      <c r="AE604" s="142">
        <f t="shared" si="1440"/>
        <v>0</v>
      </c>
      <c r="AF604" s="143">
        <f t="shared" si="1421"/>
        <v>0</v>
      </c>
      <c r="AG604" s="144">
        <f t="shared" si="1441"/>
        <v>0</v>
      </c>
      <c r="AH604" s="142">
        <f t="shared" si="1441"/>
        <v>0</v>
      </c>
      <c r="AI604" s="143">
        <f t="shared" si="1422"/>
        <v>0</v>
      </c>
      <c r="AJ604" s="144">
        <f t="shared" si="1442"/>
        <v>0</v>
      </c>
      <c r="AK604" s="142">
        <f t="shared" si="1442"/>
        <v>0</v>
      </c>
      <c r="AL604" s="143">
        <f t="shared" si="1423"/>
        <v>0</v>
      </c>
      <c r="AM604" s="144">
        <f t="shared" si="1443"/>
        <v>0</v>
      </c>
      <c r="AN604" s="142">
        <f t="shared" si="1443"/>
        <v>0</v>
      </c>
      <c r="AO604" s="143">
        <f t="shared" si="1424"/>
        <v>0</v>
      </c>
      <c r="AP604" s="144">
        <f t="shared" si="1444"/>
        <v>0</v>
      </c>
      <c r="AQ604" s="142">
        <f t="shared" si="1444"/>
        <v>0</v>
      </c>
      <c r="AR604" s="143">
        <f t="shared" si="1425"/>
        <v>0</v>
      </c>
      <c r="AS604" s="144">
        <f t="shared" si="1445"/>
        <v>0</v>
      </c>
      <c r="AT604" s="142">
        <f t="shared" si="1445"/>
        <v>0</v>
      </c>
      <c r="AU604" s="143">
        <f t="shared" si="1426"/>
        <v>0</v>
      </c>
      <c r="AV604" s="144">
        <f t="shared" si="1446"/>
        <v>0</v>
      </c>
      <c r="AW604" s="142">
        <f t="shared" si="1446"/>
        <v>0</v>
      </c>
      <c r="AX604" s="143">
        <f t="shared" si="1427"/>
        <v>0</v>
      </c>
      <c r="AY604" s="142">
        <f t="shared" si="1447"/>
        <v>0</v>
      </c>
      <c r="AZ604" s="142">
        <f t="shared" si="1447"/>
        <v>0</v>
      </c>
      <c r="BA604" s="143">
        <f t="shared" si="1428"/>
        <v>0</v>
      </c>
      <c r="BB604" s="144">
        <f t="shared" si="1448"/>
        <v>0</v>
      </c>
      <c r="BC604" s="142">
        <f t="shared" si="1448"/>
        <v>0</v>
      </c>
      <c r="BD604" s="143">
        <f t="shared" si="1429"/>
        <v>0</v>
      </c>
      <c r="BE604" s="144">
        <f t="shared" si="1430"/>
        <v>0</v>
      </c>
      <c r="BF604" s="144">
        <f t="shared" si="1430"/>
        <v>0</v>
      </c>
      <c r="BG604" s="141">
        <f t="shared" ref="BG604" si="1451">IF(BG164=0,0,BG507/BG164)</f>
        <v>0</v>
      </c>
    </row>
    <row r="605" spans="1:59" ht="13.5" hidden="1" customHeight="1" outlineLevel="1" x14ac:dyDescent="0.25">
      <c r="A605" s="60"/>
      <c r="B605" s="84" t="s">
        <v>51</v>
      </c>
      <c r="C605" s="26" t="s">
        <v>110</v>
      </c>
      <c r="D605" s="141">
        <f t="shared" si="1432"/>
        <v>0</v>
      </c>
      <c r="E605" s="141">
        <f t="shared" si="1432"/>
        <v>0</v>
      </c>
      <c r="F605" s="144">
        <f t="shared" si="1432"/>
        <v>0</v>
      </c>
      <c r="G605" s="142">
        <f t="shared" si="1432"/>
        <v>0</v>
      </c>
      <c r="H605" s="143">
        <f t="shared" si="1413"/>
        <v>0</v>
      </c>
      <c r="I605" s="144">
        <f t="shared" si="1433"/>
        <v>0</v>
      </c>
      <c r="J605" s="142">
        <f t="shared" si="1433"/>
        <v>0</v>
      </c>
      <c r="K605" s="143">
        <f t="shared" si="1414"/>
        <v>0</v>
      </c>
      <c r="L605" s="144">
        <f t="shared" si="1434"/>
        <v>0</v>
      </c>
      <c r="M605" s="142">
        <f t="shared" si="1434"/>
        <v>0</v>
      </c>
      <c r="N605" s="143">
        <f t="shared" si="1415"/>
        <v>0</v>
      </c>
      <c r="O605" s="144">
        <f t="shared" si="1435"/>
        <v>0</v>
      </c>
      <c r="P605" s="142">
        <f t="shared" si="1435"/>
        <v>0</v>
      </c>
      <c r="Q605" s="143">
        <f t="shared" si="1416"/>
        <v>0</v>
      </c>
      <c r="R605" s="144">
        <f t="shared" si="1436"/>
        <v>0</v>
      </c>
      <c r="S605" s="142">
        <f t="shared" si="1436"/>
        <v>0</v>
      </c>
      <c r="T605" s="143">
        <f t="shared" si="1417"/>
        <v>0</v>
      </c>
      <c r="U605" s="144">
        <f t="shared" si="1437"/>
        <v>0</v>
      </c>
      <c r="V605" s="142">
        <f t="shared" si="1437"/>
        <v>0</v>
      </c>
      <c r="W605" s="143">
        <f t="shared" si="1418"/>
        <v>0</v>
      </c>
      <c r="X605" s="144">
        <f t="shared" si="1438"/>
        <v>0</v>
      </c>
      <c r="Y605" s="142">
        <f t="shared" si="1438"/>
        <v>0</v>
      </c>
      <c r="Z605" s="143">
        <f t="shared" si="1419"/>
        <v>0</v>
      </c>
      <c r="AA605" s="144">
        <f t="shared" si="1439"/>
        <v>0</v>
      </c>
      <c r="AB605" s="142">
        <f t="shared" si="1439"/>
        <v>0</v>
      </c>
      <c r="AC605" s="143">
        <f t="shared" si="1420"/>
        <v>0</v>
      </c>
      <c r="AD605" s="144">
        <f t="shared" si="1440"/>
        <v>0</v>
      </c>
      <c r="AE605" s="142">
        <f t="shared" si="1440"/>
        <v>0</v>
      </c>
      <c r="AF605" s="143">
        <f t="shared" si="1421"/>
        <v>0</v>
      </c>
      <c r="AG605" s="144">
        <f t="shared" si="1441"/>
        <v>0</v>
      </c>
      <c r="AH605" s="142">
        <f t="shared" si="1441"/>
        <v>0</v>
      </c>
      <c r="AI605" s="143">
        <f t="shared" si="1422"/>
        <v>0</v>
      </c>
      <c r="AJ605" s="144">
        <f t="shared" si="1442"/>
        <v>0</v>
      </c>
      <c r="AK605" s="142">
        <f t="shared" si="1442"/>
        <v>0</v>
      </c>
      <c r="AL605" s="143">
        <f t="shared" si="1423"/>
        <v>0</v>
      </c>
      <c r="AM605" s="144">
        <f t="shared" si="1443"/>
        <v>0</v>
      </c>
      <c r="AN605" s="142">
        <f t="shared" si="1443"/>
        <v>0</v>
      </c>
      <c r="AO605" s="143">
        <f t="shared" si="1424"/>
        <v>0</v>
      </c>
      <c r="AP605" s="144">
        <f t="shared" si="1444"/>
        <v>0</v>
      </c>
      <c r="AQ605" s="142">
        <f t="shared" si="1444"/>
        <v>0</v>
      </c>
      <c r="AR605" s="143">
        <f t="shared" si="1425"/>
        <v>0</v>
      </c>
      <c r="AS605" s="144">
        <f t="shared" si="1445"/>
        <v>0</v>
      </c>
      <c r="AT605" s="142">
        <f t="shared" si="1445"/>
        <v>0</v>
      </c>
      <c r="AU605" s="143">
        <f t="shared" si="1426"/>
        <v>0</v>
      </c>
      <c r="AV605" s="144">
        <f t="shared" si="1446"/>
        <v>0</v>
      </c>
      <c r="AW605" s="142">
        <f t="shared" si="1446"/>
        <v>0</v>
      </c>
      <c r="AX605" s="143">
        <f t="shared" si="1427"/>
        <v>0</v>
      </c>
      <c r="AY605" s="142">
        <f t="shared" si="1447"/>
        <v>0</v>
      </c>
      <c r="AZ605" s="142">
        <f t="shared" si="1447"/>
        <v>0</v>
      </c>
      <c r="BA605" s="143">
        <f t="shared" si="1428"/>
        <v>0</v>
      </c>
      <c r="BB605" s="144">
        <f t="shared" si="1448"/>
        <v>0</v>
      </c>
      <c r="BC605" s="142">
        <f t="shared" si="1448"/>
        <v>0</v>
      </c>
      <c r="BD605" s="143">
        <f t="shared" si="1429"/>
        <v>0</v>
      </c>
      <c r="BE605" s="144">
        <f t="shared" si="1430"/>
        <v>0</v>
      </c>
      <c r="BF605" s="144">
        <f t="shared" si="1430"/>
        <v>0</v>
      </c>
      <c r="BG605" s="141">
        <f t="shared" ref="BG605" si="1452">IF(BG165=0,0,BG508/BG165)</f>
        <v>0</v>
      </c>
    </row>
    <row r="606" spans="1:59" ht="13.5" hidden="1" customHeight="1" outlineLevel="1" x14ac:dyDescent="0.25">
      <c r="A606" s="60"/>
      <c r="B606" s="84" t="s">
        <v>52</v>
      </c>
      <c r="C606" s="26" t="s">
        <v>110</v>
      </c>
      <c r="D606" s="141">
        <f t="shared" si="1432"/>
        <v>0</v>
      </c>
      <c r="E606" s="141">
        <f t="shared" si="1432"/>
        <v>0</v>
      </c>
      <c r="F606" s="144">
        <f t="shared" si="1432"/>
        <v>0</v>
      </c>
      <c r="G606" s="142">
        <f t="shared" si="1432"/>
        <v>0</v>
      </c>
      <c r="H606" s="143">
        <f t="shared" si="1413"/>
        <v>0</v>
      </c>
      <c r="I606" s="144">
        <f t="shared" si="1433"/>
        <v>0</v>
      </c>
      <c r="J606" s="142">
        <f t="shared" si="1433"/>
        <v>0</v>
      </c>
      <c r="K606" s="143">
        <f t="shared" si="1414"/>
        <v>0</v>
      </c>
      <c r="L606" s="144">
        <f t="shared" si="1434"/>
        <v>0</v>
      </c>
      <c r="M606" s="142">
        <f t="shared" si="1434"/>
        <v>0</v>
      </c>
      <c r="N606" s="143">
        <f t="shared" si="1415"/>
        <v>0</v>
      </c>
      <c r="O606" s="144">
        <f t="shared" si="1435"/>
        <v>0</v>
      </c>
      <c r="P606" s="142">
        <f t="shared" si="1435"/>
        <v>0</v>
      </c>
      <c r="Q606" s="143">
        <f t="shared" si="1416"/>
        <v>0</v>
      </c>
      <c r="R606" s="144">
        <f t="shared" si="1436"/>
        <v>0</v>
      </c>
      <c r="S606" s="142">
        <f t="shared" si="1436"/>
        <v>0</v>
      </c>
      <c r="T606" s="143">
        <f t="shared" si="1417"/>
        <v>0</v>
      </c>
      <c r="U606" s="144">
        <f t="shared" si="1437"/>
        <v>0</v>
      </c>
      <c r="V606" s="142">
        <f t="shared" si="1437"/>
        <v>0</v>
      </c>
      <c r="W606" s="143">
        <f t="shared" si="1418"/>
        <v>0</v>
      </c>
      <c r="X606" s="144">
        <f t="shared" si="1438"/>
        <v>0</v>
      </c>
      <c r="Y606" s="142">
        <f t="shared" si="1438"/>
        <v>0</v>
      </c>
      <c r="Z606" s="143">
        <f t="shared" si="1419"/>
        <v>0</v>
      </c>
      <c r="AA606" s="144">
        <f t="shared" si="1439"/>
        <v>0</v>
      </c>
      <c r="AB606" s="142">
        <f t="shared" si="1439"/>
        <v>0</v>
      </c>
      <c r="AC606" s="143">
        <f t="shared" si="1420"/>
        <v>0</v>
      </c>
      <c r="AD606" s="144">
        <f t="shared" si="1440"/>
        <v>0</v>
      </c>
      <c r="AE606" s="142">
        <f t="shared" si="1440"/>
        <v>0</v>
      </c>
      <c r="AF606" s="143">
        <f t="shared" si="1421"/>
        <v>0</v>
      </c>
      <c r="AG606" s="144">
        <f t="shared" si="1441"/>
        <v>0</v>
      </c>
      <c r="AH606" s="142">
        <f t="shared" si="1441"/>
        <v>0</v>
      </c>
      <c r="AI606" s="143">
        <f t="shared" si="1422"/>
        <v>0</v>
      </c>
      <c r="AJ606" s="144">
        <f t="shared" si="1442"/>
        <v>0</v>
      </c>
      <c r="AK606" s="142">
        <f t="shared" si="1442"/>
        <v>0</v>
      </c>
      <c r="AL606" s="143">
        <f t="shared" si="1423"/>
        <v>0</v>
      </c>
      <c r="AM606" s="144">
        <f t="shared" si="1443"/>
        <v>0</v>
      </c>
      <c r="AN606" s="142">
        <f t="shared" si="1443"/>
        <v>0</v>
      </c>
      <c r="AO606" s="143">
        <f t="shared" si="1424"/>
        <v>0</v>
      </c>
      <c r="AP606" s="144">
        <f t="shared" si="1444"/>
        <v>0</v>
      </c>
      <c r="AQ606" s="142">
        <f t="shared" si="1444"/>
        <v>0</v>
      </c>
      <c r="AR606" s="143">
        <f t="shared" si="1425"/>
        <v>0</v>
      </c>
      <c r="AS606" s="144">
        <f t="shared" si="1445"/>
        <v>0</v>
      </c>
      <c r="AT606" s="142">
        <f t="shared" si="1445"/>
        <v>0</v>
      </c>
      <c r="AU606" s="143">
        <f t="shared" si="1426"/>
        <v>0</v>
      </c>
      <c r="AV606" s="144">
        <f t="shared" si="1446"/>
        <v>0</v>
      </c>
      <c r="AW606" s="142">
        <f t="shared" si="1446"/>
        <v>0</v>
      </c>
      <c r="AX606" s="143">
        <f t="shared" si="1427"/>
        <v>0</v>
      </c>
      <c r="AY606" s="142">
        <f t="shared" si="1447"/>
        <v>0</v>
      </c>
      <c r="AZ606" s="142">
        <f t="shared" si="1447"/>
        <v>0</v>
      </c>
      <c r="BA606" s="143">
        <f t="shared" si="1428"/>
        <v>0</v>
      </c>
      <c r="BB606" s="144">
        <f t="shared" si="1448"/>
        <v>0</v>
      </c>
      <c r="BC606" s="142">
        <f t="shared" si="1448"/>
        <v>0</v>
      </c>
      <c r="BD606" s="143">
        <f t="shared" si="1429"/>
        <v>0</v>
      </c>
      <c r="BE606" s="144">
        <f t="shared" si="1430"/>
        <v>0</v>
      </c>
      <c r="BF606" s="144">
        <f t="shared" si="1430"/>
        <v>0</v>
      </c>
      <c r="BG606" s="141">
        <f t="shared" ref="BG606" si="1453">IF(BG166=0,0,BG509/BG166)</f>
        <v>0</v>
      </c>
    </row>
    <row r="607" spans="1:59" ht="13.5" hidden="1" customHeight="1" outlineLevel="1" x14ac:dyDescent="0.25">
      <c r="A607" s="60"/>
      <c r="B607" s="84" t="s">
        <v>53</v>
      </c>
      <c r="C607" s="26" t="s">
        <v>110</v>
      </c>
      <c r="D607" s="141">
        <f t="shared" si="1432"/>
        <v>0</v>
      </c>
      <c r="E607" s="141">
        <f t="shared" si="1432"/>
        <v>0</v>
      </c>
      <c r="F607" s="144">
        <f t="shared" si="1432"/>
        <v>0</v>
      </c>
      <c r="G607" s="142">
        <f t="shared" si="1432"/>
        <v>0</v>
      </c>
      <c r="H607" s="143">
        <f t="shared" si="1413"/>
        <v>0</v>
      </c>
      <c r="I607" s="144">
        <f t="shared" si="1433"/>
        <v>0</v>
      </c>
      <c r="J607" s="142">
        <f t="shared" si="1433"/>
        <v>0</v>
      </c>
      <c r="K607" s="143">
        <f t="shared" si="1414"/>
        <v>0</v>
      </c>
      <c r="L607" s="144">
        <f t="shared" si="1434"/>
        <v>0</v>
      </c>
      <c r="M607" s="142">
        <f t="shared" si="1434"/>
        <v>0</v>
      </c>
      <c r="N607" s="143">
        <f t="shared" si="1415"/>
        <v>0</v>
      </c>
      <c r="O607" s="144">
        <f t="shared" si="1435"/>
        <v>0</v>
      </c>
      <c r="P607" s="142">
        <f t="shared" si="1435"/>
        <v>0</v>
      </c>
      <c r="Q607" s="143">
        <f t="shared" si="1416"/>
        <v>0</v>
      </c>
      <c r="R607" s="144">
        <f t="shared" si="1436"/>
        <v>0</v>
      </c>
      <c r="S607" s="142">
        <f t="shared" si="1436"/>
        <v>0</v>
      </c>
      <c r="T607" s="143">
        <f t="shared" si="1417"/>
        <v>0</v>
      </c>
      <c r="U607" s="144">
        <f t="shared" si="1437"/>
        <v>0</v>
      </c>
      <c r="V607" s="142">
        <f t="shared" si="1437"/>
        <v>0</v>
      </c>
      <c r="W607" s="143">
        <f t="shared" si="1418"/>
        <v>0</v>
      </c>
      <c r="X607" s="144">
        <f t="shared" si="1438"/>
        <v>0</v>
      </c>
      <c r="Y607" s="142">
        <f t="shared" si="1438"/>
        <v>0</v>
      </c>
      <c r="Z607" s="143">
        <f t="shared" si="1419"/>
        <v>0</v>
      </c>
      <c r="AA607" s="144">
        <f t="shared" si="1439"/>
        <v>0</v>
      </c>
      <c r="AB607" s="142">
        <f t="shared" si="1439"/>
        <v>0</v>
      </c>
      <c r="AC607" s="143">
        <f t="shared" si="1420"/>
        <v>0</v>
      </c>
      <c r="AD607" s="144">
        <f t="shared" si="1440"/>
        <v>0</v>
      </c>
      <c r="AE607" s="142">
        <f t="shared" si="1440"/>
        <v>0</v>
      </c>
      <c r="AF607" s="143">
        <f t="shared" si="1421"/>
        <v>0</v>
      </c>
      <c r="AG607" s="144">
        <f t="shared" si="1441"/>
        <v>0</v>
      </c>
      <c r="AH607" s="142">
        <f t="shared" si="1441"/>
        <v>0</v>
      </c>
      <c r="AI607" s="143">
        <f t="shared" si="1422"/>
        <v>0</v>
      </c>
      <c r="AJ607" s="144">
        <f t="shared" si="1442"/>
        <v>0</v>
      </c>
      <c r="AK607" s="142">
        <f t="shared" si="1442"/>
        <v>0</v>
      </c>
      <c r="AL607" s="143">
        <f t="shared" si="1423"/>
        <v>0</v>
      </c>
      <c r="AM607" s="144">
        <f t="shared" si="1443"/>
        <v>0</v>
      </c>
      <c r="AN607" s="142">
        <f t="shared" si="1443"/>
        <v>0</v>
      </c>
      <c r="AO607" s="143">
        <f t="shared" si="1424"/>
        <v>0</v>
      </c>
      <c r="AP607" s="144">
        <f t="shared" si="1444"/>
        <v>0</v>
      </c>
      <c r="AQ607" s="142">
        <f t="shared" si="1444"/>
        <v>0</v>
      </c>
      <c r="AR607" s="143">
        <f t="shared" si="1425"/>
        <v>0</v>
      </c>
      <c r="AS607" s="144">
        <f t="shared" si="1445"/>
        <v>0</v>
      </c>
      <c r="AT607" s="142">
        <f t="shared" si="1445"/>
        <v>0</v>
      </c>
      <c r="AU607" s="143">
        <f t="shared" si="1426"/>
        <v>0</v>
      </c>
      <c r="AV607" s="144">
        <f t="shared" si="1446"/>
        <v>0</v>
      </c>
      <c r="AW607" s="142">
        <f t="shared" si="1446"/>
        <v>0</v>
      </c>
      <c r="AX607" s="143">
        <f t="shared" si="1427"/>
        <v>0</v>
      </c>
      <c r="AY607" s="142">
        <f t="shared" si="1447"/>
        <v>0</v>
      </c>
      <c r="AZ607" s="142">
        <f t="shared" si="1447"/>
        <v>0</v>
      </c>
      <c r="BA607" s="143">
        <f t="shared" si="1428"/>
        <v>0</v>
      </c>
      <c r="BB607" s="144">
        <f t="shared" si="1448"/>
        <v>0</v>
      </c>
      <c r="BC607" s="142">
        <f t="shared" si="1448"/>
        <v>0</v>
      </c>
      <c r="BD607" s="143">
        <f t="shared" si="1429"/>
        <v>0</v>
      </c>
      <c r="BE607" s="144">
        <f t="shared" si="1430"/>
        <v>0</v>
      </c>
      <c r="BF607" s="144">
        <f t="shared" si="1430"/>
        <v>0</v>
      </c>
      <c r="BG607" s="141">
        <f t="shared" ref="BG607" si="1454">IF(BG167=0,0,BG510/BG167)</f>
        <v>0</v>
      </c>
    </row>
    <row r="608" spans="1:59" ht="13.5" hidden="1" customHeight="1" outlineLevel="1" x14ac:dyDescent="0.25">
      <c r="A608" s="60"/>
      <c r="B608" s="84" t="s">
        <v>54</v>
      </c>
      <c r="C608" s="26" t="s">
        <v>110</v>
      </c>
      <c r="D608" s="141">
        <f t="shared" si="1432"/>
        <v>0</v>
      </c>
      <c r="E608" s="141">
        <f t="shared" si="1432"/>
        <v>0</v>
      </c>
      <c r="F608" s="144">
        <f t="shared" si="1432"/>
        <v>0</v>
      </c>
      <c r="G608" s="142">
        <f t="shared" si="1432"/>
        <v>0</v>
      </c>
      <c r="H608" s="143">
        <f t="shared" si="1413"/>
        <v>0</v>
      </c>
      <c r="I608" s="144">
        <f t="shared" si="1433"/>
        <v>0</v>
      </c>
      <c r="J608" s="142">
        <f t="shared" si="1433"/>
        <v>0</v>
      </c>
      <c r="K608" s="143">
        <f t="shared" si="1414"/>
        <v>0</v>
      </c>
      <c r="L608" s="144">
        <f t="shared" si="1434"/>
        <v>0</v>
      </c>
      <c r="M608" s="142">
        <f t="shared" si="1434"/>
        <v>0</v>
      </c>
      <c r="N608" s="143">
        <f t="shared" si="1415"/>
        <v>0</v>
      </c>
      <c r="O608" s="144">
        <f t="shared" si="1435"/>
        <v>0</v>
      </c>
      <c r="P608" s="142">
        <f t="shared" si="1435"/>
        <v>0</v>
      </c>
      <c r="Q608" s="143">
        <f t="shared" si="1416"/>
        <v>0</v>
      </c>
      <c r="R608" s="144">
        <f t="shared" si="1436"/>
        <v>0</v>
      </c>
      <c r="S608" s="142">
        <f t="shared" si="1436"/>
        <v>0</v>
      </c>
      <c r="T608" s="143">
        <f t="shared" si="1417"/>
        <v>0</v>
      </c>
      <c r="U608" s="144">
        <f t="shared" si="1437"/>
        <v>0</v>
      </c>
      <c r="V608" s="142">
        <f t="shared" si="1437"/>
        <v>0</v>
      </c>
      <c r="W608" s="143">
        <f t="shared" si="1418"/>
        <v>0</v>
      </c>
      <c r="X608" s="144">
        <f t="shared" si="1438"/>
        <v>0</v>
      </c>
      <c r="Y608" s="142">
        <f t="shared" si="1438"/>
        <v>0</v>
      </c>
      <c r="Z608" s="143">
        <f t="shared" si="1419"/>
        <v>0</v>
      </c>
      <c r="AA608" s="144">
        <f t="shared" si="1439"/>
        <v>0</v>
      </c>
      <c r="AB608" s="142">
        <f t="shared" si="1439"/>
        <v>0</v>
      </c>
      <c r="AC608" s="143">
        <f t="shared" si="1420"/>
        <v>0</v>
      </c>
      <c r="AD608" s="144">
        <f t="shared" si="1440"/>
        <v>0</v>
      </c>
      <c r="AE608" s="142">
        <f t="shared" si="1440"/>
        <v>0</v>
      </c>
      <c r="AF608" s="143">
        <f t="shared" si="1421"/>
        <v>0</v>
      </c>
      <c r="AG608" s="144">
        <f t="shared" si="1441"/>
        <v>0</v>
      </c>
      <c r="AH608" s="142">
        <f t="shared" si="1441"/>
        <v>0</v>
      </c>
      <c r="AI608" s="143">
        <f t="shared" si="1422"/>
        <v>0</v>
      </c>
      <c r="AJ608" s="144">
        <f t="shared" si="1442"/>
        <v>0</v>
      </c>
      <c r="AK608" s="142">
        <f t="shared" si="1442"/>
        <v>0</v>
      </c>
      <c r="AL608" s="143">
        <f t="shared" si="1423"/>
        <v>0</v>
      </c>
      <c r="AM608" s="144">
        <f t="shared" si="1443"/>
        <v>0</v>
      </c>
      <c r="AN608" s="142">
        <f t="shared" si="1443"/>
        <v>0</v>
      </c>
      <c r="AO608" s="143">
        <f t="shared" si="1424"/>
        <v>0</v>
      </c>
      <c r="AP608" s="144">
        <f t="shared" si="1444"/>
        <v>0</v>
      </c>
      <c r="AQ608" s="142">
        <f t="shared" si="1444"/>
        <v>0</v>
      </c>
      <c r="AR608" s="143">
        <f t="shared" si="1425"/>
        <v>0</v>
      </c>
      <c r="AS608" s="144">
        <f t="shared" si="1445"/>
        <v>0</v>
      </c>
      <c r="AT608" s="142">
        <f t="shared" si="1445"/>
        <v>0</v>
      </c>
      <c r="AU608" s="143">
        <f t="shared" si="1426"/>
        <v>0</v>
      </c>
      <c r="AV608" s="144">
        <f t="shared" si="1446"/>
        <v>0</v>
      </c>
      <c r="AW608" s="142">
        <f t="shared" si="1446"/>
        <v>0</v>
      </c>
      <c r="AX608" s="143">
        <f t="shared" si="1427"/>
        <v>0</v>
      </c>
      <c r="AY608" s="142">
        <f t="shared" si="1447"/>
        <v>0</v>
      </c>
      <c r="AZ608" s="142">
        <f t="shared" si="1447"/>
        <v>0</v>
      </c>
      <c r="BA608" s="143">
        <f t="shared" si="1428"/>
        <v>0</v>
      </c>
      <c r="BB608" s="144">
        <f t="shared" si="1448"/>
        <v>0</v>
      </c>
      <c r="BC608" s="142">
        <f t="shared" si="1448"/>
        <v>0</v>
      </c>
      <c r="BD608" s="143">
        <f t="shared" si="1429"/>
        <v>0</v>
      </c>
      <c r="BE608" s="144">
        <f t="shared" si="1430"/>
        <v>0</v>
      </c>
      <c r="BF608" s="144">
        <f t="shared" si="1430"/>
        <v>0</v>
      </c>
      <c r="BG608" s="141">
        <f t="shared" ref="BG608" si="1455">IF(BG168=0,0,BG511/BG168)</f>
        <v>0</v>
      </c>
    </row>
    <row r="609" spans="1:59" ht="13.5" hidden="1" customHeight="1" outlineLevel="1" x14ac:dyDescent="0.25">
      <c r="A609" s="65"/>
      <c r="B609" s="84" t="s">
        <v>55</v>
      </c>
      <c r="C609" s="46" t="s">
        <v>110</v>
      </c>
      <c r="D609" s="137">
        <f t="shared" si="1432"/>
        <v>0</v>
      </c>
      <c r="E609" s="137">
        <f t="shared" si="1432"/>
        <v>0</v>
      </c>
      <c r="F609" s="140">
        <f t="shared" si="1432"/>
        <v>0</v>
      </c>
      <c r="G609" s="138">
        <f t="shared" si="1432"/>
        <v>0</v>
      </c>
      <c r="H609" s="139">
        <f t="shared" si="1413"/>
        <v>0</v>
      </c>
      <c r="I609" s="140">
        <f t="shared" si="1433"/>
        <v>0</v>
      </c>
      <c r="J609" s="138">
        <f t="shared" si="1433"/>
        <v>0</v>
      </c>
      <c r="K609" s="139">
        <f t="shared" si="1414"/>
        <v>0</v>
      </c>
      <c r="L609" s="140">
        <f t="shared" si="1434"/>
        <v>0</v>
      </c>
      <c r="M609" s="138">
        <f t="shared" si="1434"/>
        <v>0</v>
      </c>
      <c r="N609" s="139">
        <f t="shared" si="1415"/>
        <v>0</v>
      </c>
      <c r="O609" s="140">
        <f t="shared" si="1435"/>
        <v>0</v>
      </c>
      <c r="P609" s="138">
        <f t="shared" si="1435"/>
        <v>0</v>
      </c>
      <c r="Q609" s="139">
        <f t="shared" si="1416"/>
        <v>0</v>
      </c>
      <c r="R609" s="140">
        <f t="shared" si="1436"/>
        <v>0</v>
      </c>
      <c r="S609" s="138">
        <f t="shared" si="1436"/>
        <v>0</v>
      </c>
      <c r="T609" s="139">
        <f t="shared" si="1417"/>
        <v>0</v>
      </c>
      <c r="U609" s="140">
        <f t="shared" si="1437"/>
        <v>0</v>
      </c>
      <c r="V609" s="138">
        <f t="shared" si="1437"/>
        <v>0</v>
      </c>
      <c r="W609" s="139">
        <f t="shared" si="1418"/>
        <v>0</v>
      </c>
      <c r="X609" s="140">
        <f t="shared" si="1438"/>
        <v>0</v>
      </c>
      <c r="Y609" s="138">
        <f t="shared" si="1438"/>
        <v>0</v>
      </c>
      <c r="Z609" s="139">
        <f t="shared" si="1419"/>
        <v>0</v>
      </c>
      <c r="AA609" s="140">
        <f t="shared" si="1439"/>
        <v>0</v>
      </c>
      <c r="AB609" s="138">
        <f t="shared" si="1439"/>
        <v>0</v>
      </c>
      <c r="AC609" s="139">
        <f t="shared" si="1420"/>
        <v>0</v>
      </c>
      <c r="AD609" s="140">
        <f t="shared" si="1440"/>
        <v>0</v>
      </c>
      <c r="AE609" s="138">
        <f t="shared" si="1440"/>
        <v>0</v>
      </c>
      <c r="AF609" s="139">
        <f t="shared" si="1421"/>
        <v>0</v>
      </c>
      <c r="AG609" s="140">
        <f t="shared" si="1441"/>
        <v>0</v>
      </c>
      <c r="AH609" s="138">
        <f t="shared" si="1441"/>
        <v>0</v>
      </c>
      <c r="AI609" s="139">
        <f t="shared" si="1422"/>
        <v>0</v>
      </c>
      <c r="AJ609" s="140">
        <f t="shared" si="1442"/>
        <v>0</v>
      </c>
      <c r="AK609" s="138">
        <f t="shared" si="1442"/>
        <v>0</v>
      </c>
      <c r="AL609" s="139">
        <f t="shared" si="1423"/>
        <v>0</v>
      </c>
      <c r="AM609" s="140">
        <f t="shared" si="1443"/>
        <v>0</v>
      </c>
      <c r="AN609" s="138">
        <f t="shared" si="1443"/>
        <v>0</v>
      </c>
      <c r="AO609" s="139">
        <f t="shared" si="1424"/>
        <v>0</v>
      </c>
      <c r="AP609" s="140">
        <f t="shared" si="1444"/>
        <v>0</v>
      </c>
      <c r="AQ609" s="138">
        <f t="shared" si="1444"/>
        <v>0</v>
      </c>
      <c r="AR609" s="139">
        <f t="shared" si="1425"/>
        <v>0</v>
      </c>
      <c r="AS609" s="140">
        <f t="shared" si="1445"/>
        <v>0</v>
      </c>
      <c r="AT609" s="138">
        <f t="shared" si="1445"/>
        <v>0</v>
      </c>
      <c r="AU609" s="139">
        <f t="shared" si="1426"/>
        <v>0</v>
      </c>
      <c r="AV609" s="140">
        <f t="shared" si="1446"/>
        <v>0</v>
      </c>
      <c r="AW609" s="138">
        <f t="shared" si="1446"/>
        <v>0</v>
      </c>
      <c r="AX609" s="139">
        <f t="shared" si="1427"/>
        <v>0</v>
      </c>
      <c r="AY609" s="138">
        <f t="shared" si="1447"/>
        <v>0</v>
      </c>
      <c r="AZ609" s="138">
        <f t="shared" si="1447"/>
        <v>0</v>
      </c>
      <c r="BA609" s="139">
        <f t="shared" si="1428"/>
        <v>0</v>
      </c>
      <c r="BB609" s="140">
        <f t="shared" si="1448"/>
        <v>0</v>
      </c>
      <c r="BC609" s="138">
        <f t="shared" si="1448"/>
        <v>0</v>
      </c>
      <c r="BD609" s="139">
        <f t="shared" si="1429"/>
        <v>0</v>
      </c>
      <c r="BE609" s="140">
        <f t="shared" si="1430"/>
        <v>0</v>
      </c>
      <c r="BF609" s="140">
        <f t="shared" si="1430"/>
        <v>0</v>
      </c>
      <c r="BG609" s="137">
        <f t="shared" ref="BG609" si="1456">IF(BG169=0,0,BG512/BG169)</f>
        <v>0</v>
      </c>
    </row>
    <row r="610" spans="1:59" ht="13.5" hidden="1" customHeight="1" outlineLevel="1" x14ac:dyDescent="0.25">
      <c r="A610" s="65"/>
      <c r="B610" s="99" t="s">
        <v>56</v>
      </c>
      <c r="C610" s="46" t="s">
        <v>110</v>
      </c>
      <c r="D610" s="137">
        <f t="shared" si="1432"/>
        <v>0</v>
      </c>
      <c r="E610" s="137">
        <f t="shared" si="1432"/>
        <v>0</v>
      </c>
      <c r="F610" s="140">
        <f t="shared" si="1432"/>
        <v>0</v>
      </c>
      <c r="G610" s="138">
        <f t="shared" si="1432"/>
        <v>0</v>
      </c>
      <c r="H610" s="139">
        <f t="shared" si="1413"/>
        <v>0</v>
      </c>
      <c r="I610" s="140">
        <f t="shared" si="1433"/>
        <v>0</v>
      </c>
      <c r="J610" s="138">
        <f t="shared" si="1433"/>
        <v>0</v>
      </c>
      <c r="K610" s="139">
        <f t="shared" si="1414"/>
        <v>0</v>
      </c>
      <c r="L610" s="140">
        <f t="shared" si="1434"/>
        <v>0</v>
      </c>
      <c r="M610" s="138">
        <f t="shared" si="1434"/>
        <v>0</v>
      </c>
      <c r="N610" s="139">
        <f t="shared" si="1415"/>
        <v>0</v>
      </c>
      <c r="O610" s="140">
        <f t="shared" si="1435"/>
        <v>0</v>
      </c>
      <c r="P610" s="138">
        <f t="shared" si="1435"/>
        <v>0</v>
      </c>
      <c r="Q610" s="139">
        <f t="shared" si="1416"/>
        <v>0</v>
      </c>
      <c r="R610" s="140">
        <f t="shared" si="1436"/>
        <v>0</v>
      </c>
      <c r="S610" s="138">
        <f t="shared" si="1436"/>
        <v>0</v>
      </c>
      <c r="T610" s="139">
        <f t="shared" si="1417"/>
        <v>0</v>
      </c>
      <c r="U610" s="140">
        <f t="shared" si="1437"/>
        <v>0</v>
      </c>
      <c r="V610" s="138">
        <f t="shared" si="1437"/>
        <v>0</v>
      </c>
      <c r="W610" s="139">
        <f t="shared" si="1418"/>
        <v>0</v>
      </c>
      <c r="X610" s="140">
        <f t="shared" si="1438"/>
        <v>0</v>
      </c>
      <c r="Y610" s="138">
        <f t="shared" si="1438"/>
        <v>0</v>
      </c>
      <c r="Z610" s="139">
        <f t="shared" si="1419"/>
        <v>0</v>
      </c>
      <c r="AA610" s="140">
        <f t="shared" si="1439"/>
        <v>0</v>
      </c>
      <c r="AB610" s="138">
        <f t="shared" si="1439"/>
        <v>0</v>
      </c>
      <c r="AC610" s="139">
        <f t="shared" si="1420"/>
        <v>0</v>
      </c>
      <c r="AD610" s="140">
        <f t="shared" si="1440"/>
        <v>0</v>
      </c>
      <c r="AE610" s="138">
        <f t="shared" si="1440"/>
        <v>0</v>
      </c>
      <c r="AF610" s="139">
        <f t="shared" si="1421"/>
        <v>0</v>
      </c>
      <c r="AG610" s="140">
        <f t="shared" si="1441"/>
        <v>0</v>
      </c>
      <c r="AH610" s="138">
        <f t="shared" si="1441"/>
        <v>0</v>
      </c>
      <c r="AI610" s="139">
        <f t="shared" si="1422"/>
        <v>0</v>
      </c>
      <c r="AJ610" s="140">
        <f t="shared" si="1442"/>
        <v>0</v>
      </c>
      <c r="AK610" s="138">
        <f t="shared" si="1442"/>
        <v>0</v>
      </c>
      <c r="AL610" s="139">
        <f t="shared" si="1423"/>
        <v>0</v>
      </c>
      <c r="AM610" s="140">
        <f t="shared" si="1443"/>
        <v>0</v>
      </c>
      <c r="AN610" s="138">
        <f t="shared" si="1443"/>
        <v>0</v>
      </c>
      <c r="AO610" s="139">
        <f t="shared" si="1424"/>
        <v>0</v>
      </c>
      <c r="AP610" s="140">
        <f t="shared" si="1444"/>
        <v>0</v>
      </c>
      <c r="AQ610" s="138">
        <f t="shared" si="1444"/>
        <v>0</v>
      </c>
      <c r="AR610" s="139">
        <f t="shared" si="1425"/>
        <v>0</v>
      </c>
      <c r="AS610" s="140">
        <f t="shared" si="1445"/>
        <v>0</v>
      </c>
      <c r="AT610" s="138">
        <f t="shared" si="1445"/>
        <v>0</v>
      </c>
      <c r="AU610" s="139">
        <f t="shared" si="1426"/>
        <v>0</v>
      </c>
      <c r="AV610" s="140">
        <f t="shared" si="1446"/>
        <v>0</v>
      </c>
      <c r="AW610" s="138">
        <f t="shared" si="1446"/>
        <v>0</v>
      </c>
      <c r="AX610" s="139">
        <f t="shared" si="1427"/>
        <v>0</v>
      </c>
      <c r="AY610" s="138">
        <f t="shared" si="1447"/>
        <v>0</v>
      </c>
      <c r="AZ610" s="138">
        <f t="shared" si="1447"/>
        <v>0</v>
      </c>
      <c r="BA610" s="139">
        <f t="shared" si="1428"/>
        <v>0</v>
      </c>
      <c r="BB610" s="140">
        <f t="shared" si="1448"/>
        <v>0</v>
      </c>
      <c r="BC610" s="138">
        <f t="shared" si="1448"/>
        <v>0</v>
      </c>
      <c r="BD610" s="139">
        <f t="shared" si="1429"/>
        <v>0</v>
      </c>
      <c r="BE610" s="140">
        <f t="shared" si="1430"/>
        <v>0</v>
      </c>
      <c r="BF610" s="140">
        <f t="shared" si="1430"/>
        <v>0</v>
      </c>
      <c r="BG610" s="137">
        <f t="shared" ref="BG610" si="1457">IF(BG170=0,0,BG513/BG170)</f>
        <v>0</v>
      </c>
    </row>
    <row r="611" spans="1:59" ht="13.5" hidden="1" customHeight="1" outlineLevel="1" x14ac:dyDescent="0.25">
      <c r="A611" s="65"/>
      <c r="B611" s="84" t="s">
        <v>57</v>
      </c>
      <c r="C611" s="46" t="s">
        <v>110</v>
      </c>
      <c r="D611" s="137">
        <f t="shared" si="1432"/>
        <v>0</v>
      </c>
      <c r="E611" s="137">
        <f t="shared" si="1432"/>
        <v>0</v>
      </c>
      <c r="F611" s="140">
        <f t="shared" si="1432"/>
        <v>0</v>
      </c>
      <c r="G611" s="138">
        <f t="shared" si="1432"/>
        <v>0</v>
      </c>
      <c r="H611" s="139">
        <f t="shared" si="1413"/>
        <v>0</v>
      </c>
      <c r="I611" s="140">
        <f t="shared" si="1433"/>
        <v>0</v>
      </c>
      <c r="J611" s="138">
        <f t="shared" si="1433"/>
        <v>0</v>
      </c>
      <c r="K611" s="139">
        <f t="shared" si="1414"/>
        <v>0</v>
      </c>
      <c r="L611" s="140">
        <f t="shared" si="1434"/>
        <v>0</v>
      </c>
      <c r="M611" s="138">
        <f t="shared" si="1434"/>
        <v>0</v>
      </c>
      <c r="N611" s="139">
        <f t="shared" si="1415"/>
        <v>0</v>
      </c>
      <c r="O611" s="140">
        <f t="shared" si="1435"/>
        <v>0</v>
      </c>
      <c r="P611" s="138">
        <f t="shared" si="1435"/>
        <v>0</v>
      </c>
      <c r="Q611" s="139">
        <f t="shared" si="1416"/>
        <v>0</v>
      </c>
      <c r="R611" s="140">
        <f t="shared" si="1436"/>
        <v>0</v>
      </c>
      <c r="S611" s="138">
        <f t="shared" si="1436"/>
        <v>0</v>
      </c>
      <c r="T611" s="139">
        <f t="shared" si="1417"/>
        <v>0</v>
      </c>
      <c r="U611" s="140">
        <f t="shared" si="1437"/>
        <v>0</v>
      </c>
      <c r="V611" s="138">
        <f t="shared" si="1437"/>
        <v>0</v>
      </c>
      <c r="W611" s="139">
        <f t="shared" si="1418"/>
        <v>0</v>
      </c>
      <c r="X611" s="140">
        <f t="shared" si="1438"/>
        <v>0</v>
      </c>
      <c r="Y611" s="138">
        <f t="shared" si="1438"/>
        <v>0</v>
      </c>
      <c r="Z611" s="139">
        <f t="shared" si="1419"/>
        <v>0</v>
      </c>
      <c r="AA611" s="140">
        <f t="shared" si="1439"/>
        <v>0</v>
      </c>
      <c r="AB611" s="138">
        <f t="shared" si="1439"/>
        <v>0</v>
      </c>
      <c r="AC611" s="139">
        <f t="shared" si="1420"/>
        <v>0</v>
      </c>
      <c r="AD611" s="140">
        <f t="shared" si="1440"/>
        <v>0</v>
      </c>
      <c r="AE611" s="138">
        <f t="shared" si="1440"/>
        <v>0</v>
      </c>
      <c r="AF611" s="139">
        <f t="shared" si="1421"/>
        <v>0</v>
      </c>
      <c r="AG611" s="140">
        <f t="shared" si="1441"/>
        <v>0</v>
      </c>
      <c r="AH611" s="138">
        <f t="shared" si="1441"/>
        <v>0</v>
      </c>
      <c r="AI611" s="139">
        <f t="shared" si="1422"/>
        <v>0</v>
      </c>
      <c r="AJ611" s="140">
        <f t="shared" si="1442"/>
        <v>0</v>
      </c>
      <c r="AK611" s="138">
        <f t="shared" si="1442"/>
        <v>0</v>
      </c>
      <c r="AL611" s="139">
        <f t="shared" si="1423"/>
        <v>0</v>
      </c>
      <c r="AM611" s="140">
        <f t="shared" si="1443"/>
        <v>0</v>
      </c>
      <c r="AN611" s="138">
        <f t="shared" si="1443"/>
        <v>0</v>
      </c>
      <c r="AO611" s="139">
        <f t="shared" si="1424"/>
        <v>0</v>
      </c>
      <c r="AP611" s="140">
        <f t="shared" si="1444"/>
        <v>0</v>
      </c>
      <c r="AQ611" s="138">
        <f t="shared" si="1444"/>
        <v>0</v>
      </c>
      <c r="AR611" s="139">
        <f t="shared" si="1425"/>
        <v>0</v>
      </c>
      <c r="AS611" s="140">
        <f t="shared" si="1445"/>
        <v>0</v>
      </c>
      <c r="AT611" s="138">
        <f t="shared" si="1445"/>
        <v>0</v>
      </c>
      <c r="AU611" s="139">
        <f t="shared" si="1426"/>
        <v>0</v>
      </c>
      <c r="AV611" s="140">
        <f t="shared" si="1446"/>
        <v>0</v>
      </c>
      <c r="AW611" s="138">
        <f t="shared" si="1446"/>
        <v>0</v>
      </c>
      <c r="AX611" s="139">
        <f t="shared" si="1427"/>
        <v>0</v>
      </c>
      <c r="AY611" s="138">
        <f t="shared" si="1447"/>
        <v>0</v>
      </c>
      <c r="AZ611" s="138">
        <f t="shared" si="1447"/>
        <v>0</v>
      </c>
      <c r="BA611" s="139">
        <f t="shared" si="1428"/>
        <v>0</v>
      </c>
      <c r="BB611" s="140">
        <f t="shared" si="1448"/>
        <v>0</v>
      </c>
      <c r="BC611" s="138">
        <f t="shared" si="1448"/>
        <v>0</v>
      </c>
      <c r="BD611" s="139">
        <f t="shared" si="1429"/>
        <v>0</v>
      </c>
      <c r="BE611" s="140">
        <f t="shared" si="1430"/>
        <v>0</v>
      </c>
      <c r="BF611" s="140">
        <f t="shared" si="1430"/>
        <v>0</v>
      </c>
      <c r="BG611" s="137">
        <f t="shared" ref="BG611" si="1458">IF(BG171=0,0,BG514/BG171)</f>
        <v>0</v>
      </c>
    </row>
    <row r="612" spans="1:59" ht="13.5" hidden="1" customHeight="1" outlineLevel="1" x14ac:dyDescent="0.25">
      <c r="A612" s="65"/>
      <c r="B612" s="99" t="s">
        <v>58</v>
      </c>
      <c r="C612" s="46" t="s">
        <v>110</v>
      </c>
      <c r="D612" s="137">
        <f t="shared" si="1432"/>
        <v>0</v>
      </c>
      <c r="E612" s="137">
        <f t="shared" si="1432"/>
        <v>0</v>
      </c>
      <c r="F612" s="140">
        <f t="shared" si="1432"/>
        <v>0</v>
      </c>
      <c r="G612" s="138">
        <f t="shared" si="1432"/>
        <v>0</v>
      </c>
      <c r="H612" s="139">
        <f t="shared" si="1413"/>
        <v>0</v>
      </c>
      <c r="I612" s="140">
        <f t="shared" si="1433"/>
        <v>0</v>
      </c>
      <c r="J612" s="138">
        <f t="shared" si="1433"/>
        <v>0</v>
      </c>
      <c r="K612" s="139">
        <f t="shared" si="1414"/>
        <v>0</v>
      </c>
      <c r="L612" s="140">
        <f t="shared" si="1434"/>
        <v>0</v>
      </c>
      <c r="M612" s="138">
        <f t="shared" si="1434"/>
        <v>0</v>
      </c>
      <c r="N612" s="139">
        <f t="shared" si="1415"/>
        <v>0</v>
      </c>
      <c r="O612" s="140">
        <f t="shared" si="1435"/>
        <v>0</v>
      </c>
      <c r="P612" s="138">
        <f t="shared" si="1435"/>
        <v>0</v>
      </c>
      <c r="Q612" s="139">
        <f t="shared" si="1416"/>
        <v>0</v>
      </c>
      <c r="R612" s="140">
        <f t="shared" si="1436"/>
        <v>0</v>
      </c>
      <c r="S612" s="138">
        <f t="shared" si="1436"/>
        <v>0</v>
      </c>
      <c r="T612" s="139">
        <f t="shared" si="1417"/>
        <v>0</v>
      </c>
      <c r="U612" s="140">
        <f t="shared" si="1437"/>
        <v>0</v>
      </c>
      <c r="V612" s="138">
        <f t="shared" si="1437"/>
        <v>0</v>
      </c>
      <c r="W612" s="139">
        <f t="shared" si="1418"/>
        <v>0</v>
      </c>
      <c r="X612" s="140">
        <f t="shared" si="1438"/>
        <v>0</v>
      </c>
      <c r="Y612" s="138">
        <f t="shared" si="1438"/>
        <v>0</v>
      </c>
      <c r="Z612" s="139">
        <f t="shared" si="1419"/>
        <v>0</v>
      </c>
      <c r="AA612" s="140">
        <f t="shared" si="1439"/>
        <v>0</v>
      </c>
      <c r="AB612" s="138">
        <f t="shared" si="1439"/>
        <v>0</v>
      </c>
      <c r="AC612" s="139">
        <f t="shared" si="1420"/>
        <v>0</v>
      </c>
      <c r="AD612" s="140">
        <f t="shared" si="1440"/>
        <v>0</v>
      </c>
      <c r="AE612" s="138">
        <f t="shared" si="1440"/>
        <v>0</v>
      </c>
      <c r="AF612" s="139">
        <f t="shared" si="1421"/>
        <v>0</v>
      </c>
      <c r="AG612" s="140">
        <f t="shared" si="1441"/>
        <v>0</v>
      </c>
      <c r="AH612" s="138">
        <f t="shared" si="1441"/>
        <v>0</v>
      </c>
      <c r="AI612" s="139">
        <f t="shared" si="1422"/>
        <v>0</v>
      </c>
      <c r="AJ612" s="140">
        <f t="shared" si="1442"/>
        <v>0</v>
      </c>
      <c r="AK612" s="138">
        <f t="shared" si="1442"/>
        <v>0</v>
      </c>
      <c r="AL612" s="139">
        <f t="shared" si="1423"/>
        <v>0</v>
      </c>
      <c r="AM612" s="140">
        <f t="shared" si="1443"/>
        <v>0</v>
      </c>
      <c r="AN612" s="138">
        <f t="shared" si="1443"/>
        <v>0</v>
      </c>
      <c r="AO612" s="139">
        <f t="shared" si="1424"/>
        <v>0</v>
      </c>
      <c r="AP612" s="140">
        <f t="shared" si="1444"/>
        <v>0</v>
      </c>
      <c r="AQ612" s="138">
        <f t="shared" si="1444"/>
        <v>0</v>
      </c>
      <c r="AR612" s="139">
        <f t="shared" si="1425"/>
        <v>0</v>
      </c>
      <c r="AS612" s="140">
        <f t="shared" si="1445"/>
        <v>0</v>
      </c>
      <c r="AT612" s="138">
        <f t="shared" si="1445"/>
        <v>0</v>
      </c>
      <c r="AU612" s="139">
        <f t="shared" si="1426"/>
        <v>0</v>
      </c>
      <c r="AV612" s="140">
        <f t="shared" si="1446"/>
        <v>0</v>
      </c>
      <c r="AW612" s="138">
        <f t="shared" si="1446"/>
        <v>0</v>
      </c>
      <c r="AX612" s="139">
        <f t="shared" si="1427"/>
        <v>0</v>
      </c>
      <c r="AY612" s="138">
        <f t="shared" si="1447"/>
        <v>0</v>
      </c>
      <c r="AZ612" s="138">
        <f t="shared" si="1447"/>
        <v>0</v>
      </c>
      <c r="BA612" s="139">
        <f t="shared" si="1428"/>
        <v>0</v>
      </c>
      <c r="BB612" s="140">
        <f t="shared" si="1448"/>
        <v>0</v>
      </c>
      <c r="BC612" s="138">
        <f t="shared" si="1448"/>
        <v>0</v>
      </c>
      <c r="BD612" s="139">
        <f t="shared" si="1429"/>
        <v>0</v>
      </c>
      <c r="BE612" s="140">
        <f t="shared" si="1430"/>
        <v>0</v>
      </c>
      <c r="BF612" s="140">
        <f t="shared" si="1430"/>
        <v>0</v>
      </c>
      <c r="BG612" s="137">
        <f t="shared" ref="BG612" si="1459">IF(BG172=0,0,BG515/BG172)</f>
        <v>0</v>
      </c>
    </row>
    <row r="613" spans="1:59" ht="13.5" hidden="1" customHeight="1" outlineLevel="1" x14ac:dyDescent="0.25">
      <c r="A613" s="65"/>
      <c r="B613" s="84" t="s">
        <v>59</v>
      </c>
      <c r="C613" s="46" t="s">
        <v>110</v>
      </c>
      <c r="D613" s="137">
        <f t="shared" si="1432"/>
        <v>0</v>
      </c>
      <c r="E613" s="137">
        <f t="shared" si="1432"/>
        <v>0</v>
      </c>
      <c r="F613" s="140">
        <f t="shared" si="1432"/>
        <v>0</v>
      </c>
      <c r="G613" s="138">
        <f t="shared" si="1432"/>
        <v>0</v>
      </c>
      <c r="H613" s="139">
        <f t="shared" si="1413"/>
        <v>0</v>
      </c>
      <c r="I613" s="140">
        <f t="shared" si="1433"/>
        <v>0</v>
      </c>
      <c r="J613" s="138">
        <f t="shared" si="1433"/>
        <v>0</v>
      </c>
      <c r="K613" s="139">
        <f t="shared" si="1414"/>
        <v>0</v>
      </c>
      <c r="L613" s="140">
        <f t="shared" si="1434"/>
        <v>0</v>
      </c>
      <c r="M613" s="138">
        <f t="shared" si="1434"/>
        <v>0</v>
      </c>
      <c r="N613" s="139">
        <f t="shared" si="1415"/>
        <v>0</v>
      </c>
      <c r="O613" s="140">
        <f t="shared" si="1435"/>
        <v>0</v>
      </c>
      <c r="P613" s="138">
        <f t="shared" si="1435"/>
        <v>0</v>
      </c>
      <c r="Q613" s="139">
        <f t="shared" si="1416"/>
        <v>0</v>
      </c>
      <c r="R613" s="140">
        <f t="shared" si="1436"/>
        <v>0</v>
      </c>
      <c r="S613" s="138">
        <f t="shared" si="1436"/>
        <v>0</v>
      </c>
      <c r="T613" s="139">
        <f t="shared" si="1417"/>
        <v>0</v>
      </c>
      <c r="U613" s="140">
        <f t="shared" si="1437"/>
        <v>0</v>
      </c>
      <c r="V613" s="138">
        <f t="shared" si="1437"/>
        <v>0</v>
      </c>
      <c r="W613" s="139">
        <f t="shared" si="1418"/>
        <v>0</v>
      </c>
      <c r="X613" s="140">
        <f t="shared" si="1438"/>
        <v>0</v>
      </c>
      <c r="Y613" s="138">
        <f t="shared" si="1438"/>
        <v>0</v>
      </c>
      <c r="Z613" s="139">
        <f t="shared" si="1419"/>
        <v>0</v>
      </c>
      <c r="AA613" s="140">
        <f t="shared" si="1439"/>
        <v>0</v>
      </c>
      <c r="AB613" s="138">
        <f t="shared" si="1439"/>
        <v>0</v>
      </c>
      <c r="AC613" s="139">
        <f t="shared" si="1420"/>
        <v>0</v>
      </c>
      <c r="AD613" s="140">
        <f t="shared" si="1440"/>
        <v>0</v>
      </c>
      <c r="AE613" s="138">
        <f t="shared" si="1440"/>
        <v>0</v>
      </c>
      <c r="AF613" s="139">
        <f t="shared" si="1421"/>
        <v>0</v>
      </c>
      <c r="AG613" s="140">
        <f t="shared" si="1441"/>
        <v>0</v>
      </c>
      <c r="AH613" s="138">
        <f t="shared" si="1441"/>
        <v>0</v>
      </c>
      <c r="AI613" s="139">
        <f t="shared" si="1422"/>
        <v>0</v>
      </c>
      <c r="AJ613" s="140">
        <f t="shared" si="1442"/>
        <v>0</v>
      </c>
      <c r="AK613" s="138">
        <f t="shared" si="1442"/>
        <v>0</v>
      </c>
      <c r="AL613" s="139">
        <f t="shared" si="1423"/>
        <v>0</v>
      </c>
      <c r="AM613" s="140">
        <f t="shared" si="1443"/>
        <v>0</v>
      </c>
      <c r="AN613" s="138">
        <f t="shared" si="1443"/>
        <v>0</v>
      </c>
      <c r="AO613" s="139">
        <f t="shared" si="1424"/>
        <v>0</v>
      </c>
      <c r="AP613" s="140">
        <f t="shared" si="1444"/>
        <v>0</v>
      </c>
      <c r="AQ613" s="138">
        <f t="shared" si="1444"/>
        <v>0</v>
      </c>
      <c r="AR613" s="139">
        <f t="shared" si="1425"/>
        <v>0</v>
      </c>
      <c r="AS613" s="140">
        <f t="shared" si="1445"/>
        <v>0</v>
      </c>
      <c r="AT613" s="138">
        <f t="shared" si="1445"/>
        <v>0</v>
      </c>
      <c r="AU613" s="139">
        <f t="shared" si="1426"/>
        <v>0</v>
      </c>
      <c r="AV613" s="140">
        <f t="shared" si="1446"/>
        <v>0</v>
      </c>
      <c r="AW613" s="138">
        <f t="shared" si="1446"/>
        <v>0</v>
      </c>
      <c r="AX613" s="139">
        <f t="shared" si="1427"/>
        <v>0</v>
      </c>
      <c r="AY613" s="138">
        <f t="shared" si="1447"/>
        <v>0</v>
      </c>
      <c r="AZ613" s="138">
        <f t="shared" si="1447"/>
        <v>0</v>
      </c>
      <c r="BA613" s="139">
        <f t="shared" si="1428"/>
        <v>0</v>
      </c>
      <c r="BB613" s="140">
        <f t="shared" si="1448"/>
        <v>0</v>
      </c>
      <c r="BC613" s="138">
        <f t="shared" si="1448"/>
        <v>0</v>
      </c>
      <c r="BD613" s="139">
        <f t="shared" si="1429"/>
        <v>0</v>
      </c>
      <c r="BE613" s="140">
        <f t="shared" si="1430"/>
        <v>0</v>
      </c>
      <c r="BF613" s="140">
        <f t="shared" si="1430"/>
        <v>0</v>
      </c>
      <c r="BG613" s="137">
        <f t="shared" ref="BG613" si="1460">IF(BG173=0,0,BG516/BG173)</f>
        <v>0</v>
      </c>
    </row>
    <row r="614" spans="1:59" ht="13.5" hidden="1" customHeight="1" outlineLevel="1" x14ac:dyDescent="0.25">
      <c r="A614" s="65"/>
      <c r="B614" s="99" t="s">
        <v>60</v>
      </c>
      <c r="C614" s="46" t="s">
        <v>110</v>
      </c>
      <c r="D614" s="137">
        <f t="shared" si="1432"/>
        <v>0</v>
      </c>
      <c r="E614" s="137">
        <f t="shared" si="1432"/>
        <v>0</v>
      </c>
      <c r="F614" s="140">
        <f t="shared" si="1432"/>
        <v>0</v>
      </c>
      <c r="G614" s="138">
        <f t="shared" si="1432"/>
        <v>0</v>
      </c>
      <c r="H614" s="139">
        <f t="shared" si="1413"/>
        <v>0</v>
      </c>
      <c r="I614" s="140">
        <f t="shared" si="1433"/>
        <v>0</v>
      </c>
      <c r="J614" s="138">
        <f t="shared" si="1433"/>
        <v>0</v>
      </c>
      <c r="K614" s="139">
        <f t="shared" si="1414"/>
        <v>0</v>
      </c>
      <c r="L614" s="140">
        <f t="shared" si="1434"/>
        <v>0</v>
      </c>
      <c r="M614" s="138">
        <f t="shared" si="1434"/>
        <v>0</v>
      </c>
      <c r="N614" s="139">
        <f t="shared" si="1415"/>
        <v>0</v>
      </c>
      <c r="O614" s="140">
        <f t="shared" si="1435"/>
        <v>0</v>
      </c>
      <c r="P614" s="138">
        <f t="shared" si="1435"/>
        <v>0</v>
      </c>
      <c r="Q614" s="139">
        <f t="shared" si="1416"/>
        <v>0</v>
      </c>
      <c r="R614" s="140">
        <f t="shared" si="1436"/>
        <v>0</v>
      </c>
      <c r="S614" s="138">
        <f t="shared" si="1436"/>
        <v>0</v>
      </c>
      <c r="T614" s="139">
        <f t="shared" si="1417"/>
        <v>0</v>
      </c>
      <c r="U614" s="140">
        <f t="shared" si="1437"/>
        <v>0</v>
      </c>
      <c r="V614" s="138">
        <f t="shared" si="1437"/>
        <v>0</v>
      </c>
      <c r="W614" s="139">
        <f t="shared" si="1418"/>
        <v>0</v>
      </c>
      <c r="X614" s="140">
        <f t="shared" si="1438"/>
        <v>0</v>
      </c>
      <c r="Y614" s="138">
        <f t="shared" si="1438"/>
        <v>0</v>
      </c>
      <c r="Z614" s="139">
        <f t="shared" si="1419"/>
        <v>0</v>
      </c>
      <c r="AA614" s="140">
        <f t="shared" si="1439"/>
        <v>0</v>
      </c>
      <c r="AB614" s="138">
        <f t="shared" si="1439"/>
        <v>0</v>
      </c>
      <c r="AC614" s="139">
        <f t="shared" si="1420"/>
        <v>0</v>
      </c>
      <c r="AD614" s="140">
        <f t="shared" si="1440"/>
        <v>0</v>
      </c>
      <c r="AE614" s="138">
        <f t="shared" si="1440"/>
        <v>0</v>
      </c>
      <c r="AF614" s="139">
        <f t="shared" si="1421"/>
        <v>0</v>
      </c>
      <c r="AG614" s="140">
        <f t="shared" si="1441"/>
        <v>0</v>
      </c>
      <c r="AH614" s="138">
        <f t="shared" si="1441"/>
        <v>0</v>
      </c>
      <c r="AI614" s="139">
        <f t="shared" si="1422"/>
        <v>0</v>
      </c>
      <c r="AJ614" s="140">
        <f t="shared" si="1442"/>
        <v>0</v>
      </c>
      <c r="AK614" s="138">
        <f t="shared" si="1442"/>
        <v>0</v>
      </c>
      <c r="AL614" s="139">
        <f t="shared" si="1423"/>
        <v>0</v>
      </c>
      <c r="AM614" s="140">
        <f t="shared" si="1443"/>
        <v>0</v>
      </c>
      <c r="AN614" s="138">
        <f t="shared" si="1443"/>
        <v>0</v>
      </c>
      <c r="AO614" s="139">
        <f t="shared" si="1424"/>
        <v>0</v>
      </c>
      <c r="AP614" s="140">
        <f t="shared" si="1444"/>
        <v>0</v>
      </c>
      <c r="AQ614" s="138">
        <f t="shared" si="1444"/>
        <v>0</v>
      </c>
      <c r="AR614" s="139">
        <f t="shared" si="1425"/>
        <v>0</v>
      </c>
      <c r="AS614" s="140">
        <f t="shared" si="1445"/>
        <v>0</v>
      </c>
      <c r="AT614" s="138">
        <f t="shared" si="1445"/>
        <v>0</v>
      </c>
      <c r="AU614" s="139">
        <f t="shared" si="1426"/>
        <v>0</v>
      </c>
      <c r="AV614" s="140">
        <f t="shared" si="1446"/>
        <v>0</v>
      </c>
      <c r="AW614" s="138">
        <f t="shared" si="1446"/>
        <v>0</v>
      </c>
      <c r="AX614" s="139">
        <f t="shared" si="1427"/>
        <v>0</v>
      </c>
      <c r="AY614" s="138">
        <f t="shared" si="1447"/>
        <v>0</v>
      </c>
      <c r="AZ614" s="138">
        <f t="shared" si="1447"/>
        <v>0</v>
      </c>
      <c r="BA614" s="139">
        <f t="shared" si="1428"/>
        <v>0</v>
      </c>
      <c r="BB614" s="140">
        <f t="shared" si="1448"/>
        <v>0</v>
      </c>
      <c r="BC614" s="138">
        <f t="shared" si="1448"/>
        <v>0</v>
      </c>
      <c r="BD614" s="139">
        <f t="shared" si="1429"/>
        <v>0</v>
      </c>
      <c r="BE614" s="140">
        <f t="shared" si="1430"/>
        <v>0</v>
      </c>
      <c r="BF614" s="140">
        <f t="shared" si="1430"/>
        <v>0</v>
      </c>
      <c r="BG614" s="137">
        <f t="shared" ref="BG614" si="1461">IF(BG174=0,0,BG517/BG174)</f>
        <v>0</v>
      </c>
    </row>
    <row r="615" spans="1:59" ht="13.5" hidden="1" customHeight="1" outlineLevel="1" x14ac:dyDescent="0.25">
      <c r="A615" s="65"/>
      <c r="B615" s="84" t="s">
        <v>61</v>
      </c>
      <c r="C615" s="46" t="s">
        <v>110</v>
      </c>
      <c r="D615" s="137">
        <f t="shared" si="1432"/>
        <v>0</v>
      </c>
      <c r="E615" s="137">
        <f t="shared" si="1432"/>
        <v>0</v>
      </c>
      <c r="F615" s="140">
        <f t="shared" si="1432"/>
        <v>0</v>
      </c>
      <c r="G615" s="138">
        <f t="shared" si="1432"/>
        <v>0</v>
      </c>
      <c r="H615" s="139">
        <f t="shared" si="1413"/>
        <v>0</v>
      </c>
      <c r="I615" s="140">
        <f t="shared" si="1433"/>
        <v>0</v>
      </c>
      <c r="J615" s="138">
        <f t="shared" si="1433"/>
        <v>0</v>
      </c>
      <c r="K615" s="139">
        <f t="shared" si="1414"/>
        <v>0</v>
      </c>
      <c r="L615" s="140">
        <f t="shared" si="1434"/>
        <v>0</v>
      </c>
      <c r="M615" s="138">
        <f t="shared" si="1434"/>
        <v>0</v>
      </c>
      <c r="N615" s="139">
        <f t="shared" si="1415"/>
        <v>0</v>
      </c>
      <c r="O615" s="140">
        <f t="shared" si="1435"/>
        <v>0</v>
      </c>
      <c r="P615" s="138">
        <f t="shared" si="1435"/>
        <v>0</v>
      </c>
      <c r="Q615" s="139">
        <f t="shared" si="1416"/>
        <v>0</v>
      </c>
      <c r="R615" s="140">
        <f t="shared" si="1436"/>
        <v>0</v>
      </c>
      <c r="S615" s="138">
        <f t="shared" si="1436"/>
        <v>0</v>
      </c>
      <c r="T615" s="139">
        <f t="shared" si="1417"/>
        <v>0</v>
      </c>
      <c r="U615" s="140">
        <f t="shared" si="1437"/>
        <v>0</v>
      </c>
      <c r="V615" s="138">
        <f t="shared" si="1437"/>
        <v>0</v>
      </c>
      <c r="W615" s="139">
        <f t="shared" si="1418"/>
        <v>0</v>
      </c>
      <c r="X615" s="140">
        <f t="shared" si="1438"/>
        <v>0</v>
      </c>
      <c r="Y615" s="138">
        <f t="shared" si="1438"/>
        <v>0</v>
      </c>
      <c r="Z615" s="139">
        <f t="shared" si="1419"/>
        <v>0</v>
      </c>
      <c r="AA615" s="140">
        <f t="shared" si="1439"/>
        <v>0</v>
      </c>
      <c r="AB615" s="138">
        <f t="shared" si="1439"/>
        <v>0</v>
      </c>
      <c r="AC615" s="139">
        <f t="shared" si="1420"/>
        <v>0</v>
      </c>
      <c r="AD615" s="140">
        <f t="shared" si="1440"/>
        <v>0</v>
      </c>
      <c r="AE615" s="138">
        <f t="shared" si="1440"/>
        <v>0</v>
      </c>
      <c r="AF615" s="139">
        <f t="shared" si="1421"/>
        <v>0</v>
      </c>
      <c r="AG615" s="140">
        <f t="shared" si="1441"/>
        <v>0</v>
      </c>
      <c r="AH615" s="138">
        <f t="shared" si="1441"/>
        <v>0</v>
      </c>
      <c r="AI615" s="139">
        <f t="shared" si="1422"/>
        <v>0</v>
      </c>
      <c r="AJ615" s="140">
        <f t="shared" si="1442"/>
        <v>0</v>
      </c>
      <c r="AK615" s="138">
        <f t="shared" si="1442"/>
        <v>0</v>
      </c>
      <c r="AL615" s="139">
        <f t="shared" si="1423"/>
        <v>0</v>
      </c>
      <c r="AM615" s="140">
        <f t="shared" si="1443"/>
        <v>0</v>
      </c>
      <c r="AN615" s="138">
        <f t="shared" si="1443"/>
        <v>0</v>
      </c>
      <c r="AO615" s="139">
        <f t="shared" si="1424"/>
        <v>0</v>
      </c>
      <c r="AP615" s="140">
        <f t="shared" si="1444"/>
        <v>0</v>
      </c>
      <c r="AQ615" s="138">
        <f t="shared" si="1444"/>
        <v>0</v>
      </c>
      <c r="AR615" s="139">
        <f t="shared" si="1425"/>
        <v>0</v>
      </c>
      <c r="AS615" s="140">
        <f t="shared" si="1445"/>
        <v>0</v>
      </c>
      <c r="AT615" s="138">
        <f t="shared" si="1445"/>
        <v>0</v>
      </c>
      <c r="AU615" s="139">
        <f t="shared" si="1426"/>
        <v>0</v>
      </c>
      <c r="AV615" s="140">
        <f t="shared" si="1446"/>
        <v>0</v>
      </c>
      <c r="AW615" s="138">
        <f t="shared" si="1446"/>
        <v>0</v>
      </c>
      <c r="AX615" s="139">
        <f t="shared" si="1427"/>
        <v>0</v>
      </c>
      <c r="AY615" s="138">
        <f t="shared" si="1447"/>
        <v>0</v>
      </c>
      <c r="AZ615" s="138">
        <f t="shared" si="1447"/>
        <v>0</v>
      </c>
      <c r="BA615" s="139">
        <f t="shared" si="1428"/>
        <v>0</v>
      </c>
      <c r="BB615" s="140">
        <f t="shared" si="1448"/>
        <v>0</v>
      </c>
      <c r="BC615" s="138">
        <f t="shared" si="1448"/>
        <v>0</v>
      </c>
      <c r="BD615" s="139">
        <f t="shared" si="1429"/>
        <v>0</v>
      </c>
      <c r="BE615" s="140">
        <f t="shared" si="1430"/>
        <v>0</v>
      </c>
      <c r="BF615" s="140">
        <f t="shared" si="1430"/>
        <v>0</v>
      </c>
      <c r="BG615" s="137">
        <f t="shared" ref="BG615" si="1462">IF(BG175=0,0,BG518/BG175)</f>
        <v>0</v>
      </c>
    </row>
    <row r="616" spans="1:59" s="210" customFormat="1" ht="13.5" customHeight="1" collapsed="1" thickBot="1" x14ac:dyDescent="0.3">
      <c r="A616" s="85"/>
      <c r="B616" s="95" t="s">
        <v>62</v>
      </c>
      <c r="C616" s="58" t="s">
        <v>110</v>
      </c>
      <c r="D616" s="133">
        <f t="shared" si="1432"/>
        <v>0</v>
      </c>
      <c r="E616" s="133">
        <f t="shared" si="1432"/>
        <v>0</v>
      </c>
      <c r="F616" s="136">
        <f t="shared" si="1432"/>
        <v>0</v>
      </c>
      <c r="G616" s="134">
        <f t="shared" si="1432"/>
        <v>0</v>
      </c>
      <c r="H616" s="135">
        <f t="shared" si="1413"/>
        <v>0</v>
      </c>
      <c r="I616" s="136">
        <f t="shared" si="1433"/>
        <v>0</v>
      </c>
      <c r="J616" s="134">
        <f t="shared" si="1433"/>
        <v>0</v>
      </c>
      <c r="K616" s="135">
        <f t="shared" si="1414"/>
        <v>0</v>
      </c>
      <c r="L616" s="136">
        <f t="shared" si="1434"/>
        <v>0</v>
      </c>
      <c r="M616" s="134">
        <f t="shared" si="1434"/>
        <v>0</v>
      </c>
      <c r="N616" s="135">
        <f t="shared" si="1415"/>
        <v>0</v>
      </c>
      <c r="O616" s="136">
        <f t="shared" si="1435"/>
        <v>0</v>
      </c>
      <c r="P616" s="134">
        <f t="shared" si="1435"/>
        <v>0</v>
      </c>
      <c r="Q616" s="135">
        <f t="shared" si="1416"/>
        <v>0</v>
      </c>
      <c r="R616" s="136">
        <f t="shared" si="1436"/>
        <v>0</v>
      </c>
      <c r="S616" s="134">
        <f t="shared" si="1436"/>
        <v>0</v>
      </c>
      <c r="T616" s="135">
        <f t="shared" si="1417"/>
        <v>0</v>
      </c>
      <c r="U616" s="136">
        <f t="shared" si="1437"/>
        <v>0</v>
      </c>
      <c r="V616" s="134">
        <f t="shared" si="1437"/>
        <v>0</v>
      </c>
      <c r="W616" s="135">
        <f t="shared" si="1418"/>
        <v>0</v>
      </c>
      <c r="X616" s="136">
        <f t="shared" si="1438"/>
        <v>0</v>
      </c>
      <c r="Y616" s="134">
        <f t="shared" si="1438"/>
        <v>0</v>
      </c>
      <c r="Z616" s="135">
        <f t="shared" si="1419"/>
        <v>0</v>
      </c>
      <c r="AA616" s="136">
        <f t="shared" si="1439"/>
        <v>0</v>
      </c>
      <c r="AB616" s="134">
        <f t="shared" si="1439"/>
        <v>0</v>
      </c>
      <c r="AC616" s="135">
        <f t="shared" si="1420"/>
        <v>0</v>
      </c>
      <c r="AD616" s="136">
        <f t="shared" si="1440"/>
        <v>0</v>
      </c>
      <c r="AE616" s="134">
        <f t="shared" si="1440"/>
        <v>0</v>
      </c>
      <c r="AF616" s="135">
        <f t="shared" si="1421"/>
        <v>0</v>
      </c>
      <c r="AG616" s="136">
        <f t="shared" si="1441"/>
        <v>0</v>
      </c>
      <c r="AH616" s="134">
        <f t="shared" si="1441"/>
        <v>0</v>
      </c>
      <c r="AI616" s="135">
        <f t="shared" si="1422"/>
        <v>0</v>
      </c>
      <c r="AJ616" s="136">
        <f t="shared" si="1442"/>
        <v>0</v>
      </c>
      <c r="AK616" s="134">
        <f t="shared" si="1442"/>
        <v>0</v>
      </c>
      <c r="AL616" s="135">
        <f t="shared" si="1423"/>
        <v>0</v>
      </c>
      <c r="AM616" s="136">
        <f t="shared" si="1443"/>
        <v>0</v>
      </c>
      <c r="AN616" s="134">
        <f t="shared" si="1443"/>
        <v>0</v>
      </c>
      <c r="AO616" s="135">
        <f t="shared" si="1424"/>
        <v>0</v>
      </c>
      <c r="AP616" s="136">
        <f t="shared" si="1444"/>
        <v>0</v>
      </c>
      <c r="AQ616" s="134">
        <f t="shared" si="1444"/>
        <v>0</v>
      </c>
      <c r="AR616" s="135">
        <f t="shared" si="1425"/>
        <v>0</v>
      </c>
      <c r="AS616" s="136">
        <f t="shared" si="1445"/>
        <v>0</v>
      </c>
      <c r="AT616" s="134">
        <f t="shared" si="1445"/>
        <v>0</v>
      </c>
      <c r="AU616" s="135">
        <f t="shared" si="1426"/>
        <v>0</v>
      </c>
      <c r="AV616" s="136">
        <f t="shared" si="1446"/>
        <v>0</v>
      </c>
      <c r="AW616" s="134">
        <f t="shared" si="1446"/>
        <v>0</v>
      </c>
      <c r="AX616" s="135">
        <f t="shared" si="1427"/>
        <v>0</v>
      </c>
      <c r="AY616" s="134">
        <f t="shared" si="1447"/>
        <v>0</v>
      </c>
      <c r="AZ616" s="134">
        <f t="shared" si="1447"/>
        <v>0</v>
      </c>
      <c r="BA616" s="135">
        <f t="shared" si="1428"/>
        <v>0</v>
      </c>
      <c r="BB616" s="136">
        <f t="shared" si="1448"/>
        <v>0</v>
      </c>
      <c r="BC616" s="134">
        <f t="shared" si="1448"/>
        <v>0</v>
      </c>
      <c r="BD616" s="135">
        <f t="shared" si="1429"/>
        <v>0</v>
      </c>
      <c r="BE616" s="136">
        <f t="shared" ref="BE616:BF617" si="1463">IF(BE176=0,0,BE519/BE176)</f>
        <v>0</v>
      </c>
      <c r="BF616" s="136">
        <f t="shared" si="1463"/>
        <v>0</v>
      </c>
      <c r="BG616" s="133">
        <f t="shared" ref="BG616" si="1464">IF(BG176=0,0,BG519/BG176)</f>
        <v>0</v>
      </c>
    </row>
    <row r="617" spans="1:59" ht="13.5" hidden="1" customHeight="1" outlineLevel="1" thickBot="1" x14ac:dyDescent="0.3">
      <c r="A617" s="50"/>
      <c r="B617" s="84" t="s">
        <v>63</v>
      </c>
      <c r="C617" s="9" t="s">
        <v>110</v>
      </c>
      <c r="D617" s="129">
        <f t="shared" si="1432"/>
        <v>0</v>
      </c>
      <c r="E617" s="129">
        <f t="shared" si="1432"/>
        <v>0</v>
      </c>
      <c r="F617" s="132">
        <f t="shared" si="1432"/>
        <v>0</v>
      </c>
      <c r="G617" s="130">
        <f t="shared" si="1432"/>
        <v>0</v>
      </c>
      <c r="H617" s="131">
        <f t="shared" ref="H617:H632" si="1465">G617-F617</f>
        <v>0</v>
      </c>
      <c r="I617" s="132">
        <f t="shared" si="1433"/>
        <v>0</v>
      </c>
      <c r="J617" s="130">
        <f t="shared" si="1433"/>
        <v>0</v>
      </c>
      <c r="K617" s="131">
        <f t="shared" ref="K617:K632" si="1466">J617-I617</f>
        <v>0</v>
      </c>
      <c r="L617" s="132">
        <f t="shared" si="1434"/>
        <v>0</v>
      </c>
      <c r="M617" s="130">
        <f t="shared" si="1434"/>
        <v>0</v>
      </c>
      <c r="N617" s="131">
        <f t="shared" ref="N617:N632" si="1467">M617-L617</f>
        <v>0</v>
      </c>
      <c r="O617" s="132">
        <f t="shared" si="1435"/>
        <v>0</v>
      </c>
      <c r="P617" s="130">
        <f t="shared" si="1435"/>
        <v>0</v>
      </c>
      <c r="Q617" s="131">
        <f t="shared" ref="Q617:Q632" si="1468">P617-O617</f>
        <v>0</v>
      </c>
      <c r="R617" s="132">
        <f t="shared" si="1436"/>
        <v>0</v>
      </c>
      <c r="S617" s="130">
        <f t="shared" si="1436"/>
        <v>0</v>
      </c>
      <c r="T617" s="131">
        <f t="shared" ref="T617:T632" si="1469">S617-R617</f>
        <v>0</v>
      </c>
      <c r="U617" s="132">
        <f t="shared" si="1437"/>
        <v>0</v>
      </c>
      <c r="V617" s="130">
        <f t="shared" si="1437"/>
        <v>0</v>
      </c>
      <c r="W617" s="131">
        <f t="shared" ref="W617:W632" si="1470">V617-U617</f>
        <v>0</v>
      </c>
      <c r="X617" s="132">
        <f t="shared" si="1438"/>
        <v>0</v>
      </c>
      <c r="Y617" s="130">
        <f t="shared" si="1438"/>
        <v>0</v>
      </c>
      <c r="Z617" s="131">
        <f t="shared" ref="Z617:Z632" si="1471">Y617-X617</f>
        <v>0</v>
      </c>
      <c r="AA617" s="132">
        <f t="shared" si="1439"/>
        <v>0</v>
      </c>
      <c r="AB617" s="130">
        <f t="shared" si="1439"/>
        <v>0</v>
      </c>
      <c r="AC617" s="131">
        <f t="shared" ref="AC617:AC632" si="1472">AB617-AA617</f>
        <v>0</v>
      </c>
      <c r="AD617" s="132">
        <f t="shared" si="1440"/>
        <v>0</v>
      </c>
      <c r="AE617" s="130">
        <f t="shared" si="1440"/>
        <v>0</v>
      </c>
      <c r="AF617" s="131">
        <f t="shared" ref="AF617:AF632" si="1473">AE617-AD617</f>
        <v>0</v>
      </c>
      <c r="AG617" s="132">
        <f t="shared" si="1441"/>
        <v>0</v>
      </c>
      <c r="AH617" s="130">
        <f t="shared" si="1441"/>
        <v>0</v>
      </c>
      <c r="AI617" s="131">
        <f t="shared" ref="AI617:AI632" si="1474">AH617-AG617</f>
        <v>0</v>
      </c>
      <c r="AJ617" s="132">
        <f t="shared" si="1442"/>
        <v>0</v>
      </c>
      <c r="AK617" s="130">
        <f t="shared" si="1442"/>
        <v>0</v>
      </c>
      <c r="AL617" s="131">
        <f t="shared" ref="AL617:AL632" si="1475">AK617-AJ617</f>
        <v>0</v>
      </c>
      <c r="AM617" s="132">
        <f t="shared" si="1443"/>
        <v>0</v>
      </c>
      <c r="AN617" s="130">
        <f t="shared" si="1443"/>
        <v>0</v>
      </c>
      <c r="AO617" s="131">
        <f t="shared" ref="AO617:AO632" si="1476">AN617-AM617</f>
        <v>0</v>
      </c>
      <c r="AP617" s="132">
        <f t="shared" si="1444"/>
        <v>0</v>
      </c>
      <c r="AQ617" s="130">
        <f t="shared" si="1444"/>
        <v>0</v>
      </c>
      <c r="AR617" s="131">
        <f t="shared" ref="AR617:AR632" si="1477">AQ617-AP617</f>
        <v>0</v>
      </c>
      <c r="AS617" s="132">
        <f t="shared" si="1445"/>
        <v>0</v>
      </c>
      <c r="AT617" s="130">
        <f t="shared" si="1445"/>
        <v>0</v>
      </c>
      <c r="AU617" s="131">
        <f t="shared" ref="AU617:AU632" si="1478">AT617-AS617</f>
        <v>0</v>
      </c>
      <c r="AV617" s="132">
        <f t="shared" si="1446"/>
        <v>0</v>
      </c>
      <c r="AW617" s="130">
        <f t="shared" si="1446"/>
        <v>0</v>
      </c>
      <c r="AX617" s="131">
        <f t="shared" ref="AX617:AX632" si="1479">AW617-AV617</f>
        <v>0</v>
      </c>
      <c r="AY617" s="130">
        <f t="shared" si="1447"/>
        <v>0</v>
      </c>
      <c r="AZ617" s="130">
        <f t="shared" si="1447"/>
        <v>0</v>
      </c>
      <c r="BA617" s="131">
        <f t="shared" ref="BA617:BA632" si="1480">AZ617-AY617</f>
        <v>0</v>
      </c>
      <c r="BB617" s="132">
        <f t="shared" si="1448"/>
        <v>0</v>
      </c>
      <c r="BC617" s="130">
        <f t="shared" si="1448"/>
        <v>0</v>
      </c>
      <c r="BD617" s="131">
        <f t="shared" ref="BD617:BD632" si="1481">BC617-BB617</f>
        <v>0</v>
      </c>
      <c r="BE617" s="132">
        <f t="shared" si="1463"/>
        <v>0</v>
      </c>
      <c r="BF617" s="132">
        <f t="shared" si="1463"/>
        <v>0</v>
      </c>
      <c r="BG617" s="129">
        <f t="shared" ref="BG617" si="1482">IF(BG177=0,0,BG520/BG177)</f>
        <v>0</v>
      </c>
    </row>
    <row r="618" spans="1:59" ht="13.5" customHeight="1" collapsed="1" thickBot="1" x14ac:dyDescent="0.3">
      <c r="A618" s="45" t="s">
        <v>130</v>
      </c>
      <c r="B618" s="44" t="s">
        <v>131</v>
      </c>
      <c r="C618" s="43" t="s">
        <v>110</v>
      </c>
      <c r="D618" s="125">
        <f>IF(D146=0,0,D521/D146)</f>
        <v>0</v>
      </c>
      <c r="E618" s="125">
        <f>IF(E146=0,0,E521/E146)</f>
        <v>0</v>
      </c>
      <c r="F618" s="128">
        <f>IF(F146=0,0,F521/F146)</f>
        <v>0</v>
      </c>
      <c r="G618" s="126">
        <f>IF(G146=0,0,G521/G146)</f>
        <v>0</v>
      </c>
      <c r="H618" s="127">
        <f t="shared" si="1465"/>
        <v>0</v>
      </c>
      <c r="I618" s="128">
        <f>IF(I146=0,0,I521/I146)</f>
        <v>0</v>
      </c>
      <c r="J618" s="126">
        <f>IF(J146=0,0,J521/J146)</f>
        <v>0</v>
      </c>
      <c r="K618" s="127">
        <f t="shared" si="1466"/>
        <v>0</v>
      </c>
      <c r="L618" s="128">
        <f>IF(L146=0,0,L521/L146)</f>
        <v>0</v>
      </c>
      <c r="M618" s="126">
        <f>IF(M146=0,0,M521/M146)</f>
        <v>0</v>
      </c>
      <c r="N618" s="127">
        <f t="shared" si="1467"/>
        <v>0</v>
      </c>
      <c r="O618" s="128">
        <f>IF(O146=0,0,O521/O146)</f>
        <v>0</v>
      </c>
      <c r="P618" s="126">
        <f>IF(P146=0,0,P521/P146)</f>
        <v>0</v>
      </c>
      <c r="Q618" s="127">
        <f t="shared" si="1468"/>
        <v>0</v>
      </c>
      <c r="R618" s="128">
        <f>IF(R146=0,0,R521/R146)</f>
        <v>0</v>
      </c>
      <c r="S618" s="126">
        <f>IF(S146=0,0,S521/S146)</f>
        <v>0</v>
      </c>
      <c r="T618" s="127">
        <f t="shared" si="1469"/>
        <v>0</v>
      </c>
      <c r="U618" s="128">
        <f>IF(U146=0,0,U521/U146)</f>
        <v>0</v>
      </c>
      <c r="V618" s="126">
        <f>IF(V146=0,0,V521/V146)</f>
        <v>0</v>
      </c>
      <c r="W618" s="127">
        <f t="shared" si="1470"/>
        <v>0</v>
      </c>
      <c r="X618" s="128">
        <f>IF(X146=0,0,X521/X146)</f>
        <v>0</v>
      </c>
      <c r="Y618" s="126">
        <f>IF(Y146=0,0,Y521/Y146)</f>
        <v>0</v>
      </c>
      <c r="Z618" s="127">
        <f t="shared" si="1471"/>
        <v>0</v>
      </c>
      <c r="AA618" s="128">
        <f>IF(AA146=0,0,AA521/AA146)</f>
        <v>0</v>
      </c>
      <c r="AB618" s="126">
        <f>IF(AB146=0,0,AB521/AB146)</f>
        <v>0</v>
      </c>
      <c r="AC618" s="127">
        <f t="shared" si="1472"/>
        <v>0</v>
      </c>
      <c r="AD618" s="128">
        <f>IF(AD146=0,0,AD521/AD146)</f>
        <v>0</v>
      </c>
      <c r="AE618" s="126">
        <f>IF(AE146=0,0,AE521/AE146)</f>
        <v>0</v>
      </c>
      <c r="AF618" s="127">
        <f t="shared" si="1473"/>
        <v>0</v>
      </c>
      <c r="AG618" s="128">
        <f>IF(AG146=0,0,AG521/AG146)</f>
        <v>0</v>
      </c>
      <c r="AH618" s="126">
        <f>IF(AH146=0,0,AH521/AH146)</f>
        <v>0</v>
      </c>
      <c r="AI618" s="127">
        <f t="shared" si="1474"/>
        <v>0</v>
      </c>
      <c r="AJ618" s="128">
        <f>IF(AJ146=0,0,AJ521/AJ146)</f>
        <v>0</v>
      </c>
      <c r="AK618" s="126">
        <f>IF(AK146=0,0,AK521/AK146)</f>
        <v>0</v>
      </c>
      <c r="AL618" s="127">
        <f t="shared" si="1475"/>
        <v>0</v>
      </c>
      <c r="AM618" s="128">
        <f>IF(AM146=0,0,AM521/AM146)</f>
        <v>0</v>
      </c>
      <c r="AN618" s="126">
        <f>IF(AN146=0,0,AN521/AN146)</f>
        <v>0</v>
      </c>
      <c r="AO618" s="127">
        <f t="shared" si="1476"/>
        <v>0</v>
      </c>
      <c r="AP618" s="128">
        <f>IF(AP146=0,0,AP521/AP146)</f>
        <v>0</v>
      </c>
      <c r="AQ618" s="126">
        <f>IF(AQ146=0,0,AQ521/AQ146)</f>
        <v>0</v>
      </c>
      <c r="AR618" s="127">
        <f t="shared" si="1477"/>
        <v>0</v>
      </c>
      <c r="AS618" s="128">
        <f>IF(AS146=0,0,AS521/AS146)</f>
        <v>0</v>
      </c>
      <c r="AT618" s="126">
        <f>IF(AT146=0,0,AT521/AT146)</f>
        <v>0</v>
      </c>
      <c r="AU618" s="127">
        <f t="shared" si="1478"/>
        <v>0</v>
      </c>
      <c r="AV618" s="128">
        <f>IF(AV146=0,0,AV521/AV146)</f>
        <v>0</v>
      </c>
      <c r="AW618" s="126">
        <f>IF(AW146=0,0,AW521/AW146)</f>
        <v>0</v>
      </c>
      <c r="AX618" s="127">
        <f t="shared" si="1479"/>
        <v>0</v>
      </c>
      <c r="AY618" s="126">
        <f>IF(AY146=0,0,AY521/AY146)</f>
        <v>0</v>
      </c>
      <c r="AZ618" s="126">
        <f>IF(AZ146=0,0,AZ521/AZ146)</f>
        <v>0</v>
      </c>
      <c r="BA618" s="127">
        <f t="shared" si="1480"/>
        <v>0</v>
      </c>
      <c r="BB618" s="128">
        <f>IF(BB146=0,0,BB521/BB146)</f>
        <v>0</v>
      </c>
      <c r="BC618" s="126">
        <f>IF(BC146=0,0,BC521/BC146)</f>
        <v>0</v>
      </c>
      <c r="BD618" s="127">
        <f t="shared" si="1481"/>
        <v>0</v>
      </c>
      <c r="BE618" s="128">
        <f t="shared" ref="BE618:BF618" si="1483">IF(BE146=0,0,BE521/BE146)</f>
        <v>0</v>
      </c>
      <c r="BF618" s="128">
        <f t="shared" si="1483"/>
        <v>0</v>
      </c>
      <c r="BG618" s="125">
        <f t="shared" ref="BG618" si="1484">IF(BG146=0,0,BG521/BG146)</f>
        <v>0</v>
      </c>
    </row>
    <row r="619" spans="1:59" ht="13.5" customHeight="1" x14ac:dyDescent="0.25">
      <c r="A619" s="47" t="s">
        <v>132</v>
      </c>
      <c r="B619" s="105" t="s">
        <v>133</v>
      </c>
      <c r="C619" s="104" t="s">
        <v>110</v>
      </c>
      <c r="D619" s="149">
        <f t="shared" ref="D619:G634" si="1485">IF(D146=0,0,D522/D146)</f>
        <v>0</v>
      </c>
      <c r="E619" s="149">
        <f t="shared" si="1485"/>
        <v>0</v>
      </c>
      <c r="F619" s="152">
        <f t="shared" si="1485"/>
        <v>0</v>
      </c>
      <c r="G619" s="150">
        <f t="shared" si="1485"/>
        <v>0</v>
      </c>
      <c r="H619" s="151">
        <f t="shared" si="1465"/>
        <v>0</v>
      </c>
      <c r="I619" s="152">
        <f t="shared" ref="I619:J634" si="1486">IF(I146=0,0,I522/I146)</f>
        <v>0</v>
      </c>
      <c r="J619" s="150">
        <f t="shared" si="1486"/>
        <v>0</v>
      </c>
      <c r="K619" s="151">
        <f t="shared" si="1466"/>
        <v>0</v>
      </c>
      <c r="L619" s="152">
        <f t="shared" ref="L619:M634" si="1487">IF(L146=0,0,L522/L146)</f>
        <v>0</v>
      </c>
      <c r="M619" s="150">
        <f t="shared" si="1487"/>
        <v>0</v>
      </c>
      <c r="N619" s="151">
        <f t="shared" si="1467"/>
        <v>0</v>
      </c>
      <c r="O619" s="152">
        <f t="shared" ref="O619:P634" si="1488">IF(O146=0,0,O522/O146)</f>
        <v>0</v>
      </c>
      <c r="P619" s="150">
        <f t="shared" si="1488"/>
        <v>0</v>
      </c>
      <c r="Q619" s="151">
        <f t="shared" si="1468"/>
        <v>0</v>
      </c>
      <c r="R619" s="152">
        <f t="shared" ref="R619:S634" si="1489">IF(R146=0,0,R522/R146)</f>
        <v>0</v>
      </c>
      <c r="S619" s="150">
        <f t="shared" si="1489"/>
        <v>0</v>
      </c>
      <c r="T619" s="151">
        <f t="shared" si="1469"/>
        <v>0</v>
      </c>
      <c r="U619" s="152">
        <f t="shared" ref="U619:V634" si="1490">IF(U146=0,0,U522/U146)</f>
        <v>0</v>
      </c>
      <c r="V619" s="150">
        <f t="shared" si="1490"/>
        <v>0</v>
      </c>
      <c r="W619" s="151">
        <f t="shared" si="1470"/>
        <v>0</v>
      </c>
      <c r="X619" s="152">
        <f t="shared" ref="X619:Y634" si="1491">IF(X146=0,0,X522/X146)</f>
        <v>0</v>
      </c>
      <c r="Y619" s="150">
        <f t="shared" si="1491"/>
        <v>0</v>
      </c>
      <c r="Z619" s="151">
        <f t="shared" si="1471"/>
        <v>0</v>
      </c>
      <c r="AA619" s="152">
        <f t="shared" ref="AA619:AB634" si="1492">IF(AA146=0,0,AA522/AA146)</f>
        <v>0</v>
      </c>
      <c r="AB619" s="150">
        <f t="shared" si="1492"/>
        <v>0</v>
      </c>
      <c r="AC619" s="151">
        <f t="shared" si="1472"/>
        <v>0</v>
      </c>
      <c r="AD619" s="152">
        <f t="shared" ref="AD619:AE634" si="1493">IF(AD146=0,0,AD522/AD146)</f>
        <v>0</v>
      </c>
      <c r="AE619" s="150">
        <f t="shared" si="1493"/>
        <v>0</v>
      </c>
      <c r="AF619" s="151">
        <f t="shared" si="1473"/>
        <v>0</v>
      </c>
      <c r="AG619" s="152">
        <f t="shared" ref="AG619:AH634" si="1494">IF(AG146=0,0,AG522/AG146)</f>
        <v>0</v>
      </c>
      <c r="AH619" s="150">
        <f t="shared" si="1494"/>
        <v>0</v>
      </c>
      <c r="AI619" s="151">
        <f t="shared" si="1474"/>
        <v>0</v>
      </c>
      <c r="AJ619" s="152">
        <f t="shared" ref="AJ619:AK634" si="1495">IF(AJ146=0,0,AJ522/AJ146)</f>
        <v>0</v>
      </c>
      <c r="AK619" s="150">
        <f t="shared" si="1495"/>
        <v>0</v>
      </c>
      <c r="AL619" s="151">
        <f t="shared" si="1475"/>
        <v>0</v>
      </c>
      <c r="AM619" s="152">
        <f t="shared" ref="AM619:AN634" si="1496">IF(AM146=0,0,AM522/AM146)</f>
        <v>0</v>
      </c>
      <c r="AN619" s="150">
        <f t="shared" si="1496"/>
        <v>0</v>
      </c>
      <c r="AO619" s="151">
        <f t="shared" si="1476"/>
        <v>0</v>
      </c>
      <c r="AP619" s="152">
        <f t="shared" ref="AP619:AQ634" si="1497">IF(AP146=0,0,AP522/AP146)</f>
        <v>0</v>
      </c>
      <c r="AQ619" s="150">
        <f t="shared" si="1497"/>
        <v>0</v>
      </c>
      <c r="AR619" s="151">
        <f t="shared" si="1477"/>
        <v>0</v>
      </c>
      <c r="AS619" s="152">
        <f t="shared" ref="AS619:AT634" si="1498">IF(AS146=0,0,AS522/AS146)</f>
        <v>0</v>
      </c>
      <c r="AT619" s="150">
        <f t="shared" si="1498"/>
        <v>0</v>
      </c>
      <c r="AU619" s="151">
        <f t="shared" si="1478"/>
        <v>0</v>
      </c>
      <c r="AV619" s="152">
        <f t="shared" ref="AV619:AW634" si="1499">IF(AV146=0,0,AV522/AV146)</f>
        <v>0</v>
      </c>
      <c r="AW619" s="150">
        <f t="shared" si="1499"/>
        <v>0</v>
      </c>
      <c r="AX619" s="151">
        <f t="shared" si="1479"/>
        <v>0</v>
      </c>
      <c r="AY619" s="150">
        <f t="shared" ref="AY619:AZ634" si="1500">IF(AY146=0,0,AY522/AY146)</f>
        <v>0</v>
      </c>
      <c r="AZ619" s="150">
        <f t="shared" si="1500"/>
        <v>0</v>
      </c>
      <c r="BA619" s="151">
        <f t="shared" si="1480"/>
        <v>0</v>
      </c>
      <c r="BB619" s="152">
        <f t="shared" ref="BB619:BC634" si="1501">IF(BB146=0,0,BB522/BB146)</f>
        <v>0</v>
      </c>
      <c r="BC619" s="150">
        <f t="shared" si="1501"/>
        <v>0</v>
      </c>
      <c r="BD619" s="151">
        <f t="shared" si="1481"/>
        <v>0</v>
      </c>
      <c r="BE619" s="152">
        <f t="shared" ref="BE619:BF633" si="1502">IF(BE146=0,0,BE522/BE146)</f>
        <v>0</v>
      </c>
      <c r="BF619" s="152">
        <f t="shared" si="1502"/>
        <v>0</v>
      </c>
      <c r="BG619" s="149">
        <f t="shared" ref="BG619" si="1503">IF(BG146=0,0,BG522/BG146)</f>
        <v>0</v>
      </c>
    </row>
    <row r="620" spans="1:59" s="210" customFormat="1" ht="13.5" customHeight="1" x14ac:dyDescent="0.25">
      <c r="A620" s="103"/>
      <c r="B620" s="102" t="s">
        <v>33</v>
      </c>
      <c r="C620" s="77" t="s">
        <v>110</v>
      </c>
      <c r="D620" s="145">
        <f t="shared" si="1485"/>
        <v>0</v>
      </c>
      <c r="E620" s="145">
        <f t="shared" si="1485"/>
        <v>0</v>
      </c>
      <c r="F620" s="148">
        <f t="shared" si="1485"/>
        <v>0</v>
      </c>
      <c r="G620" s="146">
        <f t="shared" si="1485"/>
        <v>0</v>
      </c>
      <c r="H620" s="147">
        <f t="shared" si="1465"/>
        <v>0</v>
      </c>
      <c r="I620" s="148">
        <f t="shared" si="1486"/>
        <v>0</v>
      </c>
      <c r="J620" s="146">
        <f t="shared" si="1486"/>
        <v>0</v>
      </c>
      <c r="K620" s="147">
        <f t="shared" si="1466"/>
        <v>0</v>
      </c>
      <c r="L620" s="148">
        <f t="shared" si="1487"/>
        <v>0</v>
      </c>
      <c r="M620" s="146">
        <f t="shared" si="1487"/>
        <v>0</v>
      </c>
      <c r="N620" s="147">
        <f t="shared" si="1467"/>
        <v>0</v>
      </c>
      <c r="O620" s="148">
        <f t="shared" si="1488"/>
        <v>0</v>
      </c>
      <c r="P620" s="146">
        <f t="shared" si="1488"/>
        <v>0</v>
      </c>
      <c r="Q620" s="147">
        <f t="shared" si="1468"/>
        <v>0</v>
      </c>
      <c r="R620" s="148">
        <f t="shared" si="1489"/>
        <v>0</v>
      </c>
      <c r="S620" s="146">
        <f t="shared" si="1489"/>
        <v>0</v>
      </c>
      <c r="T620" s="147">
        <f t="shared" si="1469"/>
        <v>0</v>
      </c>
      <c r="U620" s="148">
        <f t="shared" si="1490"/>
        <v>0</v>
      </c>
      <c r="V620" s="146">
        <f t="shared" si="1490"/>
        <v>0</v>
      </c>
      <c r="W620" s="147">
        <f t="shared" si="1470"/>
        <v>0</v>
      </c>
      <c r="X620" s="148">
        <f t="shared" si="1491"/>
        <v>0</v>
      </c>
      <c r="Y620" s="146">
        <f t="shared" si="1491"/>
        <v>0</v>
      </c>
      <c r="Z620" s="147">
        <f t="shared" si="1471"/>
        <v>0</v>
      </c>
      <c r="AA620" s="148">
        <f t="shared" si="1492"/>
        <v>0</v>
      </c>
      <c r="AB620" s="146">
        <f t="shared" si="1492"/>
        <v>0</v>
      </c>
      <c r="AC620" s="147">
        <f t="shared" si="1472"/>
        <v>0</v>
      </c>
      <c r="AD620" s="148">
        <f t="shared" si="1493"/>
        <v>0</v>
      </c>
      <c r="AE620" s="146">
        <f t="shared" si="1493"/>
        <v>0</v>
      </c>
      <c r="AF620" s="147">
        <f t="shared" si="1473"/>
        <v>0</v>
      </c>
      <c r="AG620" s="148">
        <f t="shared" si="1494"/>
        <v>0</v>
      </c>
      <c r="AH620" s="146">
        <f t="shared" si="1494"/>
        <v>0</v>
      </c>
      <c r="AI620" s="147">
        <f t="shared" si="1474"/>
        <v>0</v>
      </c>
      <c r="AJ620" s="148">
        <f t="shared" si="1495"/>
        <v>0</v>
      </c>
      <c r="AK620" s="146">
        <f t="shared" si="1495"/>
        <v>0</v>
      </c>
      <c r="AL620" s="147">
        <f t="shared" si="1475"/>
        <v>0</v>
      </c>
      <c r="AM620" s="148">
        <f t="shared" si="1496"/>
        <v>0</v>
      </c>
      <c r="AN620" s="146">
        <f t="shared" si="1496"/>
        <v>0</v>
      </c>
      <c r="AO620" s="147">
        <f t="shared" si="1476"/>
        <v>0</v>
      </c>
      <c r="AP620" s="148">
        <f t="shared" si="1497"/>
        <v>0</v>
      </c>
      <c r="AQ620" s="146">
        <f t="shared" si="1497"/>
        <v>0</v>
      </c>
      <c r="AR620" s="147">
        <f t="shared" si="1477"/>
        <v>0</v>
      </c>
      <c r="AS620" s="148">
        <f t="shared" si="1498"/>
        <v>0</v>
      </c>
      <c r="AT620" s="146">
        <f t="shared" si="1498"/>
        <v>0</v>
      </c>
      <c r="AU620" s="147">
        <f t="shared" si="1478"/>
        <v>0</v>
      </c>
      <c r="AV620" s="148">
        <f t="shared" si="1499"/>
        <v>0</v>
      </c>
      <c r="AW620" s="146">
        <f t="shared" si="1499"/>
        <v>0</v>
      </c>
      <c r="AX620" s="147">
        <f t="shared" si="1479"/>
        <v>0</v>
      </c>
      <c r="AY620" s="146">
        <f t="shared" si="1500"/>
        <v>0</v>
      </c>
      <c r="AZ620" s="146">
        <f t="shared" si="1500"/>
        <v>0</v>
      </c>
      <c r="BA620" s="147">
        <f t="shared" si="1480"/>
        <v>0</v>
      </c>
      <c r="BB620" s="148">
        <f t="shared" si="1501"/>
        <v>0</v>
      </c>
      <c r="BC620" s="146">
        <f t="shared" si="1501"/>
        <v>0</v>
      </c>
      <c r="BD620" s="147">
        <f t="shared" si="1481"/>
        <v>0</v>
      </c>
      <c r="BE620" s="148">
        <f t="shared" si="1502"/>
        <v>0</v>
      </c>
      <c r="BF620" s="148">
        <f t="shared" si="1502"/>
        <v>0</v>
      </c>
      <c r="BG620" s="145">
        <f t="shared" ref="BG620" si="1504">IF(BG147=0,0,BG523/BG147)</f>
        <v>0</v>
      </c>
    </row>
    <row r="621" spans="1:59" ht="13.5" hidden="1" customHeight="1" outlineLevel="1" x14ac:dyDescent="0.25">
      <c r="A621" s="60"/>
      <c r="B621" s="84" t="s">
        <v>34</v>
      </c>
      <c r="C621" s="26" t="s">
        <v>110</v>
      </c>
      <c r="D621" s="141">
        <f t="shared" si="1485"/>
        <v>0</v>
      </c>
      <c r="E621" s="141">
        <f t="shared" si="1485"/>
        <v>0</v>
      </c>
      <c r="F621" s="144">
        <f t="shared" si="1485"/>
        <v>0</v>
      </c>
      <c r="G621" s="142">
        <f t="shared" si="1485"/>
        <v>0</v>
      </c>
      <c r="H621" s="143">
        <f t="shared" si="1465"/>
        <v>0</v>
      </c>
      <c r="I621" s="144">
        <f t="shared" si="1486"/>
        <v>0</v>
      </c>
      <c r="J621" s="142">
        <f t="shared" si="1486"/>
        <v>0</v>
      </c>
      <c r="K621" s="143">
        <f t="shared" si="1466"/>
        <v>0</v>
      </c>
      <c r="L621" s="144">
        <f t="shared" si="1487"/>
        <v>0</v>
      </c>
      <c r="M621" s="142">
        <f t="shared" si="1487"/>
        <v>0</v>
      </c>
      <c r="N621" s="143">
        <f t="shared" si="1467"/>
        <v>0</v>
      </c>
      <c r="O621" s="144">
        <f t="shared" si="1488"/>
        <v>0</v>
      </c>
      <c r="P621" s="142">
        <f t="shared" si="1488"/>
        <v>0</v>
      </c>
      <c r="Q621" s="143">
        <f t="shared" si="1468"/>
        <v>0</v>
      </c>
      <c r="R621" s="144">
        <f t="shared" si="1489"/>
        <v>0</v>
      </c>
      <c r="S621" s="142">
        <f t="shared" si="1489"/>
        <v>0</v>
      </c>
      <c r="T621" s="143">
        <f t="shared" si="1469"/>
        <v>0</v>
      </c>
      <c r="U621" s="144">
        <f t="shared" si="1490"/>
        <v>0</v>
      </c>
      <c r="V621" s="142">
        <f t="shared" si="1490"/>
        <v>0</v>
      </c>
      <c r="W621" s="143">
        <f t="shared" si="1470"/>
        <v>0</v>
      </c>
      <c r="X621" s="144">
        <f t="shared" si="1491"/>
        <v>0</v>
      </c>
      <c r="Y621" s="142">
        <f t="shared" si="1491"/>
        <v>0</v>
      </c>
      <c r="Z621" s="143">
        <f t="shared" si="1471"/>
        <v>0</v>
      </c>
      <c r="AA621" s="144">
        <f t="shared" si="1492"/>
        <v>0</v>
      </c>
      <c r="AB621" s="142">
        <f t="shared" si="1492"/>
        <v>0</v>
      </c>
      <c r="AC621" s="143">
        <f t="shared" si="1472"/>
        <v>0</v>
      </c>
      <c r="AD621" s="144">
        <f t="shared" si="1493"/>
        <v>0</v>
      </c>
      <c r="AE621" s="142">
        <f t="shared" si="1493"/>
        <v>0</v>
      </c>
      <c r="AF621" s="143">
        <f t="shared" si="1473"/>
        <v>0</v>
      </c>
      <c r="AG621" s="144">
        <f t="shared" si="1494"/>
        <v>0</v>
      </c>
      <c r="AH621" s="142">
        <f t="shared" si="1494"/>
        <v>0</v>
      </c>
      <c r="AI621" s="143">
        <f t="shared" si="1474"/>
        <v>0</v>
      </c>
      <c r="AJ621" s="144">
        <f t="shared" si="1495"/>
        <v>0</v>
      </c>
      <c r="AK621" s="142">
        <f t="shared" si="1495"/>
        <v>0</v>
      </c>
      <c r="AL621" s="143">
        <f t="shared" si="1475"/>
        <v>0</v>
      </c>
      <c r="AM621" s="144">
        <f t="shared" si="1496"/>
        <v>0</v>
      </c>
      <c r="AN621" s="142">
        <f t="shared" si="1496"/>
        <v>0</v>
      </c>
      <c r="AO621" s="143">
        <f t="shared" si="1476"/>
        <v>0</v>
      </c>
      <c r="AP621" s="144">
        <f t="shared" si="1497"/>
        <v>0</v>
      </c>
      <c r="AQ621" s="142">
        <f t="shared" si="1497"/>
        <v>0</v>
      </c>
      <c r="AR621" s="143">
        <f t="shared" si="1477"/>
        <v>0</v>
      </c>
      <c r="AS621" s="144">
        <f t="shared" si="1498"/>
        <v>0</v>
      </c>
      <c r="AT621" s="142">
        <f t="shared" si="1498"/>
        <v>0</v>
      </c>
      <c r="AU621" s="143">
        <f t="shared" si="1478"/>
        <v>0</v>
      </c>
      <c r="AV621" s="144">
        <f t="shared" si="1499"/>
        <v>0</v>
      </c>
      <c r="AW621" s="142">
        <f t="shared" si="1499"/>
        <v>0</v>
      </c>
      <c r="AX621" s="143">
        <f t="shared" si="1479"/>
        <v>0</v>
      </c>
      <c r="AY621" s="142">
        <f t="shared" si="1500"/>
        <v>0</v>
      </c>
      <c r="AZ621" s="142">
        <f t="shared" si="1500"/>
        <v>0</v>
      </c>
      <c r="BA621" s="143">
        <f t="shared" si="1480"/>
        <v>0</v>
      </c>
      <c r="BB621" s="144">
        <f t="shared" si="1501"/>
        <v>0</v>
      </c>
      <c r="BC621" s="142">
        <f t="shared" si="1501"/>
        <v>0</v>
      </c>
      <c r="BD621" s="143">
        <f t="shared" si="1481"/>
        <v>0</v>
      </c>
      <c r="BE621" s="144">
        <f t="shared" si="1502"/>
        <v>0</v>
      </c>
      <c r="BF621" s="144">
        <f t="shared" si="1502"/>
        <v>0</v>
      </c>
      <c r="BG621" s="141">
        <f t="shared" ref="BG621" si="1505">IF(BG148=0,0,BG524/BG148)</f>
        <v>0</v>
      </c>
    </row>
    <row r="622" spans="1:59" ht="13.5" hidden="1" customHeight="1" outlineLevel="1" x14ac:dyDescent="0.25">
      <c r="A622" s="60"/>
      <c r="B622" s="84" t="s">
        <v>35</v>
      </c>
      <c r="C622" s="26" t="s">
        <v>110</v>
      </c>
      <c r="D622" s="141">
        <f t="shared" si="1485"/>
        <v>0</v>
      </c>
      <c r="E622" s="141">
        <f t="shared" si="1485"/>
        <v>0</v>
      </c>
      <c r="F622" s="144">
        <f t="shared" si="1485"/>
        <v>0</v>
      </c>
      <c r="G622" s="142">
        <f t="shared" si="1485"/>
        <v>0</v>
      </c>
      <c r="H622" s="143">
        <f t="shared" si="1465"/>
        <v>0</v>
      </c>
      <c r="I622" s="144">
        <f t="shared" si="1486"/>
        <v>0</v>
      </c>
      <c r="J622" s="142">
        <f t="shared" si="1486"/>
        <v>0</v>
      </c>
      <c r="K622" s="143">
        <f t="shared" si="1466"/>
        <v>0</v>
      </c>
      <c r="L622" s="144">
        <f t="shared" si="1487"/>
        <v>0</v>
      </c>
      <c r="M622" s="142">
        <f t="shared" si="1487"/>
        <v>0</v>
      </c>
      <c r="N622" s="143">
        <f t="shared" si="1467"/>
        <v>0</v>
      </c>
      <c r="O622" s="144">
        <f t="shared" si="1488"/>
        <v>0</v>
      </c>
      <c r="P622" s="142">
        <f t="shared" si="1488"/>
        <v>0</v>
      </c>
      <c r="Q622" s="143">
        <f t="shared" si="1468"/>
        <v>0</v>
      </c>
      <c r="R622" s="144">
        <f t="shared" si="1489"/>
        <v>0</v>
      </c>
      <c r="S622" s="142">
        <f t="shared" si="1489"/>
        <v>0</v>
      </c>
      <c r="T622" s="143">
        <f t="shared" si="1469"/>
        <v>0</v>
      </c>
      <c r="U622" s="144">
        <f t="shared" si="1490"/>
        <v>0</v>
      </c>
      <c r="V622" s="142">
        <f t="shared" si="1490"/>
        <v>0</v>
      </c>
      <c r="W622" s="143">
        <f t="shared" si="1470"/>
        <v>0</v>
      </c>
      <c r="X622" s="144">
        <f t="shared" si="1491"/>
        <v>0</v>
      </c>
      <c r="Y622" s="142">
        <f t="shared" si="1491"/>
        <v>0</v>
      </c>
      <c r="Z622" s="143">
        <f t="shared" si="1471"/>
        <v>0</v>
      </c>
      <c r="AA622" s="144">
        <f t="shared" si="1492"/>
        <v>0</v>
      </c>
      <c r="AB622" s="142">
        <f t="shared" si="1492"/>
        <v>0</v>
      </c>
      <c r="AC622" s="143">
        <f t="shared" si="1472"/>
        <v>0</v>
      </c>
      <c r="AD622" s="144">
        <f t="shared" si="1493"/>
        <v>0</v>
      </c>
      <c r="AE622" s="142">
        <f t="shared" si="1493"/>
        <v>0</v>
      </c>
      <c r="AF622" s="143">
        <f t="shared" si="1473"/>
        <v>0</v>
      </c>
      <c r="AG622" s="144">
        <f t="shared" si="1494"/>
        <v>0</v>
      </c>
      <c r="AH622" s="142">
        <f t="shared" si="1494"/>
        <v>0</v>
      </c>
      <c r="AI622" s="143">
        <f t="shared" si="1474"/>
        <v>0</v>
      </c>
      <c r="AJ622" s="144">
        <f t="shared" si="1495"/>
        <v>0</v>
      </c>
      <c r="AK622" s="142">
        <f t="shared" si="1495"/>
        <v>0</v>
      </c>
      <c r="AL622" s="143">
        <f t="shared" si="1475"/>
        <v>0</v>
      </c>
      <c r="AM622" s="144">
        <f t="shared" si="1496"/>
        <v>0</v>
      </c>
      <c r="AN622" s="142">
        <f t="shared" si="1496"/>
        <v>0</v>
      </c>
      <c r="AO622" s="143">
        <f t="shared" si="1476"/>
        <v>0</v>
      </c>
      <c r="AP622" s="144">
        <f t="shared" si="1497"/>
        <v>0</v>
      </c>
      <c r="AQ622" s="142">
        <f t="shared" si="1497"/>
        <v>0</v>
      </c>
      <c r="AR622" s="143">
        <f t="shared" si="1477"/>
        <v>0</v>
      </c>
      <c r="AS622" s="144">
        <f t="shared" si="1498"/>
        <v>0</v>
      </c>
      <c r="AT622" s="142">
        <f t="shared" si="1498"/>
        <v>0</v>
      </c>
      <c r="AU622" s="143">
        <f t="shared" si="1478"/>
        <v>0</v>
      </c>
      <c r="AV622" s="144">
        <f t="shared" si="1499"/>
        <v>0</v>
      </c>
      <c r="AW622" s="142">
        <f t="shared" si="1499"/>
        <v>0</v>
      </c>
      <c r="AX622" s="143">
        <f t="shared" si="1479"/>
        <v>0</v>
      </c>
      <c r="AY622" s="142">
        <f t="shared" si="1500"/>
        <v>0</v>
      </c>
      <c r="AZ622" s="142">
        <f t="shared" si="1500"/>
        <v>0</v>
      </c>
      <c r="BA622" s="143">
        <f t="shared" si="1480"/>
        <v>0</v>
      </c>
      <c r="BB622" s="144">
        <f t="shared" si="1501"/>
        <v>0</v>
      </c>
      <c r="BC622" s="142">
        <f t="shared" si="1501"/>
        <v>0</v>
      </c>
      <c r="BD622" s="143">
        <f t="shared" si="1481"/>
        <v>0</v>
      </c>
      <c r="BE622" s="144">
        <f t="shared" si="1502"/>
        <v>0</v>
      </c>
      <c r="BF622" s="144">
        <f t="shared" si="1502"/>
        <v>0</v>
      </c>
      <c r="BG622" s="141">
        <f t="shared" ref="BG622" si="1506">IF(BG149=0,0,BG525/BG149)</f>
        <v>0</v>
      </c>
    </row>
    <row r="623" spans="1:59" ht="13.5" hidden="1" customHeight="1" outlineLevel="1" x14ac:dyDescent="0.25">
      <c r="A623" s="60"/>
      <c r="B623" s="84" t="s">
        <v>36</v>
      </c>
      <c r="C623" s="26" t="s">
        <v>110</v>
      </c>
      <c r="D623" s="141">
        <f t="shared" si="1485"/>
        <v>0</v>
      </c>
      <c r="E623" s="141">
        <f t="shared" si="1485"/>
        <v>0</v>
      </c>
      <c r="F623" s="144">
        <f t="shared" si="1485"/>
        <v>0</v>
      </c>
      <c r="G623" s="142">
        <f t="shared" si="1485"/>
        <v>0</v>
      </c>
      <c r="H623" s="143">
        <f t="shared" si="1465"/>
        <v>0</v>
      </c>
      <c r="I623" s="144">
        <f t="shared" si="1486"/>
        <v>0</v>
      </c>
      <c r="J623" s="142">
        <f t="shared" si="1486"/>
        <v>0</v>
      </c>
      <c r="K623" s="143">
        <f t="shared" si="1466"/>
        <v>0</v>
      </c>
      <c r="L623" s="144">
        <f t="shared" si="1487"/>
        <v>0</v>
      </c>
      <c r="M623" s="142">
        <f t="shared" si="1487"/>
        <v>0</v>
      </c>
      <c r="N623" s="143">
        <f t="shared" si="1467"/>
        <v>0</v>
      </c>
      <c r="O623" s="144">
        <f t="shared" si="1488"/>
        <v>0</v>
      </c>
      <c r="P623" s="142">
        <f t="shared" si="1488"/>
        <v>0</v>
      </c>
      <c r="Q623" s="143">
        <f t="shared" si="1468"/>
        <v>0</v>
      </c>
      <c r="R623" s="144">
        <f t="shared" si="1489"/>
        <v>0</v>
      </c>
      <c r="S623" s="142">
        <f t="shared" si="1489"/>
        <v>0</v>
      </c>
      <c r="T623" s="143">
        <f t="shared" si="1469"/>
        <v>0</v>
      </c>
      <c r="U623" s="144">
        <f t="shared" si="1490"/>
        <v>0</v>
      </c>
      <c r="V623" s="142">
        <f t="shared" si="1490"/>
        <v>0</v>
      </c>
      <c r="W623" s="143">
        <f t="shared" si="1470"/>
        <v>0</v>
      </c>
      <c r="X623" s="144">
        <f t="shared" si="1491"/>
        <v>0</v>
      </c>
      <c r="Y623" s="142">
        <f t="shared" si="1491"/>
        <v>0</v>
      </c>
      <c r="Z623" s="143">
        <f t="shared" si="1471"/>
        <v>0</v>
      </c>
      <c r="AA623" s="144">
        <f t="shared" si="1492"/>
        <v>0</v>
      </c>
      <c r="AB623" s="142">
        <f t="shared" si="1492"/>
        <v>0</v>
      </c>
      <c r="AC623" s="143">
        <f t="shared" si="1472"/>
        <v>0</v>
      </c>
      <c r="AD623" s="144">
        <f t="shared" si="1493"/>
        <v>0</v>
      </c>
      <c r="AE623" s="142">
        <f t="shared" si="1493"/>
        <v>0</v>
      </c>
      <c r="AF623" s="143">
        <f t="shared" si="1473"/>
        <v>0</v>
      </c>
      <c r="AG623" s="144">
        <f t="shared" si="1494"/>
        <v>0</v>
      </c>
      <c r="AH623" s="142">
        <f t="shared" si="1494"/>
        <v>0</v>
      </c>
      <c r="AI623" s="143">
        <f t="shared" si="1474"/>
        <v>0</v>
      </c>
      <c r="AJ623" s="144">
        <f t="shared" si="1495"/>
        <v>0</v>
      </c>
      <c r="AK623" s="142">
        <f t="shared" si="1495"/>
        <v>0</v>
      </c>
      <c r="AL623" s="143">
        <f t="shared" si="1475"/>
        <v>0</v>
      </c>
      <c r="AM623" s="144">
        <f t="shared" si="1496"/>
        <v>0</v>
      </c>
      <c r="AN623" s="142">
        <f t="shared" si="1496"/>
        <v>0</v>
      </c>
      <c r="AO623" s="143">
        <f t="shared" si="1476"/>
        <v>0</v>
      </c>
      <c r="AP623" s="144">
        <f t="shared" si="1497"/>
        <v>0</v>
      </c>
      <c r="AQ623" s="142">
        <f t="shared" si="1497"/>
        <v>0</v>
      </c>
      <c r="AR623" s="143">
        <f t="shared" si="1477"/>
        <v>0</v>
      </c>
      <c r="AS623" s="144">
        <f t="shared" si="1498"/>
        <v>0</v>
      </c>
      <c r="AT623" s="142">
        <f t="shared" si="1498"/>
        <v>0</v>
      </c>
      <c r="AU623" s="143">
        <f t="shared" si="1478"/>
        <v>0</v>
      </c>
      <c r="AV623" s="144">
        <f t="shared" si="1499"/>
        <v>0</v>
      </c>
      <c r="AW623" s="142">
        <f t="shared" si="1499"/>
        <v>0</v>
      </c>
      <c r="AX623" s="143">
        <f t="shared" si="1479"/>
        <v>0</v>
      </c>
      <c r="AY623" s="142">
        <f t="shared" si="1500"/>
        <v>0</v>
      </c>
      <c r="AZ623" s="142">
        <f t="shared" si="1500"/>
        <v>0</v>
      </c>
      <c r="BA623" s="143">
        <f t="shared" si="1480"/>
        <v>0</v>
      </c>
      <c r="BB623" s="144">
        <f t="shared" si="1501"/>
        <v>0</v>
      </c>
      <c r="BC623" s="142">
        <f t="shared" si="1501"/>
        <v>0</v>
      </c>
      <c r="BD623" s="143">
        <f t="shared" si="1481"/>
        <v>0</v>
      </c>
      <c r="BE623" s="144">
        <f t="shared" si="1502"/>
        <v>0</v>
      </c>
      <c r="BF623" s="144">
        <f t="shared" si="1502"/>
        <v>0</v>
      </c>
      <c r="BG623" s="141">
        <f t="shared" ref="BG623" si="1507">IF(BG150=0,0,BG526/BG150)</f>
        <v>0</v>
      </c>
    </row>
    <row r="624" spans="1:59" ht="13.5" hidden="1" customHeight="1" outlineLevel="1" x14ac:dyDescent="0.25">
      <c r="A624" s="60"/>
      <c r="B624" s="84" t="s">
        <v>37</v>
      </c>
      <c r="C624" s="26" t="s">
        <v>110</v>
      </c>
      <c r="D624" s="141">
        <f t="shared" si="1485"/>
        <v>0</v>
      </c>
      <c r="E624" s="141">
        <f t="shared" si="1485"/>
        <v>0</v>
      </c>
      <c r="F624" s="144">
        <f t="shared" si="1485"/>
        <v>0</v>
      </c>
      <c r="G624" s="142">
        <f t="shared" si="1485"/>
        <v>0</v>
      </c>
      <c r="H624" s="143">
        <f t="shared" si="1465"/>
        <v>0</v>
      </c>
      <c r="I624" s="144">
        <f t="shared" si="1486"/>
        <v>0</v>
      </c>
      <c r="J624" s="142">
        <f t="shared" si="1486"/>
        <v>0</v>
      </c>
      <c r="K624" s="143">
        <f t="shared" si="1466"/>
        <v>0</v>
      </c>
      <c r="L624" s="144">
        <f t="shared" si="1487"/>
        <v>0</v>
      </c>
      <c r="M624" s="142">
        <f t="shared" si="1487"/>
        <v>0</v>
      </c>
      <c r="N624" s="143">
        <f t="shared" si="1467"/>
        <v>0</v>
      </c>
      <c r="O624" s="144">
        <f t="shared" si="1488"/>
        <v>0</v>
      </c>
      <c r="P624" s="142">
        <f t="shared" si="1488"/>
        <v>0</v>
      </c>
      <c r="Q624" s="143">
        <f t="shared" si="1468"/>
        <v>0</v>
      </c>
      <c r="R624" s="144">
        <f t="shared" si="1489"/>
        <v>0</v>
      </c>
      <c r="S624" s="142">
        <f t="shared" si="1489"/>
        <v>0</v>
      </c>
      <c r="T624" s="143">
        <f t="shared" si="1469"/>
        <v>0</v>
      </c>
      <c r="U624" s="144">
        <f t="shared" si="1490"/>
        <v>0</v>
      </c>
      <c r="V624" s="142">
        <f t="shared" si="1490"/>
        <v>0</v>
      </c>
      <c r="W624" s="143">
        <f t="shared" si="1470"/>
        <v>0</v>
      </c>
      <c r="X624" s="144">
        <f t="shared" si="1491"/>
        <v>0</v>
      </c>
      <c r="Y624" s="142">
        <f t="shared" si="1491"/>
        <v>0</v>
      </c>
      <c r="Z624" s="143">
        <f t="shared" si="1471"/>
        <v>0</v>
      </c>
      <c r="AA624" s="144">
        <f t="shared" si="1492"/>
        <v>0</v>
      </c>
      <c r="AB624" s="142">
        <f t="shared" si="1492"/>
        <v>0</v>
      </c>
      <c r="AC624" s="143">
        <f t="shared" si="1472"/>
        <v>0</v>
      </c>
      <c r="AD624" s="144">
        <f t="shared" si="1493"/>
        <v>0</v>
      </c>
      <c r="AE624" s="142">
        <f t="shared" si="1493"/>
        <v>0</v>
      </c>
      <c r="AF624" s="143">
        <f t="shared" si="1473"/>
        <v>0</v>
      </c>
      <c r="AG624" s="144">
        <f t="shared" si="1494"/>
        <v>0</v>
      </c>
      <c r="AH624" s="142">
        <f t="shared" si="1494"/>
        <v>0</v>
      </c>
      <c r="AI624" s="143">
        <f t="shared" si="1474"/>
        <v>0</v>
      </c>
      <c r="AJ624" s="144">
        <f t="shared" si="1495"/>
        <v>0</v>
      </c>
      <c r="AK624" s="142">
        <f t="shared" si="1495"/>
        <v>0</v>
      </c>
      <c r="AL624" s="143">
        <f t="shared" si="1475"/>
        <v>0</v>
      </c>
      <c r="AM624" s="144">
        <f t="shared" si="1496"/>
        <v>0</v>
      </c>
      <c r="AN624" s="142">
        <f t="shared" si="1496"/>
        <v>0</v>
      </c>
      <c r="AO624" s="143">
        <f t="shared" si="1476"/>
        <v>0</v>
      </c>
      <c r="AP624" s="144">
        <f t="shared" si="1497"/>
        <v>0</v>
      </c>
      <c r="AQ624" s="142">
        <f t="shared" si="1497"/>
        <v>0</v>
      </c>
      <c r="AR624" s="143">
        <f t="shared" si="1477"/>
        <v>0</v>
      </c>
      <c r="AS624" s="144">
        <f t="shared" si="1498"/>
        <v>0</v>
      </c>
      <c r="AT624" s="142">
        <f t="shared" si="1498"/>
        <v>0</v>
      </c>
      <c r="AU624" s="143">
        <f t="shared" si="1478"/>
        <v>0</v>
      </c>
      <c r="AV624" s="144">
        <f t="shared" si="1499"/>
        <v>0</v>
      </c>
      <c r="AW624" s="142">
        <f t="shared" si="1499"/>
        <v>0</v>
      </c>
      <c r="AX624" s="143">
        <f t="shared" si="1479"/>
        <v>0</v>
      </c>
      <c r="AY624" s="142">
        <f t="shared" si="1500"/>
        <v>0</v>
      </c>
      <c r="AZ624" s="142">
        <f t="shared" si="1500"/>
        <v>0</v>
      </c>
      <c r="BA624" s="143">
        <f t="shared" si="1480"/>
        <v>0</v>
      </c>
      <c r="BB624" s="144">
        <f t="shared" si="1501"/>
        <v>0</v>
      </c>
      <c r="BC624" s="142">
        <f t="shared" si="1501"/>
        <v>0</v>
      </c>
      <c r="BD624" s="143">
        <f t="shared" si="1481"/>
        <v>0</v>
      </c>
      <c r="BE624" s="144">
        <f t="shared" si="1502"/>
        <v>0</v>
      </c>
      <c r="BF624" s="144">
        <f t="shared" si="1502"/>
        <v>0</v>
      </c>
      <c r="BG624" s="141">
        <f t="shared" ref="BG624" si="1508">IF(BG151=0,0,BG527/BG151)</f>
        <v>0</v>
      </c>
    </row>
    <row r="625" spans="1:59" ht="13.5" hidden="1" customHeight="1" outlineLevel="1" x14ac:dyDescent="0.25">
      <c r="A625" s="60"/>
      <c r="B625" s="84" t="s">
        <v>38</v>
      </c>
      <c r="C625" s="26" t="s">
        <v>110</v>
      </c>
      <c r="D625" s="141">
        <f t="shared" si="1485"/>
        <v>0</v>
      </c>
      <c r="E625" s="141">
        <f t="shared" si="1485"/>
        <v>0</v>
      </c>
      <c r="F625" s="144">
        <f t="shared" si="1485"/>
        <v>0</v>
      </c>
      <c r="G625" s="142">
        <f t="shared" si="1485"/>
        <v>0</v>
      </c>
      <c r="H625" s="143">
        <f t="shared" si="1465"/>
        <v>0</v>
      </c>
      <c r="I625" s="144">
        <f t="shared" si="1486"/>
        <v>0</v>
      </c>
      <c r="J625" s="142">
        <f t="shared" si="1486"/>
        <v>0</v>
      </c>
      <c r="K625" s="143">
        <f t="shared" si="1466"/>
        <v>0</v>
      </c>
      <c r="L625" s="144">
        <f t="shared" si="1487"/>
        <v>0</v>
      </c>
      <c r="M625" s="142">
        <f t="shared" si="1487"/>
        <v>0</v>
      </c>
      <c r="N625" s="143">
        <f t="shared" si="1467"/>
        <v>0</v>
      </c>
      <c r="O625" s="144">
        <f t="shared" si="1488"/>
        <v>0</v>
      </c>
      <c r="P625" s="142">
        <f t="shared" si="1488"/>
        <v>0</v>
      </c>
      <c r="Q625" s="143">
        <f t="shared" si="1468"/>
        <v>0</v>
      </c>
      <c r="R625" s="144">
        <f t="shared" si="1489"/>
        <v>0</v>
      </c>
      <c r="S625" s="142">
        <f t="shared" si="1489"/>
        <v>0</v>
      </c>
      <c r="T625" s="143">
        <f t="shared" si="1469"/>
        <v>0</v>
      </c>
      <c r="U625" s="144">
        <f t="shared" si="1490"/>
        <v>0</v>
      </c>
      <c r="V625" s="142">
        <f t="shared" si="1490"/>
        <v>0</v>
      </c>
      <c r="W625" s="143">
        <f t="shared" si="1470"/>
        <v>0</v>
      </c>
      <c r="X625" s="144">
        <f t="shared" si="1491"/>
        <v>0</v>
      </c>
      <c r="Y625" s="142">
        <f t="shared" si="1491"/>
        <v>0</v>
      </c>
      <c r="Z625" s="143">
        <f t="shared" si="1471"/>
        <v>0</v>
      </c>
      <c r="AA625" s="144">
        <f t="shared" si="1492"/>
        <v>0</v>
      </c>
      <c r="AB625" s="142">
        <f t="shared" si="1492"/>
        <v>0</v>
      </c>
      <c r="AC625" s="143">
        <f t="shared" si="1472"/>
        <v>0</v>
      </c>
      <c r="AD625" s="144">
        <f t="shared" si="1493"/>
        <v>0</v>
      </c>
      <c r="AE625" s="142">
        <f t="shared" si="1493"/>
        <v>0</v>
      </c>
      <c r="AF625" s="143">
        <f t="shared" si="1473"/>
        <v>0</v>
      </c>
      <c r="AG625" s="144">
        <f t="shared" si="1494"/>
        <v>0</v>
      </c>
      <c r="AH625" s="142">
        <f t="shared" si="1494"/>
        <v>0</v>
      </c>
      <c r="AI625" s="143">
        <f t="shared" si="1474"/>
        <v>0</v>
      </c>
      <c r="AJ625" s="144">
        <f t="shared" si="1495"/>
        <v>0</v>
      </c>
      <c r="AK625" s="142">
        <f t="shared" si="1495"/>
        <v>0</v>
      </c>
      <c r="AL625" s="143">
        <f t="shared" si="1475"/>
        <v>0</v>
      </c>
      <c r="AM625" s="144">
        <f t="shared" si="1496"/>
        <v>0</v>
      </c>
      <c r="AN625" s="142">
        <f t="shared" si="1496"/>
        <v>0</v>
      </c>
      <c r="AO625" s="143">
        <f t="shared" si="1476"/>
        <v>0</v>
      </c>
      <c r="AP625" s="144">
        <f t="shared" si="1497"/>
        <v>0</v>
      </c>
      <c r="AQ625" s="142">
        <f t="shared" si="1497"/>
        <v>0</v>
      </c>
      <c r="AR625" s="143">
        <f t="shared" si="1477"/>
        <v>0</v>
      </c>
      <c r="AS625" s="144">
        <f t="shared" si="1498"/>
        <v>0</v>
      </c>
      <c r="AT625" s="142">
        <f t="shared" si="1498"/>
        <v>0</v>
      </c>
      <c r="AU625" s="143">
        <f t="shared" si="1478"/>
        <v>0</v>
      </c>
      <c r="AV625" s="144">
        <f t="shared" si="1499"/>
        <v>0</v>
      </c>
      <c r="AW625" s="142">
        <f t="shared" si="1499"/>
        <v>0</v>
      </c>
      <c r="AX625" s="143">
        <f t="shared" si="1479"/>
        <v>0</v>
      </c>
      <c r="AY625" s="142">
        <f t="shared" si="1500"/>
        <v>0</v>
      </c>
      <c r="AZ625" s="142">
        <f t="shared" si="1500"/>
        <v>0</v>
      </c>
      <c r="BA625" s="143">
        <f t="shared" si="1480"/>
        <v>0</v>
      </c>
      <c r="BB625" s="144">
        <f t="shared" si="1501"/>
        <v>0</v>
      </c>
      <c r="BC625" s="142">
        <f t="shared" si="1501"/>
        <v>0</v>
      </c>
      <c r="BD625" s="143">
        <f t="shared" si="1481"/>
        <v>0</v>
      </c>
      <c r="BE625" s="144">
        <f t="shared" si="1502"/>
        <v>0</v>
      </c>
      <c r="BF625" s="144">
        <f t="shared" si="1502"/>
        <v>0</v>
      </c>
      <c r="BG625" s="141">
        <f t="shared" ref="BG625" si="1509">IF(BG152=0,0,BG528/BG152)</f>
        <v>0</v>
      </c>
    </row>
    <row r="626" spans="1:59" ht="13.5" hidden="1" customHeight="1" outlineLevel="1" x14ac:dyDescent="0.25">
      <c r="A626" s="60"/>
      <c r="B626" s="84" t="s">
        <v>39</v>
      </c>
      <c r="C626" s="26" t="s">
        <v>110</v>
      </c>
      <c r="D626" s="141">
        <f t="shared" si="1485"/>
        <v>0</v>
      </c>
      <c r="E626" s="141">
        <f t="shared" si="1485"/>
        <v>0</v>
      </c>
      <c r="F626" s="144">
        <f t="shared" si="1485"/>
        <v>0</v>
      </c>
      <c r="G626" s="142">
        <f t="shared" si="1485"/>
        <v>0</v>
      </c>
      <c r="H626" s="143">
        <f t="shared" si="1465"/>
        <v>0</v>
      </c>
      <c r="I626" s="144">
        <f t="shared" si="1486"/>
        <v>0</v>
      </c>
      <c r="J626" s="142">
        <f t="shared" si="1486"/>
        <v>0</v>
      </c>
      <c r="K626" s="143">
        <f t="shared" si="1466"/>
        <v>0</v>
      </c>
      <c r="L626" s="144">
        <f t="shared" si="1487"/>
        <v>0</v>
      </c>
      <c r="M626" s="142">
        <f t="shared" si="1487"/>
        <v>0</v>
      </c>
      <c r="N626" s="143">
        <f t="shared" si="1467"/>
        <v>0</v>
      </c>
      <c r="O626" s="144">
        <f t="shared" si="1488"/>
        <v>0</v>
      </c>
      <c r="P626" s="142">
        <f t="shared" si="1488"/>
        <v>0</v>
      </c>
      <c r="Q626" s="143">
        <f t="shared" si="1468"/>
        <v>0</v>
      </c>
      <c r="R626" s="144">
        <f t="shared" si="1489"/>
        <v>0</v>
      </c>
      <c r="S626" s="142">
        <f t="shared" si="1489"/>
        <v>0</v>
      </c>
      <c r="T626" s="143">
        <f t="shared" si="1469"/>
        <v>0</v>
      </c>
      <c r="U626" s="144">
        <f t="shared" si="1490"/>
        <v>0</v>
      </c>
      <c r="V626" s="142">
        <f t="shared" si="1490"/>
        <v>0</v>
      </c>
      <c r="W626" s="143">
        <f t="shared" si="1470"/>
        <v>0</v>
      </c>
      <c r="X626" s="144">
        <f t="shared" si="1491"/>
        <v>0</v>
      </c>
      <c r="Y626" s="142">
        <f t="shared" si="1491"/>
        <v>0</v>
      </c>
      <c r="Z626" s="143">
        <f t="shared" si="1471"/>
        <v>0</v>
      </c>
      <c r="AA626" s="144">
        <f t="shared" si="1492"/>
        <v>0</v>
      </c>
      <c r="AB626" s="142">
        <f t="shared" si="1492"/>
        <v>0</v>
      </c>
      <c r="AC626" s="143">
        <f t="shared" si="1472"/>
        <v>0</v>
      </c>
      <c r="AD626" s="144">
        <f t="shared" si="1493"/>
        <v>0</v>
      </c>
      <c r="AE626" s="142">
        <f t="shared" si="1493"/>
        <v>0</v>
      </c>
      <c r="AF626" s="143">
        <f t="shared" si="1473"/>
        <v>0</v>
      </c>
      <c r="AG626" s="144">
        <f t="shared" si="1494"/>
        <v>0</v>
      </c>
      <c r="AH626" s="142">
        <f t="shared" si="1494"/>
        <v>0</v>
      </c>
      <c r="AI626" s="143">
        <f t="shared" si="1474"/>
        <v>0</v>
      </c>
      <c r="AJ626" s="144">
        <f t="shared" si="1495"/>
        <v>0</v>
      </c>
      <c r="AK626" s="142">
        <f t="shared" si="1495"/>
        <v>0</v>
      </c>
      <c r="AL626" s="143">
        <f t="shared" si="1475"/>
        <v>0</v>
      </c>
      <c r="AM626" s="144">
        <f t="shared" si="1496"/>
        <v>0</v>
      </c>
      <c r="AN626" s="142">
        <f t="shared" si="1496"/>
        <v>0</v>
      </c>
      <c r="AO626" s="143">
        <f t="shared" si="1476"/>
        <v>0</v>
      </c>
      <c r="AP626" s="144">
        <f t="shared" si="1497"/>
        <v>0</v>
      </c>
      <c r="AQ626" s="142">
        <f t="shared" si="1497"/>
        <v>0</v>
      </c>
      <c r="AR626" s="143">
        <f t="shared" si="1477"/>
        <v>0</v>
      </c>
      <c r="AS626" s="144">
        <f t="shared" si="1498"/>
        <v>0</v>
      </c>
      <c r="AT626" s="142">
        <f t="shared" si="1498"/>
        <v>0</v>
      </c>
      <c r="AU626" s="143">
        <f t="shared" si="1478"/>
        <v>0</v>
      </c>
      <c r="AV626" s="144">
        <f t="shared" si="1499"/>
        <v>0</v>
      </c>
      <c r="AW626" s="142">
        <f t="shared" si="1499"/>
        <v>0</v>
      </c>
      <c r="AX626" s="143">
        <f t="shared" si="1479"/>
        <v>0</v>
      </c>
      <c r="AY626" s="142">
        <f t="shared" si="1500"/>
        <v>0</v>
      </c>
      <c r="AZ626" s="142">
        <f t="shared" si="1500"/>
        <v>0</v>
      </c>
      <c r="BA626" s="143">
        <f t="shared" si="1480"/>
        <v>0</v>
      </c>
      <c r="BB626" s="144">
        <f t="shared" si="1501"/>
        <v>0</v>
      </c>
      <c r="BC626" s="142">
        <f t="shared" si="1501"/>
        <v>0</v>
      </c>
      <c r="BD626" s="143">
        <f t="shared" si="1481"/>
        <v>0</v>
      </c>
      <c r="BE626" s="144">
        <f t="shared" si="1502"/>
        <v>0</v>
      </c>
      <c r="BF626" s="144">
        <f t="shared" si="1502"/>
        <v>0</v>
      </c>
      <c r="BG626" s="141">
        <f t="shared" ref="BG626" si="1510">IF(BG153=0,0,BG529/BG153)</f>
        <v>0</v>
      </c>
    </row>
    <row r="627" spans="1:59" ht="13.5" hidden="1" customHeight="1" outlineLevel="1" x14ac:dyDescent="0.25">
      <c r="A627" s="60"/>
      <c r="B627" s="84" t="s">
        <v>40</v>
      </c>
      <c r="C627" s="26" t="s">
        <v>110</v>
      </c>
      <c r="D627" s="141">
        <f t="shared" si="1485"/>
        <v>0</v>
      </c>
      <c r="E627" s="141">
        <f t="shared" si="1485"/>
        <v>0</v>
      </c>
      <c r="F627" s="144">
        <f t="shared" si="1485"/>
        <v>0</v>
      </c>
      <c r="G627" s="142">
        <f t="shared" si="1485"/>
        <v>0</v>
      </c>
      <c r="H627" s="143">
        <f t="shared" si="1465"/>
        <v>0</v>
      </c>
      <c r="I627" s="144">
        <f t="shared" si="1486"/>
        <v>0</v>
      </c>
      <c r="J627" s="142">
        <f t="shared" si="1486"/>
        <v>0</v>
      </c>
      <c r="K627" s="143">
        <f t="shared" si="1466"/>
        <v>0</v>
      </c>
      <c r="L627" s="144">
        <f t="shared" si="1487"/>
        <v>0</v>
      </c>
      <c r="M627" s="142">
        <f t="shared" si="1487"/>
        <v>0</v>
      </c>
      <c r="N627" s="143">
        <f t="shared" si="1467"/>
        <v>0</v>
      </c>
      <c r="O627" s="144">
        <f t="shared" si="1488"/>
        <v>0</v>
      </c>
      <c r="P627" s="142">
        <f t="shared" si="1488"/>
        <v>0</v>
      </c>
      <c r="Q627" s="143">
        <f t="shared" si="1468"/>
        <v>0</v>
      </c>
      <c r="R627" s="144">
        <f t="shared" si="1489"/>
        <v>0</v>
      </c>
      <c r="S627" s="142">
        <f t="shared" si="1489"/>
        <v>0</v>
      </c>
      <c r="T627" s="143">
        <f t="shared" si="1469"/>
        <v>0</v>
      </c>
      <c r="U627" s="144">
        <f t="shared" si="1490"/>
        <v>0</v>
      </c>
      <c r="V627" s="142">
        <f t="shared" si="1490"/>
        <v>0</v>
      </c>
      <c r="W627" s="143">
        <f t="shared" si="1470"/>
        <v>0</v>
      </c>
      <c r="X627" s="144">
        <f t="shared" si="1491"/>
        <v>0</v>
      </c>
      <c r="Y627" s="142">
        <f t="shared" si="1491"/>
        <v>0</v>
      </c>
      <c r="Z627" s="143">
        <f t="shared" si="1471"/>
        <v>0</v>
      </c>
      <c r="AA627" s="144">
        <f t="shared" si="1492"/>
        <v>0</v>
      </c>
      <c r="AB627" s="142">
        <f t="shared" si="1492"/>
        <v>0</v>
      </c>
      <c r="AC627" s="143">
        <f t="shared" si="1472"/>
        <v>0</v>
      </c>
      <c r="AD627" s="144">
        <f t="shared" si="1493"/>
        <v>0</v>
      </c>
      <c r="AE627" s="142">
        <f t="shared" si="1493"/>
        <v>0</v>
      </c>
      <c r="AF627" s="143">
        <f t="shared" si="1473"/>
        <v>0</v>
      </c>
      <c r="AG627" s="144">
        <f t="shared" si="1494"/>
        <v>0</v>
      </c>
      <c r="AH627" s="142">
        <f t="shared" si="1494"/>
        <v>0</v>
      </c>
      <c r="AI627" s="143">
        <f t="shared" si="1474"/>
        <v>0</v>
      </c>
      <c r="AJ627" s="144">
        <f t="shared" si="1495"/>
        <v>0</v>
      </c>
      <c r="AK627" s="142">
        <f t="shared" si="1495"/>
        <v>0</v>
      </c>
      <c r="AL627" s="143">
        <f t="shared" si="1475"/>
        <v>0</v>
      </c>
      <c r="AM627" s="144">
        <f t="shared" si="1496"/>
        <v>0</v>
      </c>
      <c r="AN627" s="142">
        <f t="shared" si="1496"/>
        <v>0</v>
      </c>
      <c r="AO627" s="143">
        <f t="shared" si="1476"/>
        <v>0</v>
      </c>
      <c r="AP627" s="144">
        <f t="shared" si="1497"/>
        <v>0</v>
      </c>
      <c r="AQ627" s="142">
        <f t="shared" si="1497"/>
        <v>0</v>
      </c>
      <c r="AR627" s="143">
        <f t="shared" si="1477"/>
        <v>0</v>
      </c>
      <c r="AS627" s="144">
        <f t="shared" si="1498"/>
        <v>0</v>
      </c>
      <c r="AT627" s="142">
        <f t="shared" si="1498"/>
        <v>0</v>
      </c>
      <c r="AU627" s="143">
        <f t="shared" si="1478"/>
        <v>0</v>
      </c>
      <c r="AV627" s="144">
        <f t="shared" si="1499"/>
        <v>0</v>
      </c>
      <c r="AW627" s="142">
        <f t="shared" si="1499"/>
        <v>0</v>
      </c>
      <c r="AX627" s="143">
        <f t="shared" si="1479"/>
        <v>0</v>
      </c>
      <c r="AY627" s="142">
        <f t="shared" si="1500"/>
        <v>0</v>
      </c>
      <c r="AZ627" s="142">
        <f t="shared" si="1500"/>
        <v>0</v>
      </c>
      <c r="BA627" s="143">
        <f t="shared" si="1480"/>
        <v>0</v>
      </c>
      <c r="BB627" s="144">
        <f t="shared" si="1501"/>
        <v>0</v>
      </c>
      <c r="BC627" s="142">
        <f t="shared" si="1501"/>
        <v>0</v>
      </c>
      <c r="BD627" s="143">
        <f t="shared" si="1481"/>
        <v>0</v>
      </c>
      <c r="BE627" s="144">
        <f t="shared" si="1502"/>
        <v>0</v>
      </c>
      <c r="BF627" s="144">
        <f t="shared" si="1502"/>
        <v>0</v>
      </c>
      <c r="BG627" s="141">
        <f t="shared" ref="BG627" si="1511">IF(BG154=0,0,BG530/BG154)</f>
        <v>0</v>
      </c>
    </row>
    <row r="628" spans="1:59" ht="13.5" hidden="1" customHeight="1" outlineLevel="1" x14ac:dyDescent="0.25">
      <c r="A628" s="60"/>
      <c r="B628" s="84" t="s">
        <v>41</v>
      </c>
      <c r="C628" s="26" t="s">
        <v>110</v>
      </c>
      <c r="D628" s="141">
        <f t="shared" si="1485"/>
        <v>0</v>
      </c>
      <c r="E628" s="141">
        <f t="shared" si="1485"/>
        <v>0</v>
      </c>
      <c r="F628" s="144">
        <f t="shared" si="1485"/>
        <v>0</v>
      </c>
      <c r="G628" s="142">
        <f t="shared" si="1485"/>
        <v>0</v>
      </c>
      <c r="H628" s="143">
        <f t="shared" si="1465"/>
        <v>0</v>
      </c>
      <c r="I628" s="144">
        <f t="shared" si="1486"/>
        <v>0</v>
      </c>
      <c r="J628" s="142">
        <f t="shared" si="1486"/>
        <v>0</v>
      </c>
      <c r="K628" s="143">
        <f t="shared" si="1466"/>
        <v>0</v>
      </c>
      <c r="L628" s="144">
        <f t="shared" si="1487"/>
        <v>0</v>
      </c>
      <c r="M628" s="142">
        <f t="shared" si="1487"/>
        <v>0</v>
      </c>
      <c r="N628" s="143">
        <f t="shared" si="1467"/>
        <v>0</v>
      </c>
      <c r="O628" s="144">
        <f t="shared" si="1488"/>
        <v>0</v>
      </c>
      <c r="P628" s="142">
        <f t="shared" si="1488"/>
        <v>0</v>
      </c>
      <c r="Q628" s="143">
        <f t="shared" si="1468"/>
        <v>0</v>
      </c>
      <c r="R628" s="144">
        <f t="shared" si="1489"/>
        <v>0</v>
      </c>
      <c r="S628" s="142">
        <f t="shared" si="1489"/>
        <v>0</v>
      </c>
      <c r="T628" s="143">
        <f t="shared" si="1469"/>
        <v>0</v>
      </c>
      <c r="U628" s="144">
        <f t="shared" si="1490"/>
        <v>0</v>
      </c>
      <c r="V628" s="142">
        <f t="shared" si="1490"/>
        <v>0</v>
      </c>
      <c r="W628" s="143">
        <f t="shared" si="1470"/>
        <v>0</v>
      </c>
      <c r="X628" s="144">
        <f t="shared" si="1491"/>
        <v>0</v>
      </c>
      <c r="Y628" s="142">
        <f t="shared" si="1491"/>
        <v>0</v>
      </c>
      <c r="Z628" s="143">
        <f t="shared" si="1471"/>
        <v>0</v>
      </c>
      <c r="AA628" s="144">
        <f t="shared" si="1492"/>
        <v>0</v>
      </c>
      <c r="AB628" s="142">
        <f t="shared" si="1492"/>
        <v>0</v>
      </c>
      <c r="AC628" s="143">
        <f t="shared" si="1472"/>
        <v>0</v>
      </c>
      <c r="AD628" s="144">
        <f t="shared" si="1493"/>
        <v>0</v>
      </c>
      <c r="AE628" s="142">
        <f t="shared" si="1493"/>
        <v>0</v>
      </c>
      <c r="AF628" s="143">
        <f t="shared" si="1473"/>
        <v>0</v>
      </c>
      <c r="AG628" s="144">
        <f t="shared" si="1494"/>
        <v>0</v>
      </c>
      <c r="AH628" s="142">
        <f t="shared" si="1494"/>
        <v>0</v>
      </c>
      <c r="AI628" s="143">
        <f t="shared" si="1474"/>
        <v>0</v>
      </c>
      <c r="AJ628" s="144">
        <f t="shared" si="1495"/>
        <v>0</v>
      </c>
      <c r="AK628" s="142">
        <f t="shared" si="1495"/>
        <v>0</v>
      </c>
      <c r="AL628" s="143">
        <f t="shared" si="1475"/>
        <v>0</v>
      </c>
      <c r="AM628" s="144">
        <f t="shared" si="1496"/>
        <v>0</v>
      </c>
      <c r="AN628" s="142">
        <f t="shared" si="1496"/>
        <v>0</v>
      </c>
      <c r="AO628" s="143">
        <f t="shared" si="1476"/>
        <v>0</v>
      </c>
      <c r="AP628" s="144">
        <f t="shared" si="1497"/>
        <v>0</v>
      </c>
      <c r="AQ628" s="142">
        <f t="shared" si="1497"/>
        <v>0</v>
      </c>
      <c r="AR628" s="143">
        <f t="shared" si="1477"/>
        <v>0</v>
      </c>
      <c r="AS628" s="144">
        <f t="shared" si="1498"/>
        <v>0</v>
      </c>
      <c r="AT628" s="142">
        <f t="shared" si="1498"/>
        <v>0</v>
      </c>
      <c r="AU628" s="143">
        <f t="shared" si="1478"/>
        <v>0</v>
      </c>
      <c r="AV628" s="144">
        <f t="shared" si="1499"/>
        <v>0</v>
      </c>
      <c r="AW628" s="142">
        <f t="shared" si="1499"/>
        <v>0</v>
      </c>
      <c r="AX628" s="143">
        <f t="shared" si="1479"/>
        <v>0</v>
      </c>
      <c r="AY628" s="142">
        <f t="shared" si="1500"/>
        <v>0</v>
      </c>
      <c r="AZ628" s="142">
        <f t="shared" si="1500"/>
        <v>0</v>
      </c>
      <c r="BA628" s="143">
        <f t="shared" si="1480"/>
        <v>0</v>
      </c>
      <c r="BB628" s="144">
        <f t="shared" si="1501"/>
        <v>0</v>
      </c>
      <c r="BC628" s="142">
        <f t="shared" si="1501"/>
        <v>0</v>
      </c>
      <c r="BD628" s="143">
        <f t="shared" si="1481"/>
        <v>0</v>
      </c>
      <c r="BE628" s="144">
        <f t="shared" si="1502"/>
        <v>0</v>
      </c>
      <c r="BF628" s="144">
        <f t="shared" si="1502"/>
        <v>0</v>
      </c>
      <c r="BG628" s="141">
        <f t="shared" ref="BG628" si="1512">IF(BG155=0,0,BG531/BG155)</f>
        <v>0</v>
      </c>
    </row>
    <row r="629" spans="1:59" ht="13.5" hidden="1" customHeight="1" outlineLevel="1" x14ac:dyDescent="0.25">
      <c r="A629" s="60"/>
      <c r="B629" s="84" t="s">
        <v>42</v>
      </c>
      <c r="C629" s="26" t="s">
        <v>110</v>
      </c>
      <c r="D629" s="141">
        <f t="shared" si="1485"/>
        <v>0</v>
      </c>
      <c r="E629" s="141">
        <f t="shared" si="1485"/>
        <v>0</v>
      </c>
      <c r="F629" s="144">
        <f t="shared" si="1485"/>
        <v>0</v>
      </c>
      <c r="G629" s="142">
        <f t="shared" si="1485"/>
        <v>0</v>
      </c>
      <c r="H629" s="143">
        <f t="shared" si="1465"/>
        <v>0</v>
      </c>
      <c r="I629" s="144">
        <f t="shared" si="1486"/>
        <v>0</v>
      </c>
      <c r="J629" s="142">
        <f t="shared" si="1486"/>
        <v>0</v>
      </c>
      <c r="K629" s="143">
        <f t="shared" si="1466"/>
        <v>0</v>
      </c>
      <c r="L629" s="144">
        <f t="shared" si="1487"/>
        <v>0</v>
      </c>
      <c r="M629" s="142">
        <f t="shared" si="1487"/>
        <v>0</v>
      </c>
      <c r="N629" s="143">
        <f t="shared" si="1467"/>
        <v>0</v>
      </c>
      <c r="O629" s="144">
        <f t="shared" si="1488"/>
        <v>0</v>
      </c>
      <c r="P629" s="142">
        <f t="shared" si="1488"/>
        <v>0</v>
      </c>
      <c r="Q629" s="143">
        <f t="shared" si="1468"/>
        <v>0</v>
      </c>
      <c r="R629" s="144">
        <f t="shared" si="1489"/>
        <v>0</v>
      </c>
      <c r="S629" s="142">
        <f t="shared" si="1489"/>
        <v>0</v>
      </c>
      <c r="T629" s="143">
        <f t="shared" si="1469"/>
        <v>0</v>
      </c>
      <c r="U629" s="144">
        <f t="shared" si="1490"/>
        <v>0</v>
      </c>
      <c r="V629" s="142">
        <f t="shared" si="1490"/>
        <v>0</v>
      </c>
      <c r="W629" s="143">
        <f t="shared" si="1470"/>
        <v>0</v>
      </c>
      <c r="X629" s="144">
        <f t="shared" si="1491"/>
        <v>0</v>
      </c>
      <c r="Y629" s="142">
        <f t="shared" si="1491"/>
        <v>0</v>
      </c>
      <c r="Z629" s="143">
        <f t="shared" si="1471"/>
        <v>0</v>
      </c>
      <c r="AA629" s="144">
        <f t="shared" si="1492"/>
        <v>0</v>
      </c>
      <c r="AB629" s="142">
        <f t="shared" si="1492"/>
        <v>0</v>
      </c>
      <c r="AC629" s="143">
        <f t="shared" si="1472"/>
        <v>0</v>
      </c>
      <c r="AD629" s="144">
        <f t="shared" si="1493"/>
        <v>0</v>
      </c>
      <c r="AE629" s="142">
        <f t="shared" si="1493"/>
        <v>0</v>
      </c>
      <c r="AF629" s="143">
        <f t="shared" si="1473"/>
        <v>0</v>
      </c>
      <c r="AG629" s="144">
        <f t="shared" si="1494"/>
        <v>0</v>
      </c>
      <c r="AH629" s="142">
        <f t="shared" si="1494"/>
        <v>0</v>
      </c>
      <c r="AI629" s="143">
        <f t="shared" si="1474"/>
        <v>0</v>
      </c>
      <c r="AJ629" s="144">
        <f t="shared" si="1495"/>
        <v>0</v>
      </c>
      <c r="AK629" s="142">
        <f t="shared" si="1495"/>
        <v>0</v>
      </c>
      <c r="AL629" s="143">
        <f t="shared" si="1475"/>
        <v>0</v>
      </c>
      <c r="AM629" s="144">
        <f t="shared" si="1496"/>
        <v>0</v>
      </c>
      <c r="AN629" s="142">
        <f t="shared" si="1496"/>
        <v>0</v>
      </c>
      <c r="AO629" s="143">
        <f t="shared" si="1476"/>
        <v>0</v>
      </c>
      <c r="AP629" s="144">
        <f t="shared" si="1497"/>
        <v>0</v>
      </c>
      <c r="AQ629" s="142">
        <f t="shared" si="1497"/>
        <v>0</v>
      </c>
      <c r="AR629" s="143">
        <f t="shared" si="1477"/>
        <v>0</v>
      </c>
      <c r="AS629" s="144">
        <f t="shared" si="1498"/>
        <v>0</v>
      </c>
      <c r="AT629" s="142">
        <f t="shared" si="1498"/>
        <v>0</v>
      </c>
      <c r="AU629" s="143">
        <f t="shared" si="1478"/>
        <v>0</v>
      </c>
      <c r="AV629" s="144">
        <f t="shared" si="1499"/>
        <v>0</v>
      </c>
      <c r="AW629" s="142">
        <f t="shared" si="1499"/>
        <v>0</v>
      </c>
      <c r="AX629" s="143">
        <f t="shared" si="1479"/>
        <v>0</v>
      </c>
      <c r="AY629" s="142">
        <f t="shared" si="1500"/>
        <v>0</v>
      </c>
      <c r="AZ629" s="142">
        <f t="shared" si="1500"/>
        <v>0</v>
      </c>
      <c r="BA629" s="143">
        <f t="shared" si="1480"/>
        <v>0</v>
      </c>
      <c r="BB629" s="144">
        <f t="shared" si="1501"/>
        <v>0</v>
      </c>
      <c r="BC629" s="142">
        <f t="shared" si="1501"/>
        <v>0</v>
      </c>
      <c r="BD629" s="143">
        <f t="shared" si="1481"/>
        <v>0</v>
      </c>
      <c r="BE629" s="144">
        <f t="shared" si="1502"/>
        <v>0</v>
      </c>
      <c r="BF629" s="144">
        <f t="shared" si="1502"/>
        <v>0</v>
      </c>
      <c r="BG629" s="141">
        <f t="shared" ref="BG629" si="1513">IF(BG156=0,0,BG532/BG156)</f>
        <v>0</v>
      </c>
    </row>
    <row r="630" spans="1:59" s="210" customFormat="1" ht="13.5" customHeight="1" collapsed="1" x14ac:dyDescent="0.25">
      <c r="A630" s="103"/>
      <c r="B630" s="102" t="s">
        <v>43</v>
      </c>
      <c r="C630" s="77" t="s">
        <v>110</v>
      </c>
      <c r="D630" s="145">
        <f t="shared" si="1485"/>
        <v>0</v>
      </c>
      <c r="E630" s="145">
        <f t="shared" si="1485"/>
        <v>0</v>
      </c>
      <c r="F630" s="148">
        <f t="shared" si="1485"/>
        <v>0</v>
      </c>
      <c r="G630" s="146">
        <f t="shared" si="1485"/>
        <v>0</v>
      </c>
      <c r="H630" s="147">
        <f t="shared" si="1465"/>
        <v>0</v>
      </c>
      <c r="I630" s="148">
        <f t="shared" si="1486"/>
        <v>0</v>
      </c>
      <c r="J630" s="146">
        <f t="shared" si="1486"/>
        <v>0</v>
      </c>
      <c r="K630" s="147">
        <f t="shared" si="1466"/>
        <v>0</v>
      </c>
      <c r="L630" s="148">
        <f t="shared" si="1487"/>
        <v>0</v>
      </c>
      <c r="M630" s="146">
        <f t="shared" si="1487"/>
        <v>0</v>
      </c>
      <c r="N630" s="147">
        <f t="shared" si="1467"/>
        <v>0</v>
      </c>
      <c r="O630" s="148">
        <f t="shared" si="1488"/>
        <v>0</v>
      </c>
      <c r="P630" s="146">
        <f t="shared" si="1488"/>
        <v>0</v>
      </c>
      <c r="Q630" s="147">
        <f t="shared" si="1468"/>
        <v>0</v>
      </c>
      <c r="R630" s="148">
        <f t="shared" si="1489"/>
        <v>0</v>
      </c>
      <c r="S630" s="146">
        <f t="shared" si="1489"/>
        <v>0</v>
      </c>
      <c r="T630" s="147">
        <f t="shared" si="1469"/>
        <v>0</v>
      </c>
      <c r="U630" s="148">
        <f t="shared" si="1490"/>
        <v>0</v>
      </c>
      <c r="V630" s="146">
        <f t="shared" si="1490"/>
        <v>0</v>
      </c>
      <c r="W630" s="147">
        <f t="shared" si="1470"/>
        <v>0</v>
      </c>
      <c r="X630" s="148">
        <f t="shared" si="1491"/>
        <v>0</v>
      </c>
      <c r="Y630" s="146">
        <f t="shared" si="1491"/>
        <v>0</v>
      </c>
      <c r="Z630" s="147">
        <f t="shared" si="1471"/>
        <v>0</v>
      </c>
      <c r="AA630" s="148">
        <f t="shared" si="1492"/>
        <v>0</v>
      </c>
      <c r="AB630" s="146">
        <f t="shared" si="1492"/>
        <v>0</v>
      </c>
      <c r="AC630" s="147">
        <f t="shared" si="1472"/>
        <v>0</v>
      </c>
      <c r="AD630" s="148">
        <f t="shared" si="1493"/>
        <v>0</v>
      </c>
      <c r="AE630" s="146">
        <f t="shared" si="1493"/>
        <v>0</v>
      </c>
      <c r="AF630" s="147">
        <f t="shared" si="1473"/>
        <v>0</v>
      </c>
      <c r="AG630" s="148">
        <f t="shared" si="1494"/>
        <v>0</v>
      </c>
      <c r="AH630" s="146">
        <f t="shared" si="1494"/>
        <v>0</v>
      </c>
      <c r="AI630" s="147">
        <f t="shared" si="1474"/>
        <v>0</v>
      </c>
      <c r="AJ630" s="148">
        <f t="shared" si="1495"/>
        <v>0</v>
      </c>
      <c r="AK630" s="146">
        <f t="shared" si="1495"/>
        <v>0</v>
      </c>
      <c r="AL630" s="147">
        <f t="shared" si="1475"/>
        <v>0</v>
      </c>
      <c r="AM630" s="148">
        <f t="shared" si="1496"/>
        <v>0</v>
      </c>
      <c r="AN630" s="146">
        <f t="shared" si="1496"/>
        <v>0</v>
      </c>
      <c r="AO630" s="147">
        <f t="shared" si="1476"/>
        <v>0</v>
      </c>
      <c r="AP630" s="148">
        <f t="shared" si="1497"/>
        <v>0</v>
      </c>
      <c r="AQ630" s="146">
        <f t="shared" si="1497"/>
        <v>0</v>
      </c>
      <c r="AR630" s="147">
        <f t="shared" si="1477"/>
        <v>0</v>
      </c>
      <c r="AS630" s="148">
        <f t="shared" si="1498"/>
        <v>0</v>
      </c>
      <c r="AT630" s="146">
        <f t="shared" si="1498"/>
        <v>0</v>
      </c>
      <c r="AU630" s="147">
        <f t="shared" si="1478"/>
        <v>0</v>
      </c>
      <c r="AV630" s="148">
        <f t="shared" si="1499"/>
        <v>0</v>
      </c>
      <c r="AW630" s="146">
        <f t="shared" si="1499"/>
        <v>0</v>
      </c>
      <c r="AX630" s="147">
        <f t="shared" si="1479"/>
        <v>0</v>
      </c>
      <c r="AY630" s="146">
        <f t="shared" si="1500"/>
        <v>0</v>
      </c>
      <c r="AZ630" s="146">
        <f t="shared" si="1500"/>
        <v>0</v>
      </c>
      <c r="BA630" s="147">
        <f t="shared" si="1480"/>
        <v>0</v>
      </c>
      <c r="BB630" s="148">
        <f t="shared" si="1501"/>
        <v>0</v>
      </c>
      <c r="BC630" s="146">
        <f t="shared" si="1501"/>
        <v>0</v>
      </c>
      <c r="BD630" s="147">
        <f t="shared" si="1481"/>
        <v>0</v>
      </c>
      <c r="BE630" s="148">
        <f t="shared" si="1502"/>
        <v>0</v>
      </c>
      <c r="BF630" s="148">
        <f t="shared" si="1502"/>
        <v>0</v>
      </c>
      <c r="BG630" s="145">
        <f t="shared" ref="BG630" si="1514">IF(BG157=0,0,BG533/BG157)</f>
        <v>0</v>
      </c>
    </row>
    <row r="631" spans="1:59" ht="13.5" hidden="1" customHeight="1" outlineLevel="1" x14ac:dyDescent="0.25">
      <c r="A631" s="60"/>
      <c r="B631" s="84" t="s">
        <v>44</v>
      </c>
      <c r="C631" s="26" t="s">
        <v>110</v>
      </c>
      <c r="D631" s="141">
        <f t="shared" si="1485"/>
        <v>0</v>
      </c>
      <c r="E631" s="141">
        <f t="shared" si="1485"/>
        <v>0</v>
      </c>
      <c r="F631" s="144">
        <f t="shared" si="1485"/>
        <v>0</v>
      </c>
      <c r="G631" s="142">
        <f t="shared" si="1485"/>
        <v>0</v>
      </c>
      <c r="H631" s="143">
        <f t="shared" si="1465"/>
        <v>0</v>
      </c>
      <c r="I631" s="144">
        <f t="shared" si="1486"/>
        <v>0</v>
      </c>
      <c r="J631" s="142">
        <f t="shared" si="1486"/>
        <v>0</v>
      </c>
      <c r="K631" s="143">
        <f t="shared" si="1466"/>
        <v>0</v>
      </c>
      <c r="L631" s="144">
        <f t="shared" si="1487"/>
        <v>0</v>
      </c>
      <c r="M631" s="142">
        <f t="shared" si="1487"/>
        <v>0</v>
      </c>
      <c r="N631" s="143">
        <f t="shared" si="1467"/>
        <v>0</v>
      </c>
      <c r="O631" s="144">
        <f t="shared" si="1488"/>
        <v>0</v>
      </c>
      <c r="P631" s="142">
        <f t="shared" si="1488"/>
        <v>0</v>
      </c>
      <c r="Q631" s="143">
        <f t="shared" si="1468"/>
        <v>0</v>
      </c>
      <c r="R631" s="144">
        <f t="shared" si="1489"/>
        <v>0</v>
      </c>
      <c r="S631" s="142">
        <f t="shared" si="1489"/>
        <v>0</v>
      </c>
      <c r="T631" s="143">
        <f t="shared" si="1469"/>
        <v>0</v>
      </c>
      <c r="U631" s="144">
        <f t="shared" si="1490"/>
        <v>0</v>
      </c>
      <c r="V631" s="142">
        <f t="shared" si="1490"/>
        <v>0</v>
      </c>
      <c r="W631" s="143">
        <f t="shared" si="1470"/>
        <v>0</v>
      </c>
      <c r="X631" s="144">
        <f t="shared" si="1491"/>
        <v>0</v>
      </c>
      <c r="Y631" s="142">
        <f t="shared" si="1491"/>
        <v>0</v>
      </c>
      <c r="Z631" s="143">
        <f t="shared" si="1471"/>
        <v>0</v>
      </c>
      <c r="AA631" s="144">
        <f t="shared" si="1492"/>
        <v>0</v>
      </c>
      <c r="AB631" s="142">
        <f t="shared" si="1492"/>
        <v>0</v>
      </c>
      <c r="AC631" s="143">
        <f t="shared" si="1472"/>
        <v>0</v>
      </c>
      <c r="AD631" s="144">
        <f t="shared" si="1493"/>
        <v>0</v>
      </c>
      <c r="AE631" s="142">
        <f t="shared" si="1493"/>
        <v>0</v>
      </c>
      <c r="AF631" s="143">
        <f t="shared" si="1473"/>
        <v>0</v>
      </c>
      <c r="AG631" s="144">
        <f t="shared" si="1494"/>
        <v>0</v>
      </c>
      <c r="AH631" s="142">
        <f t="shared" si="1494"/>
        <v>0</v>
      </c>
      <c r="AI631" s="143">
        <f t="shared" si="1474"/>
        <v>0</v>
      </c>
      <c r="AJ631" s="144">
        <f t="shared" si="1495"/>
        <v>0</v>
      </c>
      <c r="AK631" s="142">
        <f t="shared" si="1495"/>
        <v>0</v>
      </c>
      <c r="AL631" s="143">
        <f t="shared" si="1475"/>
        <v>0</v>
      </c>
      <c r="AM631" s="144">
        <f t="shared" si="1496"/>
        <v>0</v>
      </c>
      <c r="AN631" s="142">
        <f t="shared" si="1496"/>
        <v>0</v>
      </c>
      <c r="AO631" s="143">
        <f t="shared" si="1476"/>
        <v>0</v>
      </c>
      <c r="AP631" s="144">
        <f t="shared" si="1497"/>
        <v>0</v>
      </c>
      <c r="AQ631" s="142">
        <f t="shared" si="1497"/>
        <v>0</v>
      </c>
      <c r="AR631" s="143">
        <f t="shared" si="1477"/>
        <v>0</v>
      </c>
      <c r="AS631" s="144">
        <f t="shared" si="1498"/>
        <v>0</v>
      </c>
      <c r="AT631" s="142">
        <f t="shared" si="1498"/>
        <v>0</v>
      </c>
      <c r="AU631" s="143">
        <f t="shared" si="1478"/>
        <v>0</v>
      </c>
      <c r="AV631" s="144">
        <f t="shared" si="1499"/>
        <v>0</v>
      </c>
      <c r="AW631" s="142">
        <f t="shared" si="1499"/>
        <v>0</v>
      </c>
      <c r="AX631" s="143">
        <f t="shared" si="1479"/>
        <v>0</v>
      </c>
      <c r="AY631" s="142">
        <f t="shared" si="1500"/>
        <v>0</v>
      </c>
      <c r="AZ631" s="142">
        <f t="shared" si="1500"/>
        <v>0</v>
      </c>
      <c r="BA631" s="143">
        <f t="shared" si="1480"/>
        <v>0</v>
      </c>
      <c r="BB631" s="144">
        <f t="shared" si="1501"/>
        <v>0</v>
      </c>
      <c r="BC631" s="142">
        <f t="shared" si="1501"/>
        <v>0</v>
      </c>
      <c r="BD631" s="143">
        <f t="shared" si="1481"/>
        <v>0</v>
      </c>
      <c r="BE631" s="144">
        <f t="shared" si="1502"/>
        <v>0</v>
      </c>
      <c r="BF631" s="144">
        <f t="shared" si="1502"/>
        <v>0</v>
      </c>
      <c r="BG631" s="141">
        <f t="shared" ref="BG631" si="1515">IF(BG158=0,0,BG534/BG158)</f>
        <v>0</v>
      </c>
    </row>
    <row r="632" spans="1:59" ht="13.5" hidden="1" customHeight="1" outlineLevel="1" x14ac:dyDescent="0.25">
      <c r="A632" s="60"/>
      <c r="B632" s="84" t="s">
        <v>45</v>
      </c>
      <c r="C632" s="26" t="s">
        <v>110</v>
      </c>
      <c r="D632" s="141">
        <f t="shared" si="1485"/>
        <v>0</v>
      </c>
      <c r="E632" s="141">
        <f t="shared" si="1485"/>
        <v>0</v>
      </c>
      <c r="F632" s="144">
        <f t="shared" si="1485"/>
        <v>0</v>
      </c>
      <c r="G632" s="142">
        <f t="shared" si="1485"/>
        <v>0</v>
      </c>
      <c r="H632" s="143">
        <f t="shared" si="1465"/>
        <v>0</v>
      </c>
      <c r="I632" s="144">
        <f t="shared" si="1486"/>
        <v>0</v>
      </c>
      <c r="J632" s="142">
        <f t="shared" si="1486"/>
        <v>0</v>
      </c>
      <c r="K632" s="143">
        <f t="shared" si="1466"/>
        <v>0</v>
      </c>
      <c r="L632" s="144">
        <f t="shared" si="1487"/>
        <v>0</v>
      </c>
      <c r="M632" s="142">
        <f t="shared" si="1487"/>
        <v>0</v>
      </c>
      <c r="N632" s="143">
        <f t="shared" si="1467"/>
        <v>0</v>
      </c>
      <c r="O632" s="144">
        <f t="shared" si="1488"/>
        <v>0</v>
      </c>
      <c r="P632" s="142">
        <f t="shared" si="1488"/>
        <v>0</v>
      </c>
      <c r="Q632" s="143">
        <f t="shared" si="1468"/>
        <v>0</v>
      </c>
      <c r="R632" s="144">
        <f t="shared" si="1489"/>
        <v>0</v>
      </c>
      <c r="S632" s="142">
        <f t="shared" si="1489"/>
        <v>0</v>
      </c>
      <c r="T632" s="143">
        <f t="shared" si="1469"/>
        <v>0</v>
      </c>
      <c r="U632" s="144">
        <f t="shared" si="1490"/>
        <v>0</v>
      </c>
      <c r="V632" s="142">
        <f t="shared" si="1490"/>
        <v>0</v>
      </c>
      <c r="W632" s="143">
        <f t="shared" si="1470"/>
        <v>0</v>
      </c>
      <c r="X632" s="144">
        <f t="shared" si="1491"/>
        <v>0</v>
      </c>
      <c r="Y632" s="142">
        <f t="shared" si="1491"/>
        <v>0</v>
      </c>
      <c r="Z632" s="143">
        <f t="shared" si="1471"/>
        <v>0</v>
      </c>
      <c r="AA632" s="144">
        <f t="shared" si="1492"/>
        <v>0</v>
      </c>
      <c r="AB632" s="142">
        <f t="shared" si="1492"/>
        <v>0</v>
      </c>
      <c r="AC632" s="143">
        <f t="shared" si="1472"/>
        <v>0</v>
      </c>
      <c r="AD632" s="144">
        <f t="shared" si="1493"/>
        <v>0</v>
      </c>
      <c r="AE632" s="142">
        <f t="shared" si="1493"/>
        <v>0</v>
      </c>
      <c r="AF632" s="143">
        <f t="shared" si="1473"/>
        <v>0</v>
      </c>
      <c r="AG632" s="144">
        <f t="shared" si="1494"/>
        <v>0</v>
      </c>
      <c r="AH632" s="142">
        <f t="shared" si="1494"/>
        <v>0</v>
      </c>
      <c r="AI632" s="143">
        <f t="shared" si="1474"/>
        <v>0</v>
      </c>
      <c r="AJ632" s="144">
        <f t="shared" si="1495"/>
        <v>0</v>
      </c>
      <c r="AK632" s="142">
        <f t="shared" si="1495"/>
        <v>0</v>
      </c>
      <c r="AL632" s="143">
        <f t="shared" si="1475"/>
        <v>0</v>
      </c>
      <c r="AM632" s="144">
        <f t="shared" si="1496"/>
        <v>0</v>
      </c>
      <c r="AN632" s="142">
        <f t="shared" si="1496"/>
        <v>0</v>
      </c>
      <c r="AO632" s="143">
        <f t="shared" si="1476"/>
        <v>0</v>
      </c>
      <c r="AP632" s="144">
        <f t="shared" si="1497"/>
        <v>0</v>
      </c>
      <c r="AQ632" s="142">
        <f t="shared" si="1497"/>
        <v>0</v>
      </c>
      <c r="AR632" s="143">
        <f t="shared" si="1477"/>
        <v>0</v>
      </c>
      <c r="AS632" s="144">
        <f t="shared" si="1498"/>
        <v>0</v>
      </c>
      <c r="AT632" s="142">
        <f t="shared" si="1498"/>
        <v>0</v>
      </c>
      <c r="AU632" s="143">
        <f t="shared" si="1478"/>
        <v>0</v>
      </c>
      <c r="AV632" s="144">
        <f t="shared" si="1499"/>
        <v>0</v>
      </c>
      <c r="AW632" s="142">
        <f t="shared" si="1499"/>
        <v>0</v>
      </c>
      <c r="AX632" s="143">
        <f t="shared" si="1479"/>
        <v>0</v>
      </c>
      <c r="AY632" s="142">
        <f t="shared" si="1500"/>
        <v>0</v>
      </c>
      <c r="AZ632" s="142">
        <f t="shared" si="1500"/>
        <v>0</v>
      </c>
      <c r="BA632" s="143">
        <f t="shared" si="1480"/>
        <v>0</v>
      </c>
      <c r="BB632" s="144">
        <f t="shared" si="1501"/>
        <v>0</v>
      </c>
      <c r="BC632" s="142">
        <f t="shared" si="1501"/>
        <v>0</v>
      </c>
      <c r="BD632" s="143">
        <f t="shared" si="1481"/>
        <v>0</v>
      </c>
      <c r="BE632" s="144">
        <f t="shared" si="1502"/>
        <v>0</v>
      </c>
      <c r="BF632" s="144">
        <f t="shared" si="1502"/>
        <v>0</v>
      </c>
      <c r="BG632" s="141">
        <f t="shared" ref="BG632" si="1516">IF(BG159=0,0,BG535/BG159)</f>
        <v>0</v>
      </c>
    </row>
    <row r="633" spans="1:59" ht="13.5" hidden="1" customHeight="1" outlineLevel="1" x14ac:dyDescent="0.25">
      <c r="A633" s="60"/>
      <c r="B633" s="84" t="s">
        <v>46</v>
      </c>
      <c r="C633" s="26" t="s">
        <v>110</v>
      </c>
      <c r="D633" s="141">
        <f t="shared" si="1485"/>
        <v>0</v>
      </c>
      <c r="E633" s="141">
        <f t="shared" si="1485"/>
        <v>0</v>
      </c>
      <c r="F633" s="144">
        <f t="shared" si="1485"/>
        <v>0</v>
      </c>
      <c r="G633" s="142">
        <f t="shared" si="1485"/>
        <v>0</v>
      </c>
      <c r="H633" s="143">
        <f t="shared" ref="H633:H648" si="1517">G633-F633</f>
        <v>0</v>
      </c>
      <c r="I633" s="144">
        <f t="shared" si="1486"/>
        <v>0</v>
      </c>
      <c r="J633" s="142">
        <f t="shared" si="1486"/>
        <v>0</v>
      </c>
      <c r="K633" s="143">
        <f t="shared" ref="K633:K648" si="1518">J633-I633</f>
        <v>0</v>
      </c>
      <c r="L633" s="144">
        <f t="shared" si="1487"/>
        <v>0</v>
      </c>
      <c r="M633" s="142">
        <f t="shared" si="1487"/>
        <v>0</v>
      </c>
      <c r="N633" s="143">
        <f t="shared" ref="N633:N648" si="1519">M633-L633</f>
        <v>0</v>
      </c>
      <c r="O633" s="144">
        <f t="shared" si="1488"/>
        <v>0</v>
      </c>
      <c r="P633" s="142">
        <f t="shared" si="1488"/>
        <v>0</v>
      </c>
      <c r="Q633" s="143">
        <f t="shared" ref="Q633:Q648" si="1520">P633-O633</f>
        <v>0</v>
      </c>
      <c r="R633" s="144">
        <f t="shared" si="1489"/>
        <v>0</v>
      </c>
      <c r="S633" s="142">
        <f t="shared" si="1489"/>
        <v>0</v>
      </c>
      <c r="T633" s="143">
        <f t="shared" ref="T633:T648" si="1521">S633-R633</f>
        <v>0</v>
      </c>
      <c r="U633" s="144">
        <f t="shared" si="1490"/>
        <v>0</v>
      </c>
      <c r="V633" s="142">
        <f t="shared" si="1490"/>
        <v>0</v>
      </c>
      <c r="W633" s="143">
        <f t="shared" ref="W633:W648" si="1522">V633-U633</f>
        <v>0</v>
      </c>
      <c r="X633" s="144">
        <f t="shared" si="1491"/>
        <v>0</v>
      </c>
      <c r="Y633" s="142">
        <f t="shared" si="1491"/>
        <v>0</v>
      </c>
      <c r="Z633" s="143">
        <f t="shared" ref="Z633:Z648" si="1523">Y633-X633</f>
        <v>0</v>
      </c>
      <c r="AA633" s="144">
        <f t="shared" si="1492"/>
        <v>0</v>
      </c>
      <c r="AB633" s="142">
        <f t="shared" si="1492"/>
        <v>0</v>
      </c>
      <c r="AC633" s="143">
        <f t="shared" ref="AC633:AC648" si="1524">AB633-AA633</f>
        <v>0</v>
      </c>
      <c r="AD633" s="144">
        <f t="shared" si="1493"/>
        <v>0</v>
      </c>
      <c r="AE633" s="142">
        <f t="shared" si="1493"/>
        <v>0</v>
      </c>
      <c r="AF633" s="143">
        <f t="shared" ref="AF633:AF648" si="1525">AE633-AD633</f>
        <v>0</v>
      </c>
      <c r="AG633" s="144">
        <f t="shared" si="1494"/>
        <v>0</v>
      </c>
      <c r="AH633" s="142">
        <f t="shared" si="1494"/>
        <v>0</v>
      </c>
      <c r="AI633" s="143">
        <f t="shared" ref="AI633:AI648" si="1526">AH633-AG633</f>
        <v>0</v>
      </c>
      <c r="AJ633" s="144">
        <f t="shared" si="1495"/>
        <v>0</v>
      </c>
      <c r="AK633" s="142">
        <f t="shared" si="1495"/>
        <v>0</v>
      </c>
      <c r="AL633" s="143">
        <f t="shared" ref="AL633:AL648" si="1527">AK633-AJ633</f>
        <v>0</v>
      </c>
      <c r="AM633" s="144">
        <f t="shared" si="1496"/>
        <v>0</v>
      </c>
      <c r="AN633" s="142">
        <f t="shared" si="1496"/>
        <v>0</v>
      </c>
      <c r="AO633" s="143">
        <f t="shared" ref="AO633:AO648" si="1528">AN633-AM633</f>
        <v>0</v>
      </c>
      <c r="AP633" s="144">
        <f t="shared" si="1497"/>
        <v>0</v>
      </c>
      <c r="AQ633" s="142">
        <f t="shared" si="1497"/>
        <v>0</v>
      </c>
      <c r="AR633" s="143">
        <f t="shared" ref="AR633:AR648" si="1529">AQ633-AP633</f>
        <v>0</v>
      </c>
      <c r="AS633" s="144">
        <f t="shared" si="1498"/>
        <v>0</v>
      </c>
      <c r="AT633" s="142">
        <f t="shared" si="1498"/>
        <v>0</v>
      </c>
      <c r="AU633" s="143">
        <f t="shared" ref="AU633:AU648" si="1530">AT633-AS633</f>
        <v>0</v>
      </c>
      <c r="AV633" s="144">
        <f t="shared" si="1499"/>
        <v>0</v>
      </c>
      <c r="AW633" s="142">
        <f t="shared" si="1499"/>
        <v>0</v>
      </c>
      <c r="AX633" s="143">
        <f t="shared" ref="AX633:AX648" si="1531">AW633-AV633</f>
        <v>0</v>
      </c>
      <c r="AY633" s="142">
        <f t="shared" si="1500"/>
        <v>0</v>
      </c>
      <c r="AZ633" s="142">
        <f t="shared" si="1500"/>
        <v>0</v>
      </c>
      <c r="BA633" s="143">
        <f t="shared" ref="BA633:BA648" si="1532">AZ633-AY633</f>
        <v>0</v>
      </c>
      <c r="BB633" s="144">
        <f t="shared" si="1501"/>
        <v>0</v>
      </c>
      <c r="BC633" s="142">
        <f t="shared" si="1501"/>
        <v>0</v>
      </c>
      <c r="BD633" s="143">
        <f t="shared" ref="BD633:BD648" si="1533">BC633-BB633</f>
        <v>0</v>
      </c>
      <c r="BE633" s="144">
        <f t="shared" si="1502"/>
        <v>0</v>
      </c>
      <c r="BF633" s="144">
        <f t="shared" si="1502"/>
        <v>0</v>
      </c>
      <c r="BG633" s="141">
        <f t="shared" ref="BG633" si="1534">IF(BG160=0,0,BG536/BG160)</f>
        <v>0</v>
      </c>
    </row>
    <row r="634" spans="1:59" ht="13.5" hidden="1" customHeight="1" outlineLevel="1" x14ac:dyDescent="0.25">
      <c r="A634" s="60"/>
      <c r="B634" s="84" t="s">
        <v>47</v>
      </c>
      <c r="C634" s="26" t="s">
        <v>110</v>
      </c>
      <c r="D634" s="141">
        <f t="shared" si="1485"/>
        <v>0</v>
      </c>
      <c r="E634" s="141">
        <f t="shared" si="1485"/>
        <v>0</v>
      </c>
      <c r="F634" s="144">
        <f t="shared" si="1485"/>
        <v>0</v>
      </c>
      <c r="G634" s="142">
        <f t="shared" si="1485"/>
        <v>0</v>
      </c>
      <c r="H634" s="143">
        <f t="shared" si="1517"/>
        <v>0</v>
      </c>
      <c r="I634" s="144">
        <f t="shared" si="1486"/>
        <v>0</v>
      </c>
      <c r="J634" s="142">
        <f t="shared" si="1486"/>
        <v>0</v>
      </c>
      <c r="K634" s="143">
        <f t="shared" si="1518"/>
        <v>0</v>
      </c>
      <c r="L634" s="144">
        <f t="shared" si="1487"/>
        <v>0</v>
      </c>
      <c r="M634" s="142">
        <f t="shared" si="1487"/>
        <v>0</v>
      </c>
      <c r="N634" s="143">
        <f t="shared" si="1519"/>
        <v>0</v>
      </c>
      <c r="O634" s="144">
        <f t="shared" si="1488"/>
        <v>0</v>
      </c>
      <c r="P634" s="142">
        <f t="shared" si="1488"/>
        <v>0</v>
      </c>
      <c r="Q634" s="143">
        <f t="shared" si="1520"/>
        <v>0</v>
      </c>
      <c r="R634" s="144">
        <f t="shared" si="1489"/>
        <v>0</v>
      </c>
      <c r="S634" s="142">
        <f t="shared" si="1489"/>
        <v>0</v>
      </c>
      <c r="T634" s="143">
        <f t="shared" si="1521"/>
        <v>0</v>
      </c>
      <c r="U634" s="144">
        <f t="shared" si="1490"/>
        <v>0</v>
      </c>
      <c r="V634" s="142">
        <f t="shared" si="1490"/>
        <v>0</v>
      </c>
      <c r="W634" s="143">
        <f t="shared" si="1522"/>
        <v>0</v>
      </c>
      <c r="X634" s="144">
        <f t="shared" si="1491"/>
        <v>0</v>
      </c>
      <c r="Y634" s="142">
        <f t="shared" si="1491"/>
        <v>0</v>
      </c>
      <c r="Z634" s="143">
        <f t="shared" si="1523"/>
        <v>0</v>
      </c>
      <c r="AA634" s="144">
        <f t="shared" si="1492"/>
        <v>0</v>
      </c>
      <c r="AB634" s="142">
        <f t="shared" si="1492"/>
        <v>0</v>
      </c>
      <c r="AC634" s="143">
        <f t="shared" si="1524"/>
        <v>0</v>
      </c>
      <c r="AD634" s="144">
        <f t="shared" si="1493"/>
        <v>0</v>
      </c>
      <c r="AE634" s="142">
        <f t="shared" si="1493"/>
        <v>0</v>
      </c>
      <c r="AF634" s="143">
        <f t="shared" si="1525"/>
        <v>0</v>
      </c>
      <c r="AG634" s="144">
        <f t="shared" si="1494"/>
        <v>0</v>
      </c>
      <c r="AH634" s="142">
        <f t="shared" si="1494"/>
        <v>0</v>
      </c>
      <c r="AI634" s="143">
        <f t="shared" si="1526"/>
        <v>0</v>
      </c>
      <c r="AJ634" s="144">
        <f t="shared" si="1495"/>
        <v>0</v>
      </c>
      <c r="AK634" s="142">
        <f t="shared" si="1495"/>
        <v>0</v>
      </c>
      <c r="AL634" s="143">
        <f t="shared" si="1527"/>
        <v>0</v>
      </c>
      <c r="AM634" s="144">
        <f t="shared" si="1496"/>
        <v>0</v>
      </c>
      <c r="AN634" s="142">
        <f t="shared" si="1496"/>
        <v>0</v>
      </c>
      <c r="AO634" s="143">
        <f t="shared" si="1528"/>
        <v>0</v>
      </c>
      <c r="AP634" s="144">
        <f t="shared" si="1497"/>
        <v>0</v>
      </c>
      <c r="AQ634" s="142">
        <f t="shared" si="1497"/>
        <v>0</v>
      </c>
      <c r="AR634" s="143">
        <f t="shared" si="1529"/>
        <v>0</v>
      </c>
      <c r="AS634" s="144">
        <f t="shared" si="1498"/>
        <v>0</v>
      </c>
      <c r="AT634" s="142">
        <f t="shared" si="1498"/>
        <v>0</v>
      </c>
      <c r="AU634" s="143">
        <f t="shared" si="1530"/>
        <v>0</v>
      </c>
      <c r="AV634" s="144">
        <f t="shared" si="1499"/>
        <v>0</v>
      </c>
      <c r="AW634" s="142">
        <f t="shared" si="1499"/>
        <v>0</v>
      </c>
      <c r="AX634" s="143">
        <f t="shared" si="1531"/>
        <v>0</v>
      </c>
      <c r="AY634" s="142">
        <f t="shared" si="1500"/>
        <v>0</v>
      </c>
      <c r="AZ634" s="142">
        <f t="shared" si="1500"/>
        <v>0</v>
      </c>
      <c r="BA634" s="143">
        <f t="shared" si="1532"/>
        <v>0</v>
      </c>
      <c r="BB634" s="144">
        <f t="shared" si="1501"/>
        <v>0</v>
      </c>
      <c r="BC634" s="142">
        <f t="shared" si="1501"/>
        <v>0</v>
      </c>
      <c r="BD634" s="143">
        <f t="shared" si="1533"/>
        <v>0</v>
      </c>
      <c r="BE634" s="144">
        <f t="shared" ref="BE634:BF648" si="1535">IF(BE161=0,0,BE537/BE161)</f>
        <v>0</v>
      </c>
      <c r="BF634" s="144">
        <f t="shared" si="1535"/>
        <v>0</v>
      </c>
      <c r="BG634" s="141">
        <f t="shared" ref="BG634" si="1536">IF(BG161=0,0,BG537/BG161)</f>
        <v>0</v>
      </c>
    </row>
    <row r="635" spans="1:59" ht="13.5" hidden="1" customHeight="1" outlineLevel="1" x14ac:dyDescent="0.25">
      <c r="A635" s="60"/>
      <c r="B635" s="84" t="s">
        <v>48</v>
      </c>
      <c r="C635" s="26" t="s">
        <v>110</v>
      </c>
      <c r="D635" s="141">
        <f t="shared" ref="D635:G650" si="1537">IF(D162=0,0,D538/D162)</f>
        <v>0</v>
      </c>
      <c r="E635" s="141">
        <f t="shared" si="1537"/>
        <v>0</v>
      </c>
      <c r="F635" s="144">
        <f t="shared" si="1537"/>
        <v>0</v>
      </c>
      <c r="G635" s="142">
        <f t="shared" si="1537"/>
        <v>0</v>
      </c>
      <c r="H635" s="143">
        <f t="shared" si="1517"/>
        <v>0</v>
      </c>
      <c r="I635" s="144">
        <f t="shared" ref="I635:J650" si="1538">IF(I162=0,0,I538/I162)</f>
        <v>0</v>
      </c>
      <c r="J635" s="142">
        <f t="shared" si="1538"/>
        <v>0</v>
      </c>
      <c r="K635" s="143">
        <f t="shared" si="1518"/>
        <v>0</v>
      </c>
      <c r="L635" s="144">
        <f t="shared" ref="L635:M650" si="1539">IF(L162=0,0,L538/L162)</f>
        <v>0</v>
      </c>
      <c r="M635" s="142">
        <f t="shared" si="1539"/>
        <v>0</v>
      </c>
      <c r="N635" s="143">
        <f t="shared" si="1519"/>
        <v>0</v>
      </c>
      <c r="O635" s="144">
        <f t="shared" ref="O635:P650" si="1540">IF(O162=0,0,O538/O162)</f>
        <v>0</v>
      </c>
      <c r="P635" s="142">
        <f t="shared" si="1540"/>
        <v>0</v>
      </c>
      <c r="Q635" s="143">
        <f t="shared" si="1520"/>
        <v>0</v>
      </c>
      <c r="R635" s="144">
        <f t="shared" ref="R635:S650" si="1541">IF(R162=0,0,R538/R162)</f>
        <v>0</v>
      </c>
      <c r="S635" s="142">
        <f t="shared" si="1541"/>
        <v>0</v>
      </c>
      <c r="T635" s="143">
        <f t="shared" si="1521"/>
        <v>0</v>
      </c>
      <c r="U635" s="144">
        <f t="shared" ref="U635:V650" si="1542">IF(U162=0,0,U538/U162)</f>
        <v>0</v>
      </c>
      <c r="V635" s="142">
        <f t="shared" si="1542"/>
        <v>0</v>
      </c>
      <c r="W635" s="143">
        <f t="shared" si="1522"/>
        <v>0</v>
      </c>
      <c r="X635" s="144">
        <f t="shared" ref="X635:Y650" si="1543">IF(X162=0,0,X538/X162)</f>
        <v>0</v>
      </c>
      <c r="Y635" s="142">
        <f t="shared" si="1543"/>
        <v>0</v>
      </c>
      <c r="Z635" s="143">
        <f t="shared" si="1523"/>
        <v>0</v>
      </c>
      <c r="AA635" s="144">
        <f t="shared" ref="AA635:AB650" si="1544">IF(AA162=0,0,AA538/AA162)</f>
        <v>0</v>
      </c>
      <c r="AB635" s="142">
        <f t="shared" si="1544"/>
        <v>0</v>
      </c>
      <c r="AC635" s="143">
        <f t="shared" si="1524"/>
        <v>0</v>
      </c>
      <c r="AD635" s="144">
        <f t="shared" ref="AD635:AE650" si="1545">IF(AD162=0,0,AD538/AD162)</f>
        <v>0</v>
      </c>
      <c r="AE635" s="142">
        <f t="shared" si="1545"/>
        <v>0</v>
      </c>
      <c r="AF635" s="143">
        <f t="shared" si="1525"/>
        <v>0</v>
      </c>
      <c r="AG635" s="144">
        <f t="shared" ref="AG635:AH650" si="1546">IF(AG162=0,0,AG538/AG162)</f>
        <v>0</v>
      </c>
      <c r="AH635" s="142">
        <f t="shared" si="1546"/>
        <v>0</v>
      </c>
      <c r="AI635" s="143">
        <f t="shared" si="1526"/>
        <v>0</v>
      </c>
      <c r="AJ635" s="144">
        <f t="shared" ref="AJ635:AK650" si="1547">IF(AJ162=0,0,AJ538/AJ162)</f>
        <v>0</v>
      </c>
      <c r="AK635" s="142">
        <f t="shared" si="1547"/>
        <v>0</v>
      </c>
      <c r="AL635" s="143">
        <f t="shared" si="1527"/>
        <v>0</v>
      </c>
      <c r="AM635" s="144">
        <f t="shared" ref="AM635:AN650" si="1548">IF(AM162=0,0,AM538/AM162)</f>
        <v>0</v>
      </c>
      <c r="AN635" s="142">
        <f t="shared" si="1548"/>
        <v>0</v>
      </c>
      <c r="AO635" s="143">
        <f t="shared" si="1528"/>
        <v>0</v>
      </c>
      <c r="AP635" s="144">
        <f t="shared" ref="AP635:AQ650" si="1549">IF(AP162=0,0,AP538/AP162)</f>
        <v>0</v>
      </c>
      <c r="AQ635" s="142">
        <f t="shared" si="1549"/>
        <v>0</v>
      </c>
      <c r="AR635" s="143">
        <f t="shared" si="1529"/>
        <v>0</v>
      </c>
      <c r="AS635" s="144">
        <f t="shared" ref="AS635:AT650" si="1550">IF(AS162=0,0,AS538/AS162)</f>
        <v>0</v>
      </c>
      <c r="AT635" s="142">
        <f t="shared" si="1550"/>
        <v>0</v>
      </c>
      <c r="AU635" s="143">
        <f t="shared" si="1530"/>
        <v>0</v>
      </c>
      <c r="AV635" s="144">
        <f t="shared" ref="AV635:AW650" si="1551">IF(AV162=0,0,AV538/AV162)</f>
        <v>0</v>
      </c>
      <c r="AW635" s="142">
        <f t="shared" si="1551"/>
        <v>0</v>
      </c>
      <c r="AX635" s="143">
        <f t="shared" si="1531"/>
        <v>0</v>
      </c>
      <c r="AY635" s="142">
        <f t="shared" ref="AY635:AZ650" si="1552">IF(AY162=0,0,AY538/AY162)</f>
        <v>0</v>
      </c>
      <c r="AZ635" s="142">
        <f t="shared" si="1552"/>
        <v>0</v>
      </c>
      <c r="BA635" s="143">
        <f t="shared" si="1532"/>
        <v>0</v>
      </c>
      <c r="BB635" s="144">
        <f t="shared" ref="BB635:BC650" si="1553">IF(BB162=0,0,BB538/BB162)</f>
        <v>0</v>
      </c>
      <c r="BC635" s="142">
        <f t="shared" si="1553"/>
        <v>0</v>
      </c>
      <c r="BD635" s="143">
        <f t="shared" si="1533"/>
        <v>0</v>
      </c>
      <c r="BE635" s="144">
        <f t="shared" si="1535"/>
        <v>0</v>
      </c>
      <c r="BF635" s="144">
        <f t="shared" si="1535"/>
        <v>0</v>
      </c>
      <c r="BG635" s="141">
        <f t="shared" ref="BG635" si="1554">IF(BG162=0,0,BG538/BG162)</f>
        <v>0</v>
      </c>
    </row>
    <row r="636" spans="1:59" ht="13.5" hidden="1" customHeight="1" outlineLevel="1" x14ac:dyDescent="0.25">
      <c r="A636" s="60"/>
      <c r="B636" s="84" t="s">
        <v>49</v>
      </c>
      <c r="C636" s="26" t="s">
        <v>110</v>
      </c>
      <c r="D636" s="141">
        <f t="shared" si="1537"/>
        <v>0</v>
      </c>
      <c r="E636" s="141">
        <f t="shared" si="1537"/>
        <v>0</v>
      </c>
      <c r="F636" s="144">
        <f t="shared" si="1537"/>
        <v>0</v>
      </c>
      <c r="G636" s="142">
        <f t="shared" si="1537"/>
        <v>0</v>
      </c>
      <c r="H636" s="143">
        <f t="shared" si="1517"/>
        <v>0</v>
      </c>
      <c r="I636" s="144">
        <f t="shared" si="1538"/>
        <v>0</v>
      </c>
      <c r="J636" s="142">
        <f t="shared" si="1538"/>
        <v>0</v>
      </c>
      <c r="K636" s="143">
        <f t="shared" si="1518"/>
        <v>0</v>
      </c>
      <c r="L636" s="144">
        <f t="shared" si="1539"/>
        <v>0</v>
      </c>
      <c r="M636" s="142">
        <f t="shared" si="1539"/>
        <v>0</v>
      </c>
      <c r="N636" s="143">
        <f t="shared" si="1519"/>
        <v>0</v>
      </c>
      <c r="O636" s="144">
        <f t="shared" si="1540"/>
        <v>0</v>
      </c>
      <c r="P636" s="142">
        <f t="shared" si="1540"/>
        <v>0</v>
      </c>
      <c r="Q636" s="143">
        <f t="shared" si="1520"/>
        <v>0</v>
      </c>
      <c r="R636" s="144">
        <f t="shared" si="1541"/>
        <v>0</v>
      </c>
      <c r="S636" s="142">
        <f t="shared" si="1541"/>
        <v>0</v>
      </c>
      <c r="T636" s="143">
        <f t="shared" si="1521"/>
        <v>0</v>
      </c>
      <c r="U636" s="144">
        <f t="shared" si="1542"/>
        <v>0</v>
      </c>
      <c r="V636" s="142">
        <f t="shared" si="1542"/>
        <v>0</v>
      </c>
      <c r="W636" s="143">
        <f t="shared" si="1522"/>
        <v>0</v>
      </c>
      <c r="X636" s="144">
        <f t="shared" si="1543"/>
        <v>0</v>
      </c>
      <c r="Y636" s="142">
        <f t="shared" si="1543"/>
        <v>0</v>
      </c>
      <c r="Z636" s="143">
        <f t="shared" si="1523"/>
        <v>0</v>
      </c>
      <c r="AA636" s="144">
        <f t="shared" si="1544"/>
        <v>0</v>
      </c>
      <c r="AB636" s="142">
        <f t="shared" si="1544"/>
        <v>0</v>
      </c>
      <c r="AC636" s="143">
        <f t="shared" si="1524"/>
        <v>0</v>
      </c>
      <c r="AD636" s="144">
        <f t="shared" si="1545"/>
        <v>0</v>
      </c>
      <c r="AE636" s="142">
        <f t="shared" si="1545"/>
        <v>0</v>
      </c>
      <c r="AF636" s="143">
        <f t="shared" si="1525"/>
        <v>0</v>
      </c>
      <c r="AG636" s="144">
        <f t="shared" si="1546"/>
        <v>0</v>
      </c>
      <c r="AH636" s="142">
        <f t="shared" si="1546"/>
        <v>0</v>
      </c>
      <c r="AI636" s="143">
        <f t="shared" si="1526"/>
        <v>0</v>
      </c>
      <c r="AJ636" s="144">
        <f t="shared" si="1547"/>
        <v>0</v>
      </c>
      <c r="AK636" s="142">
        <f t="shared" si="1547"/>
        <v>0</v>
      </c>
      <c r="AL636" s="143">
        <f t="shared" si="1527"/>
        <v>0</v>
      </c>
      <c r="AM636" s="144">
        <f t="shared" si="1548"/>
        <v>0</v>
      </c>
      <c r="AN636" s="142">
        <f t="shared" si="1548"/>
        <v>0</v>
      </c>
      <c r="AO636" s="143">
        <f t="shared" si="1528"/>
        <v>0</v>
      </c>
      <c r="AP636" s="144">
        <f t="shared" si="1549"/>
        <v>0</v>
      </c>
      <c r="AQ636" s="142">
        <f t="shared" si="1549"/>
        <v>0</v>
      </c>
      <c r="AR636" s="143">
        <f t="shared" si="1529"/>
        <v>0</v>
      </c>
      <c r="AS636" s="144">
        <f t="shared" si="1550"/>
        <v>0</v>
      </c>
      <c r="AT636" s="142">
        <f t="shared" si="1550"/>
        <v>0</v>
      </c>
      <c r="AU636" s="143">
        <f t="shared" si="1530"/>
        <v>0</v>
      </c>
      <c r="AV636" s="144">
        <f t="shared" si="1551"/>
        <v>0</v>
      </c>
      <c r="AW636" s="142">
        <f t="shared" si="1551"/>
        <v>0</v>
      </c>
      <c r="AX636" s="143">
        <f t="shared" si="1531"/>
        <v>0</v>
      </c>
      <c r="AY636" s="142">
        <f t="shared" si="1552"/>
        <v>0</v>
      </c>
      <c r="AZ636" s="142">
        <f t="shared" si="1552"/>
        <v>0</v>
      </c>
      <c r="BA636" s="143">
        <f t="shared" si="1532"/>
        <v>0</v>
      </c>
      <c r="BB636" s="144">
        <f t="shared" si="1553"/>
        <v>0</v>
      </c>
      <c r="BC636" s="142">
        <f t="shared" si="1553"/>
        <v>0</v>
      </c>
      <c r="BD636" s="143">
        <f t="shared" si="1533"/>
        <v>0</v>
      </c>
      <c r="BE636" s="144">
        <f t="shared" si="1535"/>
        <v>0</v>
      </c>
      <c r="BF636" s="144">
        <f t="shared" si="1535"/>
        <v>0</v>
      </c>
      <c r="BG636" s="141">
        <f t="shared" ref="BG636" si="1555">IF(BG163=0,0,BG539/BG163)</f>
        <v>0</v>
      </c>
    </row>
    <row r="637" spans="1:59" ht="13.5" hidden="1" customHeight="1" outlineLevel="1" x14ac:dyDescent="0.25">
      <c r="A637" s="60"/>
      <c r="B637" s="84" t="s">
        <v>50</v>
      </c>
      <c r="C637" s="26" t="s">
        <v>110</v>
      </c>
      <c r="D637" s="141">
        <f t="shared" si="1537"/>
        <v>0</v>
      </c>
      <c r="E637" s="141">
        <f t="shared" si="1537"/>
        <v>0</v>
      </c>
      <c r="F637" s="144">
        <f t="shared" si="1537"/>
        <v>0</v>
      </c>
      <c r="G637" s="142">
        <f t="shared" si="1537"/>
        <v>0</v>
      </c>
      <c r="H637" s="143">
        <f t="shared" si="1517"/>
        <v>0</v>
      </c>
      <c r="I637" s="144">
        <f t="shared" si="1538"/>
        <v>0</v>
      </c>
      <c r="J637" s="142">
        <f t="shared" si="1538"/>
        <v>0</v>
      </c>
      <c r="K637" s="143">
        <f t="shared" si="1518"/>
        <v>0</v>
      </c>
      <c r="L637" s="144">
        <f t="shared" si="1539"/>
        <v>0</v>
      </c>
      <c r="M637" s="142">
        <f t="shared" si="1539"/>
        <v>0</v>
      </c>
      <c r="N637" s="143">
        <f t="shared" si="1519"/>
        <v>0</v>
      </c>
      <c r="O637" s="144">
        <f t="shared" si="1540"/>
        <v>0</v>
      </c>
      <c r="P637" s="142">
        <f t="shared" si="1540"/>
        <v>0</v>
      </c>
      <c r="Q637" s="143">
        <f t="shared" si="1520"/>
        <v>0</v>
      </c>
      <c r="R637" s="144">
        <f t="shared" si="1541"/>
        <v>0</v>
      </c>
      <c r="S637" s="142">
        <f t="shared" si="1541"/>
        <v>0</v>
      </c>
      <c r="T637" s="143">
        <f t="shared" si="1521"/>
        <v>0</v>
      </c>
      <c r="U637" s="144">
        <f t="shared" si="1542"/>
        <v>0</v>
      </c>
      <c r="V637" s="142">
        <f t="shared" si="1542"/>
        <v>0</v>
      </c>
      <c r="W637" s="143">
        <f t="shared" si="1522"/>
        <v>0</v>
      </c>
      <c r="X637" s="144">
        <f t="shared" si="1543"/>
        <v>0</v>
      </c>
      <c r="Y637" s="142">
        <f t="shared" si="1543"/>
        <v>0</v>
      </c>
      <c r="Z637" s="143">
        <f t="shared" si="1523"/>
        <v>0</v>
      </c>
      <c r="AA637" s="144">
        <f t="shared" si="1544"/>
        <v>0</v>
      </c>
      <c r="AB637" s="142">
        <f t="shared" si="1544"/>
        <v>0</v>
      </c>
      <c r="AC637" s="143">
        <f t="shared" si="1524"/>
        <v>0</v>
      </c>
      <c r="AD637" s="144">
        <f t="shared" si="1545"/>
        <v>0</v>
      </c>
      <c r="AE637" s="142">
        <f t="shared" si="1545"/>
        <v>0</v>
      </c>
      <c r="AF637" s="143">
        <f t="shared" si="1525"/>
        <v>0</v>
      </c>
      <c r="AG637" s="144">
        <f t="shared" si="1546"/>
        <v>0</v>
      </c>
      <c r="AH637" s="142">
        <f t="shared" si="1546"/>
        <v>0</v>
      </c>
      <c r="AI637" s="143">
        <f t="shared" si="1526"/>
        <v>0</v>
      </c>
      <c r="AJ637" s="144">
        <f t="shared" si="1547"/>
        <v>0</v>
      </c>
      <c r="AK637" s="142">
        <f t="shared" si="1547"/>
        <v>0</v>
      </c>
      <c r="AL637" s="143">
        <f t="shared" si="1527"/>
        <v>0</v>
      </c>
      <c r="AM637" s="144">
        <f t="shared" si="1548"/>
        <v>0</v>
      </c>
      <c r="AN637" s="142">
        <f t="shared" si="1548"/>
        <v>0</v>
      </c>
      <c r="AO637" s="143">
        <f t="shared" si="1528"/>
        <v>0</v>
      </c>
      <c r="AP637" s="144">
        <f t="shared" si="1549"/>
        <v>0</v>
      </c>
      <c r="AQ637" s="142">
        <f t="shared" si="1549"/>
        <v>0</v>
      </c>
      <c r="AR637" s="143">
        <f t="shared" si="1529"/>
        <v>0</v>
      </c>
      <c r="AS637" s="144">
        <f t="shared" si="1550"/>
        <v>0</v>
      </c>
      <c r="AT637" s="142">
        <f t="shared" si="1550"/>
        <v>0</v>
      </c>
      <c r="AU637" s="143">
        <f t="shared" si="1530"/>
        <v>0</v>
      </c>
      <c r="AV637" s="144">
        <f t="shared" si="1551"/>
        <v>0</v>
      </c>
      <c r="AW637" s="142">
        <f t="shared" si="1551"/>
        <v>0</v>
      </c>
      <c r="AX637" s="143">
        <f t="shared" si="1531"/>
        <v>0</v>
      </c>
      <c r="AY637" s="142">
        <f t="shared" si="1552"/>
        <v>0</v>
      </c>
      <c r="AZ637" s="142">
        <f t="shared" si="1552"/>
        <v>0</v>
      </c>
      <c r="BA637" s="143">
        <f t="shared" si="1532"/>
        <v>0</v>
      </c>
      <c r="BB637" s="144">
        <f t="shared" si="1553"/>
        <v>0</v>
      </c>
      <c r="BC637" s="142">
        <f t="shared" si="1553"/>
        <v>0</v>
      </c>
      <c r="BD637" s="143">
        <f t="shared" si="1533"/>
        <v>0</v>
      </c>
      <c r="BE637" s="144">
        <f t="shared" si="1535"/>
        <v>0</v>
      </c>
      <c r="BF637" s="144">
        <f t="shared" si="1535"/>
        <v>0</v>
      </c>
      <c r="BG637" s="141">
        <f t="shared" ref="BG637" si="1556">IF(BG164=0,0,BG540/BG164)</f>
        <v>0</v>
      </c>
    </row>
    <row r="638" spans="1:59" ht="13.5" hidden="1" customHeight="1" outlineLevel="1" x14ac:dyDescent="0.25">
      <c r="A638" s="60"/>
      <c r="B638" s="84" t="s">
        <v>51</v>
      </c>
      <c r="C638" s="26" t="s">
        <v>110</v>
      </c>
      <c r="D638" s="141">
        <f t="shared" si="1537"/>
        <v>0</v>
      </c>
      <c r="E638" s="141">
        <f t="shared" si="1537"/>
        <v>0</v>
      </c>
      <c r="F638" s="144">
        <f t="shared" si="1537"/>
        <v>0</v>
      </c>
      <c r="G638" s="142">
        <f t="shared" si="1537"/>
        <v>0</v>
      </c>
      <c r="H638" s="143">
        <f t="shared" si="1517"/>
        <v>0</v>
      </c>
      <c r="I638" s="144">
        <f t="shared" si="1538"/>
        <v>0</v>
      </c>
      <c r="J638" s="142">
        <f t="shared" si="1538"/>
        <v>0</v>
      </c>
      <c r="K638" s="143">
        <f t="shared" si="1518"/>
        <v>0</v>
      </c>
      <c r="L638" s="144">
        <f t="shared" si="1539"/>
        <v>0</v>
      </c>
      <c r="M638" s="142">
        <f t="shared" si="1539"/>
        <v>0</v>
      </c>
      <c r="N638" s="143">
        <f t="shared" si="1519"/>
        <v>0</v>
      </c>
      <c r="O638" s="144">
        <f t="shared" si="1540"/>
        <v>0</v>
      </c>
      <c r="P638" s="142">
        <f t="shared" si="1540"/>
        <v>0</v>
      </c>
      <c r="Q638" s="143">
        <f t="shared" si="1520"/>
        <v>0</v>
      </c>
      <c r="R638" s="144">
        <f t="shared" si="1541"/>
        <v>0</v>
      </c>
      <c r="S638" s="142">
        <f t="shared" si="1541"/>
        <v>0</v>
      </c>
      <c r="T638" s="143">
        <f t="shared" si="1521"/>
        <v>0</v>
      </c>
      <c r="U638" s="144">
        <f t="shared" si="1542"/>
        <v>0</v>
      </c>
      <c r="V638" s="142">
        <f t="shared" si="1542"/>
        <v>0</v>
      </c>
      <c r="W638" s="143">
        <f t="shared" si="1522"/>
        <v>0</v>
      </c>
      <c r="X638" s="144">
        <f t="shared" si="1543"/>
        <v>0</v>
      </c>
      <c r="Y638" s="142">
        <f t="shared" si="1543"/>
        <v>0</v>
      </c>
      <c r="Z638" s="143">
        <f t="shared" si="1523"/>
        <v>0</v>
      </c>
      <c r="AA638" s="144">
        <f t="shared" si="1544"/>
        <v>0</v>
      </c>
      <c r="AB638" s="142">
        <f t="shared" si="1544"/>
        <v>0</v>
      </c>
      <c r="AC638" s="143">
        <f t="shared" si="1524"/>
        <v>0</v>
      </c>
      <c r="AD638" s="144">
        <f t="shared" si="1545"/>
        <v>0</v>
      </c>
      <c r="AE638" s="142">
        <f t="shared" si="1545"/>
        <v>0</v>
      </c>
      <c r="AF638" s="143">
        <f t="shared" si="1525"/>
        <v>0</v>
      </c>
      <c r="AG638" s="144">
        <f t="shared" si="1546"/>
        <v>0</v>
      </c>
      <c r="AH638" s="142">
        <f t="shared" si="1546"/>
        <v>0</v>
      </c>
      <c r="AI638" s="143">
        <f t="shared" si="1526"/>
        <v>0</v>
      </c>
      <c r="AJ638" s="144">
        <f t="shared" si="1547"/>
        <v>0</v>
      </c>
      <c r="AK638" s="142">
        <f t="shared" si="1547"/>
        <v>0</v>
      </c>
      <c r="AL638" s="143">
        <f t="shared" si="1527"/>
        <v>0</v>
      </c>
      <c r="AM638" s="144">
        <f t="shared" si="1548"/>
        <v>0</v>
      </c>
      <c r="AN638" s="142">
        <f t="shared" si="1548"/>
        <v>0</v>
      </c>
      <c r="AO638" s="143">
        <f t="shared" si="1528"/>
        <v>0</v>
      </c>
      <c r="AP638" s="144">
        <f t="shared" si="1549"/>
        <v>0</v>
      </c>
      <c r="AQ638" s="142">
        <f t="shared" si="1549"/>
        <v>0</v>
      </c>
      <c r="AR638" s="143">
        <f t="shared" si="1529"/>
        <v>0</v>
      </c>
      <c r="AS638" s="144">
        <f t="shared" si="1550"/>
        <v>0</v>
      </c>
      <c r="AT638" s="142">
        <f t="shared" si="1550"/>
        <v>0</v>
      </c>
      <c r="AU638" s="143">
        <f t="shared" si="1530"/>
        <v>0</v>
      </c>
      <c r="AV638" s="144">
        <f t="shared" si="1551"/>
        <v>0</v>
      </c>
      <c r="AW638" s="142">
        <f t="shared" si="1551"/>
        <v>0</v>
      </c>
      <c r="AX638" s="143">
        <f t="shared" si="1531"/>
        <v>0</v>
      </c>
      <c r="AY638" s="142">
        <f t="shared" si="1552"/>
        <v>0</v>
      </c>
      <c r="AZ638" s="142">
        <f t="shared" si="1552"/>
        <v>0</v>
      </c>
      <c r="BA638" s="143">
        <f t="shared" si="1532"/>
        <v>0</v>
      </c>
      <c r="BB638" s="144">
        <f t="shared" si="1553"/>
        <v>0</v>
      </c>
      <c r="BC638" s="142">
        <f t="shared" si="1553"/>
        <v>0</v>
      </c>
      <c r="BD638" s="143">
        <f t="shared" si="1533"/>
        <v>0</v>
      </c>
      <c r="BE638" s="144">
        <f t="shared" si="1535"/>
        <v>0</v>
      </c>
      <c r="BF638" s="144">
        <f t="shared" si="1535"/>
        <v>0</v>
      </c>
      <c r="BG638" s="141">
        <f t="shared" ref="BG638" si="1557">IF(BG165=0,0,BG541/BG165)</f>
        <v>0</v>
      </c>
    </row>
    <row r="639" spans="1:59" ht="13.5" hidden="1" customHeight="1" outlineLevel="1" x14ac:dyDescent="0.25">
      <c r="A639" s="60"/>
      <c r="B639" s="84" t="s">
        <v>52</v>
      </c>
      <c r="C639" s="26" t="s">
        <v>110</v>
      </c>
      <c r="D639" s="141">
        <f t="shared" si="1537"/>
        <v>0</v>
      </c>
      <c r="E639" s="141">
        <f t="shared" si="1537"/>
        <v>0</v>
      </c>
      <c r="F639" s="144">
        <f t="shared" si="1537"/>
        <v>0</v>
      </c>
      <c r="G639" s="142">
        <f t="shared" si="1537"/>
        <v>0</v>
      </c>
      <c r="H639" s="143">
        <f t="shared" si="1517"/>
        <v>0</v>
      </c>
      <c r="I639" s="144">
        <f t="shared" si="1538"/>
        <v>0</v>
      </c>
      <c r="J639" s="142">
        <f t="shared" si="1538"/>
        <v>0</v>
      </c>
      <c r="K639" s="143">
        <f t="shared" si="1518"/>
        <v>0</v>
      </c>
      <c r="L639" s="144">
        <f t="shared" si="1539"/>
        <v>0</v>
      </c>
      <c r="M639" s="142">
        <f t="shared" si="1539"/>
        <v>0</v>
      </c>
      <c r="N639" s="143">
        <f t="shared" si="1519"/>
        <v>0</v>
      </c>
      <c r="O639" s="144">
        <f t="shared" si="1540"/>
        <v>0</v>
      </c>
      <c r="P639" s="142">
        <f t="shared" si="1540"/>
        <v>0</v>
      </c>
      <c r="Q639" s="143">
        <f t="shared" si="1520"/>
        <v>0</v>
      </c>
      <c r="R639" s="144">
        <f t="shared" si="1541"/>
        <v>0</v>
      </c>
      <c r="S639" s="142">
        <f t="shared" si="1541"/>
        <v>0</v>
      </c>
      <c r="T639" s="143">
        <f t="shared" si="1521"/>
        <v>0</v>
      </c>
      <c r="U639" s="144">
        <f t="shared" si="1542"/>
        <v>0</v>
      </c>
      <c r="V639" s="142">
        <f t="shared" si="1542"/>
        <v>0</v>
      </c>
      <c r="W639" s="143">
        <f t="shared" si="1522"/>
        <v>0</v>
      </c>
      <c r="X639" s="144">
        <f t="shared" si="1543"/>
        <v>0</v>
      </c>
      <c r="Y639" s="142">
        <f t="shared" si="1543"/>
        <v>0</v>
      </c>
      <c r="Z639" s="143">
        <f t="shared" si="1523"/>
        <v>0</v>
      </c>
      <c r="AA639" s="144">
        <f t="shared" si="1544"/>
        <v>0</v>
      </c>
      <c r="AB639" s="142">
        <f t="shared" si="1544"/>
        <v>0</v>
      </c>
      <c r="AC639" s="143">
        <f t="shared" si="1524"/>
        <v>0</v>
      </c>
      <c r="AD639" s="144">
        <f t="shared" si="1545"/>
        <v>0</v>
      </c>
      <c r="AE639" s="142">
        <f t="shared" si="1545"/>
        <v>0</v>
      </c>
      <c r="AF639" s="143">
        <f t="shared" si="1525"/>
        <v>0</v>
      </c>
      <c r="AG639" s="144">
        <f t="shared" si="1546"/>
        <v>0</v>
      </c>
      <c r="AH639" s="142">
        <f t="shared" si="1546"/>
        <v>0</v>
      </c>
      <c r="AI639" s="143">
        <f t="shared" si="1526"/>
        <v>0</v>
      </c>
      <c r="AJ639" s="144">
        <f t="shared" si="1547"/>
        <v>0</v>
      </c>
      <c r="AK639" s="142">
        <f t="shared" si="1547"/>
        <v>0</v>
      </c>
      <c r="AL639" s="143">
        <f t="shared" si="1527"/>
        <v>0</v>
      </c>
      <c r="AM639" s="144">
        <f t="shared" si="1548"/>
        <v>0</v>
      </c>
      <c r="AN639" s="142">
        <f t="shared" si="1548"/>
        <v>0</v>
      </c>
      <c r="AO639" s="143">
        <f t="shared" si="1528"/>
        <v>0</v>
      </c>
      <c r="AP639" s="144">
        <f t="shared" si="1549"/>
        <v>0</v>
      </c>
      <c r="AQ639" s="142">
        <f t="shared" si="1549"/>
        <v>0</v>
      </c>
      <c r="AR639" s="143">
        <f t="shared" si="1529"/>
        <v>0</v>
      </c>
      <c r="AS639" s="144">
        <f t="shared" si="1550"/>
        <v>0</v>
      </c>
      <c r="AT639" s="142">
        <f t="shared" si="1550"/>
        <v>0</v>
      </c>
      <c r="AU639" s="143">
        <f t="shared" si="1530"/>
        <v>0</v>
      </c>
      <c r="AV639" s="144">
        <f t="shared" si="1551"/>
        <v>0</v>
      </c>
      <c r="AW639" s="142">
        <f t="shared" si="1551"/>
        <v>0</v>
      </c>
      <c r="AX639" s="143">
        <f t="shared" si="1531"/>
        <v>0</v>
      </c>
      <c r="AY639" s="142">
        <f t="shared" si="1552"/>
        <v>0</v>
      </c>
      <c r="AZ639" s="142">
        <f t="shared" si="1552"/>
        <v>0</v>
      </c>
      <c r="BA639" s="143">
        <f t="shared" si="1532"/>
        <v>0</v>
      </c>
      <c r="BB639" s="144">
        <f t="shared" si="1553"/>
        <v>0</v>
      </c>
      <c r="BC639" s="142">
        <f t="shared" si="1553"/>
        <v>0</v>
      </c>
      <c r="BD639" s="143">
        <f t="shared" si="1533"/>
        <v>0</v>
      </c>
      <c r="BE639" s="144">
        <f t="shared" si="1535"/>
        <v>0</v>
      </c>
      <c r="BF639" s="144">
        <f t="shared" si="1535"/>
        <v>0</v>
      </c>
      <c r="BG639" s="141">
        <f t="shared" ref="BG639" si="1558">IF(BG166=0,0,BG542/BG166)</f>
        <v>0</v>
      </c>
    </row>
    <row r="640" spans="1:59" ht="13.5" hidden="1" customHeight="1" outlineLevel="1" x14ac:dyDescent="0.25">
      <c r="A640" s="60"/>
      <c r="B640" s="84" t="s">
        <v>53</v>
      </c>
      <c r="C640" s="26" t="s">
        <v>110</v>
      </c>
      <c r="D640" s="141">
        <f t="shared" si="1537"/>
        <v>0</v>
      </c>
      <c r="E640" s="141">
        <f t="shared" si="1537"/>
        <v>0</v>
      </c>
      <c r="F640" s="144">
        <f t="shared" si="1537"/>
        <v>0</v>
      </c>
      <c r="G640" s="142">
        <f t="shared" si="1537"/>
        <v>0</v>
      </c>
      <c r="H640" s="143">
        <f t="shared" si="1517"/>
        <v>0</v>
      </c>
      <c r="I640" s="144">
        <f t="shared" si="1538"/>
        <v>0</v>
      </c>
      <c r="J640" s="142">
        <f t="shared" si="1538"/>
        <v>0</v>
      </c>
      <c r="K640" s="143">
        <f t="shared" si="1518"/>
        <v>0</v>
      </c>
      <c r="L640" s="144">
        <f t="shared" si="1539"/>
        <v>0</v>
      </c>
      <c r="M640" s="142">
        <f t="shared" si="1539"/>
        <v>0</v>
      </c>
      <c r="N640" s="143">
        <f t="shared" si="1519"/>
        <v>0</v>
      </c>
      <c r="O640" s="144">
        <f t="shared" si="1540"/>
        <v>0</v>
      </c>
      <c r="P640" s="142">
        <f t="shared" si="1540"/>
        <v>0</v>
      </c>
      <c r="Q640" s="143">
        <f t="shared" si="1520"/>
        <v>0</v>
      </c>
      <c r="R640" s="144">
        <f t="shared" si="1541"/>
        <v>0</v>
      </c>
      <c r="S640" s="142">
        <f t="shared" si="1541"/>
        <v>0</v>
      </c>
      <c r="T640" s="143">
        <f t="shared" si="1521"/>
        <v>0</v>
      </c>
      <c r="U640" s="144">
        <f t="shared" si="1542"/>
        <v>0</v>
      </c>
      <c r="V640" s="142">
        <f t="shared" si="1542"/>
        <v>0</v>
      </c>
      <c r="W640" s="143">
        <f t="shared" si="1522"/>
        <v>0</v>
      </c>
      <c r="X640" s="144">
        <f t="shared" si="1543"/>
        <v>0</v>
      </c>
      <c r="Y640" s="142">
        <f t="shared" si="1543"/>
        <v>0</v>
      </c>
      <c r="Z640" s="143">
        <f t="shared" si="1523"/>
        <v>0</v>
      </c>
      <c r="AA640" s="144">
        <f t="shared" si="1544"/>
        <v>0</v>
      </c>
      <c r="AB640" s="142">
        <f t="shared" si="1544"/>
        <v>0</v>
      </c>
      <c r="AC640" s="143">
        <f t="shared" si="1524"/>
        <v>0</v>
      </c>
      <c r="AD640" s="144">
        <f t="shared" si="1545"/>
        <v>0</v>
      </c>
      <c r="AE640" s="142">
        <f t="shared" si="1545"/>
        <v>0</v>
      </c>
      <c r="AF640" s="143">
        <f t="shared" si="1525"/>
        <v>0</v>
      </c>
      <c r="AG640" s="144">
        <f t="shared" si="1546"/>
        <v>0</v>
      </c>
      <c r="AH640" s="142">
        <f t="shared" si="1546"/>
        <v>0</v>
      </c>
      <c r="AI640" s="143">
        <f t="shared" si="1526"/>
        <v>0</v>
      </c>
      <c r="AJ640" s="144">
        <f t="shared" si="1547"/>
        <v>0</v>
      </c>
      <c r="AK640" s="142">
        <f t="shared" si="1547"/>
        <v>0</v>
      </c>
      <c r="AL640" s="143">
        <f t="shared" si="1527"/>
        <v>0</v>
      </c>
      <c r="AM640" s="144">
        <f t="shared" si="1548"/>
        <v>0</v>
      </c>
      <c r="AN640" s="142">
        <f t="shared" si="1548"/>
        <v>0</v>
      </c>
      <c r="AO640" s="143">
        <f t="shared" si="1528"/>
        <v>0</v>
      </c>
      <c r="AP640" s="144">
        <f t="shared" si="1549"/>
        <v>0</v>
      </c>
      <c r="AQ640" s="142">
        <f t="shared" si="1549"/>
        <v>0</v>
      </c>
      <c r="AR640" s="143">
        <f t="shared" si="1529"/>
        <v>0</v>
      </c>
      <c r="AS640" s="144">
        <f t="shared" si="1550"/>
        <v>0</v>
      </c>
      <c r="AT640" s="142">
        <f t="shared" si="1550"/>
        <v>0</v>
      </c>
      <c r="AU640" s="143">
        <f t="shared" si="1530"/>
        <v>0</v>
      </c>
      <c r="AV640" s="144">
        <f t="shared" si="1551"/>
        <v>0</v>
      </c>
      <c r="AW640" s="142">
        <f t="shared" si="1551"/>
        <v>0</v>
      </c>
      <c r="AX640" s="143">
        <f t="shared" si="1531"/>
        <v>0</v>
      </c>
      <c r="AY640" s="142">
        <f t="shared" si="1552"/>
        <v>0</v>
      </c>
      <c r="AZ640" s="142">
        <f t="shared" si="1552"/>
        <v>0</v>
      </c>
      <c r="BA640" s="143">
        <f t="shared" si="1532"/>
        <v>0</v>
      </c>
      <c r="BB640" s="144">
        <f t="shared" si="1553"/>
        <v>0</v>
      </c>
      <c r="BC640" s="142">
        <f t="shared" si="1553"/>
        <v>0</v>
      </c>
      <c r="BD640" s="143">
        <f t="shared" si="1533"/>
        <v>0</v>
      </c>
      <c r="BE640" s="144">
        <f t="shared" si="1535"/>
        <v>0</v>
      </c>
      <c r="BF640" s="144">
        <f t="shared" si="1535"/>
        <v>0</v>
      </c>
      <c r="BG640" s="141">
        <f t="shared" ref="BG640" si="1559">IF(BG167=0,0,BG543/BG167)</f>
        <v>0</v>
      </c>
    </row>
    <row r="641" spans="1:59" ht="13.5" hidden="1" customHeight="1" outlineLevel="1" x14ac:dyDescent="0.25">
      <c r="A641" s="60"/>
      <c r="B641" s="84" t="s">
        <v>54</v>
      </c>
      <c r="C641" s="26" t="s">
        <v>110</v>
      </c>
      <c r="D641" s="141">
        <f t="shared" si="1537"/>
        <v>0</v>
      </c>
      <c r="E641" s="141">
        <f t="shared" si="1537"/>
        <v>0</v>
      </c>
      <c r="F641" s="144">
        <f t="shared" si="1537"/>
        <v>0</v>
      </c>
      <c r="G641" s="142">
        <f t="shared" si="1537"/>
        <v>0</v>
      </c>
      <c r="H641" s="143">
        <f t="shared" si="1517"/>
        <v>0</v>
      </c>
      <c r="I641" s="144">
        <f t="shared" si="1538"/>
        <v>0</v>
      </c>
      <c r="J641" s="142">
        <f t="shared" si="1538"/>
        <v>0</v>
      </c>
      <c r="K641" s="143">
        <f t="shared" si="1518"/>
        <v>0</v>
      </c>
      <c r="L641" s="144">
        <f t="shared" si="1539"/>
        <v>0</v>
      </c>
      <c r="M641" s="142">
        <f t="shared" si="1539"/>
        <v>0</v>
      </c>
      <c r="N641" s="143">
        <f t="shared" si="1519"/>
        <v>0</v>
      </c>
      <c r="O641" s="144">
        <f t="shared" si="1540"/>
        <v>0</v>
      </c>
      <c r="P641" s="142">
        <f t="shared" si="1540"/>
        <v>0</v>
      </c>
      <c r="Q641" s="143">
        <f t="shared" si="1520"/>
        <v>0</v>
      </c>
      <c r="R641" s="144">
        <f t="shared" si="1541"/>
        <v>0</v>
      </c>
      <c r="S641" s="142">
        <f t="shared" si="1541"/>
        <v>0</v>
      </c>
      <c r="T641" s="143">
        <f t="shared" si="1521"/>
        <v>0</v>
      </c>
      <c r="U641" s="144">
        <f t="shared" si="1542"/>
        <v>0</v>
      </c>
      <c r="V641" s="142">
        <f t="shared" si="1542"/>
        <v>0</v>
      </c>
      <c r="W641" s="143">
        <f t="shared" si="1522"/>
        <v>0</v>
      </c>
      <c r="X641" s="144">
        <f t="shared" si="1543"/>
        <v>0</v>
      </c>
      <c r="Y641" s="142">
        <f t="shared" si="1543"/>
        <v>0</v>
      </c>
      <c r="Z641" s="143">
        <f t="shared" si="1523"/>
        <v>0</v>
      </c>
      <c r="AA641" s="144">
        <f t="shared" si="1544"/>
        <v>0</v>
      </c>
      <c r="AB641" s="142">
        <f t="shared" si="1544"/>
        <v>0</v>
      </c>
      <c r="AC641" s="143">
        <f t="shared" si="1524"/>
        <v>0</v>
      </c>
      <c r="AD641" s="144">
        <f t="shared" si="1545"/>
        <v>0</v>
      </c>
      <c r="AE641" s="142">
        <f t="shared" si="1545"/>
        <v>0</v>
      </c>
      <c r="AF641" s="143">
        <f t="shared" si="1525"/>
        <v>0</v>
      </c>
      <c r="AG641" s="144">
        <f t="shared" si="1546"/>
        <v>0</v>
      </c>
      <c r="AH641" s="142">
        <f t="shared" si="1546"/>
        <v>0</v>
      </c>
      <c r="AI641" s="143">
        <f t="shared" si="1526"/>
        <v>0</v>
      </c>
      <c r="AJ641" s="144">
        <f t="shared" si="1547"/>
        <v>0</v>
      </c>
      <c r="AK641" s="142">
        <f t="shared" si="1547"/>
        <v>0</v>
      </c>
      <c r="AL641" s="143">
        <f t="shared" si="1527"/>
        <v>0</v>
      </c>
      <c r="AM641" s="144">
        <f t="shared" si="1548"/>
        <v>0</v>
      </c>
      <c r="AN641" s="142">
        <f t="shared" si="1548"/>
        <v>0</v>
      </c>
      <c r="AO641" s="143">
        <f t="shared" si="1528"/>
        <v>0</v>
      </c>
      <c r="AP641" s="144">
        <f t="shared" si="1549"/>
        <v>0</v>
      </c>
      <c r="AQ641" s="142">
        <f t="shared" si="1549"/>
        <v>0</v>
      </c>
      <c r="AR641" s="143">
        <f t="shared" si="1529"/>
        <v>0</v>
      </c>
      <c r="AS641" s="144">
        <f t="shared" si="1550"/>
        <v>0</v>
      </c>
      <c r="AT641" s="142">
        <f t="shared" si="1550"/>
        <v>0</v>
      </c>
      <c r="AU641" s="143">
        <f t="shared" si="1530"/>
        <v>0</v>
      </c>
      <c r="AV641" s="144">
        <f t="shared" si="1551"/>
        <v>0</v>
      </c>
      <c r="AW641" s="142">
        <f t="shared" si="1551"/>
        <v>0</v>
      </c>
      <c r="AX641" s="143">
        <f t="shared" si="1531"/>
        <v>0</v>
      </c>
      <c r="AY641" s="142">
        <f t="shared" si="1552"/>
        <v>0</v>
      </c>
      <c r="AZ641" s="142">
        <f t="shared" si="1552"/>
        <v>0</v>
      </c>
      <c r="BA641" s="143">
        <f t="shared" si="1532"/>
        <v>0</v>
      </c>
      <c r="BB641" s="144">
        <f t="shared" si="1553"/>
        <v>0</v>
      </c>
      <c r="BC641" s="142">
        <f t="shared" si="1553"/>
        <v>0</v>
      </c>
      <c r="BD641" s="143">
        <f t="shared" si="1533"/>
        <v>0</v>
      </c>
      <c r="BE641" s="144">
        <f t="shared" si="1535"/>
        <v>0</v>
      </c>
      <c r="BF641" s="144">
        <f t="shared" si="1535"/>
        <v>0</v>
      </c>
      <c r="BG641" s="141">
        <f t="shared" ref="BG641" si="1560">IF(BG168=0,0,BG544/BG168)</f>
        <v>0</v>
      </c>
    </row>
    <row r="642" spans="1:59" ht="13.5" hidden="1" customHeight="1" outlineLevel="1" x14ac:dyDescent="0.25">
      <c r="A642" s="65"/>
      <c r="B642" s="84" t="s">
        <v>55</v>
      </c>
      <c r="C642" s="26" t="s">
        <v>110</v>
      </c>
      <c r="D642" s="137">
        <f t="shared" si="1537"/>
        <v>0</v>
      </c>
      <c r="E642" s="137">
        <f t="shared" si="1537"/>
        <v>0</v>
      </c>
      <c r="F642" s="140">
        <f t="shared" si="1537"/>
        <v>0</v>
      </c>
      <c r="G642" s="138">
        <f t="shared" si="1537"/>
        <v>0</v>
      </c>
      <c r="H642" s="139">
        <f t="shared" si="1517"/>
        <v>0</v>
      </c>
      <c r="I642" s="140">
        <f t="shared" si="1538"/>
        <v>0</v>
      </c>
      <c r="J642" s="138">
        <f t="shared" si="1538"/>
        <v>0</v>
      </c>
      <c r="K642" s="139">
        <f t="shared" si="1518"/>
        <v>0</v>
      </c>
      <c r="L642" s="140">
        <f t="shared" si="1539"/>
        <v>0</v>
      </c>
      <c r="M642" s="138">
        <f t="shared" si="1539"/>
        <v>0</v>
      </c>
      <c r="N642" s="139">
        <f t="shared" si="1519"/>
        <v>0</v>
      </c>
      <c r="O642" s="140">
        <f t="shared" si="1540"/>
        <v>0</v>
      </c>
      <c r="P642" s="138">
        <f t="shared" si="1540"/>
        <v>0</v>
      </c>
      <c r="Q642" s="139">
        <f t="shared" si="1520"/>
        <v>0</v>
      </c>
      <c r="R642" s="140">
        <f t="shared" si="1541"/>
        <v>0</v>
      </c>
      <c r="S642" s="138">
        <f t="shared" si="1541"/>
        <v>0</v>
      </c>
      <c r="T642" s="139">
        <f t="shared" si="1521"/>
        <v>0</v>
      </c>
      <c r="U642" s="140">
        <f t="shared" si="1542"/>
        <v>0</v>
      </c>
      <c r="V642" s="138">
        <f t="shared" si="1542"/>
        <v>0</v>
      </c>
      <c r="W642" s="139">
        <f t="shared" si="1522"/>
        <v>0</v>
      </c>
      <c r="X642" s="140">
        <f t="shared" si="1543"/>
        <v>0</v>
      </c>
      <c r="Y642" s="138">
        <f t="shared" si="1543"/>
        <v>0</v>
      </c>
      <c r="Z642" s="139">
        <f t="shared" si="1523"/>
        <v>0</v>
      </c>
      <c r="AA642" s="140">
        <f t="shared" si="1544"/>
        <v>0</v>
      </c>
      <c r="AB642" s="138">
        <f t="shared" si="1544"/>
        <v>0</v>
      </c>
      <c r="AC642" s="139">
        <f t="shared" si="1524"/>
        <v>0</v>
      </c>
      <c r="AD642" s="140">
        <f t="shared" si="1545"/>
        <v>0</v>
      </c>
      <c r="AE642" s="138">
        <f t="shared" si="1545"/>
        <v>0</v>
      </c>
      <c r="AF642" s="139">
        <f t="shared" si="1525"/>
        <v>0</v>
      </c>
      <c r="AG642" s="140">
        <f t="shared" si="1546"/>
        <v>0</v>
      </c>
      <c r="AH642" s="138">
        <f t="shared" si="1546"/>
        <v>0</v>
      </c>
      <c r="AI642" s="139">
        <f t="shared" si="1526"/>
        <v>0</v>
      </c>
      <c r="AJ642" s="140">
        <f t="shared" si="1547"/>
        <v>0</v>
      </c>
      <c r="AK642" s="138">
        <f t="shared" si="1547"/>
        <v>0</v>
      </c>
      <c r="AL642" s="139">
        <f t="shared" si="1527"/>
        <v>0</v>
      </c>
      <c r="AM642" s="140">
        <f t="shared" si="1548"/>
        <v>0</v>
      </c>
      <c r="AN642" s="138">
        <f t="shared" si="1548"/>
        <v>0</v>
      </c>
      <c r="AO642" s="139">
        <f t="shared" si="1528"/>
        <v>0</v>
      </c>
      <c r="AP642" s="140">
        <f t="shared" si="1549"/>
        <v>0</v>
      </c>
      <c r="AQ642" s="138">
        <f t="shared" si="1549"/>
        <v>0</v>
      </c>
      <c r="AR642" s="139">
        <f t="shared" si="1529"/>
        <v>0</v>
      </c>
      <c r="AS642" s="140">
        <f t="shared" si="1550"/>
        <v>0</v>
      </c>
      <c r="AT642" s="138">
        <f t="shared" si="1550"/>
        <v>0</v>
      </c>
      <c r="AU642" s="139">
        <f t="shared" si="1530"/>
        <v>0</v>
      </c>
      <c r="AV642" s="140">
        <f t="shared" si="1551"/>
        <v>0</v>
      </c>
      <c r="AW642" s="138">
        <f t="shared" si="1551"/>
        <v>0</v>
      </c>
      <c r="AX642" s="139">
        <f t="shared" si="1531"/>
        <v>0</v>
      </c>
      <c r="AY642" s="138">
        <f t="shared" si="1552"/>
        <v>0</v>
      </c>
      <c r="AZ642" s="138">
        <f t="shared" si="1552"/>
        <v>0</v>
      </c>
      <c r="BA642" s="139">
        <f t="shared" si="1532"/>
        <v>0</v>
      </c>
      <c r="BB642" s="140">
        <f t="shared" si="1553"/>
        <v>0</v>
      </c>
      <c r="BC642" s="138">
        <f t="shared" si="1553"/>
        <v>0</v>
      </c>
      <c r="BD642" s="139">
        <f t="shared" si="1533"/>
        <v>0</v>
      </c>
      <c r="BE642" s="140">
        <f t="shared" si="1535"/>
        <v>0</v>
      </c>
      <c r="BF642" s="140">
        <f t="shared" si="1535"/>
        <v>0</v>
      </c>
      <c r="BG642" s="137">
        <f t="shared" ref="BG642" si="1561">IF(BG169=0,0,BG545/BG169)</f>
        <v>0</v>
      </c>
    </row>
    <row r="643" spans="1:59" ht="13.5" hidden="1" customHeight="1" outlineLevel="1" x14ac:dyDescent="0.25">
      <c r="A643" s="65"/>
      <c r="B643" s="99" t="s">
        <v>56</v>
      </c>
      <c r="C643" s="26" t="s">
        <v>110</v>
      </c>
      <c r="D643" s="137">
        <f t="shared" si="1537"/>
        <v>0</v>
      </c>
      <c r="E643" s="137">
        <f t="shared" si="1537"/>
        <v>0</v>
      </c>
      <c r="F643" s="140">
        <f t="shared" si="1537"/>
        <v>0</v>
      </c>
      <c r="G643" s="138">
        <f t="shared" si="1537"/>
        <v>0</v>
      </c>
      <c r="H643" s="139">
        <f t="shared" si="1517"/>
        <v>0</v>
      </c>
      <c r="I643" s="140">
        <f t="shared" si="1538"/>
        <v>0</v>
      </c>
      <c r="J643" s="138">
        <f t="shared" si="1538"/>
        <v>0</v>
      </c>
      <c r="K643" s="139">
        <f t="shared" si="1518"/>
        <v>0</v>
      </c>
      <c r="L643" s="140">
        <f t="shared" si="1539"/>
        <v>0</v>
      </c>
      <c r="M643" s="138">
        <f t="shared" si="1539"/>
        <v>0</v>
      </c>
      <c r="N643" s="139">
        <f t="shared" si="1519"/>
        <v>0</v>
      </c>
      <c r="O643" s="140">
        <f t="shared" si="1540"/>
        <v>0</v>
      </c>
      <c r="P643" s="138">
        <f t="shared" si="1540"/>
        <v>0</v>
      </c>
      <c r="Q643" s="139">
        <f t="shared" si="1520"/>
        <v>0</v>
      </c>
      <c r="R643" s="140">
        <f t="shared" si="1541"/>
        <v>0</v>
      </c>
      <c r="S643" s="138">
        <f t="shared" si="1541"/>
        <v>0</v>
      </c>
      <c r="T643" s="139">
        <f t="shared" si="1521"/>
        <v>0</v>
      </c>
      <c r="U643" s="140">
        <f t="shared" si="1542"/>
        <v>0</v>
      </c>
      <c r="V643" s="138">
        <f t="shared" si="1542"/>
        <v>0</v>
      </c>
      <c r="W643" s="139">
        <f t="shared" si="1522"/>
        <v>0</v>
      </c>
      <c r="X643" s="140">
        <f t="shared" si="1543"/>
        <v>0</v>
      </c>
      <c r="Y643" s="138">
        <f t="shared" si="1543"/>
        <v>0</v>
      </c>
      <c r="Z643" s="139">
        <f t="shared" si="1523"/>
        <v>0</v>
      </c>
      <c r="AA643" s="140">
        <f t="shared" si="1544"/>
        <v>0</v>
      </c>
      <c r="AB643" s="138">
        <f t="shared" si="1544"/>
        <v>0</v>
      </c>
      <c r="AC643" s="139">
        <f t="shared" si="1524"/>
        <v>0</v>
      </c>
      <c r="AD643" s="140">
        <f t="shared" si="1545"/>
        <v>0</v>
      </c>
      <c r="AE643" s="138">
        <f t="shared" si="1545"/>
        <v>0</v>
      </c>
      <c r="AF643" s="139">
        <f t="shared" si="1525"/>
        <v>0</v>
      </c>
      <c r="AG643" s="140">
        <f t="shared" si="1546"/>
        <v>0</v>
      </c>
      <c r="AH643" s="138">
        <f t="shared" si="1546"/>
        <v>0</v>
      </c>
      <c r="AI643" s="139">
        <f t="shared" si="1526"/>
        <v>0</v>
      </c>
      <c r="AJ643" s="140">
        <f t="shared" si="1547"/>
        <v>0</v>
      </c>
      <c r="AK643" s="138">
        <f t="shared" si="1547"/>
        <v>0</v>
      </c>
      <c r="AL643" s="139">
        <f t="shared" si="1527"/>
        <v>0</v>
      </c>
      <c r="AM643" s="140">
        <f t="shared" si="1548"/>
        <v>0</v>
      </c>
      <c r="AN643" s="138">
        <f t="shared" si="1548"/>
        <v>0</v>
      </c>
      <c r="AO643" s="139">
        <f t="shared" si="1528"/>
        <v>0</v>
      </c>
      <c r="AP643" s="140">
        <f t="shared" si="1549"/>
        <v>0</v>
      </c>
      <c r="AQ643" s="138">
        <f t="shared" si="1549"/>
        <v>0</v>
      </c>
      <c r="AR643" s="139">
        <f t="shared" si="1529"/>
        <v>0</v>
      </c>
      <c r="AS643" s="140">
        <f t="shared" si="1550"/>
        <v>0</v>
      </c>
      <c r="AT643" s="138">
        <f t="shared" si="1550"/>
        <v>0</v>
      </c>
      <c r="AU643" s="139">
        <f t="shared" si="1530"/>
        <v>0</v>
      </c>
      <c r="AV643" s="140">
        <f t="shared" si="1551"/>
        <v>0</v>
      </c>
      <c r="AW643" s="138">
        <f t="shared" si="1551"/>
        <v>0</v>
      </c>
      <c r="AX643" s="139">
        <f t="shared" si="1531"/>
        <v>0</v>
      </c>
      <c r="AY643" s="138">
        <f t="shared" si="1552"/>
        <v>0</v>
      </c>
      <c r="AZ643" s="138">
        <f t="shared" si="1552"/>
        <v>0</v>
      </c>
      <c r="BA643" s="139">
        <f t="shared" si="1532"/>
        <v>0</v>
      </c>
      <c r="BB643" s="140">
        <f t="shared" si="1553"/>
        <v>0</v>
      </c>
      <c r="BC643" s="138">
        <f t="shared" si="1553"/>
        <v>0</v>
      </c>
      <c r="BD643" s="139">
        <f t="shared" si="1533"/>
        <v>0</v>
      </c>
      <c r="BE643" s="140">
        <f t="shared" si="1535"/>
        <v>0</v>
      </c>
      <c r="BF643" s="140">
        <f t="shared" si="1535"/>
        <v>0</v>
      </c>
      <c r="BG643" s="137">
        <f t="shared" ref="BG643" si="1562">IF(BG170=0,0,BG546/BG170)</f>
        <v>0</v>
      </c>
    </row>
    <row r="644" spans="1:59" ht="13.5" hidden="1" customHeight="1" outlineLevel="1" x14ac:dyDescent="0.25">
      <c r="A644" s="65"/>
      <c r="B644" s="84" t="s">
        <v>57</v>
      </c>
      <c r="C644" s="26" t="s">
        <v>110</v>
      </c>
      <c r="D644" s="137">
        <f t="shared" si="1537"/>
        <v>0</v>
      </c>
      <c r="E644" s="137">
        <f t="shared" si="1537"/>
        <v>0</v>
      </c>
      <c r="F644" s="140">
        <f t="shared" si="1537"/>
        <v>0</v>
      </c>
      <c r="G644" s="138">
        <f t="shared" si="1537"/>
        <v>0</v>
      </c>
      <c r="H644" s="139">
        <f t="shared" si="1517"/>
        <v>0</v>
      </c>
      <c r="I644" s="140">
        <f t="shared" si="1538"/>
        <v>0</v>
      </c>
      <c r="J644" s="138">
        <f t="shared" si="1538"/>
        <v>0</v>
      </c>
      <c r="K644" s="139">
        <f t="shared" si="1518"/>
        <v>0</v>
      </c>
      <c r="L644" s="140">
        <f t="shared" si="1539"/>
        <v>0</v>
      </c>
      <c r="M644" s="138">
        <f t="shared" si="1539"/>
        <v>0</v>
      </c>
      <c r="N644" s="139">
        <f t="shared" si="1519"/>
        <v>0</v>
      </c>
      <c r="O644" s="140">
        <f t="shared" si="1540"/>
        <v>0</v>
      </c>
      <c r="P644" s="138">
        <f t="shared" si="1540"/>
        <v>0</v>
      </c>
      <c r="Q644" s="139">
        <f t="shared" si="1520"/>
        <v>0</v>
      </c>
      <c r="R644" s="140">
        <f t="shared" si="1541"/>
        <v>0</v>
      </c>
      <c r="S644" s="138">
        <f t="shared" si="1541"/>
        <v>0</v>
      </c>
      <c r="T644" s="139">
        <f t="shared" si="1521"/>
        <v>0</v>
      </c>
      <c r="U644" s="140">
        <f t="shared" si="1542"/>
        <v>0</v>
      </c>
      <c r="V644" s="138">
        <f t="shared" si="1542"/>
        <v>0</v>
      </c>
      <c r="W644" s="139">
        <f t="shared" si="1522"/>
        <v>0</v>
      </c>
      <c r="X644" s="140">
        <f t="shared" si="1543"/>
        <v>0</v>
      </c>
      <c r="Y644" s="138">
        <f t="shared" si="1543"/>
        <v>0</v>
      </c>
      <c r="Z644" s="139">
        <f t="shared" si="1523"/>
        <v>0</v>
      </c>
      <c r="AA644" s="140">
        <f t="shared" si="1544"/>
        <v>0</v>
      </c>
      <c r="AB644" s="138">
        <f t="shared" si="1544"/>
        <v>0</v>
      </c>
      <c r="AC644" s="139">
        <f t="shared" si="1524"/>
        <v>0</v>
      </c>
      <c r="AD644" s="140">
        <f t="shared" si="1545"/>
        <v>0</v>
      </c>
      <c r="AE644" s="138">
        <f t="shared" si="1545"/>
        <v>0</v>
      </c>
      <c r="AF644" s="139">
        <f t="shared" si="1525"/>
        <v>0</v>
      </c>
      <c r="AG644" s="140">
        <f t="shared" si="1546"/>
        <v>0</v>
      </c>
      <c r="AH644" s="138">
        <f t="shared" si="1546"/>
        <v>0</v>
      </c>
      <c r="AI644" s="139">
        <f t="shared" si="1526"/>
        <v>0</v>
      </c>
      <c r="AJ644" s="140">
        <f t="shared" si="1547"/>
        <v>0</v>
      </c>
      <c r="AK644" s="138">
        <f t="shared" si="1547"/>
        <v>0</v>
      </c>
      <c r="AL644" s="139">
        <f t="shared" si="1527"/>
        <v>0</v>
      </c>
      <c r="AM644" s="140">
        <f t="shared" si="1548"/>
        <v>0</v>
      </c>
      <c r="AN644" s="138">
        <f t="shared" si="1548"/>
        <v>0</v>
      </c>
      <c r="AO644" s="139">
        <f t="shared" si="1528"/>
        <v>0</v>
      </c>
      <c r="AP644" s="140">
        <f t="shared" si="1549"/>
        <v>0</v>
      </c>
      <c r="AQ644" s="138">
        <f t="shared" si="1549"/>
        <v>0</v>
      </c>
      <c r="AR644" s="139">
        <f t="shared" si="1529"/>
        <v>0</v>
      </c>
      <c r="AS644" s="140">
        <f t="shared" si="1550"/>
        <v>0</v>
      </c>
      <c r="AT644" s="138">
        <f t="shared" si="1550"/>
        <v>0</v>
      </c>
      <c r="AU644" s="139">
        <f t="shared" si="1530"/>
        <v>0</v>
      </c>
      <c r="AV644" s="140">
        <f t="shared" si="1551"/>
        <v>0</v>
      </c>
      <c r="AW644" s="138">
        <f t="shared" si="1551"/>
        <v>0</v>
      </c>
      <c r="AX644" s="139">
        <f t="shared" si="1531"/>
        <v>0</v>
      </c>
      <c r="AY644" s="138">
        <f t="shared" si="1552"/>
        <v>0</v>
      </c>
      <c r="AZ644" s="138">
        <f t="shared" si="1552"/>
        <v>0</v>
      </c>
      <c r="BA644" s="139">
        <f t="shared" si="1532"/>
        <v>0</v>
      </c>
      <c r="BB644" s="140">
        <f t="shared" si="1553"/>
        <v>0</v>
      </c>
      <c r="BC644" s="138">
        <f t="shared" si="1553"/>
        <v>0</v>
      </c>
      <c r="BD644" s="139">
        <f t="shared" si="1533"/>
        <v>0</v>
      </c>
      <c r="BE644" s="140">
        <f t="shared" si="1535"/>
        <v>0</v>
      </c>
      <c r="BF644" s="140">
        <f t="shared" si="1535"/>
        <v>0</v>
      </c>
      <c r="BG644" s="137">
        <f t="shared" ref="BG644" si="1563">IF(BG171=0,0,BG547/BG171)</f>
        <v>0</v>
      </c>
    </row>
    <row r="645" spans="1:59" ht="13.5" hidden="1" customHeight="1" outlineLevel="1" x14ac:dyDescent="0.25">
      <c r="A645" s="65"/>
      <c r="B645" s="99" t="s">
        <v>58</v>
      </c>
      <c r="C645" s="26" t="s">
        <v>110</v>
      </c>
      <c r="D645" s="137">
        <f t="shared" si="1537"/>
        <v>0</v>
      </c>
      <c r="E645" s="137">
        <f t="shared" si="1537"/>
        <v>0</v>
      </c>
      <c r="F645" s="140">
        <f t="shared" si="1537"/>
        <v>0</v>
      </c>
      <c r="G645" s="138">
        <f t="shared" si="1537"/>
        <v>0</v>
      </c>
      <c r="H645" s="139">
        <f t="shared" si="1517"/>
        <v>0</v>
      </c>
      <c r="I645" s="140">
        <f t="shared" si="1538"/>
        <v>0</v>
      </c>
      <c r="J645" s="138">
        <f t="shared" si="1538"/>
        <v>0</v>
      </c>
      <c r="K645" s="139">
        <f t="shared" si="1518"/>
        <v>0</v>
      </c>
      <c r="L645" s="140">
        <f t="shared" si="1539"/>
        <v>0</v>
      </c>
      <c r="M645" s="138">
        <f t="shared" si="1539"/>
        <v>0</v>
      </c>
      <c r="N645" s="139">
        <f t="shared" si="1519"/>
        <v>0</v>
      </c>
      <c r="O645" s="140">
        <f t="shared" si="1540"/>
        <v>0</v>
      </c>
      <c r="P645" s="138">
        <f t="shared" si="1540"/>
        <v>0</v>
      </c>
      <c r="Q645" s="139">
        <f t="shared" si="1520"/>
        <v>0</v>
      </c>
      <c r="R645" s="140">
        <f t="shared" si="1541"/>
        <v>0</v>
      </c>
      <c r="S645" s="138">
        <f t="shared" si="1541"/>
        <v>0</v>
      </c>
      <c r="T645" s="139">
        <f t="shared" si="1521"/>
        <v>0</v>
      </c>
      <c r="U645" s="140">
        <f t="shared" si="1542"/>
        <v>0</v>
      </c>
      <c r="V645" s="138">
        <f t="shared" si="1542"/>
        <v>0</v>
      </c>
      <c r="W645" s="139">
        <f t="shared" si="1522"/>
        <v>0</v>
      </c>
      <c r="X645" s="140">
        <f t="shared" si="1543"/>
        <v>0</v>
      </c>
      <c r="Y645" s="138">
        <f t="shared" si="1543"/>
        <v>0</v>
      </c>
      <c r="Z645" s="139">
        <f t="shared" si="1523"/>
        <v>0</v>
      </c>
      <c r="AA645" s="140">
        <f t="shared" si="1544"/>
        <v>0</v>
      </c>
      <c r="AB645" s="138">
        <f t="shared" si="1544"/>
        <v>0</v>
      </c>
      <c r="AC645" s="139">
        <f t="shared" si="1524"/>
        <v>0</v>
      </c>
      <c r="AD645" s="140">
        <f t="shared" si="1545"/>
        <v>0</v>
      </c>
      <c r="AE645" s="138">
        <f t="shared" si="1545"/>
        <v>0</v>
      </c>
      <c r="AF645" s="139">
        <f t="shared" si="1525"/>
        <v>0</v>
      </c>
      <c r="AG645" s="140">
        <f t="shared" si="1546"/>
        <v>0</v>
      </c>
      <c r="AH645" s="138">
        <f t="shared" si="1546"/>
        <v>0</v>
      </c>
      <c r="AI645" s="139">
        <f t="shared" si="1526"/>
        <v>0</v>
      </c>
      <c r="AJ645" s="140">
        <f t="shared" si="1547"/>
        <v>0</v>
      </c>
      <c r="AK645" s="138">
        <f t="shared" si="1547"/>
        <v>0</v>
      </c>
      <c r="AL645" s="139">
        <f t="shared" si="1527"/>
        <v>0</v>
      </c>
      <c r="AM645" s="140">
        <f t="shared" si="1548"/>
        <v>0</v>
      </c>
      <c r="AN645" s="138">
        <f t="shared" si="1548"/>
        <v>0</v>
      </c>
      <c r="AO645" s="139">
        <f t="shared" si="1528"/>
        <v>0</v>
      </c>
      <c r="AP645" s="140">
        <f t="shared" si="1549"/>
        <v>0</v>
      </c>
      <c r="AQ645" s="138">
        <f t="shared" si="1549"/>
        <v>0</v>
      </c>
      <c r="AR645" s="139">
        <f t="shared" si="1529"/>
        <v>0</v>
      </c>
      <c r="AS645" s="140">
        <f t="shared" si="1550"/>
        <v>0</v>
      </c>
      <c r="AT645" s="138">
        <f t="shared" si="1550"/>
        <v>0</v>
      </c>
      <c r="AU645" s="139">
        <f t="shared" si="1530"/>
        <v>0</v>
      </c>
      <c r="AV645" s="140">
        <f t="shared" si="1551"/>
        <v>0</v>
      </c>
      <c r="AW645" s="138">
        <f t="shared" si="1551"/>
        <v>0</v>
      </c>
      <c r="AX645" s="139">
        <f t="shared" si="1531"/>
        <v>0</v>
      </c>
      <c r="AY645" s="138">
        <f t="shared" si="1552"/>
        <v>0</v>
      </c>
      <c r="AZ645" s="138">
        <f t="shared" si="1552"/>
        <v>0</v>
      </c>
      <c r="BA645" s="139">
        <f t="shared" si="1532"/>
        <v>0</v>
      </c>
      <c r="BB645" s="140">
        <f t="shared" si="1553"/>
        <v>0</v>
      </c>
      <c r="BC645" s="138">
        <f t="shared" si="1553"/>
        <v>0</v>
      </c>
      <c r="BD645" s="139">
        <f t="shared" si="1533"/>
        <v>0</v>
      </c>
      <c r="BE645" s="140">
        <f t="shared" si="1535"/>
        <v>0</v>
      </c>
      <c r="BF645" s="140">
        <f t="shared" si="1535"/>
        <v>0</v>
      </c>
      <c r="BG645" s="137">
        <f t="shared" ref="BG645" si="1564">IF(BG172=0,0,BG548/BG172)</f>
        <v>0</v>
      </c>
    </row>
    <row r="646" spans="1:59" ht="13.5" hidden="1" customHeight="1" outlineLevel="1" x14ac:dyDescent="0.25">
      <c r="A646" s="65"/>
      <c r="B646" s="84" t="s">
        <v>59</v>
      </c>
      <c r="C646" s="26" t="s">
        <v>110</v>
      </c>
      <c r="D646" s="137">
        <f t="shared" si="1537"/>
        <v>0</v>
      </c>
      <c r="E646" s="137">
        <f t="shared" si="1537"/>
        <v>0</v>
      </c>
      <c r="F646" s="140">
        <f t="shared" si="1537"/>
        <v>0</v>
      </c>
      <c r="G646" s="138">
        <f t="shared" si="1537"/>
        <v>0</v>
      </c>
      <c r="H646" s="139">
        <f t="shared" si="1517"/>
        <v>0</v>
      </c>
      <c r="I646" s="140">
        <f t="shared" si="1538"/>
        <v>0</v>
      </c>
      <c r="J646" s="138">
        <f t="shared" si="1538"/>
        <v>0</v>
      </c>
      <c r="K646" s="139">
        <f t="shared" si="1518"/>
        <v>0</v>
      </c>
      <c r="L646" s="140">
        <f t="shared" si="1539"/>
        <v>0</v>
      </c>
      <c r="M646" s="138">
        <f t="shared" si="1539"/>
        <v>0</v>
      </c>
      <c r="N646" s="139">
        <f t="shared" si="1519"/>
        <v>0</v>
      </c>
      <c r="O646" s="140">
        <f t="shared" si="1540"/>
        <v>0</v>
      </c>
      <c r="P646" s="138">
        <f t="shared" si="1540"/>
        <v>0</v>
      </c>
      <c r="Q646" s="139">
        <f t="shared" si="1520"/>
        <v>0</v>
      </c>
      <c r="R646" s="140">
        <f t="shared" si="1541"/>
        <v>0</v>
      </c>
      <c r="S646" s="138">
        <f t="shared" si="1541"/>
        <v>0</v>
      </c>
      <c r="T646" s="139">
        <f t="shared" si="1521"/>
        <v>0</v>
      </c>
      <c r="U646" s="140">
        <f t="shared" si="1542"/>
        <v>0</v>
      </c>
      <c r="V646" s="138">
        <f t="shared" si="1542"/>
        <v>0</v>
      </c>
      <c r="W646" s="139">
        <f t="shared" si="1522"/>
        <v>0</v>
      </c>
      <c r="X646" s="140">
        <f t="shared" si="1543"/>
        <v>0</v>
      </c>
      <c r="Y646" s="138">
        <f t="shared" si="1543"/>
        <v>0</v>
      </c>
      <c r="Z646" s="139">
        <f t="shared" si="1523"/>
        <v>0</v>
      </c>
      <c r="AA646" s="140">
        <f t="shared" si="1544"/>
        <v>0</v>
      </c>
      <c r="AB646" s="138">
        <f t="shared" si="1544"/>
        <v>0</v>
      </c>
      <c r="AC646" s="139">
        <f t="shared" si="1524"/>
        <v>0</v>
      </c>
      <c r="AD646" s="140">
        <f t="shared" si="1545"/>
        <v>0</v>
      </c>
      <c r="AE646" s="138">
        <f t="shared" si="1545"/>
        <v>0</v>
      </c>
      <c r="AF646" s="139">
        <f t="shared" si="1525"/>
        <v>0</v>
      </c>
      <c r="AG646" s="140">
        <f t="shared" si="1546"/>
        <v>0</v>
      </c>
      <c r="AH646" s="138">
        <f t="shared" si="1546"/>
        <v>0</v>
      </c>
      <c r="AI646" s="139">
        <f t="shared" si="1526"/>
        <v>0</v>
      </c>
      <c r="AJ646" s="140">
        <f t="shared" si="1547"/>
        <v>0</v>
      </c>
      <c r="AK646" s="138">
        <f t="shared" si="1547"/>
        <v>0</v>
      </c>
      <c r="AL646" s="139">
        <f t="shared" si="1527"/>
        <v>0</v>
      </c>
      <c r="AM646" s="140">
        <f t="shared" si="1548"/>
        <v>0</v>
      </c>
      <c r="AN646" s="138">
        <f t="shared" si="1548"/>
        <v>0</v>
      </c>
      <c r="AO646" s="139">
        <f t="shared" si="1528"/>
        <v>0</v>
      </c>
      <c r="AP646" s="140">
        <f t="shared" si="1549"/>
        <v>0</v>
      </c>
      <c r="AQ646" s="138">
        <f t="shared" si="1549"/>
        <v>0</v>
      </c>
      <c r="AR646" s="139">
        <f t="shared" si="1529"/>
        <v>0</v>
      </c>
      <c r="AS646" s="140">
        <f t="shared" si="1550"/>
        <v>0</v>
      </c>
      <c r="AT646" s="138">
        <f t="shared" si="1550"/>
        <v>0</v>
      </c>
      <c r="AU646" s="139">
        <f t="shared" si="1530"/>
        <v>0</v>
      </c>
      <c r="AV646" s="140">
        <f t="shared" si="1551"/>
        <v>0</v>
      </c>
      <c r="AW646" s="138">
        <f t="shared" si="1551"/>
        <v>0</v>
      </c>
      <c r="AX646" s="139">
        <f t="shared" si="1531"/>
        <v>0</v>
      </c>
      <c r="AY646" s="138">
        <f t="shared" si="1552"/>
        <v>0</v>
      </c>
      <c r="AZ646" s="138">
        <f t="shared" si="1552"/>
        <v>0</v>
      </c>
      <c r="BA646" s="139">
        <f t="shared" si="1532"/>
        <v>0</v>
      </c>
      <c r="BB646" s="140">
        <f t="shared" si="1553"/>
        <v>0</v>
      </c>
      <c r="BC646" s="138">
        <f t="shared" si="1553"/>
        <v>0</v>
      </c>
      <c r="BD646" s="139">
        <f t="shared" si="1533"/>
        <v>0</v>
      </c>
      <c r="BE646" s="140">
        <f t="shared" si="1535"/>
        <v>0</v>
      </c>
      <c r="BF646" s="140">
        <f t="shared" si="1535"/>
        <v>0</v>
      </c>
      <c r="BG646" s="137">
        <f t="shared" ref="BG646" si="1565">IF(BG173=0,0,BG549/BG173)</f>
        <v>0</v>
      </c>
    </row>
    <row r="647" spans="1:59" ht="13.5" hidden="1" customHeight="1" outlineLevel="1" x14ac:dyDescent="0.25">
      <c r="A647" s="65"/>
      <c r="B647" s="99" t="s">
        <v>60</v>
      </c>
      <c r="C647" s="26" t="s">
        <v>110</v>
      </c>
      <c r="D647" s="137">
        <f t="shared" si="1537"/>
        <v>0</v>
      </c>
      <c r="E647" s="137">
        <f t="shared" si="1537"/>
        <v>0</v>
      </c>
      <c r="F647" s="140">
        <f t="shared" si="1537"/>
        <v>0</v>
      </c>
      <c r="G647" s="138">
        <f t="shared" si="1537"/>
        <v>0</v>
      </c>
      <c r="H647" s="139">
        <f t="shared" si="1517"/>
        <v>0</v>
      </c>
      <c r="I647" s="140">
        <f t="shared" si="1538"/>
        <v>0</v>
      </c>
      <c r="J647" s="138">
        <f t="shared" si="1538"/>
        <v>0</v>
      </c>
      <c r="K647" s="139">
        <f t="shared" si="1518"/>
        <v>0</v>
      </c>
      <c r="L647" s="140">
        <f t="shared" si="1539"/>
        <v>0</v>
      </c>
      <c r="M647" s="138">
        <f t="shared" si="1539"/>
        <v>0</v>
      </c>
      <c r="N647" s="139">
        <f t="shared" si="1519"/>
        <v>0</v>
      </c>
      <c r="O647" s="140">
        <f t="shared" si="1540"/>
        <v>0</v>
      </c>
      <c r="P647" s="138">
        <f t="shared" si="1540"/>
        <v>0</v>
      </c>
      <c r="Q647" s="139">
        <f t="shared" si="1520"/>
        <v>0</v>
      </c>
      <c r="R647" s="140">
        <f t="shared" si="1541"/>
        <v>0</v>
      </c>
      <c r="S647" s="138">
        <f t="shared" si="1541"/>
        <v>0</v>
      </c>
      <c r="T647" s="139">
        <f t="shared" si="1521"/>
        <v>0</v>
      </c>
      <c r="U647" s="140">
        <f t="shared" si="1542"/>
        <v>0</v>
      </c>
      <c r="V647" s="138">
        <f t="shared" si="1542"/>
        <v>0</v>
      </c>
      <c r="W647" s="139">
        <f t="shared" si="1522"/>
        <v>0</v>
      </c>
      <c r="X647" s="140">
        <f t="shared" si="1543"/>
        <v>0</v>
      </c>
      <c r="Y647" s="138">
        <f t="shared" si="1543"/>
        <v>0</v>
      </c>
      <c r="Z647" s="139">
        <f t="shared" si="1523"/>
        <v>0</v>
      </c>
      <c r="AA647" s="140">
        <f t="shared" si="1544"/>
        <v>0</v>
      </c>
      <c r="AB647" s="138">
        <f t="shared" si="1544"/>
        <v>0</v>
      </c>
      <c r="AC647" s="139">
        <f t="shared" si="1524"/>
        <v>0</v>
      </c>
      <c r="AD647" s="140">
        <f t="shared" si="1545"/>
        <v>0</v>
      </c>
      <c r="AE647" s="138">
        <f t="shared" si="1545"/>
        <v>0</v>
      </c>
      <c r="AF647" s="139">
        <f t="shared" si="1525"/>
        <v>0</v>
      </c>
      <c r="AG647" s="140">
        <f t="shared" si="1546"/>
        <v>0</v>
      </c>
      <c r="AH647" s="138">
        <f t="shared" si="1546"/>
        <v>0</v>
      </c>
      <c r="AI647" s="139">
        <f t="shared" si="1526"/>
        <v>0</v>
      </c>
      <c r="AJ647" s="140">
        <f t="shared" si="1547"/>
        <v>0</v>
      </c>
      <c r="AK647" s="138">
        <f t="shared" si="1547"/>
        <v>0</v>
      </c>
      <c r="AL647" s="139">
        <f t="shared" si="1527"/>
        <v>0</v>
      </c>
      <c r="AM647" s="140">
        <f t="shared" si="1548"/>
        <v>0</v>
      </c>
      <c r="AN647" s="138">
        <f t="shared" si="1548"/>
        <v>0</v>
      </c>
      <c r="AO647" s="139">
        <f t="shared" si="1528"/>
        <v>0</v>
      </c>
      <c r="AP647" s="140">
        <f t="shared" si="1549"/>
        <v>0</v>
      </c>
      <c r="AQ647" s="138">
        <f t="shared" si="1549"/>
        <v>0</v>
      </c>
      <c r="AR647" s="139">
        <f t="shared" si="1529"/>
        <v>0</v>
      </c>
      <c r="AS647" s="140">
        <f t="shared" si="1550"/>
        <v>0</v>
      </c>
      <c r="AT647" s="138">
        <f t="shared" si="1550"/>
        <v>0</v>
      </c>
      <c r="AU647" s="139">
        <f t="shared" si="1530"/>
        <v>0</v>
      </c>
      <c r="AV647" s="140">
        <f t="shared" si="1551"/>
        <v>0</v>
      </c>
      <c r="AW647" s="138">
        <f t="shared" si="1551"/>
        <v>0</v>
      </c>
      <c r="AX647" s="139">
        <f t="shared" si="1531"/>
        <v>0</v>
      </c>
      <c r="AY647" s="138">
        <f t="shared" si="1552"/>
        <v>0</v>
      </c>
      <c r="AZ647" s="138">
        <f t="shared" si="1552"/>
        <v>0</v>
      </c>
      <c r="BA647" s="139">
        <f t="shared" si="1532"/>
        <v>0</v>
      </c>
      <c r="BB647" s="140">
        <f t="shared" si="1553"/>
        <v>0</v>
      </c>
      <c r="BC647" s="138">
        <f t="shared" si="1553"/>
        <v>0</v>
      </c>
      <c r="BD647" s="139">
        <f t="shared" si="1533"/>
        <v>0</v>
      </c>
      <c r="BE647" s="140">
        <f t="shared" si="1535"/>
        <v>0</v>
      </c>
      <c r="BF647" s="140">
        <f t="shared" si="1535"/>
        <v>0</v>
      </c>
      <c r="BG647" s="137">
        <f t="shared" ref="BG647" si="1566">IF(BG174=0,0,BG550/BG174)</f>
        <v>0</v>
      </c>
    </row>
    <row r="648" spans="1:59" ht="13.5" hidden="1" customHeight="1" outlineLevel="1" x14ac:dyDescent="0.25">
      <c r="A648" s="65"/>
      <c r="B648" s="84" t="s">
        <v>61</v>
      </c>
      <c r="C648" s="26" t="s">
        <v>110</v>
      </c>
      <c r="D648" s="137">
        <f t="shared" si="1537"/>
        <v>0</v>
      </c>
      <c r="E648" s="137">
        <f t="shared" si="1537"/>
        <v>0</v>
      </c>
      <c r="F648" s="140">
        <f t="shared" si="1537"/>
        <v>0</v>
      </c>
      <c r="G648" s="138">
        <f t="shared" si="1537"/>
        <v>0</v>
      </c>
      <c r="H648" s="139">
        <f t="shared" si="1517"/>
        <v>0</v>
      </c>
      <c r="I648" s="140">
        <f t="shared" si="1538"/>
        <v>0</v>
      </c>
      <c r="J648" s="138">
        <f t="shared" si="1538"/>
        <v>0</v>
      </c>
      <c r="K648" s="139">
        <f t="shared" si="1518"/>
        <v>0</v>
      </c>
      <c r="L648" s="140">
        <f t="shared" si="1539"/>
        <v>0</v>
      </c>
      <c r="M648" s="138">
        <f t="shared" si="1539"/>
        <v>0</v>
      </c>
      <c r="N648" s="139">
        <f t="shared" si="1519"/>
        <v>0</v>
      </c>
      <c r="O648" s="140">
        <f t="shared" si="1540"/>
        <v>0</v>
      </c>
      <c r="P648" s="138">
        <f t="shared" si="1540"/>
        <v>0</v>
      </c>
      <c r="Q648" s="139">
        <f t="shared" si="1520"/>
        <v>0</v>
      </c>
      <c r="R648" s="140">
        <f t="shared" si="1541"/>
        <v>0</v>
      </c>
      <c r="S648" s="138">
        <f t="shared" si="1541"/>
        <v>0</v>
      </c>
      <c r="T648" s="139">
        <f t="shared" si="1521"/>
        <v>0</v>
      </c>
      <c r="U648" s="140">
        <f t="shared" si="1542"/>
        <v>0</v>
      </c>
      <c r="V648" s="138">
        <f t="shared" si="1542"/>
        <v>0</v>
      </c>
      <c r="W648" s="139">
        <f t="shared" si="1522"/>
        <v>0</v>
      </c>
      <c r="X648" s="140">
        <f t="shared" si="1543"/>
        <v>0</v>
      </c>
      <c r="Y648" s="138">
        <f t="shared" si="1543"/>
        <v>0</v>
      </c>
      <c r="Z648" s="139">
        <f t="shared" si="1523"/>
        <v>0</v>
      </c>
      <c r="AA648" s="140">
        <f t="shared" si="1544"/>
        <v>0</v>
      </c>
      <c r="AB648" s="138">
        <f t="shared" si="1544"/>
        <v>0</v>
      </c>
      <c r="AC648" s="139">
        <f t="shared" si="1524"/>
        <v>0</v>
      </c>
      <c r="AD648" s="140">
        <f t="shared" si="1545"/>
        <v>0</v>
      </c>
      <c r="AE648" s="138">
        <f t="shared" si="1545"/>
        <v>0</v>
      </c>
      <c r="AF648" s="139">
        <f t="shared" si="1525"/>
        <v>0</v>
      </c>
      <c r="AG648" s="140">
        <f t="shared" si="1546"/>
        <v>0</v>
      </c>
      <c r="AH648" s="138">
        <f t="shared" si="1546"/>
        <v>0</v>
      </c>
      <c r="AI648" s="139">
        <f t="shared" si="1526"/>
        <v>0</v>
      </c>
      <c r="AJ648" s="140">
        <f t="shared" si="1547"/>
        <v>0</v>
      </c>
      <c r="AK648" s="138">
        <f t="shared" si="1547"/>
        <v>0</v>
      </c>
      <c r="AL648" s="139">
        <f t="shared" si="1527"/>
        <v>0</v>
      </c>
      <c r="AM648" s="140">
        <f t="shared" si="1548"/>
        <v>0</v>
      </c>
      <c r="AN648" s="138">
        <f t="shared" si="1548"/>
        <v>0</v>
      </c>
      <c r="AO648" s="139">
        <f t="shared" si="1528"/>
        <v>0</v>
      </c>
      <c r="AP648" s="140">
        <f t="shared" si="1549"/>
        <v>0</v>
      </c>
      <c r="AQ648" s="138">
        <f t="shared" si="1549"/>
        <v>0</v>
      </c>
      <c r="AR648" s="139">
        <f t="shared" si="1529"/>
        <v>0</v>
      </c>
      <c r="AS648" s="140">
        <f t="shared" si="1550"/>
        <v>0</v>
      </c>
      <c r="AT648" s="138">
        <f t="shared" si="1550"/>
        <v>0</v>
      </c>
      <c r="AU648" s="139">
        <f t="shared" si="1530"/>
        <v>0</v>
      </c>
      <c r="AV648" s="140">
        <f t="shared" si="1551"/>
        <v>0</v>
      </c>
      <c r="AW648" s="138">
        <f t="shared" si="1551"/>
        <v>0</v>
      </c>
      <c r="AX648" s="139">
        <f t="shared" si="1531"/>
        <v>0</v>
      </c>
      <c r="AY648" s="138">
        <f t="shared" si="1552"/>
        <v>0</v>
      </c>
      <c r="AZ648" s="138">
        <f t="shared" si="1552"/>
        <v>0</v>
      </c>
      <c r="BA648" s="139">
        <f t="shared" si="1532"/>
        <v>0</v>
      </c>
      <c r="BB648" s="140">
        <f t="shared" si="1553"/>
        <v>0</v>
      </c>
      <c r="BC648" s="138">
        <f t="shared" si="1553"/>
        <v>0</v>
      </c>
      <c r="BD648" s="139">
        <f t="shared" si="1533"/>
        <v>0</v>
      </c>
      <c r="BE648" s="140">
        <f t="shared" si="1535"/>
        <v>0</v>
      </c>
      <c r="BF648" s="140">
        <f t="shared" si="1535"/>
        <v>0</v>
      </c>
      <c r="BG648" s="137">
        <f t="shared" ref="BG648" si="1567">IF(BG175=0,0,BG551/BG175)</f>
        <v>0</v>
      </c>
    </row>
    <row r="649" spans="1:59" s="210" customFormat="1" ht="13.5" customHeight="1" collapsed="1" thickBot="1" x14ac:dyDescent="0.3">
      <c r="A649" s="85"/>
      <c r="B649" s="95" t="s">
        <v>62</v>
      </c>
      <c r="C649" s="77" t="s">
        <v>110</v>
      </c>
      <c r="D649" s="133">
        <f t="shared" si="1537"/>
        <v>0</v>
      </c>
      <c r="E649" s="133">
        <f t="shared" si="1537"/>
        <v>0</v>
      </c>
      <c r="F649" s="136">
        <f t="shared" si="1537"/>
        <v>0</v>
      </c>
      <c r="G649" s="134">
        <f t="shared" si="1537"/>
        <v>0</v>
      </c>
      <c r="H649" s="135">
        <f>G649-F649</f>
        <v>0</v>
      </c>
      <c r="I649" s="136">
        <f t="shared" si="1538"/>
        <v>0</v>
      </c>
      <c r="J649" s="134">
        <f t="shared" si="1538"/>
        <v>0</v>
      </c>
      <c r="K649" s="135">
        <f>J649-I649</f>
        <v>0</v>
      </c>
      <c r="L649" s="136">
        <f t="shared" si="1539"/>
        <v>0</v>
      </c>
      <c r="M649" s="134">
        <f t="shared" si="1539"/>
        <v>0</v>
      </c>
      <c r="N649" s="135">
        <f>M649-L649</f>
        <v>0</v>
      </c>
      <c r="O649" s="136">
        <f t="shared" si="1540"/>
        <v>0</v>
      </c>
      <c r="P649" s="134">
        <f t="shared" si="1540"/>
        <v>0</v>
      </c>
      <c r="Q649" s="135">
        <f>P649-O649</f>
        <v>0</v>
      </c>
      <c r="R649" s="136">
        <f t="shared" si="1541"/>
        <v>0</v>
      </c>
      <c r="S649" s="134">
        <f t="shared" si="1541"/>
        <v>0</v>
      </c>
      <c r="T649" s="135">
        <f>S649-R649</f>
        <v>0</v>
      </c>
      <c r="U649" s="136">
        <f t="shared" si="1542"/>
        <v>0</v>
      </c>
      <c r="V649" s="134">
        <f t="shared" si="1542"/>
        <v>0</v>
      </c>
      <c r="W649" s="135">
        <f>V649-U649</f>
        <v>0</v>
      </c>
      <c r="X649" s="136">
        <f t="shared" si="1543"/>
        <v>0</v>
      </c>
      <c r="Y649" s="134">
        <f t="shared" si="1543"/>
        <v>0</v>
      </c>
      <c r="Z649" s="135">
        <f>Y649-X649</f>
        <v>0</v>
      </c>
      <c r="AA649" s="136">
        <f t="shared" si="1544"/>
        <v>0</v>
      </c>
      <c r="AB649" s="134">
        <f t="shared" si="1544"/>
        <v>0</v>
      </c>
      <c r="AC649" s="135">
        <f>AB649-AA649</f>
        <v>0</v>
      </c>
      <c r="AD649" s="136">
        <f t="shared" si="1545"/>
        <v>0</v>
      </c>
      <c r="AE649" s="134">
        <f t="shared" si="1545"/>
        <v>0</v>
      </c>
      <c r="AF649" s="135">
        <f>AE649-AD649</f>
        <v>0</v>
      </c>
      <c r="AG649" s="136">
        <f t="shared" si="1546"/>
        <v>0</v>
      </c>
      <c r="AH649" s="134">
        <f t="shared" si="1546"/>
        <v>0</v>
      </c>
      <c r="AI649" s="135">
        <f>AH649-AG649</f>
        <v>0</v>
      </c>
      <c r="AJ649" s="136">
        <f t="shared" si="1547"/>
        <v>0</v>
      </c>
      <c r="AK649" s="134">
        <f t="shared" si="1547"/>
        <v>0</v>
      </c>
      <c r="AL649" s="135">
        <f>AK649-AJ649</f>
        <v>0</v>
      </c>
      <c r="AM649" s="136">
        <f t="shared" si="1548"/>
        <v>0</v>
      </c>
      <c r="AN649" s="134">
        <f t="shared" si="1548"/>
        <v>0</v>
      </c>
      <c r="AO649" s="135">
        <f>AN649-AM649</f>
        <v>0</v>
      </c>
      <c r="AP649" s="136">
        <f t="shared" si="1549"/>
        <v>0</v>
      </c>
      <c r="AQ649" s="134">
        <f t="shared" si="1549"/>
        <v>0</v>
      </c>
      <c r="AR649" s="135">
        <f>AQ649-AP649</f>
        <v>0</v>
      </c>
      <c r="AS649" s="136">
        <f t="shared" si="1550"/>
        <v>0</v>
      </c>
      <c r="AT649" s="134">
        <f t="shared" si="1550"/>
        <v>0</v>
      </c>
      <c r="AU649" s="135">
        <f>AT649-AS649</f>
        <v>0</v>
      </c>
      <c r="AV649" s="136">
        <f t="shared" si="1551"/>
        <v>0</v>
      </c>
      <c r="AW649" s="134">
        <f t="shared" si="1551"/>
        <v>0</v>
      </c>
      <c r="AX649" s="135">
        <f>AW649-AV649</f>
        <v>0</v>
      </c>
      <c r="AY649" s="134">
        <f t="shared" si="1552"/>
        <v>0</v>
      </c>
      <c r="AZ649" s="134">
        <f t="shared" si="1552"/>
        <v>0</v>
      </c>
      <c r="BA649" s="135">
        <f>AZ649-AY649</f>
        <v>0</v>
      </c>
      <c r="BB649" s="136">
        <f t="shared" si="1553"/>
        <v>0</v>
      </c>
      <c r="BC649" s="134">
        <f t="shared" si="1553"/>
        <v>0</v>
      </c>
      <c r="BD649" s="135">
        <f>BC649-BB649</f>
        <v>0</v>
      </c>
      <c r="BE649" s="136">
        <f t="shared" ref="BE649:BF650" si="1568">IF(BE176=0,0,BE552/BE176)</f>
        <v>0</v>
      </c>
      <c r="BF649" s="136">
        <f t="shared" si="1568"/>
        <v>0</v>
      </c>
      <c r="BG649" s="133">
        <f t="shared" ref="BG649" si="1569">IF(BG176=0,0,BG552/BG176)</f>
        <v>0</v>
      </c>
    </row>
    <row r="650" spans="1:59" ht="13.5" hidden="1" customHeight="1" outlineLevel="1" thickBot="1" x14ac:dyDescent="0.3">
      <c r="A650" s="50"/>
      <c r="B650" s="84" t="s">
        <v>63</v>
      </c>
      <c r="C650" s="26" t="s">
        <v>110</v>
      </c>
      <c r="D650" s="129">
        <f t="shared" si="1537"/>
        <v>0</v>
      </c>
      <c r="E650" s="129">
        <f t="shared" si="1537"/>
        <v>0</v>
      </c>
      <c r="F650" s="132">
        <f t="shared" si="1537"/>
        <v>0</v>
      </c>
      <c r="G650" s="130">
        <f t="shared" si="1537"/>
        <v>0</v>
      </c>
      <c r="H650" s="131">
        <f>G650-F650</f>
        <v>0</v>
      </c>
      <c r="I650" s="132">
        <f t="shared" si="1538"/>
        <v>0</v>
      </c>
      <c r="J650" s="130">
        <f t="shared" si="1538"/>
        <v>0</v>
      </c>
      <c r="K650" s="131">
        <f>J650-I650</f>
        <v>0</v>
      </c>
      <c r="L650" s="132">
        <f t="shared" si="1539"/>
        <v>0</v>
      </c>
      <c r="M650" s="130">
        <f t="shared" si="1539"/>
        <v>0</v>
      </c>
      <c r="N650" s="131">
        <f>M650-L650</f>
        <v>0</v>
      </c>
      <c r="O650" s="132">
        <f t="shared" si="1540"/>
        <v>0</v>
      </c>
      <c r="P650" s="130">
        <f t="shared" si="1540"/>
        <v>0</v>
      </c>
      <c r="Q650" s="131">
        <f>P650-O650</f>
        <v>0</v>
      </c>
      <c r="R650" s="132">
        <f t="shared" si="1541"/>
        <v>0</v>
      </c>
      <c r="S650" s="130">
        <f t="shared" si="1541"/>
        <v>0</v>
      </c>
      <c r="T650" s="131">
        <f>S650-R650</f>
        <v>0</v>
      </c>
      <c r="U650" s="132">
        <f t="shared" si="1542"/>
        <v>0</v>
      </c>
      <c r="V650" s="130">
        <f t="shared" si="1542"/>
        <v>0</v>
      </c>
      <c r="W650" s="131">
        <f>V650-U650</f>
        <v>0</v>
      </c>
      <c r="X650" s="132">
        <f t="shared" si="1543"/>
        <v>0</v>
      </c>
      <c r="Y650" s="130">
        <f t="shared" si="1543"/>
        <v>0</v>
      </c>
      <c r="Z650" s="131">
        <f>Y650-X650</f>
        <v>0</v>
      </c>
      <c r="AA650" s="132">
        <f t="shared" si="1544"/>
        <v>0</v>
      </c>
      <c r="AB650" s="130">
        <f t="shared" si="1544"/>
        <v>0</v>
      </c>
      <c r="AC650" s="131">
        <f>AB650-AA650</f>
        <v>0</v>
      </c>
      <c r="AD650" s="132">
        <f t="shared" si="1545"/>
        <v>0</v>
      </c>
      <c r="AE650" s="130">
        <f t="shared" si="1545"/>
        <v>0</v>
      </c>
      <c r="AF650" s="131">
        <f>AE650-AD650</f>
        <v>0</v>
      </c>
      <c r="AG650" s="132">
        <f t="shared" si="1546"/>
        <v>0</v>
      </c>
      <c r="AH650" s="130">
        <f t="shared" si="1546"/>
        <v>0</v>
      </c>
      <c r="AI650" s="131">
        <f>AH650-AG650</f>
        <v>0</v>
      </c>
      <c r="AJ650" s="132">
        <f t="shared" si="1547"/>
        <v>0</v>
      </c>
      <c r="AK650" s="130">
        <f t="shared" si="1547"/>
        <v>0</v>
      </c>
      <c r="AL650" s="131">
        <f>AK650-AJ650</f>
        <v>0</v>
      </c>
      <c r="AM650" s="132">
        <f t="shared" si="1548"/>
        <v>0</v>
      </c>
      <c r="AN650" s="130">
        <f t="shared" si="1548"/>
        <v>0</v>
      </c>
      <c r="AO650" s="131">
        <f>AN650-AM650</f>
        <v>0</v>
      </c>
      <c r="AP650" s="132">
        <f t="shared" si="1549"/>
        <v>0</v>
      </c>
      <c r="AQ650" s="130">
        <f t="shared" si="1549"/>
        <v>0</v>
      </c>
      <c r="AR650" s="131">
        <f>AQ650-AP650</f>
        <v>0</v>
      </c>
      <c r="AS650" s="132">
        <f t="shared" si="1550"/>
        <v>0</v>
      </c>
      <c r="AT650" s="130">
        <f t="shared" si="1550"/>
        <v>0</v>
      </c>
      <c r="AU650" s="131">
        <f>AT650-AS650</f>
        <v>0</v>
      </c>
      <c r="AV650" s="132">
        <f t="shared" si="1551"/>
        <v>0</v>
      </c>
      <c r="AW650" s="130">
        <f t="shared" si="1551"/>
        <v>0</v>
      </c>
      <c r="AX650" s="131">
        <f>AW650-AV650</f>
        <v>0</v>
      </c>
      <c r="AY650" s="130">
        <f t="shared" si="1552"/>
        <v>0</v>
      </c>
      <c r="AZ650" s="130">
        <f t="shared" si="1552"/>
        <v>0</v>
      </c>
      <c r="BA650" s="131">
        <f>AZ650-AY650</f>
        <v>0</v>
      </c>
      <c r="BB650" s="132">
        <f t="shared" si="1553"/>
        <v>0</v>
      </c>
      <c r="BC650" s="130">
        <f t="shared" si="1553"/>
        <v>0</v>
      </c>
      <c r="BD650" s="131">
        <f>BC650-BB650</f>
        <v>0</v>
      </c>
      <c r="BE650" s="132">
        <f t="shared" si="1568"/>
        <v>0</v>
      </c>
      <c r="BF650" s="132">
        <f t="shared" si="1568"/>
        <v>0</v>
      </c>
      <c r="BG650" s="129">
        <f t="shared" ref="BG650" si="1570">IF(BG177=0,0,BG553/BG177)</f>
        <v>0</v>
      </c>
    </row>
    <row r="651" spans="1:59" s="210" customFormat="1" ht="13.5" customHeight="1" collapsed="1" x14ac:dyDescent="0.25">
      <c r="A651" s="106" t="s">
        <v>134</v>
      </c>
      <c r="B651" s="105" t="s">
        <v>135</v>
      </c>
      <c r="C651" s="104" t="s">
        <v>110</v>
      </c>
      <c r="D651" s="192"/>
      <c r="E651" s="192"/>
      <c r="F651" s="195"/>
      <c r="G651" s="193"/>
      <c r="H651" s="194"/>
      <c r="I651" s="195"/>
      <c r="J651" s="193"/>
      <c r="K651" s="194"/>
      <c r="L651" s="195"/>
      <c r="M651" s="193"/>
      <c r="N651" s="194"/>
      <c r="O651" s="195"/>
      <c r="P651" s="193"/>
      <c r="Q651" s="194"/>
      <c r="R651" s="195"/>
      <c r="S651" s="193"/>
      <c r="T651" s="194"/>
      <c r="U651" s="195"/>
      <c r="V651" s="193"/>
      <c r="W651" s="194"/>
      <c r="X651" s="195"/>
      <c r="Y651" s="193"/>
      <c r="Z651" s="194"/>
      <c r="AA651" s="195"/>
      <c r="AB651" s="193"/>
      <c r="AC651" s="194"/>
      <c r="AD651" s="195"/>
      <c r="AE651" s="193"/>
      <c r="AF651" s="194"/>
      <c r="AG651" s="195"/>
      <c r="AH651" s="193"/>
      <c r="AI651" s="194"/>
      <c r="AJ651" s="195"/>
      <c r="AK651" s="193"/>
      <c r="AL651" s="194"/>
      <c r="AM651" s="195"/>
      <c r="AN651" s="193"/>
      <c r="AO651" s="194"/>
      <c r="AP651" s="195"/>
      <c r="AQ651" s="193"/>
      <c r="AR651" s="194"/>
      <c r="AS651" s="195"/>
      <c r="AT651" s="193"/>
      <c r="AU651" s="194"/>
      <c r="AV651" s="195"/>
      <c r="AW651" s="193"/>
      <c r="AX651" s="194"/>
      <c r="AY651" s="193"/>
      <c r="AZ651" s="193"/>
      <c r="BA651" s="194"/>
      <c r="BB651" s="195"/>
      <c r="BC651" s="193"/>
      <c r="BD651" s="194"/>
      <c r="BE651" s="195"/>
      <c r="BF651" s="195"/>
      <c r="BG651" s="192"/>
    </row>
    <row r="652" spans="1:59" s="210" customFormat="1" ht="13.5" hidden="1" customHeight="1" outlineLevel="1" x14ac:dyDescent="0.25">
      <c r="A652" s="28"/>
      <c r="B652" s="27" t="s">
        <v>97</v>
      </c>
      <c r="C652" s="26" t="s">
        <v>110</v>
      </c>
      <c r="D652" s="186">
        <f t="shared" ref="D652:G657" si="1571">IF(D339=0,0,D415/D339)</f>
        <v>0</v>
      </c>
      <c r="E652" s="186">
        <f t="shared" si="1571"/>
        <v>0</v>
      </c>
      <c r="F652" s="124">
        <f t="shared" si="1571"/>
        <v>0</v>
      </c>
      <c r="G652" s="122">
        <f t="shared" si="1571"/>
        <v>0</v>
      </c>
      <c r="H652" s="123">
        <f t="shared" ref="H652:H657" si="1572">G652-F652</f>
        <v>0</v>
      </c>
      <c r="I652" s="124">
        <f t="shared" ref="I652:J657" si="1573">IF(I339=0,0,I415/I339)</f>
        <v>0</v>
      </c>
      <c r="J652" s="122">
        <f t="shared" si="1573"/>
        <v>0</v>
      </c>
      <c r="K652" s="123">
        <f t="shared" ref="K652:K657" si="1574">J652-I652</f>
        <v>0</v>
      </c>
      <c r="L652" s="124">
        <f t="shared" ref="L652:M657" si="1575">IF(L339=0,0,L415/L339)</f>
        <v>0</v>
      </c>
      <c r="M652" s="122">
        <f t="shared" si="1575"/>
        <v>0</v>
      </c>
      <c r="N652" s="123">
        <f t="shared" ref="N652:N657" si="1576">M652-L652</f>
        <v>0</v>
      </c>
      <c r="O652" s="124">
        <f t="shared" ref="O652:P657" si="1577">IF(O339=0,0,O415/O339)</f>
        <v>0</v>
      </c>
      <c r="P652" s="122">
        <f t="shared" si="1577"/>
        <v>0</v>
      </c>
      <c r="Q652" s="123">
        <f t="shared" ref="Q652:Q657" si="1578">P652-O652</f>
        <v>0</v>
      </c>
      <c r="R652" s="124">
        <f t="shared" ref="R652:S657" si="1579">IF(R339=0,0,R415/R339)</f>
        <v>0</v>
      </c>
      <c r="S652" s="122">
        <f t="shared" si="1579"/>
        <v>0</v>
      </c>
      <c r="T652" s="123">
        <f t="shared" ref="T652:T657" si="1580">S652-R652</f>
        <v>0</v>
      </c>
      <c r="U652" s="124">
        <f t="shared" ref="U652:V657" si="1581">IF(U339=0,0,U415/U339)</f>
        <v>0</v>
      </c>
      <c r="V652" s="122">
        <f t="shared" si="1581"/>
        <v>0</v>
      </c>
      <c r="W652" s="123">
        <f t="shared" ref="W652:W657" si="1582">V652-U652</f>
        <v>0</v>
      </c>
      <c r="X652" s="124">
        <f t="shared" ref="X652:Y657" si="1583">IF(X339=0,0,X415/X339)</f>
        <v>0</v>
      </c>
      <c r="Y652" s="122">
        <f t="shared" si="1583"/>
        <v>0</v>
      </c>
      <c r="Z652" s="123">
        <f t="shared" ref="Z652:Z657" si="1584">Y652-X652</f>
        <v>0</v>
      </c>
      <c r="AA652" s="124">
        <f t="shared" ref="AA652:AB657" si="1585">IF(AA339=0,0,AA415/AA339)</f>
        <v>0</v>
      </c>
      <c r="AB652" s="122">
        <f t="shared" si="1585"/>
        <v>0</v>
      </c>
      <c r="AC652" s="123">
        <f t="shared" ref="AC652:AC657" si="1586">AB652-AA652</f>
        <v>0</v>
      </c>
      <c r="AD652" s="124">
        <f t="shared" ref="AD652:AE657" si="1587">IF(AD339=0,0,AD415/AD339)</f>
        <v>0</v>
      </c>
      <c r="AE652" s="122">
        <f t="shared" si="1587"/>
        <v>0</v>
      </c>
      <c r="AF652" s="123">
        <f t="shared" ref="AF652:AF657" si="1588">AE652-AD652</f>
        <v>0</v>
      </c>
      <c r="AG652" s="124">
        <f t="shared" ref="AG652:AH657" si="1589">IF(AG339=0,0,AG415/AG339)</f>
        <v>0</v>
      </c>
      <c r="AH652" s="122">
        <f t="shared" si="1589"/>
        <v>0</v>
      </c>
      <c r="AI652" s="123">
        <f t="shared" ref="AI652:AI657" si="1590">AH652-AG652</f>
        <v>0</v>
      </c>
      <c r="AJ652" s="124">
        <f t="shared" ref="AJ652:AK657" si="1591">IF(AJ339=0,0,AJ415/AJ339)</f>
        <v>0</v>
      </c>
      <c r="AK652" s="122">
        <f t="shared" si="1591"/>
        <v>0</v>
      </c>
      <c r="AL652" s="123">
        <f t="shared" ref="AL652:AL657" si="1592">AK652-AJ652</f>
        <v>0</v>
      </c>
      <c r="AM652" s="124">
        <f t="shared" ref="AM652:AN657" si="1593">IF(AM339=0,0,AM415/AM339)</f>
        <v>0</v>
      </c>
      <c r="AN652" s="122">
        <f t="shared" si="1593"/>
        <v>0</v>
      </c>
      <c r="AO652" s="123">
        <f t="shared" ref="AO652:AO657" si="1594">AN652-AM652</f>
        <v>0</v>
      </c>
      <c r="AP652" s="124">
        <f t="shared" ref="AP652:AQ657" si="1595">IF(AP339=0,0,AP415/AP339)</f>
        <v>0</v>
      </c>
      <c r="AQ652" s="122">
        <f t="shared" si="1595"/>
        <v>0</v>
      </c>
      <c r="AR652" s="123">
        <f t="shared" ref="AR652:AR657" si="1596">AQ652-AP652</f>
        <v>0</v>
      </c>
      <c r="AS652" s="124">
        <f t="shared" ref="AS652:AT657" si="1597">IF(AS339=0,0,AS415/AS339)</f>
        <v>0</v>
      </c>
      <c r="AT652" s="122">
        <f t="shared" si="1597"/>
        <v>0</v>
      </c>
      <c r="AU652" s="123">
        <f t="shared" ref="AU652:AU657" si="1598">AT652-AS652</f>
        <v>0</v>
      </c>
      <c r="AV652" s="124">
        <f t="shared" ref="AV652:AW657" si="1599">IF(AV339=0,0,AV415/AV339)</f>
        <v>0</v>
      </c>
      <c r="AW652" s="122">
        <f t="shared" si="1599"/>
        <v>0</v>
      </c>
      <c r="AX652" s="123">
        <f t="shared" ref="AX652:AX657" si="1600">AW652-AV652</f>
        <v>0</v>
      </c>
      <c r="AY652" s="122">
        <f t="shared" ref="AY652:AZ657" si="1601">IF(AY339=0,0,AY415/AY339)</f>
        <v>0</v>
      </c>
      <c r="AZ652" s="122">
        <f t="shared" si="1601"/>
        <v>0</v>
      </c>
      <c r="BA652" s="123">
        <f t="shared" ref="BA652:BA657" si="1602">AZ652-AY652</f>
        <v>0</v>
      </c>
      <c r="BB652" s="124">
        <f t="shared" ref="BB652:BC657" si="1603">IF(BB339=0,0,BB415/BB339)</f>
        <v>0</v>
      </c>
      <c r="BC652" s="122">
        <f t="shared" si="1603"/>
        <v>0</v>
      </c>
      <c r="BD652" s="123">
        <f t="shared" ref="BD652:BD657" si="1604">BC652-BB652</f>
        <v>0</v>
      </c>
      <c r="BE652" s="124">
        <f t="shared" ref="BE652:BF657" si="1605">IF(BE339=0,0,BE415/BE339)</f>
        <v>0</v>
      </c>
      <c r="BF652" s="124">
        <f t="shared" si="1605"/>
        <v>0</v>
      </c>
      <c r="BG652" s="186">
        <f t="shared" ref="BG652" si="1606">IF(BG339=0,0,BG415/BG339)</f>
        <v>0</v>
      </c>
    </row>
    <row r="653" spans="1:59" s="210" customFormat="1" ht="13.5" hidden="1" customHeight="1" outlineLevel="1" x14ac:dyDescent="0.25">
      <c r="A653" s="28"/>
      <c r="B653" s="27" t="s">
        <v>98</v>
      </c>
      <c r="C653" s="26" t="s">
        <v>110</v>
      </c>
      <c r="D653" s="186">
        <f t="shared" si="1571"/>
        <v>0</v>
      </c>
      <c r="E653" s="186">
        <f t="shared" si="1571"/>
        <v>0</v>
      </c>
      <c r="F653" s="124">
        <f t="shared" si="1571"/>
        <v>0</v>
      </c>
      <c r="G653" s="122">
        <f t="shared" si="1571"/>
        <v>0</v>
      </c>
      <c r="H653" s="123">
        <f t="shared" si="1572"/>
        <v>0</v>
      </c>
      <c r="I653" s="124">
        <f t="shared" si="1573"/>
        <v>0</v>
      </c>
      <c r="J653" s="122">
        <f t="shared" si="1573"/>
        <v>0</v>
      </c>
      <c r="K653" s="123">
        <f t="shared" si="1574"/>
        <v>0</v>
      </c>
      <c r="L653" s="124">
        <f t="shared" si="1575"/>
        <v>0</v>
      </c>
      <c r="M653" s="122">
        <f t="shared" si="1575"/>
        <v>0</v>
      </c>
      <c r="N653" s="123">
        <f t="shared" si="1576"/>
        <v>0</v>
      </c>
      <c r="O653" s="124">
        <f t="shared" si="1577"/>
        <v>0</v>
      </c>
      <c r="P653" s="122">
        <f t="shared" si="1577"/>
        <v>0</v>
      </c>
      <c r="Q653" s="123">
        <f t="shared" si="1578"/>
        <v>0</v>
      </c>
      <c r="R653" s="124">
        <f t="shared" si="1579"/>
        <v>0</v>
      </c>
      <c r="S653" s="122">
        <f t="shared" si="1579"/>
        <v>0</v>
      </c>
      <c r="T653" s="123">
        <f t="shared" si="1580"/>
        <v>0</v>
      </c>
      <c r="U653" s="124">
        <f t="shared" si="1581"/>
        <v>0</v>
      </c>
      <c r="V653" s="122">
        <f t="shared" si="1581"/>
        <v>0</v>
      </c>
      <c r="W653" s="123">
        <f t="shared" si="1582"/>
        <v>0</v>
      </c>
      <c r="X653" s="124">
        <f t="shared" si="1583"/>
        <v>0</v>
      </c>
      <c r="Y653" s="122">
        <f t="shared" si="1583"/>
        <v>0</v>
      </c>
      <c r="Z653" s="123">
        <f t="shared" si="1584"/>
        <v>0</v>
      </c>
      <c r="AA653" s="124">
        <f t="shared" si="1585"/>
        <v>0</v>
      </c>
      <c r="AB653" s="122">
        <f t="shared" si="1585"/>
        <v>0</v>
      </c>
      <c r="AC653" s="123">
        <f t="shared" si="1586"/>
        <v>0</v>
      </c>
      <c r="AD653" s="124">
        <f t="shared" si="1587"/>
        <v>0</v>
      </c>
      <c r="AE653" s="122">
        <f t="shared" si="1587"/>
        <v>0</v>
      </c>
      <c r="AF653" s="123">
        <f t="shared" si="1588"/>
        <v>0</v>
      </c>
      <c r="AG653" s="124">
        <f t="shared" si="1589"/>
        <v>0</v>
      </c>
      <c r="AH653" s="122">
        <f t="shared" si="1589"/>
        <v>0</v>
      </c>
      <c r="AI653" s="123">
        <f t="shared" si="1590"/>
        <v>0</v>
      </c>
      <c r="AJ653" s="124">
        <f t="shared" si="1591"/>
        <v>0</v>
      </c>
      <c r="AK653" s="122">
        <f t="shared" si="1591"/>
        <v>0</v>
      </c>
      <c r="AL653" s="123">
        <f t="shared" si="1592"/>
        <v>0</v>
      </c>
      <c r="AM653" s="124">
        <f t="shared" si="1593"/>
        <v>0</v>
      </c>
      <c r="AN653" s="122">
        <f t="shared" si="1593"/>
        <v>0</v>
      </c>
      <c r="AO653" s="123">
        <f t="shared" si="1594"/>
        <v>0</v>
      </c>
      <c r="AP653" s="124">
        <f t="shared" si="1595"/>
        <v>0</v>
      </c>
      <c r="AQ653" s="122">
        <f t="shared" si="1595"/>
        <v>0</v>
      </c>
      <c r="AR653" s="123">
        <f t="shared" si="1596"/>
        <v>0</v>
      </c>
      <c r="AS653" s="124">
        <f t="shared" si="1597"/>
        <v>0</v>
      </c>
      <c r="AT653" s="122">
        <f t="shared" si="1597"/>
        <v>0</v>
      </c>
      <c r="AU653" s="123">
        <f t="shared" si="1598"/>
        <v>0</v>
      </c>
      <c r="AV653" s="124">
        <f t="shared" si="1599"/>
        <v>0</v>
      </c>
      <c r="AW653" s="122">
        <f t="shared" si="1599"/>
        <v>0</v>
      </c>
      <c r="AX653" s="123">
        <f t="shared" si="1600"/>
        <v>0</v>
      </c>
      <c r="AY653" s="122">
        <f t="shared" si="1601"/>
        <v>0</v>
      </c>
      <c r="AZ653" s="122">
        <f t="shared" si="1601"/>
        <v>0</v>
      </c>
      <c r="BA653" s="123">
        <f t="shared" si="1602"/>
        <v>0</v>
      </c>
      <c r="BB653" s="124">
        <f t="shared" si="1603"/>
        <v>0</v>
      </c>
      <c r="BC653" s="122">
        <f t="shared" si="1603"/>
        <v>0</v>
      </c>
      <c r="BD653" s="123">
        <f t="shared" si="1604"/>
        <v>0</v>
      </c>
      <c r="BE653" s="124">
        <f t="shared" si="1605"/>
        <v>0</v>
      </c>
      <c r="BF653" s="124">
        <f t="shared" si="1605"/>
        <v>0</v>
      </c>
      <c r="BG653" s="186">
        <f t="shared" ref="BG653" si="1607">IF(BG340=0,0,BG416/BG340)</f>
        <v>0</v>
      </c>
    </row>
    <row r="654" spans="1:59" s="210" customFormat="1" ht="13.5" hidden="1" customHeight="1" outlineLevel="1" x14ac:dyDescent="0.25">
      <c r="A654" s="28"/>
      <c r="B654" s="27" t="s">
        <v>99</v>
      </c>
      <c r="C654" s="26" t="s">
        <v>110</v>
      </c>
      <c r="D654" s="186">
        <f t="shared" si="1571"/>
        <v>0</v>
      </c>
      <c r="E654" s="186">
        <f t="shared" si="1571"/>
        <v>0</v>
      </c>
      <c r="F654" s="124">
        <f t="shared" si="1571"/>
        <v>0</v>
      </c>
      <c r="G654" s="122">
        <f t="shared" si="1571"/>
        <v>0</v>
      </c>
      <c r="H654" s="123">
        <f t="shared" si="1572"/>
        <v>0</v>
      </c>
      <c r="I654" s="124">
        <f t="shared" si="1573"/>
        <v>0</v>
      </c>
      <c r="J654" s="122">
        <f t="shared" si="1573"/>
        <v>0</v>
      </c>
      <c r="K654" s="123">
        <f t="shared" si="1574"/>
        <v>0</v>
      </c>
      <c r="L654" s="124">
        <f t="shared" si="1575"/>
        <v>0</v>
      </c>
      <c r="M654" s="122">
        <f t="shared" si="1575"/>
        <v>0</v>
      </c>
      <c r="N654" s="123">
        <f t="shared" si="1576"/>
        <v>0</v>
      </c>
      <c r="O654" s="124">
        <f t="shared" si="1577"/>
        <v>0</v>
      </c>
      <c r="P654" s="122">
        <f t="shared" si="1577"/>
        <v>0</v>
      </c>
      <c r="Q654" s="123">
        <f t="shared" si="1578"/>
        <v>0</v>
      </c>
      <c r="R654" s="124">
        <f t="shared" si="1579"/>
        <v>0</v>
      </c>
      <c r="S654" s="122">
        <f t="shared" si="1579"/>
        <v>0</v>
      </c>
      <c r="T654" s="123">
        <f t="shared" si="1580"/>
        <v>0</v>
      </c>
      <c r="U654" s="124">
        <f t="shared" si="1581"/>
        <v>0</v>
      </c>
      <c r="V654" s="122">
        <f t="shared" si="1581"/>
        <v>0</v>
      </c>
      <c r="W654" s="123">
        <f t="shared" si="1582"/>
        <v>0</v>
      </c>
      <c r="X654" s="124">
        <f t="shared" si="1583"/>
        <v>0</v>
      </c>
      <c r="Y654" s="122">
        <f t="shared" si="1583"/>
        <v>0</v>
      </c>
      <c r="Z654" s="123">
        <f t="shared" si="1584"/>
        <v>0</v>
      </c>
      <c r="AA654" s="124">
        <f t="shared" si="1585"/>
        <v>0</v>
      </c>
      <c r="AB654" s="122">
        <f t="shared" si="1585"/>
        <v>0</v>
      </c>
      <c r="AC654" s="123">
        <f t="shared" si="1586"/>
        <v>0</v>
      </c>
      <c r="AD654" s="124">
        <f t="shared" si="1587"/>
        <v>0</v>
      </c>
      <c r="AE654" s="122">
        <f t="shared" si="1587"/>
        <v>0</v>
      </c>
      <c r="AF654" s="123">
        <f t="shared" si="1588"/>
        <v>0</v>
      </c>
      <c r="AG654" s="124">
        <f t="shared" si="1589"/>
        <v>0</v>
      </c>
      <c r="AH654" s="122">
        <f t="shared" si="1589"/>
        <v>0</v>
      </c>
      <c r="AI654" s="123">
        <f t="shared" si="1590"/>
        <v>0</v>
      </c>
      <c r="AJ654" s="124">
        <f t="shared" si="1591"/>
        <v>0</v>
      </c>
      <c r="AK654" s="122">
        <f t="shared" si="1591"/>
        <v>0</v>
      </c>
      <c r="AL654" s="123">
        <f t="shared" si="1592"/>
        <v>0</v>
      </c>
      <c r="AM654" s="124">
        <f t="shared" si="1593"/>
        <v>0</v>
      </c>
      <c r="AN654" s="122">
        <f t="shared" si="1593"/>
        <v>0</v>
      </c>
      <c r="AO654" s="123">
        <f t="shared" si="1594"/>
        <v>0</v>
      </c>
      <c r="AP654" s="124">
        <f t="shared" si="1595"/>
        <v>0</v>
      </c>
      <c r="AQ654" s="122">
        <f t="shared" si="1595"/>
        <v>0</v>
      </c>
      <c r="AR654" s="123">
        <f t="shared" si="1596"/>
        <v>0</v>
      </c>
      <c r="AS654" s="124">
        <f t="shared" si="1597"/>
        <v>0</v>
      </c>
      <c r="AT654" s="122">
        <f t="shared" si="1597"/>
        <v>0</v>
      </c>
      <c r="AU654" s="123">
        <f t="shared" si="1598"/>
        <v>0</v>
      </c>
      <c r="AV654" s="124">
        <f t="shared" si="1599"/>
        <v>0</v>
      </c>
      <c r="AW654" s="122">
        <f t="shared" si="1599"/>
        <v>0</v>
      </c>
      <c r="AX654" s="123">
        <f t="shared" si="1600"/>
        <v>0</v>
      </c>
      <c r="AY654" s="122">
        <f t="shared" si="1601"/>
        <v>0</v>
      </c>
      <c r="AZ654" s="122">
        <f t="shared" si="1601"/>
        <v>0</v>
      </c>
      <c r="BA654" s="123">
        <f t="shared" si="1602"/>
        <v>0</v>
      </c>
      <c r="BB654" s="124">
        <f t="shared" si="1603"/>
        <v>0</v>
      </c>
      <c r="BC654" s="122">
        <f t="shared" si="1603"/>
        <v>0</v>
      </c>
      <c r="BD654" s="123">
        <f t="shared" si="1604"/>
        <v>0</v>
      </c>
      <c r="BE654" s="124">
        <f t="shared" si="1605"/>
        <v>0</v>
      </c>
      <c r="BF654" s="124">
        <f t="shared" si="1605"/>
        <v>0</v>
      </c>
      <c r="BG654" s="186">
        <f t="shared" ref="BG654" si="1608">IF(BG341=0,0,BG417/BG341)</f>
        <v>0</v>
      </c>
    </row>
    <row r="655" spans="1:59" s="210" customFormat="1" ht="13.5" hidden="1" customHeight="1" outlineLevel="1" x14ac:dyDescent="0.25">
      <c r="A655" s="28"/>
      <c r="B655" s="27" t="s">
        <v>100</v>
      </c>
      <c r="C655" s="26" t="s">
        <v>110</v>
      </c>
      <c r="D655" s="186">
        <f t="shared" si="1571"/>
        <v>0</v>
      </c>
      <c r="E655" s="186">
        <f t="shared" si="1571"/>
        <v>0</v>
      </c>
      <c r="F655" s="124">
        <f t="shared" si="1571"/>
        <v>0</v>
      </c>
      <c r="G655" s="122">
        <f t="shared" si="1571"/>
        <v>0</v>
      </c>
      <c r="H655" s="123">
        <f t="shared" si="1572"/>
        <v>0</v>
      </c>
      <c r="I655" s="124">
        <f t="shared" si="1573"/>
        <v>0</v>
      </c>
      <c r="J655" s="122">
        <f t="shared" si="1573"/>
        <v>0</v>
      </c>
      <c r="K655" s="123">
        <f t="shared" si="1574"/>
        <v>0</v>
      </c>
      <c r="L655" s="124">
        <f t="shared" si="1575"/>
        <v>0</v>
      </c>
      <c r="M655" s="122">
        <f t="shared" si="1575"/>
        <v>0</v>
      </c>
      <c r="N655" s="123">
        <f t="shared" si="1576"/>
        <v>0</v>
      </c>
      <c r="O655" s="124">
        <f t="shared" si="1577"/>
        <v>0</v>
      </c>
      <c r="P655" s="122">
        <f t="shared" si="1577"/>
        <v>0</v>
      </c>
      <c r="Q655" s="123">
        <f t="shared" si="1578"/>
        <v>0</v>
      </c>
      <c r="R655" s="124">
        <f t="shared" si="1579"/>
        <v>0</v>
      </c>
      <c r="S655" s="122">
        <f t="shared" si="1579"/>
        <v>0</v>
      </c>
      <c r="T655" s="123">
        <f t="shared" si="1580"/>
        <v>0</v>
      </c>
      <c r="U655" s="124">
        <f t="shared" si="1581"/>
        <v>0</v>
      </c>
      <c r="V655" s="122">
        <f t="shared" si="1581"/>
        <v>0</v>
      </c>
      <c r="W655" s="123">
        <f t="shared" si="1582"/>
        <v>0</v>
      </c>
      <c r="X655" s="124">
        <f t="shared" si="1583"/>
        <v>0</v>
      </c>
      <c r="Y655" s="122">
        <f t="shared" si="1583"/>
        <v>0</v>
      </c>
      <c r="Z655" s="123">
        <f t="shared" si="1584"/>
        <v>0</v>
      </c>
      <c r="AA655" s="124">
        <f t="shared" si="1585"/>
        <v>0</v>
      </c>
      <c r="AB655" s="122">
        <f t="shared" si="1585"/>
        <v>0</v>
      </c>
      <c r="AC655" s="123">
        <f t="shared" si="1586"/>
        <v>0</v>
      </c>
      <c r="AD655" s="124">
        <f t="shared" si="1587"/>
        <v>0</v>
      </c>
      <c r="AE655" s="122">
        <f t="shared" si="1587"/>
        <v>0</v>
      </c>
      <c r="AF655" s="123">
        <f t="shared" si="1588"/>
        <v>0</v>
      </c>
      <c r="AG655" s="124">
        <f t="shared" si="1589"/>
        <v>0</v>
      </c>
      <c r="AH655" s="122">
        <f t="shared" si="1589"/>
        <v>0</v>
      </c>
      <c r="AI655" s="123">
        <f t="shared" si="1590"/>
        <v>0</v>
      </c>
      <c r="AJ655" s="124">
        <f t="shared" si="1591"/>
        <v>0</v>
      </c>
      <c r="AK655" s="122">
        <f t="shared" si="1591"/>
        <v>0</v>
      </c>
      <c r="AL655" s="123">
        <f t="shared" si="1592"/>
        <v>0</v>
      </c>
      <c r="AM655" s="124">
        <f t="shared" si="1593"/>
        <v>0</v>
      </c>
      <c r="AN655" s="122">
        <f t="shared" si="1593"/>
        <v>0</v>
      </c>
      <c r="AO655" s="123">
        <f t="shared" si="1594"/>
        <v>0</v>
      </c>
      <c r="AP655" s="124">
        <f t="shared" si="1595"/>
        <v>0</v>
      </c>
      <c r="AQ655" s="122">
        <f t="shared" si="1595"/>
        <v>0</v>
      </c>
      <c r="AR655" s="123">
        <f t="shared" si="1596"/>
        <v>0</v>
      </c>
      <c r="AS655" s="124">
        <f t="shared" si="1597"/>
        <v>0</v>
      </c>
      <c r="AT655" s="122">
        <f t="shared" si="1597"/>
        <v>0</v>
      </c>
      <c r="AU655" s="123">
        <f t="shared" si="1598"/>
        <v>0</v>
      </c>
      <c r="AV655" s="124">
        <f t="shared" si="1599"/>
        <v>0</v>
      </c>
      <c r="AW655" s="122">
        <f t="shared" si="1599"/>
        <v>0</v>
      </c>
      <c r="AX655" s="123">
        <f t="shared" si="1600"/>
        <v>0</v>
      </c>
      <c r="AY655" s="122">
        <f t="shared" si="1601"/>
        <v>0</v>
      </c>
      <c r="AZ655" s="122">
        <f t="shared" si="1601"/>
        <v>0</v>
      </c>
      <c r="BA655" s="123">
        <f t="shared" si="1602"/>
        <v>0</v>
      </c>
      <c r="BB655" s="124">
        <f t="shared" si="1603"/>
        <v>0</v>
      </c>
      <c r="BC655" s="122">
        <f t="shared" si="1603"/>
        <v>0</v>
      </c>
      <c r="BD655" s="123">
        <f t="shared" si="1604"/>
        <v>0</v>
      </c>
      <c r="BE655" s="124">
        <f t="shared" si="1605"/>
        <v>0</v>
      </c>
      <c r="BF655" s="124">
        <f t="shared" si="1605"/>
        <v>0</v>
      </c>
      <c r="BG655" s="186">
        <f t="shared" ref="BG655" si="1609">IF(BG342=0,0,BG418/BG342)</f>
        <v>0</v>
      </c>
    </row>
    <row r="656" spans="1:59" s="210" customFormat="1" ht="13.5" hidden="1" customHeight="1" outlineLevel="1" x14ac:dyDescent="0.25">
      <c r="A656" s="28"/>
      <c r="B656" s="27" t="s">
        <v>101</v>
      </c>
      <c r="C656" s="26" t="s">
        <v>110</v>
      </c>
      <c r="D656" s="186">
        <f t="shared" si="1571"/>
        <v>0</v>
      </c>
      <c r="E656" s="186">
        <f t="shared" si="1571"/>
        <v>0</v>
      </c>
      <c r="F656" s="124">
        <f t="shared" si="1571"/>
        <v>0</v>
      </c>
      <c r="G656" s="122">
        <f t="shared" si="1571"/>
        <v>0</v>
      </c>
      <c r="H656" s="123">
        <f t="shared" si="1572"/>
        <v>0</v>
      </c>
      <c r="I656" s="124">
        <f t="shared" si="1573"/>
        <v>0</v>
      </c>
      <c r="J656" s="122">
        <f t="shared" si="1573"/>
        <v>0</v>
      </c>
      <c r="K656" s="123">
        <f t="shared" si="1574"/>
        <v>0</v>
      </c>
      <c r="L656" s="124">
        <f t="shared" si="1575"/>
        <v>0</v>
      </c>
      <c r="M656" s="122">
        <f t="shared" si="1575"/>
        <v>0</v>
      </c>
      <c r="N656" s="123">
        <f t="shared" si="1576"/>
        <v>0</v>
      </c>
      <c r="O656" s="124">
        <f t="shared" si="1577"/>
        <v>0</v>
      </c>
      <c r="P656" s="122">
        <f t="shared" si="1577"/>
        <v>0</v>
      </c>
      <c r="Q656" s="123">
        <f t="shared" si="1578"/>
        <v>0</v>
      </c>
      <c r="R656" s="124">
        <f t="shared" si="1579"/>
        <v>0</v>
      </c>
      <c r="S656" s="122">
        <f t="shared" si="1579"/>
        <v>0</v>
      </c>
      <c r="T656" s="123">
        <f t="shared" si="1580"/>
        <v>0</v>
      </c>
      <c r="U656" s="124">
        <f t="shared" si="1581"/>
        <v>0</v>
      </c>
      <c r="V656" s="122">
        <f t="shared" si="1581"/>
        <v>0</v>
      </c>
      <c r="W656" s="123">
        <f t="shared" si="1582"/>
        <v>0</v>
      </c>
      <c r="X656" s="124">
        <f t="shared" si="1583"/>
        <v>0</v>
      </c>
      <c r="Y656" s="122">
        <f t="shared" si="1583"/>
        <v>0</v>
      </c>
      <c r="Z656" s="123">
        <f t="shared" si="1584"/>
        <v>0</v>
      </c>
      <c r="AA656" s="124">
        <f t="shared" si="1585"/>
        <v>0</v>
      </c>
      <c r="AB656" s="122">
        <f t="shared" si="1585"/>
        <v>0</v>
      </c>
      <c r="AC656" s="123">
        <f t="shared" si="1586"/>
        <v>0</v>
      </c>
      <c r="AD656" s="124">
        <f t="shared" si="1587"/>
        <v>0</v>
      </c>
      <c r="AE656" s="122">
        <f t="shared" si="1587"/>
        <v>0</v>
      </c>
      <c r="AF656" s="123">
        <f t="shared" si="1588"/>
        <v>0</v>
      </c>
      <c r="AG656" s="124">
        <f t="shared" si="1589"/>
        <v>0</v>
      </c>
      <c r="AH656" s="122">
        <f t="shared" si="1589"/>
        <v>0</v>
      </c>
      <c r="AI656" s="123">
        <f t="shared" si="1590"/>
        <v>0</v>
      </c>
      <c r="AJ656" s="124">
        <f t="shared" si="1591"/>
        <v>0</v>
      </c>
      <c r="AK656" s="122">
        <f t="shared" si="1591"/>
        <v>0</v>
      </c>
      <c r="AL656" s="123">
        <f t="shared" si="1592"/>
        <v>0</v>
      </c>
      <c r="AM656" s="124">
        <f t="shared" si="1593"/>
        <v>0</v>
      </c>
      <c r="AN656" s="122">
        <f t="shared" si="1593"/>
        <v>0</v>
      </c>
      <c r="AO656" s="123">
        <f t="shared" si="1594"/>
        <v>0</v>
      </c>
      <c r="AP656" s="124">
        <f t="shared" si="1595"/>
        <v>0</v>
      </c>
      <c r="AQ656" s="122">
        <f t="shared" si="1595"/>
        <v>0</v>
      </c>
      <c r="AR656" s="123">
        <f t="shared" si="1596"/>
        <v>0</v>
      </c>
      <c r="AS656" s="124">
        <f t="shared" si="1597"/>
        <v>0</v>
      </c>
      <c r="AT656" s="122">
        <f t="shared" si="1597"/>
        <v>0</v>
      </c>
      <c r="AU656" s="123">
        <f t="shared" si="1598"/>
        <v>0</v>
      </c>
      <c r="AV656" s="124">
        <f t="shared" si="1599"/>
        <v>0</v>
      </c>
      <c r="AW656" s="122">
        <f t="shared" si="1599"/>
        <v>0</v>
      </c>
      <c r="AX656" s="123">
        <f t="shared" si="1600"/>
        <v>0</v>
      </c>
      <c r="AY656" s="122">
        <f t="shared" si="1601"/>
        <v>0</v>
      </c>
      <c r="AZ656" s="122">
        <f t="shared" si="1601"/>
        <v>0</v>
      </c>
      <c r="BA656" s="123">
        <f t="shared" si="1602"/>
        <v>0</v>
      </c>
      <c r="BB656" s="124">
        <f t="shared" si="1603"/>
        <v>0</v>
      </c>
      <c r="BC656" s="122">
        <f t="shared" si="1603"/>
        <v>0</v>
      </c>
      <c r="BD656" s="123">
        <f t="shared" si="1604"/>
        <v>0</v>
      </c>
      <c r="BE656" s="124">
        <f t="shared" si="1605"/>
        <v>0</v>
      </c>
      <c r="BF656" s="124">
        <f t="shared" si="1605"/>
        <v>0</v>
      </c>
      <c r="BG656" s="186">
        <f t="shared" ref="BG656" si="1610">IF(BG343=0,0,BG419/BG343)</f>
        <v>0</v>
      </c>
    </row>
    <row r="657" spans="1:59" s="210" customFormat="1" ht="13.5" hidden="1" customHeight="1" outlineLevel="1" thickBot="1" x14ac:dyDescent="0.3">
      <c r="A657" s="11"/>
      <c r="B657" s="10" t="s">
        <v>102</v>
      </c>
      <c r="C657" s="9" t="s">
        <v>110</v>
      </c>
      <c r="D657" s="163">
        <f t="shared" si="1571"/>
        <v>0</v>
      </c>
      <c r="E657" s="163">
        <f t="shared" si="1571"/>
        <v>0</v>
      </c>
      <c r="F657" s="121">
        <f t="shared" si="1571"/>
        <v>0</v>
      </c>
      <c r="G657" s="119">
        <f t="shared" si="1571"/>
        <v>0</v>
      </c>
      <c r="H657" s="120">
        <f t="shared" si="1572"/>
        <v>0</v>
      </c>
      <c r="I657" s="121">
        <f t="shared" si="1573"/>
        <v>0</v>
      </c>
      <c r="J657" s="119">
        <f t="shared" si="1573"/>
        <v>0</v>
      </c>
      <c r="K657" s="120">
        <f t="shared" si="1574"/>
        <v>0</v>
      </c>
      <c r="L657" s="121">
        <f t="shared" si="1575"/>
        <v>0</v>
      </c>
      <c r="M657" s="119">
        <f t="shared" si="1575"/>
        <v>0</v>
      </c>
      <c r="N657" s="120">
        <f t="shared" si="1576"/>
        <v>0</v>
      </c>
      <c r="O657" s="121">
        <f t="shared" si="1577"/>
        <v>0</v>
      </c>
      <c r="P657" s="119">
        <f t="shared" si="1577"/>
        <v>0</v>
      </c>
      <c r="Q657" s="120">
        <f t="shared" si="1578"/>
        <v>0</v>
      </c>
      <c r="R657" s="121">
        <f t="shared" si="1579"/>
        <v>0</v>
      </c>
      <c r="S657" s="119">
        <f t="shared" si="1579"/>
        <v>0</v>
      </c>
      <c r="T657" s="120">
        <f t="shared" si="1580"/>
        <v>0</v>
      </c>
      <c r="U657" s="121">
        <f t="shared" si="1581"/>
        <v>0</v>
      </c>
      <c r="V657" s="119">
        <f t="shared" si="1581"/>
        <v>0</v>
      </c>
      <c r="W657" s="120">
        <f t="shared" si="1582"/>
        <v>0</v>
      </c>
      <c r="X657" s="121">
        <f t="shared" si="1583"/>
        <v>0</v>
      </c>
      <c r="Y657" s="119">
        <f t="shared" si="1583"/>
        <v>0</v>
      </c>
      <c r="Z657" s="120">
        <f t="shared" si="1584"/>
        <v>0</v>
      </c>
      <c r="AA657" s="121">
        <f t="shared" si="1585"/>
        <v>0</v>
      </c>
      <c r="AB657" s="119">
        <f t="shared" si="1585"/>
        <v>0</v>
      </c>
      <c r="AC657" s="120">
        <f t="shared" si="1586"/>
        <v>0</v>
      </c>
      <c r="AD657" s="121">
        <f t="shared" si="1587"/>
        <v>0</v>
      </c>
      <c r="AE657" s="119">
        <f t="shared" si="1587"/>
        <v>0</v>
      </c>
      <c r="AF657" s="120">
        <f t="shared" si="1588"/>
        <v>0</v>
      </c>
      <c r="AG657" s="121">
        <f t="shared" si="1589"/>
        <v>0</v>
      </c>
      <c r="AH657" s="119">
        <f t="shared" si="1589"/>
        <v>0</v>
      </c>
      <c r="AI657" s="120">
        <f t="shared" si="1590"/>
        <v>0</v>
      </c>
      <c r="AJ657" s="121">
        <f t="shared" si="1591"/>
        <v>0</v>
      </c>
      <c r="AK657" s="119">
        <f t="shared" si="1591"/>
        <v>0</v>
      </c>
      <c r="AL657" s="120">
        <f t="shared" si="1592"/>
        <v>0</v>
      </c>
      <c r="AM657" s="121">
        <f t="shared" si="1593"/>
        <v>0</v>
      </c>
      <c r="AN657" s="119">
        <f t="shared" si="1593"/>
        <v>0</v>
      </c>
      <c r="AO657" s="120">
        <f t="shared" si="1594"/>
        <v>0</v>
      </c>
      <c r="AP657" s="121">
        <f t="shared" si="1595"/>
        <v>0</v>
      </c>
      <c r="AQ657" s="119">
        <f t="shared" si="1595"/>
        <v>0</v>
      </c>
      <c r="AR657" s="120">
        <f t="shared" si="1596"/>
        <v>0</v>
      </c>
      <c r="AS657" s="121">
        <f t="shared" si="1597"/>
        <v>0</v>
      </c>
      <c r="AT657" s="119">
        <f t="shared" si="1597"/>
        <v>0</v>
      </c>
      <c r="AU657" s="120">
        <f t="shared" si="1598"/>
        <v>0</v>
      </c>
      <c r="AV657" s="121">
        <f t="shared" si="1599"/>
        <v>0</v>
      </c>
      <c r="AW657" s="119">
        <f t="shared" si="1599"/>
        <v>0</v>
      </c>
      <c r="AX657" s="120">
        <f t="shared" si="1600"/>
        <v>0</v>
      </c>
      <c r="AY657" s="119">
        <f t="shared" si="1601"/>
        <v>0</v>
      </c>
      <c r="AZ657" s="119">
        <f t="shared" si="1601"/>
        <v>0</v>
      </c>
      <c r="BA657" s="120">
        <f t="shared" si="1602"/>
        <v>0</v>
      </c>
      <c r="BB657" s="121">
        <f t="shared" si="1603"/>
        <v>0</v>
      </c>
      <c r="BC657" s="119">
        <f t="shared" si="1603"/>
        <v>0</v>
      </c>
      <c r="BD657" s="120">
        <f t="shared" si="1604"/>
        <v>0</v>
      </c>
      <c r="BE657" s="121">
        <f t="shared" si="1605"/>
        <v>0</v>
      </c>
      <c r="BF657" s="121">
        <f t="shared" si="1605"/>
        <v>0</v>
      </c>
      <c r="BG657" s="163">
        <f t="shared" ref="BG657" si="1611">IF(BG344=0,0,BG420/BG344)</f>
        <v>0</v>
      </c>
    </row>
    <row r="658" spans="1:59" s="213" customFormat="1" ht="13.5" customHeight="1" collapsed="1" thickBot="1" x14ac:dyDescent="0.3">
      <c r="A658" s="244"/>
      <c r="B658" s="244"/>
      <c r="C658" s="244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  <c r="AA658" s="245"/>
      <c r="AB658" s="245"/>
      <c r="AC658" s="245"/>
      <c r="AD658" s="245"/>
      <c r="AE658" s="245"/>
      <c r="AF658" s="245"/>
      <c r="AG658" s="245"/>
      <c r="AH658" s="245"/>
      <c r="AI658" s="245"/>
      <c r="AJ658" s="245"/>
      <c r="AK658" s="245"/>
      <c r="AL658" s="245"/>
      <c r="AM658" s="245"/>
      <c r="AN658" s="245"/>
      <c r="AO658" s="245"/>
      <c r="AP658" s="245"/>
      <c r="AQ658" s="245"/>
      <c r="AR658" s="245"/>
      <c r="AS658" s="245"/>
      <c r="AT658" s="245"/>
      <c r="AU658" s="245"/>
      <c r="AV658" s="245"/>
      <c r="AW658" s="245"/>
      <c r="AX658" s="245"/>
      <c r="AY658" s="245"/>
      <c r="AZ658" s="245"/>
      <c r="BA658" s="245"/>
      <c r="BB658" s="246"/>
      <c r="BC658" s="246"/>
      <c r="BD658" s="246"/>
      <c r="BE658" s="244"/>
      <c r="BF658" s="244"/>
      <c r="BG658" s="244"/>
    </row>
    <row r="659" spans="1:59" s="216" customFormat="1" ht="30" customHeight="1" thickBot="1" x14ac:dyDescent="0.3">
      <c r="A659" s="270" t="s">
        <v>136</v>
      </c>
      <c r="B659" s="271"/>
      <c r="C659" s="271"/>
      <c r="D659" s="41"/>
      <c r="E659" s="41"/>
      <c r="F659" s="40"/>
      <c r="G659" s="39"/>
      <c r="H659" s="38"/>
      <c r="I659" s="40"/>
      <c r="J659" s="39"/>
      <c r="K659" s="38"/>
      <c r="L659" s="40"/>
      <c r="M659" s="39"/>
      <c r="N659" s="38"/>
      <c r="O659" s="39"/>
      <c r="P659" s="39"/>
      <c r="Q659" s="38"/>
      <c r="R659" s="40"/>
      <c r="S659" s="39"/>
      <c r="T659" s="38"/>
      <c r="U659" s="40"/>
      <c r="V659" s="39"/>
      <c r="W659" s="38"/>
      <c r="X659" s="40"/>
      <c r="Y659" s="39"/>
      <c r="Z659" s="38"/>
      <c r="AA659" s="39"/>
      <c r="AB659" s="39"/>
      <c r="AC659" s="38"/>
      <c r="AD659" s="40"/>
      <c r="AE659" s="39"/>
      <c r="AF659" s="38"/>
      <c r="AG659" s="40"/>
      <c r="AH659" s="39"/>
      <c r="AI659" s="38"/>
      <c r="AJ659" s="40"/>
      <c r="AK659" s="39"/>
      <c r="AL659" s="38"/>
      <c r="AM659" s="39"/>
      <c r="AN659" s="39"/>
      <c r="AO659" s="38"/>
      <c r="AP659" s="40"/>
      <c r="AQ659" s="39"/>
      <c r="AR659" s="38"/>
      <c r="AS659" s="40"/>
      <c r="AT659" s="39"/>
      <c r="AU659" s="38"/>
      <c r="AV659" s="40"/>
      <c r="AW659" s="39"/>
      <c r="AX659" s="38"/>
      <c r="AY659" s="39"/>
      <c r="AZ659" s="39"/>
      <c r="BA659" s="38"/>
      <c r="BB659" s="40"/>
      <c r="BC659" s="39"/>
      <c r="BD659" s="38"/>
      <c r="BE659" s="40"/>
      <c r="BF659" s="40"/>
      <c r="BG659" s="37"/>
    </row>
    <row r="660" spans="1:59" ht="30" customHeight="1" x14ac:dyDescent="0.25">
      <c r="A660" s="36" t="s">
        <v>137</v>
      </c>
      <c r="B660" s="35" t="s">
        <v>138</v>
      </c>
      <c r="C660" s="34" t="s">
        <v>110</v>
      </c>
      <c r="D660" s="33">
        <f t="shared" ref="D660:S660" si="1612">D350+D661</f>
        <v>0</v>
      </c>
      <c r="E660" s="33">
        <f t="shared" si="1612"/>
        <v>0</v>
      </c>
      <c r="F660" s="32">
        <f t="shared" si="1612"/>
        <v>0</v>
      </c>
      <c r="G660" s="31">
        <f t="shared" si="1612"/>
        <v>0</v>
      </c>
      <c r="H660" s="30">
        <f t="shared" si="1612"/>
        <v>0</v>
      </c>
      <c r="I660" s="32">
        <f t="shared" si="1612"/>
        <v>0</v>
      </c>
      <c r="J660" s="29">
        <f t="shared" si="1612"/>
        <v>0</v>
      </c>
      <c r="K660" s="30">
        <f t="shared" si="1612"/>
        <v>0</v>
      </c>
      <c r="L660" s="32">
        <f t="shared" si="1612"/>
        <v>0</v>
      </c>
      <c r="M660" s="29">
        <f t="shared" si="1612"/>
        <v>0</v>
      </c>
      <c r="N660" s="30">
        <f t="shared" si="1612"/>
        <v>0</v>
      </c>
      <c r="O660" s="31">
        <f t="shared" si="1612"/>
        <v>0</v>
      </c>
      <c r="P660" s="31">
        <f t="shared" si="1612"/>
        <v>0</v>
      </c>
      <c r="Q660" s="30">
        <f t="shared" si="1612"/>
        <v>0</v>
      </c>
      <c r="R660" s="32">
        <f t="shared" si="1612"/>
        <v>0</v>
      </c>
      <c r="S660" s="31">
        <f t="shared" si="1612"/>
        <v>0</v>
      </c>
      <c r="T660" s="30">
        <f t="shared" ref="T660:AI660" si="1613">T350+T661</f>
        <v>0</v>
      </c>
      <c r="U660" s="32">
        <f t="shared" si="1613"/>
        <v>0</v>
      </c>
      <c r="V660" s="29">
        <f t="shared" si="1613"/>
        <v>0</v>
      </c>
      <c r="W660" s="30">
        <f t="shared" si="1613"/>
        <v>0</v>
      </c>
      <c r="X660" s="32">
        <f t="shared" si="1613"/>
        <v>0</v>
      </c>
      <c r="Y660" s="29">
        <f t="shared" si="1613"/>
        <v>0</v>
      </c>
      <c r="Z660" s="30">
        <f t="shared" si="1613"/>
        <v>0</v>
      </c>
      <c r="AA660" s="31">
        <f t="shared" si="1613"/>
        <v>0</v>
      </c>
      <c r="AB660" s="31">
        <f t="shared" si="1613"/>
        <v>0</v>
      </c>
      <c r="AC660" s="30">
        <f t="shared" si="1613"/>
        <v>0</v>
      </c>
      <c r="AD660" s="32">
        <f t="shared" si="1613"/>
        <v>0</v>
      </c>
      <c r="AE660" s="31">
        <f t="shared" si="1613"/>
        <v>0</v>
      </c>
      <c r="AF660" s="30">
        <f t="shared" si="1613"/>
        <v>0</v>
      </c>
      <c r="AG660" s="32">
        <f t="shared" si="1613"/>
        <v>0</v>
      </c>
      <c r="AH660" s="29">
        <f t="shared" si="1613"/>
        <v>0</v>
      </c>
      <c r="AI660" s="30">
        <f t="shared" si="1613"/>
        <v>0</v>
      </c>
      <c r="AJ660" s="32">
        <f t="shared" ref="AJ660:AY660" si="1614">AJ350+AJ661</f>
        <v>0</v>
      </c>
      <c r="AK660" s="29">
        <f t="shared" si="1614"/>
        <v>0</v>
      </c>
      <c r="AL660" s="30">
        <f t="shared" si="1614"/>
        <v>0</v>
      </c>
      <c r="AM660" s="31">
        <f t="shared" si="1614"/>
        <v>0</v>
      </c>
      <c r="AN660" s="31">
        <f t="shared" si="1614"/>
        <v>0</v>
      </c>
      <c r="AO660" s="30">
        <f t="shared" si="1614"/>
        <v>0</v>
      </c>
      <c r="AP660" s="32">
        <f t="shared" si="1614"/>
        <v>0</v>
      </c>
      <c r="AQ660" s="31">
        <f t="shared" si="1614"/>
        <v>0</v>
      </c>
      <c r="AR660" s="30">
        <f t="shared" si="1614"/>
        <v>0</v>
      </c>
      <c r="AS660" s="32">
        <f t="shared" si="1614"/>
        <v>0</v>
      </c>
      <c r="AT660" s="29">
        <f t="shared" si="1614"/>
        <v>0</v>
      </c>
      <c r="AU660" s="30">
        <f t="shared" si="1614"/>
        <v>0</v>
      </c>
      <c r="AV660" s="32">
        <f t="shared" si="1614"/>
        <v>0</v>
      </c>
      <c r="AW660" s="29">
        <f t="shared" si="1614"/>
        <v>0</v>
      </c>
      <c r="AX660" s="30">
        <f t="shared" si="1614"/>
        <v>0</v>
      </c>
      <c r="AY660" s="31">
        <f t="shared" si="1614"/>
        <v>0</v>
      </c>
      <c r="AZ660" s="31">
        <f>AZ350+AZ661</f>
        <v>0</v>
      </c>
      <c r="BA660" s="30">
        <f>BA350+BA661</f>
        <v>0</v>
      </c>
      <c r="BB660" s="32">
        <f>BB350+BB661</f>
        <v>0</v>
      </c>
      <c r="BC660" s="31">
        <f>BC350+BC661</f>
        <v>0</v>
      </c>
      <c r="BD660" s="30">
        <f>BC660-BB660</f>
        <v>0</v>
      </c>
      <c r="BE660" s="32">
        <f t="shared" ref="BE660:BF660" si="1615">BE350+BE661</f>
        <v>0</v>
      </c>
      <c r="BF660" s="32">
        <f t="shared" si="1615"/>
        <v>0</v>
      </c>
      <c r="BG660" s="33">
        <f t="shared" ref="BG660" si="1616">BG350+BG661</f>
        <v>0</v>
      </c>
    </row>
    <row r="661" spans="1:59" ht="13.5" hidden="1" customHeight="1" outlineLevel="1" x14ac:dyDescent="0.25">
      <c r="A661" s="28"/>
      <c r="B661" s="27" t="s">
        <v>139</v>
      </c>
      <c r="C661" s="26" t="s">
        <v>110</v>
      </c>
      <c r="D661" s="25"/>
      <c r="E661" s="25"/>
      <c r="F661" s="24"/>
      <c r="G661" s="23"/>
      <c r="H661" s="22">
        <f>G661-F661</f>
        <v>0</v>
      </c>
      <c r="I661" s="24"/>
      <c r="J661" s="21"/>
      <c r="K661" s="22">
        <f>J661-I661</f>
        <v>0</v>
      </c>
      <c r="L661" s="24"/>
      <c r="M661" s="21"/>
      <c r="N661" s="22">
        <f>M661-L661</f>
        <v>0</v>
      </c>
      <c r="O661" s="23">
        <f>SUM(F661,I661,L661)</f>
        <v>0</v>
      </c>
      <c r="P661" s="23">
        <f>SUM(G661,J661,M661)</f>
        <v>0</v>
      </c>
      <c r="Q661" s="22">
        <f>P661-O661</f>
        <v>0</v>
      </c>
      <c r="R661" s="24"/>
      <c r="S661" s="23"/>
      <c r="T661" s="22">
        <f>S661-R661</f>
        <v>0</v>
      </c>
      <c r="U661" s="24"/>
      <c r="V661" s="21"/>
      <c r="W661" s="22">
        <f>V661-U661</f>
        <v>0</v>
      </c>
      <c r="X661" s="24"/>
      <c r="Y661" s="21"/>
      <c r="Z661" s="22">
        <f>Y661-X661</f>
        <v>0</v>
      </c>
      <c r="AA661" s="23">
        <f>SUM(R661,U661,X661)</f>
        <v>0</v>
      </c>
      <c r="AB661" s="23">
        <f>SUM(S661,V661,Y661)</f>
        <v>0</v>
      </c>
      <c r="AC661" s="22">
        <f>AB661-AA661</f>
        <v>0</v>
      </c>
      <c r="AD661" s="24"/>
      <c r="AE661" s="23"/>
      <c r="AF661" s="22">
        <f>AE661-AD661</f>
        <v>0</v>
      </c>
      <c r="AG661" s="24"/>
      <c r="AH661" s="21"/>
      <c r="AI661" s="22">
        <f>AH661-AG661</f>
        <v>0</v>
      </c>
      <c r="AJ661" s="24"/>
      <c r="AK661" s="21"/>
      <c r="AL661" s="22">
        <f>AK661-AJ661</f>
        <v>0</v>
      </c>
      <c r="AM661" s="23">
        <f>SUM(AD661,AG661,AJ661)</f>
        <v>0</v>
      </c>
      <c r="AN661" s="23">
        <f>SUM(AE661,AH661,AK661)</f>
        <v>0</v>
      </c>
      <c r="AO661" s="22">
        <f>AN661-AM661</f>
        <v>0</v>
      </c>
      <c r="AP661" s="24"/>
      <c r="AQ661" s="23"/>
      <c r="AR661" s="22">
        <f>AQ661-AP661</f>
        <v>0</v>
      </c>
      <c r="AS661" s="24"/>
      <c r="AT661" s="21"/>
      <c r="AU661" s="22">
        <f>AT661-AS661</f>
        <v>0</v>
      </c>
      <c r="AV661" s="24"/>
      <c r="AW661" s="21"/>
      <c r="AX661" s="22">
        <f>AW661-AV661</f>
        <v>0</v>
      </c>
      <c r="AY661" s="23">
        <f>SUM(AP661,AS661,AV661)</f>
        <v>0</v>
      </c>
      <c r="AZ661" s="23">
        <f>SUM(AQ661,AT661,AW661)</f>
        <v>0</v>
      </c>
      <c r="BA661" s="22">
        <f>AZ661-AY661</f>
        <v>0</v>
      </c>
      <c r="BB661" s="24">
        <f>SUM(F661,I661,L661,R661,U661,X661,AD661,AG661,AJ661,AP661,AS661,AV661)</f>
        <v>0</v>
      </c>
      <c r="BC661" s="23">
        <f>SUM(G661,J661,M661,S661,V661,Y661,AE661,AH661,AK661,AQ661,AT661,AW661)</f>
        <v>0</v>
      </c>
      <c r="BD661" s="22">
        <f>BC661-BB661</f>
        <v>0</v>
      </c>
      <c r="BE661" s="24"/>
      <c r="BF661" s="24"/>
      <c r="BG661" s="20">
        <f>BB661+BE661+BF661</f>
        <v>0</v>
      </c>
    </row>
    <row r="662" spans="1:59" ht="30" customHeight="1" collapsed="1" x14ac:dyDescent="0.25">
      <c r="A662" s="19" t="s">
        <v>140</v>
      </c>
      <c r="B662" s="18" t="s">
        <v>141</v>
      </c>
      <c r="C662" s="17" t="s">
        <v>110</v>
      </c>
      <c r="D662" s="16">
        <f>D660+D663+D664</f>
        <v>0</v>
      </c>
      <c r="E662" s="16">
        <f>E660+E663+E664</f>
        <v>0</v>
      </c>
      <c r="F662" s="15">
        <f>F660+F663+F664</f>
        <v>0</v>
      </c>
      <c r="G662" s="14">
        <f>G660+G663+G664</f>
        <v>0</v>
      </c>
      <c r="H662" s="13">
        <f>G662-F662</f>
        <v>0</v>
      </c>
      <c r="I662" s="15">
        <f>I660+I663+I664</f>
        <v>0</v>
      </c>
      <c r="J662" s="12">
        <f>J660+J663+J664</f>
        <v>0</v>
      </c>
      <c r="K662" s="13">
        <f>J662-I662</f>
        <v>0</v>
      </c>
      <c r="L662" s="15">
        <f>L660+L663+L664</f>
        <v>0</v>
      </c>
      <c r="M662" s="12">
        <f>M660+M663+M664</f>
        <v>0</v>
      </c>
      <c r="N662" s="13">
        <f>M662-L662</f>
        <v>0</v>
      </c>
      <c r="O662" s="14">
        <f>O660+O663+O664</f>
        <v>0</v>
      </c>
      <c r="P662" s="14">
        <f>P660+P663+P664</f>
        <v>0</v>
      </c>
      <c r="Q662" s="13">
        <f>P662-O662</f>
        <v>0</v>
      </c>
      <c r="R662" s="15">
        <f>R660+R663+R664</f>
        <v>0</v>
      </c>
      <c r="S662" s="14">
        <f>S660+S663+S664</f>
        <v>0</v>
      </c>
      <c r="T662" s="13">
        <f>S662-R662</f>
        <v>0</v>
      </c>
      <c r="U662" s="15">
        <f>U660+U663+U664</f>
        <v>0</v>
      </c>
      <c r="V662" s="12">
        <f>V660+V663+V664</f>
        <v>0</v>
      </c>
      <c r="W662" s="13">
        <f>V662-U662</f>
        <v>0</v>
      </c>
      <c r="X662" s="15">
        <f>X660+X663+X664</f>
        <v>0</v>
      </c>
      <c r="Y662" s="12">
        <f>Y660+Y663+Y664</f>
        <v>0</v>
      </c>
      <c r="Z662" s="13">
        <f>Y662-X662</f>
        <v>0</v>
      </c>
      <c r="AA662" s="14">
        <f>AA660+AA663+AA664</f>
        <v>0</v>
      </c>
      <c r="AB662" s="14">
        <f>AB660+AB663+AB664</f>
        <v>0</v>
      </c>
      <c r="AC662" s="13">
        <f>AB662-AA662</f>
        <v>0</v>
      </c>
      <c r="AD662" s="15">
        <f>AD660+AD663+AD664</f>
        <v>0</v>
      </c>
      <c r="AE662" s="14">
        <f>AE660+AE663+AE664</f>
        <v>0</v>
      </c>
      <c r="AF662" s="13">
        <f>AE662-AD662</f>
        <v>0</v>
      </c>
      <c r="AG662" s="15">
        <f>AG660+AG663+AG664</f>
        <v>0</v>
      </c>
      <c r="AH662" s="12">
        <f>AH660+AH663+AH664</f>
        <v>0</v>
      </c>
      <c r="AI662" s="13">
        <f>AH662-AG662</f>
        <v>0</v>
      </c>
      <c r="AJ662" s="15">
        <f>AJ660+AJ663+AJ664</f>
        <v>0</v>
      </c>
      <c r="AK662" s="12">
        <f>AK660+AK663+AK664</f>
        <v>0</v>
      </c>
      <c r="AL662" s="13">
        <f>AK662-AJ662</f>
        <v>0</v>
      </c>
      <c r="AM662" s="14">
        <f>AM660+AM663+AM664</f>
        <v>0</v>
      </c>
      <c r="AN662" s="14">
        <f>AN660+AN663+AN664</f>
        <v>0</v>
      </c>
      <c r="AO662" s="13">
        <f>AN662-AM662</f>
        <v>0</v>
      </c>
      <c r="AP662" s="15">
        <f>AP660+AP663+AP664</f>
        <v>0</v>
      </c>
      <c r="AQ662" s="14">
        <f>AQ660+AQ663+AQ664</f>
        <v>0</v>
      </c>
      <c r="AR662" s="13">
        <f>AQ662-AP662</f>
        <v>0</v>
      </c>
      <c r="AS662" s="15">
        <f>AS660+AS663+AS664</f>
        <v>0</v>
      </c>
      <c r="AT662" s="12">
        <f>AT660+AT663+AT664</f>
        <v>0</v>
      </c>
      <c r="AU662" s="13">
        <f>AT662-AS662</f>
        <v>0</v>
      </c>
      <c r="AV662" s="15">
        <f>AV660+AV663+AV664</f>
        <v>0</v>
      </c>
      <c r="AW662" s="12">
        <f>AW660+AW663+AW664</f>
        <v>0</v>
      </c>
      <c r="AX662" s="13">
        <f>AW662-AV662</f>
        <v>0</v>
      </c>
      <c r="AY662" s="14">
        <f>AY660+AY663+AY664</f>
        <v>0</v>
      </c>
      <c r="AZ662" s="14">
        <f>AZ660+AZ663+AZ664</f>
        <v>0</v>
      </c>
      <c r="BA662" s="13">
        <f>AZ662-AY662</f>
        <v>0</v>
      </c>
      <c r="BB662" s="15">
        <f>BB660+BB663+BB664</f>
        <v>0</v>
      </c>
      <c r="BC662" s="14">
        <f>BC660+BC663+BC664</f>
        <v>0</v>
      </c>
      <c r="BD662" s="13">
        <f>BC662-BB662</f>
        <v>0</v>
      </c>
      <c r="BE662" s="15">
        <f t="shared" ref="BE662:BF662" si="1617">BE660+BE663+BE664</f>
        <v>0</v>
      </c>
      <c r="BF662" s="15">
        <f t="shared" si="1617"/>
        <v>0</v>
      </c>
      <c r="BG662" s="16">
        <f t="shared" ref="BG662" si="1618">BG660+BG663+BG664</f>
        <v>0</v>
      </c>
    </row>
    <row r="663" spans="1:59" ht="13.5" hidden="1" customHeight="1" outlineLevel="1" x14ac:dyDescent="0.25">
      <c r="A663" s="28"/>
      <c r="B663" s="27" t="s">
        <v>142</v>
      </c>
      <c r="C663" s="26" t="s">
        <v>110</v>
      </c>
      <c r="D663" s="25"/>
      <c r="E663" s="25"/>
      <c r="F663" s="24"/>
      <c r="G663" s="23"/>
      <c r="H663" s="22">
        <f>G663-F663</f>
        <v>0</v>
      </c>
      <c r="I663" s="23"/>
      <c r="J663" s="23"/>
      <c r="K663" s="22">
        <f>J663-I663</f>
        <v>0</v>
      </c>
      <c r="L663" s="23"/>
      <c r="M663" s="23"/>
      <c r="N663" s="22">
        <f>M663-L663</f>
        <v>0</v>
      </c>
      <c r="O663" s="23">
        <f>SUM(F663,I663,L663)</f>
        <v>0</v>
      </c>
      <c r="P663" s="23">
        <f>SUM(G663,J663,M663)</f>
        <v>0</v>
      </c>
      <c r="Q663" s="22">
        <f>P663-O663</f>
        <v>0</v>
      </c>
      <c r="R663" s="24"/>
      <c r="S663" s="23"/>
      <c r="T663" s="22">
        <f>S663-R663</f>
        <v>0</v>
      </c>
      <c r="U663" s="23"/>
      <c r="V663" s="23"/>
      <c r="W663" s="22">
        <f>V663-U663</f>
        <v>0</v>
      </c>
      <c r="X663" s="23"/>
      <c r="Y663" s="23"/>
      <c r="Z663" s="22">
        <f>Y663-X663</f>
        <v>0</v>
      </c>
      <c r="AA663" s="23">
        <f>SUM(R663,U663,X663)</f>
        <v>0</v>
      </c>
      <c r="AB663" s="23">
        <f>SUM(S663,V663,Y663)</f>
        <v>0</v>
      </c>
      <c r="AC663" s="22">
        <f>AB663-AA663</f>
        <v>0</v>
      </c>
      <c r="AD663" s="24"/>
      <c r="AE663" s="23"/>
      <c r="AF663" s="22">
        <f>AE663-AD663</f>
        <v>0</v>
      </c>
      <c r="AG663" s="23"/>
      <c r="AH663" s="23"/>
      <c r="AI663" s="22">
        <f>AH663-AG663</f>
        <v>0</v>
      </c>
      <c r="AJ663" s="23"/>
      <c r="AK663" s="23"/>
      <c r="AL663" s="22">
        <f>AK663-AJ663</f>
        <v>0</v>
      </c>
      <c r="AM663" s="23">
        <f>SUM(AD663,AG663,AJ663)</f>
        <v>0</v>
      </c>
      <c r="AN663" s="23">
        <f>SUM(AE663,AH663,AK663)</f>
        <v>0</v>
      </c>
      <c r="AO663" s="22">
        <f>AN663-AM663</f>
        <v>0</v>
      </c>
      <c r="AP663" s="24"/>
      <c r="AQ663" s="23"/>
      <c r="AR663" s="22">
        <f>AQ663-AP663</f>
        <v>0</v>
      </c>
      <c r="AS663" s="23"/>
      <c r="AT663" s="23"/>
      <c r="AU663" s="22">
        <f>AT663-AS663</f>
        <v>0</v>
      </c>
      <c r="AV663" s="23"/>
      <c r="AW663" s="23"/>
      <c r="AX663" s="22">
        <f>AW663-AV663</f>
        <v>0</v>
      </c>
      <c r="AY663" s="23">
        <f>SUM(AP663,AS663,AV663)</f>
        <v>0</v>
      </c>
      <c r="AZ663" s="23">
        <f>SUM(AQ663,AT663,AW663)</f>
        <v>0</v>
      </c>
      <c r="BA663" s="22">
        <f>AZ663-AY663</f>
        <v>0</v>
      </c>
      <c r="BB663" s="24">
        <f>SUM(F663,I663,L663,R663,U663,X663,AD663,AG663,AJ663,AP663,AS663,AV663)</f>
        <v>0</v>
      </c>
      <c r="BC663" s="23">
        <f>SUM(G663,J663,M663,S663,V663,Y663,AE663,AH663,AK663,AQ663,AT663,AW663)</f>
        <v>0</v>
      </c>
      <c r="BD663" s="22">
        <f>BC663-BB663</f>
        <v>0</v>
      </c>
      <c r="BE663" s="24"/>
      <c r="BF663" s="24"/>
      <c r="BG663" s="20">
        <f>BB663+BE663+BF663</f>
        <v>0</v>
      </c>
    </row>
    <row r="664" spans="1:59" ht="13.5" hidden="1" customHeight="1" outlineLevel="1" thickBot="1" x14ac:dyDescent="0.3">
      <c r="A664" s="11"/>
      <c r="B664" s="10" t="s">
        <v>143</v>
      </c>
      <c r="C664" s="9" t="s">
        <v>110</v>
      </c>
      <c r="D664" s="8"/>
      <c r="E664" s="8"/>
      <c r="F664" s="7"/>
      <c r="G664" s="6"/>
      <c r="H664" s="5">
        <f>G664-F664</f>
        <v>0</v>
      </c>
      <c r="I664" s="6"/>
      <c r="J664" s="6"/>
      <c r="K664" s="5">
        <f>J664-I664</f>
        <v>0</v>
      </c>
      <c r="L664" s="6"/>
      <c r="M664" s="6"/>
      <c r="N664" s="5">
        <f>M664-L664</f>
        <v>0</v>
      </c>
      <c r="O664" s="6">
        <f>SUM(F664,I664,L664)</f>
        <v>0</v>
      </c>
      <c r="P664" s="6">
        <f>SUM(G664,J664,M664)</f>
        <v>0</v>
      </c>
      <c r="Q664" s="5">
        <f>P664-O664</f>
        <v>0</v>
      </c>
      <c r="R664" s="7"/>
      <c r="S664" s="6"/>
      <c r="T664" s="5">
        <f>S664-R664</f>
        <v>0</v>
      </c>
      <c r="U664" s="6"/>
      <c r="V664" s="6"/>
      <c r="W664" s="5">
        <f>V664-U664</f>
        <v>0</v>
      </c>
      <c r="X664" s="6"/>
      <c r="Y664" s="6"/>
      <c r="Z664" s="5">
        <f>Y664-X664</f>
        <v>0</v>
      </c>
      <c r="AA664" s="6">
        <f>SUM(R664,U664,X664)</f>
        <v>0</v>
      </c>
      <c r="AB664" s="6">
        <f>SUM(S664,V664,Y664)</f>
        <v>0</v>
      </c>
      <c r="AC664" s="5">
        <f>AB664-AA664</f>
        <v>0</v>
      </c>
      <c r="AD664" s="7"/>
      <c r="AE664" s="6"/>
      <c r="AF664" s="5">
        <f>AE664-AD664</f>
        <v>0</v>
      </c>
      <c r="AG664" s="6"/>
      <c r="AH664" s="6"/>
      <c r="AI664" s="5">
        <f>AH664-AG664</f>
        <v>0</v>
      </c>
      <c r="AJ664" s="6"/>
      <c r="AK664" s="6"/>
      <c r="AL664" s="5">
        <f>AK664-AJ664</f>
        <v>0</v>
      </c>
      <c r="AM664" s="6">
        <f>SUM(AD664,AG664,AJ664)</f>
        <v>0</v>
      </c>
      <c r="AN664" s="6">
        <f>SUM(AE664,AH664,AK664)</f>
        <v>0</v>
      </c>
      <c r="AO664" s="5">
        <f>AN664-AM664</f>
        <v>0</v>
      </c>
      <c r="AP664" s="7"/>
      <c r="AQ664" s="6"/>
      <c r="AR664" s="5">
        <f>AQ664-AP664</f>
        <v>0</v>
      </c>
      <c r="AS664" s="6"/>
      <c r="AT664" s="6"/>
      <c r="AU664" s="5">
        <f>AT664-AS664</f>
        <v>0</v>
      </c>
      <c r="AV664" s="6"/>
      <c r="AW664" s="6"/>
      <c r="AX664" s="5">
        <f>AW664-AV664</f>
        <v>0</v>
      </c>
      <c r="AY664" s="6">
        <f>SUM(AP664,AS664,AV664)</f>
        <v>0</v>
      </c>
      <c r="AZ664" s="6">
        <f>SUM(AQ664,AT664,AW664)</f>
        <v>0</v>
      </c>
      <c r="BA664" s="5">
        <f>AZ664-AY664</f>
        <v>0</v>
      </c>
      <c r="BB664" s="7">
        <f>SUM(F664,I664,L664,R664,U664,X664,AD664,AG664,AJ664,AP664,AS664,AV664)</f>
        <v>0</v>
      </c>
      <c r="BC664" s="6">
        <f>SUM(G664,J664,M664,S664,V664,Y664,AE664,AH664,AK664,AQ664,AT664,AW664)</f>
        <v>0</v>
      </c>
      <c r="BD664" s="5">
        <f>BC664-BB664</f>
        <v>0</v>
      </c>
      <c r="BE664" s="7"/>
      <c r="BF664" s="7"/>
      <c r="BG664" s="4">
        <f>BB664+BE664+BF664</f>
        <v>0</v>
      </c>
    </row>
    <row r="665" spans="1:59" collapsed="1" x14ac:dyDescent="0.25"/>
  </sheetData>
  <mergeCells count="37">
    <mergeCell ref="K2:M2"/>
    <mergeCell ref="A659:C659"/>
    <mergeCell ref="A348:C348"/>
    <mergeCell ref="Q2:T2"/>
    <mergeCell ref="U2:W2"/>
    <mergeCell ref="X1:AA1"/>
    <mergeCell ref="A487:C487"/>
    <mergeCell ref="R6:T6"/>
    <mergeCell ref="U6:W6"/>
    <mergeCell ref="X6:Z6"/>
    <mergeCell ref="AA6:AC6"/>
    <mergeCell ref="C5:C7"/>
    <mergeCell ref="E5:E6"/>
    <mergeCell ref="D5:D6"/>
    <mergeCell ref="B5:B7"/>
    <mergeCell ref="A5:A7"/>
    <mergeCell ref="Q1:T1"/>
    <mergeCell ref="A8:C8"/>
    <mergeCell ref="F6:H6"/>
    <mergeCell ref="I6:K6"/>
    <mergeCell ref="O6:Q6"/>
    <mergeCell ref="AP6:AR6"/>
    <mergeCell ref="U1:W1"/>
    <mergeCell ref="AY6:BA6"/>
    <mergeCell ref="BB6:BD6"/>
    <mergeCell ref="F5:BD5"/>
    <mergeCell ref="L6:N6"/>
    <mergeCell ref="AM6:AO6"/>
    <mergeCell ref="AJ6:AL6"/>
    <mergeCell ref="AD6:AF6"/>
    <mergeCell ref="AG6:AI6"/>
    <mergeCell ref="K1:M1"/>
    <mergeCell ref="N2:P2"/>
    <mergeCell ref="N1:P1"/>
    <mergeCell ref="AS6:AU6"/>
    <mergeCell ref="AV6:AX6"/>
    <mergeCell ref="AB1:AD1"/>
  </mergeCells>
  <pageMargins left="0.7" right="0.7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БУР</vt:lpstr>
      <vt:lpstr>БУР!Область_печати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2015-10-22T11:45:17Z</dcterms:created>
  <dcterms:modified xsi:type="dcterms:W3CDTF">2017-08-16T13:25:43Z</dcterms:modified>
</cp:coreProperties>
</file>