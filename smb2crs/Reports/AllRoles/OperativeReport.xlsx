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eres\ceres\ГПН.Церера\Ceres\smb2crs\Reports\AllRoles\"/>
    </mc:Choice>
  </mc:AlternateContent>
  <xr:revisionPtr revIDLastSave="0" documentId="13_ncr:1_{CA9559D6-C543-4868-8F2D-4461E8993B3C}" xr6:coauthVersionLast="40" xr6:coauthVersionMax="40" xr10:uidLastSave="{00000000-0000-0000-0000-000000000000}"/>
  <bookViews>
    <workbookView xWindow="28680" yWindow="-120" windowWidth="29040" windowHeight="15840" tabRatio="500" xr2:uid="{00000000-000D-0000-FFFF-FFFF00000000}"/>
  </bookViews>
  <sheets>
    <sheet name="Лист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" l="1"/>
  <c r="E19" i="1"/>
  <c r="E18" i="1"/>
  <c r="D6" i="1"/>
  <c r="E6" i="1" s="1"/>
  <c r="D25" i="1"/>
  <c r="E25" i="1" s="1"/>
  <c r="D24" i="1"/>
  <c r="E24" i="1" s="1"/>
  <c r="D23" i="1"/>
  <c r="E23" i="1" s="1"/>
  <c r="D22" i="1"/>
  <c r="E22" i="1" s="1"/>
  <c r="D20" i="1"/>
  <c r="E20" i="1" s="1"/>
  <c r="D19" i="1"/>
  <c r="D18" i="1"/>
  <c r="D17" i="1"/>
  <c r="E17" i="1" s="1"/>
  <c r="D15" i="1"/>
  <c r="E15" i="1" s="1"/>
  <c r="D14" i="1"/>
  <c r="E14" i="1" s="1"/>
  <c r="D13" i="1"/>
  <c r="E13" i="1" s="1"/>
  <c r="D12" i="1"/>
  <c r="E12" i="1" s="1"/>
  <c r="D10" i="1"/>
  <c r="E10" i="1" s="1"/>
  <c r="D9" i="1"/>
  <c r="E9" i="1" s="1"/>
  <c r="D7" i="1"/>
  <c r="E7" i="1" s="1"/>
  <c r="D8" i="1" l="1"/>
  <c r="C5" i="1"/>
  <c r="C8" i="1"/>
  <c r="B8" i="1" l="1"/>
  <c r="E8" i="1" l="1"/>
  <c r="D5" i="1"/>
  <c r="E5" i="1"/>
</calcChain>
</file>

<file path=xl/sharedStrings.xml><?xml version="1.0" encoding="utf-8"?>
<sst xmlns="http://schemas.openxmlformats.org/spreadsheetml/2006/main" count="64" uniqueCount="21">
  <si>
    <t>Показатель</t>
  </si>
  <si>
    <t>План</t>
  </si>
  <si>
    <t>Факт</t>
  </si>
  <si>
    <t xml:space="preserve"> +/-</t>
  </si>
  <si>
    <t>%</t>
  </si>
  <si>
    <t>Причина</t>
  </si>
  <si>
    <t>НПВ, %</t>
  </si>
  <si>
    <t>ЭБ (ННС+ГС)</t>
  </si>
  <si>
    <t>Для сверки с QPR и для маркеров</t>
  </si>
  <si>
    <t>ННС</t>
  </si>
  <si>
    <t>ГС</t>
  </si>
  <si>
    <t>ЗБС (БНС+БГС)</t>
  </si>
  <si>
    <t>БННС</t>
  </si>
  <si>
    <t>БГС</t>
  </si>
  <si>
    <t>Сут.бур./скв (по законченным бурением)</t>
  </si>
  <si>
    <t>Для сверки с QPR</t>
  </si>
  <si>
    <t>Кол-во законченных бурением</t>
  </si>
  <si>
    <t>Для сверки с QPR, ППДН-7 УСОИ</t>
  </si>
  <si>
    <t>Кол-во БУ на начало периода</t>
  </si>
  <si>
    <t>Для отчета 01 Оперативный отчет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</si>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</sst>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3" x14ac:knownFonts="1">
    <font>
      <sz val="11"/>
      <color rgb="FF000000"/>
      <name val="Calibri"/>
      <family val="2"/>
      <charset val="204"/>
    </font>
    <font>
      <sz val="10"/>
      <color rgb="FF000000"/>
      <name val="Arial Narrow"/>
      <family val="2"/>
      <charset val="204"/>
    </font>
    <font>
      <sz val="11"/>
      <color rgb="FF00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BDBDB"/>
      </patternFill>
    </fill>
    <fill>
      <patternFill patternType="solid">
        <fgColor rgb="FFDBDBDB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E8E8E8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5" xfId="0" applyFont="1" applyFill="1" applyBorder="1"/>
    <xf numFmtId="10" fontId="0" fillId="0" borderId="0" xfId="0" applyNumberFormat="1"/>
    <xf numFmtId="0" fontId="2" fillId="0" borderId="0" xfId="0" applyFont="1"/>
    <xf numFmtId="10" fontId="2" fillId="0" borderId="0" xfId="0" applyNumberFormat="1" applyFont="1"/>
    <xf numFmtId="0" fontId="2" fillId="3" borderId="0" xfId="0" applyFont="1" applyFill="1" applyBorder="1"/>
    <xf numFmtId="0" fontId="2" fillId="3" borderId="2" xfId="0" applyFont="1" applyFill="1" applyBorder="1"/>
    <xf numFmtId="0" fontId="2" fillId="3" borderId="6" xfId="0" applyFont="1" applyFill="1" applyBorder="1"/>
    <xf numFmtId="10" fontId="2" fillId="3" borderId="6" xfId="0" applyNumberFormat="1" applyFont="1" applyFill="1" applyBorder="1"/>
    <xf numFmtId="164" fontId="2" fillId="5" borderId="7" xfId="0" applyNumberFormat="1" applyFont="1" applyFill="1" applyBorder="1" applyAlignment="1">
      <alignment wrapText="1"/>
    </xf>
    <xf numFmtId="0" fontId="2" fillId="4" borderId="1" xfId="0" applyFont="1" applyFill="1" applyBorder="1"/>
    <xf numFmtId="10" fontId="2" fillId="0" borderId="8" xfId="0" applyNumberFormat="1" applyFont="1" applyBorder="1" applyAlignment="1">
      <alignment horizontal="right" wrapText="1"/>
    </xf>
    <xf numFmtId="0" fontId="2" fillId="0" borderId="1" xfId="0" applyFont="1" applyBorder="1"/>
    <xf numFmtId="0" fontId="2" fillId="2" borderId="0" xfId="0" applyFont="1" applyFill="1"/>
    <xf numFmtId="0" fontId="2" fillId="2" borderId="4" xfId="0" applyFont="1" applyFill="1" applyBorder="1"/>
    <xf numFmtId="10" fontId="2" fillId="2" borderId="4" xfId="0" applyNumberFormat="1" applyFont="1" applyFill="1" applyBorder="1"/>
    <xf numFmtId="17" fontId="2" fillId="2" borderId="1" xfId="0" applyNumberFormat="1" applyFont="1" applyFill="1" applyBorder="1" applyAlignment="1">
      <alignment horizontal="center"/>
    </xf>
    <xf numFmtId="17" fontId="2" fillId="2" borderId="2" xfId="0" applyNumberFormat="1" applyFont="1" applyFill="1" applyBorder="1" applyAlignment="1">
      <alignment horizontal="center"/>
    </xf>
    <xf numFmtId="17" fontId="2" fillId="2" borderId="3" xfId="0" applyNumberFormat="1" applyFont="1" applyFill="1" applyBorder="1" applyAlignment="1">
      <alignment horizontal="center"/>
    </xf>
    <xf numFmtId="10" fontId="2" fillId="5" borderId="2" xfId="0" applyNumberFormat="1" applyFont="1" applyFill="1" applyBorder="1" applyAlignment="1">
      <alignment horizontal="right" wrapText="1"/>
    </xf>
    <xf numFmtId="10" fontId="2" fillId="3" borderId="6" xfId="0" applyNumberFormat="1" applyFont="1" applyFill="1" applyBorder="1" applyAlignment="1">
      <alignment horizontal="right" wrapText="1"/>
    </xf>
    <xf numFmtId="2" fontId="2" fillId="5" borderId="2" xfId="0" applyNumberFormat="1" applyFont="1" applyFill="1" applyBorder="1" applyAlignment="1">
      <alignment horizontal="right" wrapText="1"/>
    </xf>
    <xf numFmtId="2" fontId="2" fillId="0" borderId="7" xfId="0" applyNumberFormat="1" applyFont="1" applyBorder="1" applyAlignment="1">
      <alignment horizontal="right" wrapText="1"/>
    </xf>
    <xf numFmtId="2" fontId="2" fillId="3" borderId="6" xfId="0" applyNumberFormat="1" applyFont="1" applyFill="1" applyBorder="1" applyAlignment="1">
      <alignment horizontal="right" wrapText="1"/>
    </xf>
    <xf numFmtId="2" fontId="2" fillId="0" borderId="9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BDBD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tabSelected="1" zoomScaleNormal="100" workbookViewId="0">
      <selection activeCell="J8" sqref="J8"/>
    </sheetView>
  </sheetViews>
  <sheetFormatPr defaultColWidth="8.5703125" defaultRowHeight="15" x14ac:dyDescent="0.25"/>
  <cols>
    <col min="1" max="1" width="39.85546875" customWidth="1"/>
    <col min="2" max="4" width="9.7109375" customWidth="1"/>
    <col min="5" max="5" width="9.7109375" style="2" customWidth="1"/>
    <col min="6" max="6" width="6.42578125" customWidth="1"/>
    <col min="7" max="7" width="4.7109375" customWidth="1"/>
    <col min="8" max="8" width="4.85546875" customWidth="1"/>
    <col min="9" max="9" width="7.140625" customWidth="1"/>
    <col min="10" max="10" width="5.140625" customWidth="1"/>
    <col min="11" max="11" width="4.5703125" customWidth="1"/>
    <col min="12" max="12" width="3.5703125" customWidth="1"/>
  </cols>
  <sheetData>
    <row r="1" spans="1:7" x14ac:dyDescent="0.25">
      <c r="A1" s="3"/>
      <c r="B1" s="3"/>
      <c r="C1" s="3"/>
      <c r="D1" s="3"/>
      <c r="E1" s="4"/>
    </row>
    <row r="2" spans="1:7" x14ac:dyDescent="0.25">
      <c r="A2" s="13" t="s">
        <v>0</v>
      </c>
      <c r="B2" s="16"/>
      <c r="C2" s="17"/>
      <c r="D2" s="17"/>
      <c r="E2" s="18"/>
    </row>
    <row r="3" spans="1:7" x14ac:dyDescent="0.25">
      <c r="A3" s="13"/>
      <c r="B3" s="14" t="s">
        <v>1</v>
      </c>
      <c r="C3" s="14" t="s">
        <v>2</v>
      </c>
      <c r="D3" s="14" t="s">
        <v>3</v>
      </c>
      <c r="E3" s="15" t="s">
        <v>4</v>
      </c>
      <c r="G3" s="1" t="s">
        <v>5</v>
      </c>
    </row>
    <row r="4" spans="1:7" x14ac:dyDescent="0.25">
      <c r="A4" s="5" t="s">
        <v>6</v>
      </c>
      <c r="B4" s="6"/>
      <c r="C4" s="7"/>
      <c r="D4" s="7"/>
      <c r="E4" s="8"/>
    </row>
    <row r="5" spans="1:7" x14ac:dyDescent="0.25">
      <c r="A5" s="9" t="s">
        <v>7</v>
      </c>
      <c r="B5" s="21" t="str">
        <f>IF(COUNT(B6:B7) &gt; 0, AVERAGE(B6:B7), "-")</f>
        <v>-</v>
      </c>
      <c r="C5" s="21" t="str">
        <f t="shared" ref="C5:E5" si="0">IF(COUNT(C6:C7) &gt; 0, AVERAGE(C6:C7), "-")</f>
        <v>-</v>
      </c>
      <c r="D5" s="21" t="str">
        <f>IF(COUNT(D6:D7) &gt; 0, AVERAGE(D6:D7), "-")</f>
        <v>-</v>
      </c>
      <c r="E5" s="19" t="str">
        <f t="shared" si="0"/>
        <v>-</v>
      </c>
      <c r="G5" t="s">
        <v>8</v>
      </c>
    </row>
    <row r="6" spans="1:7" x14ac:dyDescent="0.25">
      <c r="A6" s="10" t="s">
        <v>9</v>
      </c>
      <c r="B6" s="24" t="s">
        <v>20</v>
      </c>
      <c r="C6" s="24" t="s">
        <v>20</v>
      </c>
      <c r="D6" s="24" t="str">
        <f>IF(AND(ISNUMBER(C6), ISNUMBER(B6)), C6-B6, "-")</f>
        <v>-</v>
      </c>
      <c r="E6" s="11" t="str">
        <f>IF(AND(ISNUMBER(D6), ISNUMBER(B6)), IF(B6&gt;0,D6/B6,"-"), "-")</f>
        <v>-</v>
      </c>
    </row>
    <row r="7" spans="1:7" x14ac:dyDescent="0.25">
      <c r="A7" s="10" t="s">
        <v>10</v>
      </c>
      <c r="B7" s="24" t="s">
        <v>20</v>
      </c>
      <c r="C7" s="24" t="s">
        <v>20</v>
      </c>
      <c r="D7" s="24" t="str">
        <f>IF(AND(ISNUMBER(C7), ISNUMBER(B7)), C7-B7, "-")</f>
        <v>-</v>
      </c>
      <c r="E7" s="11" t="str">
        <f>IF(AND(ISNUMBER(D7), ISNUMBER(B7)), IF(B7&gt;0,D7/B7,"-"), "-")</f>
        <v>-</v>
      </c>
    </row>
    <row r="8" spans="1:7" x14ac:dyDescent="0.25">
      <c r="A8" s="9" t="s">
        <v>11</v>
      </c>
      <c r="B8" s="21" t="str">
        <f>IF(COUNT(B9:B10) &gt; 0, AVERAGE(B9:B10), "-")</f>
        <v>-</v>
      </c>
      <c r="C8" s="21" t="str">
        <f>IF(COUNT(C9:C10) &gt; 0, AVERAGE(C9:C10), "-")</f>
        <v>-</v>
      </c>
      <c r="D8" s="21" t="str">
        <f t="shared" ref="D8:E8" si="1">IF(COUNT(D9:D10) &gt; 0, AVERAGE(D9:D10), "-")</f>
        <v>-</v>
      </c>
      <c r="E8" s="19" t="str">
        <f t="shared" si="1"/>
        <v>-</v>
      </c>
    </row>
    <row r="9" spans="1:7" x14ac:dyDescent="0.25">
      <c r="A9" s="12" t="s">
        <v>12</v>
      </c>
      <c r="B9" s="24" t="s">
        <v>20</v>
      </c>
      <c r="C9" s="24" t="s">
        <v>20</v>
      </c>
      <c r="D9" s="24" t="str">
        <f t="shared" ref="D9:D10" si="2">IF(AND(ISNUMBER(C9), ISNUMBER(B9)), C9-B9, "-")</f>
        <v>-</v>
      </c>
      <c r="E9" s="11" t="str">
        <f>IF(AND(ISNUMBER(D9), ISNUMBER(B9)), IF(B9&gt;0,D9/B9,"-"), "-")</f>
        <v>-</v>
      </c>
    </row>
    <row r="10" spans="1:7" x14ac:dyDescent="0.25">
      <c r="A10" s="12" t="s">
        <v>13</v>
      </c>
      <c r="B10" s="24" t="s">
        <v>20</v>
      </c>
      <c r="C10" s="24" t="s">
        <v>20</v>
      </c>
      <c r="D10" s="24" t="str">
        <f t="shared" si="2"/>
        <v>-</v>
      </c>
      <c r="E10" s="11" t="str">
        <f>IF(AND(ISNUMBER(D10), ISNUMBER(B10)), IF(B10&gt;0,D10/B10,"-"), "-")</f>
        <v>-</v>
      </c>
    </row>
    <row r="11" spans="1:7" x14ac:dyDescent="0.25">
      <c r="A11" s="5" t="s">
        <v>14</v>
      </c>
      <c r="B11" s="23"/>
      <c r="C11" s="23"/>
      <c r="D11" s="23"/>
      <c r="E11" s="20"/>
      <c r="G11" t="s">
        <v>15</v>
      </c>
    </row>
    <row r="12" spans="1:7" x14ac:dyDescent="0.25">
      <c r="A12" s="12" t="s">
        <v>9</v>
      </c>
      <c r="B12" s="22" t="s">
        <v>20</v>
      </c>
      <c r="C12" s="24" t="s">
        <v>20</v>
      </c>
      <c r="D12" s="24" t="str">
        <f t="shared" ref="D12:D15" si="3">IF(AND(ISNUMBER(C12), ISNUMBER(B12)), C12-B12, "-")</f>
        <v>-</v>
      </c>
      <c r="E12" s="11" t="str">
        <f t="shared" ref="E12:E15" si="4">IF(AND(ISNUMBER(D12), ISNUMBER(B12)), IF(B12&gt;0,D12/B12,"-"), "-")</f>
        <v>-</v>
      </c>
    </row>
    <row r="13" spans="1:7" x14ac:dyDescent="0.25">
      <c r="A13" s="12" t="s">
        <v>10</v>
      </c>
      <c r="B13" s="22" t="s">
        <v>20</v>
      </c>
      <c r="C13" s="24" t="s">
        <v>20</v>
      </c>
      <c r="D13" s="24" t="str">
        <f t="shared" si="3"/>
        <v>-</v>
      </c>
      <c r="E13" s="11" t="str">
        <f t="shared" si="4"/>
        <v>-</v>
      </c>
    </row>
    <row r="14" spans="1:7" x14ac:dyDescent="0.25">
      <c r="A14" s="12" t="s">
        <v>12</v>
      </c>
      <c r="B14" s="22" t="s">
        <v>20</v>
      </c>
      <c r="C14" s="24" t="s">
        <v>20</v>
      </c>
      <c r="D14" s="24" t="str">
        <f t="shared" si="3"/>
        <v>-</v>
      </c>
      <c r="E14" s="11" t="str">
        <f t="shared" si="4"/>
        <v>-</v>
      </c>
    </row>
    <row r="15" spans="1:7" x14ac:dyDescent="0.25">
      <c r="A15" s="12" t="s">
        <v>13</v>
      </c>
      <c r="B15" s="22" t="s">
        <v>20</v>
      </c>
      <c r="C15" s="24" t="s">
        <v>20</v>
      </c>
      <c r="D15" s="24" t="str">
        <f t="shared" si="3"/>
        <v>-</v>
      </c>
      <c r="E15" s="11" t="str">
        <f t="shared" si="4"/>
        <v>-</v>
      </c>
    </row>
    <row r="16" spans="1:7" x14ac:dyDescent="0.25">
      <c r="A16" s="5" t="s">
        <v>16</v>
      </c>
      <c r="B16" s="23"/>
      <c r="C16" s="23"/>
      <c r="D16" s="23"/>
      <c r="E16" s="20"/>
      <c r="G16" t="s">
        <v>17</v>
      </c>
    </row>
    <row r="17" spans="1:7" x14ac:dyDescent="0.25">
      <c r="A17" s="12" t="s">
        <v>9</v>
      </c>
      <c r="B17" s="22" t="s">
        <v>20</v>
      </c>
      <c r="C17" s="24" t="s">
        <v>20</v>
      </c>
      <c r="D17" s="24" t="str">
        <f t="shared" ref="D17:D20" si="5">IF(AND(ISNUMBER(C17), ISNUMBER(B17)), C17-B17, "-")</f>
        <v>-</v>
      </c>
      <c r="E17" s="11" t="str">
        <f t="shared" ref="E17:E20" si="6">IF(AND(ISNUMBER(D17), ISNUMBER(B17)), IF(B17&gt;0,D17/B17,"-"), "-")</f>
        <v>-</v>
      </c>
    </row>
    <row r="18" spans="1:7" x14ac:dyDescent="0.25">
      <c r="A18" s="12" t="s">
        <v>10</v>
      </c>
      <c r="B18" s="22" t="s">
        <v>20</v>
      </c>
      <c r="C18" s="24" t="s">
        <v>20</v>
      </c>
      <c r="D18" s="24" t="str">
        <f t="shared" si="5"/>
        <v>-</v>
      </c>
      <c r="E18" s="11" t="str">
        <f t="shared" si="6"/>
        <v>-</v>
      </c>
    </row>
    <row r="19" spans="1:7" x14ac:dyDescent="0.25">
      <c r="A19" s="12" t="s">
        <v>12</v>
      </c>
      <c r="B19" s="22" t="s">
        <v>20</v>
      </c>
      <c r="C19" s="24" t="s">
        <v>20</v>
      </c>
      <c r="D19" s="24" t="str">
        <f t="shared" si="5"/>
        <v>-</v>
      </c>
      <c r="E19" s="11" t="str">
        <f t="shared" si="6"/>
        <v>-</v>
      </c>
    </row>
    <row r="20" spans="1:7" x14ac:dyDescent="0.25">
      <c r="A20" s="12" t="s">
        <v>13</v>
      </c>
      <c r="B20" s="22" t="s">
        <v>20</v>
      </c>
      <c r="C20" s="24" t="s">
        <v>20</v>
      </c>
      <c r="D20" s="24" t="str">
        <f t="shared" si="5"/>
        <v>-</v>
      </c>
      <c r="E20" s="11" t="str">
        <f t="shared" si="6"/>
        <v>-</v>
      </c>
    </row>
    <row r="21" spans="1:7" x14ac:dyDescent="0.25">
      <c r="A21" s="5" t="s">
        <v>18</v>
      </c>
      <c r="B21" s="23"/>
      <c r="C21" s="23"/>
      <c r="D21" s="23"/>
      <c r="E21" s="20"/>
      <c r="G21" t="s">
        <v>19</v>
      </c>
    </row>
    <row r="22" spans="1:7" x14ac:dyDescent="0.25">
      <c r="A22" s="12" t="s">
        <v>9</v>
      </c>
      <c r="B22" s="22" t="s">
        <v>20</v>
      </c>
      <c r="C22" s="24" t="s">
        <v>20</v>
      </c>
      <c r="D22" s="24" t="str">
        <f t="shared" ref="D22:D25" si="7">IF(AND(ISNUMBER(C22), ISNUMBER(B22)), C22-B22, "-")</f>
        <v>-</v>
      </c>
      <c r="E22" s="11" t="str">
        <f t="shared" ref="E22:E25" si="8">IF(AND(ISNUMBER(D22), ISNUMBER(B22)), IF(B22&gt;0,D22/B22,"-"), "-")</f>
        <v>-</v>
      </c>
    </row>
    <row r="23" spans="1:7" x14ac:dyDescent="0.25">
      <c r="A23" s="12" t="s">
        <v>10</v>
      </c>
      <c r="B23" s="22" t="s">
        <v>20</v>
      </c>
      <c r="C23" s="24" t="s">
        <v>20</v>
      </c>
      <c r="D23" s="24" t="str">
        <f t="shared" si="7"/>
        <v>-</v>
      </c>
      <c r="E23" s="11" t="str">
        <f t="shared" si="8"/>
        <v>-</v>
      </c>
    </row>
    <row r="24" spans="1:7" x14ac:dyDescent="0.25">
      <c r="A24" s="12" t="s">
        <v>12</v>
      </c>
      <c r="B24" s="22" t="s">
        <v>20</v>
      </c>
      <c r="C24" s="24" t="s">
        <v>20</v>
      </c>
      <c r="D24" s="24" t="str">
        <f t="shared" si="7"/>
        <v>-</v>
      </c>
      <c r="E24" s="11" t="str">
        <f t="shared" si="8"/>
        <v>-</v>
      </c>
    </row>
    <row r="25" spans="1:7" x14ac:dyDescent="0.25">
      <c r="A25" s="12" t="s">
        <v>13</v>
      </c>
      <c r="B25" s="22" t="s">
        <v>20</v>
      </c>
      <c r="C25" s="24" t="s">
        <v>20</v>
      </c>
      <c r="D25" s="24" t="str">
        <f t="shared" si="7"/>
        <v>-</v>
      </c>
      <c r="E25" s="11" t="str">
        <f t="shared" si="8"/>
        <v>-</v>
      </c>
    </row>
  </sheetData>
  <dataConsolidate/>
  <mergeCells count="1">
    <mergeCell ref="B2:E2"/>
  </mergeCells>
  <pageMargins left="0.7" right="0.7" top="0.75" bottom="0.75" header="0.51180555555555496" footer="0.51180555555555496"/>
  <pageSetup paperSize="9" firstPageNumber="0" orientation="portrait" horizontalDpi="300" verticalDpi="300" r:id="rId1"/>
  <ignoredErrors>
    <ignoredError sqref="D8:E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Игнатьев Юрий Виссарионович</dc:creator>
  <dc:description/>
  <cp:lastModifiedBy>Куркутов П.А.</cp:lastModifiedBy>
  <cp:revision>0</cp:revision>
  <dcterms:created xsi:type="dcterms:W3CDTF">2020-08-18T14:42:32Z</dcterms:created>
  <dcterms:modified xsi:type="dcterms:W3CDTF">2020-10-21T02:11:43Z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