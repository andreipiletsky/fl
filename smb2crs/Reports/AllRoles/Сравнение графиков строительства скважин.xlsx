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Work\TFS\Petroviser\GPN_Dev\ГПН.Церера\Ceres\smb2crs\Reports\AllRoles\"/>
    </mc:Choice>
  </mc:AlternateContent>
  <bookViews>
    <workbookView xWindow="0" yWindow="0" windowWidth="21570" windowHeight="8145"/>
  </bookViews>
  <sheets>
    <sheet name="Год" sheetId="2" r:id="rId1"/>
    <sheet name="Примечания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2" l="1"/>
  <c r="K10" i="2" l="1"/>
  <c r="W96" i="2"/>
  <c r="W28" i="2"/>
  <c r="W54" i="2"/>
  <c r="W23" i="2"/>
  <c r="W85" i="2"/>
  <c r="W53" i="2"/>
  <c r="W75" i="2"/>
  <c r="W66" i="2"/>
  <c r="W38" i="2"/>
  <c r="W39" i="2"/>
  <c r="W84" i="2"/>
  <c r="W44" i="2"/>
  <c r="W27" i="2"/>
  <c r="W34" i="2"/>
  <c r="W65" i="2"/>
  <c r="W56" i="2"/>
  <c r="W97" i="2"/>
  <c r="W87" i="2"/>
  <c r="F55" i="2" l="1"/>
  <c r="E55" i="2"/>
  <c r="E43" i="2"/>
  <c r="F43" i="2"/>
  <c r="W61" i="2"/>
  <c r="W51" i="2"/>
  <c r="W78" i="2"/>
  <c r="W63" i="2"/>
  <c r="W35" i="2"/>
  <c r="W26" i="2"/>
  <c r="W36" i="2"/>
  <c r="W86" i="2"/>
  <c r="E78" i="2"/>
  <c r="W57" i="2"/>
  <c r="W79" i="2"/>
  <c r="E36" i="2"/>
  <c r="E25" i="2"/>
  <c r="W37" i="2"/>
  <c r="W94" i="2"/>
  <c r="E59" i="2"/>
  <c r="W24" i="2"/>
  <c r="W89" i="2"/>
  <c r="W48" i="2"/>
  <c r="W74" i="2"/>
  <c r="E35" i="2"/>
  <c r="W80" i="2"/>
  <c r="W22" i="2"/>
  <c r="W43" i="2"/>
  <c r="W47" i="2"/>
  <c r="E47" i="2"/>
  <c r="E58" i="2"/>
  <c r="W76" i="2"/>
  <c r="W83" i="2"/>
  <c r="W52" i="2"/>
  <c r="E24" i="2"/>
  <c r="W25" i="2"/>
  <c r="W55" i="2"/>
  <c r="W50" i="2"/>
  <c r="W92" i="2"/>
  <c r="E77" i="2"/>
  <c r="W95" i="2"/>
  <c r="W90" i="2"/>
  <c r="W82" i="2"/>
  <c r="W59" i="2"/>
  <c r="W81" i="2"/>
  <c r="W46" i="2"/>
  <c r="E90" i="2"/>
  <c r="W62" i="2"/>
  <c r="W77" i="2"/>
  <c r="W45" i="2"/>
  <c r="W49" i="2"/>
  <c r="W64" i="2"/>
  <c r="W60" i="2"/>
  <c r="W58" i="2"/>
  <c r="W33" i="2"/>
  <c r="W91" i="2"/>
  <c r="E89" i="2"/>
  <c r="E46" i="2"/>
  <c r="W93" i="2"/>
  <c r="W88" i="2"/>
</calcChain>
</file>

<file path=xl/comments1.xml><?xml version="1.0" encoding="utf-8"?>
<comments xmlns="http://schemas.openxmlformats.org/spreadsheetml/2006/main">
  <authors>
    <author>Штыкова А.В.</author>
  </authors>
  <commentLis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 (Бурение виды работ: бурение, передвижка, мобилизация, монтаж, стаскивание, демонтаж, демобилизация)</t>
        </r>
      </text>
    </comment>
    <comment ref="V1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Бурится скв. (число скважин, на которых были операции бурения)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осв.с ГРП (виды работ: освоение)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обустройство (виды работ: обустройство)</t>
        </r>
      </text>
    </comment>
    <comment ref="V1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(кол-во за год работ передвижка или стаскивание)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запуск скв (виды работ: ВНР, ввод в эксплуатацию)</t>
        </r>
      </text>
    </comment>
    <comment ref="V1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куста)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(проходки в месяцах, где есть бурение)</t>
        </r>
      </text>
    </comment>
    <comment ref="V1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(проходка за год)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(число дней бурения в месяце / 30)</t>
        </r>
      </text>
    </comment>
    <comment ref="V1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(число дней бурения за год / 30)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(кол-во скважин, у которых в данном месяце закончилась работа бурение)</t>
        </r>
      </text>
    </comment>
    <comment ref="V2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(сумма скважин, у которых в были работы бурения)</t>
        </r>
      </text>
    </comment>
    <comment ref="H2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(кол-во скважин, у которых в данном месяце закончилась работа освоение)</t>
        </r>
      </text>
    </comment>
    <comment ref="V2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(сумма скважин, у которых в были работы освоения)</t>
        </r>
      </text>
    </comment>
    <comment ref="H2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Закон. строит. доб. скв., шт. аналогично Скв. законч. строит., шт.</t>
        </r>
      </text>
    </comment>
    <comment ref="V2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аналогично Скв. законч. строит., шт.</t>
        </r>
      </text>
    </comment>
    <comment ref="H2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м./ст.-мес. (проходка/ ст.мес.)</t>
        </r>
      </text>
    </comment>
    <comment ref="V2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м./ст.-мес. (проходка/ ст.мес.)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в месяце / проходка * 1000)</t>
        </r>
      </text>
    </comment>
    <comment ref="V2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в месяце / проходка * 1000)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(показатель проходки в месяцах, где есть бурение)</t>
        </r>
      </text>
    </comment>
    <comment ref="V2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(показатель проходки за год)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(число дней бурения в месяце / 30)</t>
        </r>
      </text>
    </comment>
    <comment ref="V2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(число дней бурения за год / 30)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(кол-во начавшихся в данном месяце работ передвижка или стаскивание)</t>
        </r>
      </text>
    </comment>
    <comment ref="V3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(кол-во за год работ передвижка или стаскивание)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(кол-во скважин, у которых в данном месяце закончилась работа бурение)</t>
        </r>
      </text>
    </comment>
    <comment ref="V3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(сумма скважин, у которых в были работы бурения)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(кол-во скважин, у которых в данном месяце закончилась работа освоение)</t>
        </r>
      </text>
    </comment>
    <comment ref="V3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(сумма скважин, у которых в были работы освоения)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Закон. строит. доб. скв., шт. аналогично Скв. законч. строит., шт.</t>
        </r>
      </text>
    </comment>
    <comment ref="V3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аналогично Скв. законч. строит., шт.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месторождения)</t>
        </r>
      </text>
    </comment>
    <comment ref="V3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месторождения за год)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бур. бригад, шт. (кол-во дней бурения / число дней в месяце)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бур. бригад, шт. (среднее значение за год)</t>
        </r>
      </text>
    </comment>
    <comment ref="H3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бригад освоения, шт. (кол-во дней освоения / число дней в месяце)</t>
        </r>
      </text>
    </comment>
    <comment ref="V3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бригад освоения, шт. (среднее значение за год)</t>
        </r>
      </text>
    </comment>
    <comment ref="H3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в/монт. бригад, шт. (кол-во дней операций ВМР / число дней в месяце)</t>
        </r>
      </text>
    </comment>
    <comment ref="V3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в/монт. бригад, шт. (среднее значение за год)</t>
        </r>
      </text>
    </comment>
    <comment ref="H3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м./ст.-мес. (проходка/ ст.мес.)</t>
        </r>
      </text>
    </comment>
    <comment ref="V3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м/ст.-мес (проходка / ст./мес., где ст./мес. есть дни бурения для каждого куста /30)</t>
        </r>
      </text>
    </comment>
    <comment ref="H3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в месяце / проходка * 1000)</t>
        </r>
      </text>
    </comment>
    <comment ref="V3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за год / проходка * 1000)</t>
        </r>
      </text>
    </comment>
    <comment ref="H4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(показатель проходки по месторождениям, где есть бурение)</t>
        </r>
      </text>
    </comment>
    <comment ref="V4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(показатель проходки по всем месторождениям, где есть бурение)</t>
        </r>
      </text>
    </comment>
    <comment ref="H4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(сумма ст./мес. по месяцам по кустам, входящих в месторождения)</t>
        </r>
      </text>
    </comment>
    <comment ref="V4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(сумма ст./мес. за год по кустам, входящих в месторождения) 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(кол-во начавшихся в данном месяце работ передвижка или стаскивание)</t>
        </r>
      </text>
    </comment>
    <comment ref="V4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(сумма работ передвижка или стаскивание)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(кол-во скважин, у которых в данном месяце закончилась работа бурение)</t>
        </r>
      </text>
    </comment>
    <comment ref="V4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(сумма скважин, у которых в были работы бурения)</t>
        </r>
      </text>
    </comment>
    <comment ref="H5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(кол-во скважин, у которых в данном месяце закончилась работа освоение)</t>
        </r>
      </text>
    </comment>
    <comment ref="V5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(сумма скважин, у которых в были работы освоения)</t>
        </r>
      </text>
    </comment>
    <comment ref="H5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Закон. строит. доб. скв., шт. аналогично Скв. законч. строит., шт.</t>
        </r>
      </text>
    </comment>
    <comment ref="V5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аналогично Скв. законч. строит., шт.</t>
        </r>
      </text>
    </comment>
    <comment ref="H5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всех месторождений)</t>
        </r>
      </text>
    </comment>
    <comment ref="V5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всех месторождений за год)</t>
        </r>
      </text>
    </comment>
    <comment ref="H5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бур. бригад, шт. (кол-во дней бурения / число дней в месяце)</t>
        </r>
      </text>
    </comment>
    <comment ref="V5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бур. бригад, шт. (сумма по всем месторождениям средних значений за год)</t>
        </r>
      </text>
    </comment>
    <comment ref="H5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бригад освоения, шт. (кол-во дней освоения / число дней в месяце)</t>
        </r>
      </text>
    </comment>
    <comment ref="V5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бригад освоения, шт. (сумма по всем месторождениям средних значений за год)</t>
        </r>
      </text>
    </comment>
    <comment ref="H5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в/монт. бригад, шт. (кол-во дней операций ВМР / число дней в месяце)</t>
        </r>
      </text>
    </comment>
    <comment ref="V5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в/монт. бригад, шт. (сумма по всем месторождениям  средних значений за год)</t>
        </r>
      </text>
    </comment>
    <comment ref="H5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м./ст.-мес. (проходка/ ст.мес.)</t>
        </r>
      </text>
    </comment>
    <comment ref="V5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м/ст.-мес (проходка / ст./мес.)</t>
        </r>
      </text>
    </comment>
    <comment ref="H5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в месяце / проходка * 1000)</t>
        </r>
      </text>
    </comment>
    <comment ref="V5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за год / проходка * 1000)</t>
        </r>
      </text>
    </comment>
  </commentList>
</comments>
</file>

<file path=xl/sharedStrings.xml><?xml version="1.0" encoding="utf-8"?>
<sst xmlns="http://schemas.openxmlformats.org/spreadsheetml/2006/main" count="335" uniqueCount="94">
  <si>
    <t xml:space="preserve">Проходка всего: </t>
  </si>
  <si>
    <t xml:space="preserve">Законченных бурением скважин, всего: </t>
  </si>
  <si>
    <t xml:space="preserve">Законченных строительством скважин, всего: </t>
  </si>
  <si>
    <t>Месторождение</t>
  </si>
  <si>
    <t>№ куста</t>
  </si>
  <si>
    <t>Кол-во скважин</t>
  </si>
  <si>
    <t>Всего</t>
  </si>
  <si>
    <t>ДАТА БУРЕНИЯ КУСТА</t>
  </si>
  <si>
    <t>начало</t>
  </si>
  <si>
    <t>окончание</t>
  </si>
  <si>
    <t>Вид работ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</si>
  <si>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</si>
  <si>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</si>
  <si>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</si>
  <si>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</si>
  <si>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</si>
  <si>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</si>
  <si>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</si>
  <si>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</si>
  <si>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</si>
  <si>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</si>
  <si>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</si>
  <si>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</si>
  <si>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За год</t>
  </si>
  <si>
    <t>Показатель</t>
  </si>
  <si>
    <t>Количество</t>
  </si>
  <si>
    <t>Подрядчик</t>
  </si>
  <si>
    <t>БУ</t>
  </si>
  <si>
    <t>бур. бригада</t>
  </si>
  <si>
    <t>ст./мес.</t>
  </si>
  <si>
    <t>ком.ск.</t>
  </si>
  <si>
    <t>бурение</t>
  </si>
  <si>
    <t>осв.с ГРП</t>
  </si>
  <si>
    <t>обустройство</t>
  </si>
  <si>
    <t>запуск скв</t>
  </si>
  <si>
    <t>Проходка, м.</t>
  </si>
  <si>
    <t>Ст./мес.</t>
  </si>
  <si>
    <t>Скв. законч. бур., шт.</t>
  </si>
  <si>
    <t>Скв. законч. строит., шт.</t>
  </si>
  <si>
    <t>Закон. строит. доб. скв., шт.</t>
  </si>
  <si>
    <t>Коммерческая скорость, м./ст.-мес.</t>
  </si>
  <si>
    <t>Коммерческая скорость, сут./1000м</t>
  </si>
  <si>
    <t>Бурится скв.</t>
  </si>
  <si>
    <t>Передвижка/Стаскивание, шт.</t>
  </si>
  <si>
    <t>ГРП, скв. опер, шт.</t>
  </si>
  <si>
    <t>Коммерческая скорость,м/ст.-мес</t>
  </si>
  <si>
    <t>Коммерческая скорость,сут/1000м</t>
  </si>
  <si>
    <t>ком.ск., м/ст.-мес</t>
  </si>
  <si>
    <t>ГРП, скв опер, шт.</t>
  </si>
  <si>
    <t>Кол-во бур. бригад, шт.</t>
  </si>
  <si>
    <t>Кол-во бригад освоения, шт.</t>
  </si>
  <si>
    <t>Кол-во в/монт. бригад, шт.</t>
  </si>
  <si>
    <t>Коммерческая скорость, м/ст.-мес</t>
  </si>
  <si>
    <t>ГРАФИК СТРОИТЕЛЬСТВА ЭКСПЛУАТАЦИОННЫХ СКВАЖИН в ДЗО на годплана г.</t>
  </si>
  <si>
    <t xml:space="preserve">Обозначения: </t>
  </si>
  <si>
    <t>Итого по месторождение/подрядчик по месяцам</t>
  </si>
  <si>
    <t>Итого по всем месторождениям/подрядчикам по месяцам</t>
  </si>
  <si>
    <t xml:space="preserve">ВНР      </t>
  </si>
  <si>
    <t xml:space="preserve">Освоение      </t>
  </si>
  <si>
    <t xml:space="preserve">Демобилизация      </t>
  </si>
  <si>
    <t xml:space="preserve">Демонтаж      </t>
  </si>
  <si>
    <t xml:space="preserve">Стаскивание      </t>
  </si>
  <si>
    <t xml:space="preserve">Бурение  горизонтальная под многостадийное ГРП  баженовская свита  </t>
  </si>
  <si>
    <t xml:space="preserve">Передвижка 9     </t>
  </si>
  <si>
    <t xml:space="preserve">Бурение  Наклонно-направленная  баженовская свита  </t>
  </si>
  <si>
    <t>годовой показатель ком.ск. для всех месторождений</t>
  </si>
  <si>
    <t>годовой показатель ст./мес. для всех месторождений</t>
  </si>
  <si>
    <t>количество</t>
  </si>
  <si>
    <t>Итого по всем месторождениям по месяцам</t>
  </si>
  <si>
    <t>Коммерческая скорость, сут/1000м</t>
  </si>
  <si>
    <t>годовой показатель ком.ск. для месторождения</t>
  </si>
  <si>
    <t>годовой показатель ст./мес. для месторождения</t>
  </si>
  <si>
    <t>Итого по Вынгапуровское по месяцам</t>
  </si>
  <si>
    <t>годовой показатель ком.ск. для куста</t>
  </si>
  <si>
    <t>годовой показатель ст./мес. для куста</t>
  </si>
  <si>
    <t>Имя бур.бригады</t>
  </si>
  <si>
    <t>Наименование БУ</t>
  </si>
  <si>
    <t>Имя подрядчика</t>
  </si>
  <si>
    <t>ДД.ММ.ГГ</t>
  </si>
  <si>
    <t>Куст</t>
  </si>
  <si>
    <t>Вынгапуровское</t>
  </si>
  <si>
    <t>Бур2017</t>
  </si>
  <si>
    <t xml:space="preserve"> скв</t>
  </si>
  <si>
    <t xml:space="preserve"> тыс. м</t>
  </si>
  <si>
    <t>от ДД.ММ.ГГГГ</t>
  </si>
  <si>
    <t>ГРАФИК СТРОИТЕЛЬСТВА ЭКСПЛУАТАЦИОННЫХ СКВАЖИН в АО "Газпромнефть-Ноябрьскнефтегаз" на 2017 г.</t>
  </si>
  <si>
    <t>Название плана</t>
  </si>
  <si>
    <t>продолжительность бур. в сутках план</t>
  </si>
  <si>
    <t>продолжительность бур. в сутках факт</t>
  </si>
  <si>
    <t>продолжительность осв. в сутках план</t>
  </si>
  <si>
    <t>продолжительность монтажа в сутках план</t>
  </si>
  <si>
    <t>продолжительность осв. в сутках факт</t>
  </si>
  <si>
    <t>продолжительность монтажа в сутках факт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</si>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</sst>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/m/yyyy;@"/>
    <numFmt numFmtId="165" formatCode="dd/mm/yy;@"/>
    <numFmt numFmtId="166" formatCode="#,##0.0"/>
    <numFmt numFmtId="167" formatCode="0.0"/>
  </numFmts>
  <fonts count="5" x14ac:knownFonts="1">
    <font>
      <b/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 vertical="center"/>
    </xf>
    <xf numFmtId="164" fontId="1" fillId="4" borderId="0" xfId="0" applyNumberFormat="1" applyFont="1" applyFill="1"/>
    <xf numFmtId="165" fontId="0" fillId="3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right"/>
    </xf>
    <xf numFmtId="0" fontId="1" fillId="4" borderId="0" xfId="0" applyFont="1" applyFill="1"/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1" fillId="4" borderId="0" xfId="0" applyNumberFormat="1" applyFont="1" applyFill="1"/>
    <xf numFmtId="0" fontId="1" fillId="4" borderId="0" xfId="0" applyNumberFormat="1" applyFont="1" applyFill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Alignment="1">
      <alignment horizontal="left" vertical="center"/>
    </xf>
    <xf numFmtId="14" fontId="4" fillId="4" borderId="0" xfId="0" applyNumberFormat="1" applyFont="1" applyFill="1" applyAlignment="1">
      <alignment horizontal="left" vertical="center"/>
    </xf>
    <xf numFmtId="0" fontId="4" fillId="4" borderId="0" xfId="0" quotePrefix="1" applyFont="1" applyFill="1" applyAlignment="1">
      <alignment horizontal="left" vertical="center"/>
    </xf>
    <xf numFmtId="4" fontId="1" fillId="4" borderId="0" xfId="0" applyNumberFormat="1" applyFont="1" applyFill="1"/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textRotation="180"/>
    </xf>
    <xf numFmtId="0" fontId="0" fillId="4" borderId="3" xfId="0" applyFill="1" applyBorder="1" applyAlignment="1">
      <alignment horizontal="center" vertical="center" textRotation="180"/>
    </xf>
    <xf numFmtId="0" fontId="0" fillId="4" borderId="4" xfId="0" applyFill="1" applyBorder="1" applyAlignment="1">
      <alignment horizontal="center" vertical="center" textRotation="180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</xdr:row>
      <xdr:rowOff>0</xdr:rowOff>
    </xdr:from>
    <xdr:to>
      <xdr:col>8</xdr:col>
      <xdr:colOff>1433056</xdr:colOff>
      <xdr:row>14</xdr:row>
      <xdr:rowOff>0</xdr:rowOff>
    </xdr:to>
    <xdr:sp macro="" textlink="">
      <xdr:nvSpPr>
        <xdr:cNvPr id="2" name="Прямоугольник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876800" y="2476500"/>
          <a:ext cx="613906" cy="190500"/>
        </a:xfrm>
        <a:prstGeom prst="rect">
          <a:avLst/>
        </a:prstGeom>
        <a:solidFill>
          <a:srgbClr val="6699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2196</a:t>
          </a:r>
        </a:p>
      </xdr:txBody>
    </xdr:sp>
    <xdr:clientData/>
  </xdr:twoCellAnchor>
  <xdr:twoCellAnchor>
    <xdr:from>
      <xdr:col>8</xdr:col>
      <xdr:colOff>1433056</xdr:colOff>
      <xdr:row>13</xdr:row>
      <xdr:rowOff>0</xdr:rowOff>
    </xdr:from>
    <xdr:to>
      <xdr:col>8</xdr:col>
      <xdr:colOff>1501297</xdr:colOff>
      <xdr:row>14</xdr:row>
      <xdr:rowOff>0</xdr:rowOff>
    </xdr:to>
    <xdr:sp macro="" textlink="">
      <xdr:nvSpPr>
        <xdr:cNvPr id="3" name="Прямоугольник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5490706" y="2476500"/>
          <a:ext cx="0" cy="190500"/>
        </a:xfrm>
        <a:prstGeom prst="rect">
          <a:avLst/>
        </a:prstGeom>
        <a:solidFill>
          <a:srgbClr val="0000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8</xdr:col>
      <xdr:colOff>1501297</xdr:colOff>
      <xdr:row>13</xdr:row>
      <xdr:rowOff>0</xdr:rowOff>
    </xdr:from>
    <xdr:to>
      <xdr:col>9</xdr:col>
      <xdr:colOff>1638692</xdr:colOff>
      <xdr:row>14</xdr:row>
      <xdr:rowOff>0</xdr:rowOff>
    </xdr:to>
    <xdr:sp macro="" textlink="">
      <xdr:nvSpPr>
        <xdr:cNvPr id="4" name="Прямоугольник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5482747" y="2476500"/>
          <a:ext cx="613645" cy="190500"/>
        </a:xfrm>
        <a:prstGeom prst="rect">
          <a:avLst/>
        </a:prstGeom>
        <a:pattFill prst="pct10">
          <a:fgClr>
            <a:srgbClr val="000000"/>
          </a:fgClr>
          <a:bgClr>
            <a:srgbClr val="339966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4000</a:t>
          </a:r>
        </a:p>
      </xdr:txBody>
    </xdr:sp>
    <xdr:clientData/>
  </xdr:twoCellAnchor>
  <xdr:twoCellAnchor>
    <xdr:from>
      <xdr:col>9</xdr:col>
      <xdr:colOff>1638691</xdr:colOff>
      <xdr:row>13</xdr:row>
      <xdr:rowOff>0</xdr:rowOff>
    </xdr:from>
    <xdr:to>
      <xdr:col>9</xdr:col>
      <xdr:colOff>1706931</xdr:colOff>
      <xdr:row>14</xdr:row>
      <xdr:rowOff>0</xdr:rowOff>
    </xdr:to>
    <xdr:sp macro="" textlink="">
      <xdr:nvSpPr>
        <xdr:cNvPr id="5" name="Прямоугольник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6096391" y="2476500"/>
          <a:ext cx="1565" cy="190500"/>
        </a:xfrm>
        <a:prstGeom prst="rect">
          <a:avLst/>
        </a:prstGeom>
        <a:pattFill prst="dkVert">
          <a:fgClr>
            <a:srgbClr val="000000"/>
          </a:fgClr>
          <a:bgClr>
            <a:srgbClr val="FFFFFF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10</xdr:col>
      <xdr:colOff>816018</xdr:colOff>
      <xdr:row>13</xdr:row>
      <xdr:rowOff>0</xdr:rowOff>
    </xdr:from>
    <xdr:to>
      <xdr:col>10</xdr:col>
      <xdr:colOff>1771390</xdr:colOff>
      <xdr:row>14</xdr:row>
      <xdr:rowOff>0</xdr:rowOff>
    </xdr:to>
    <xdr:sp macro="" textlink="">
      <xdr:nvSpPr>
        <xdr:cNvPr id="6" name="Прямоугольник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/>
      </xdr:nvSpPr>
      <xdr:spPr>
        <a:xfrm>
          <a:off x="6702468" y="2476500"/>
          <a:ext cx="2872" cy="190500"/>
        </a:xfrm>
        <a:prstGeom prst="rect">
          <a:avLst/>
        </a:prstGeom>
        <a:pattFill prst="dkVert">
          <a:fgClr>
            <a:srgbClr val="000000"/>
          </a:fgClr>
          <a:bgClr>
            <a:srgbClr val="8B0000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10</xdr:col>
      <xdr:colOff>1771390</xdr:colOff>
      <xdr:row>13</xdr:row>
      <xdr:rowOff>0</xdr:rowOff>
    </xdr:from>
    <xdr:to>
      <xdr:col>11</xdr:col>
      <xdr:colOff>339248</xdr:colOff>
      <xdr:row>14</xdr:row>
      <xdr:rowOff>0</xdr:rowOff>
    </xdr:to>
    <xdr:sp macro="" textlink="">
      <xdr:nvSpPr>
        <xdr:cNvPr id="7" name="Прямоугольник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>
        <a:xfrm>
          <a:off x="6705340" y="2476500"/>
          <a:ext cx="339508" cy="190500"/>
        </a:xfrm>
        <a:prstGeom prst="rect">
          <a:avLst/>
        </a:prstGeom>
        <a:pattFill prst="dkVert">
          <a:fgClr>
            <a:srgbClr val="000000"/>
          </a:fgClr>
          <a:bgClr>
            <a:srgbClr val="FFFFFF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8</xdr:col>
      <xdr:colOff>1501297</xdr:colOff>
      <xdr:row>14</xdr:row>
      <xdr:rowOff>0</xdr:rowOff>
    </xdr:from>
    <xdr:to>
      <xdr:col>9</xdr:col>
      <xdr:colOff>69154</xdr:colOff>
      <xdr:row>15</xdr:row>
      <xdr:rowOff>0</xdr:rowOff>
    </xdr:to>
    <xdr:sp macro="" textlink="">
      <xdr:nvSpPr>
        <xdr:cNvPr id="8" name="Прямоугольник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>
        <a:xfrm>
          <a:off x="5482747" y="2667000"/>
          <a:ext cx="72807" cy="190500"/>
        </a:xfrm>
        <a:prstGeom prst="rect">
          <a:avLst/>
        </a:prstGeom>
        <a:solidFill>
          <a:srgbClr val="66CC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9</xdr:col>
      <xdr:colOff>1706931</xdr:colOff>
      <xdr:row>14</xdr:row>
      <xdr:rowOff>0</xdr:rowOff>
    </xdr:from>
    <xdr:to>
      <xdr:col>10</xdr:col>
      <xdr:colOff>474814</xdr:colOff>
      <xdr:row>15</xdr:row>
      <xdr:rowOff>0</xdr:rowOff>
    </xdr:to>
    <xdr:sp macro="" textlink="">
      <xdr:nvSpPr>
        <xdr:cNvPr id="9" name="Прямоугольник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>
        <a:xfrm>
          <a:off x="6097956" y="2667000"/>
          <a:ext cx="472858" cy="190500"/>
        </a:xfrm>
        <a:prstGeom prst="rect">
          <a:avLst/>
        </a:prstGeom>
        <a:solidFill>
          <a:srgbClr val="66CC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204722</xdr:colOff>
      <xdr:row>17</xdr:row>
      <xdr:rowOff>0</xdr:rowOff>
    </xdr:to>
    <xdr:sp macro="" textlink="">
      <xdr:nvSpPr>
        <xdr:cNvPr id="10" name="Прямоугольник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>
        <a:xfrm>
          <a:off x="4876800" y="3048000"/>
          <a:ext cx="204722" cy="190500"/>
        </a:xfrm>
        <a:prstGeom prst="rect">
          <a:avLst/>
        </a:prstGeom>
        <a:solidFill>
          <a:srgbClr val="FF9999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9</xdr:col>
      <xdr:colOff>69154</xdr:colOff>
      <xdr:row>16</xdr:row>
      <xdr:rowOff>0</xdr:rowOff>
    </xdr:from>
    <xdr:to>
      <xdr:col>9</xdr:col>
      <xdr:colOff>410358</xdr:colOff>
      <xdr:row>17</xdr:row>
      <xdr:rowOff>0</xdr:rowOff>
    </xdr:to>
    <xdr:sp macro="" textlink="">
      <xdr:nvSpPr>
        <xdr:cNvPr id="11" name="Прямоугольник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5555554" y="3048000"/>
          <a:ext cx="341204" cy="190500"/>
        </a:xfrm>
        <a:prstGeom prst="rect">
          <a:avLst/>
        </a:prstGeom>
        <a:solidFill>
          <a:srgbClr val="FF9999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10</xdr:col>
      <xdr:colOff>474814</xdr:colOff>
      <xdr:row>16</xdr:row>
      <xdr:rowOff>0</xdr:rowOff>
    </xdr:from>
    <xdr:to>
      <xdr:col>10</xdr:col>
      <xdr:colOff>816018</xdr:colOff>
      <xdr:row>17</xdr:row>
      <xdr:rowOff>0</xdr:rowOff>
    </xdr:to>
    <xdr:sp macro="" textlink="">
      <xdr:nvSpPr>
        <xdr:cNvPr id="12" name="Прямоугольник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6570814" y="3048000"/>
          <a:ext cx="131654" cy="190500"/>
        </a:xfrm>
        <a:prstGeom prst="rect">
          <a:avLst/>
        </a:prstGeom>
        <a:solidFill>
          <a:srgbClr val="FF9999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sp macro="" textlink="">
      <xdr:nvSpPr>
        <xdr:cNvPr id="13" name="Прямоугольник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609600" y="11811000"/>
          <a:ext cx="609600" cy="190500"/>
        </a:xfrm>
        <a:prstGeom prst="rect">
          <a:avLst/>
        </a:prstGeom>
        <a:solidFill>
          <a:srgbClr val="6699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sp macro="" textlink="">
      <xdr:nvSpPr>
        <xdr:cNvPr id="14" name="Прямоугольник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>
        <a:xfrm>
          <a:off x="609600" y="12001500"/>
          <a:ext cx="609600" cy="190500"/>
        </a:xfrm>
        <a:prstGeom prst="rect">
          <a:avLst/>
        </a:prstGeom>
        <a:solidFill>
          <a:srgbClr val="0000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sp macro="" textlink="">
      <xdr:nvSpPr>
        <xdr:cNvPr id="15" name="Прямоугольник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>
        <a:xfrm>
          <a:off x="609600" y="12192000"/>
          <a:ext cx="609600" cy="190500"/>
        </a:xfrm>
        <a:prstGeom prst="rect">
          <a:avLst/>
        </a:prstGeom>
        <a:pattFill prst="pct10">
          <a:fgClr>
            <a:srgbClr val="000000"/>
          </a:fgClr>
          <a:bgClr>
            <a:srgbClr val="339966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sp macro="" textlink="">
      <xdr:nvSpPr>
        <xdr:cNvPr id="16" name="Прямоугольник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>
        <a:xfrm>
          <a:off x="609600" y="12382500"/>
          <a:ext cx="609600" cy="190500"/>
        </a:xfrm>
        <a:prstGeom prst="rect">
          <a:avLst/>
        </a:prstGeom>
        <a:pattFill prst="dkVert">
          <a:fgClr>
            <a:srgbClr val="000000"/>
          </a:fgClr>
          <a:bgClr>
            <a:srgbClr val="FFFFFF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sp macro="" textlink="">
      <xdr:nvSpPr>
        <xdr:cNvPr id="17" name="Прямоугольник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>
        <a:xfrm>
          <a:off x="609600" y="12573000"/>
          <a:ext cx="609600" cy="190500"/>
        </a:xfrm>
        <a:prstGeom prst="rect">
          <a:avLst/>
        </a:prstGeom>
        <a:pattFill prst="dkVert">
          <a:fgClr>
            <a:srgbClr val="000000"/>
          </a:fgClr>
          <a:bgClr>
            <a:srgbClr val="8B0000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sp macro="" textlink="">
      <xdr:nvSpPr>
        <xdr:cNvPr id="18" name="Прямоугольник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>
        <a:xfrm>
          <a:off x="609600" y="12763500"/>
          <a:ext cx="609600" cy="190500"/>
        </a:xfrm>
        <a:prstGeom prst="rect">
          <a:avLst/>
        </a:prstGeom>
        <a:pattFill prst="dkVert">
          <a:fgClr>
            <a:srgbClr val="000000"/>
          </a:fgClr>
          <a:bgClr>
            <a:srgbClr val="FFFFFF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sp macro="" textlink="">
      <xdr:nvSpPr>
        <xdr:cNvPr id="19" name="Прямоугольник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>
        <a:xfrm>
          <a:off x="609600" y="12954000"/>
          <a:ext cx="609600" cy="190500"/>
        </a:xfrm>
        <a:prstGeom prst="rect">
          <a:avLst/>
        </a:prstGeom>
        <a:solidFill>
          <a:srgbClr val="66CC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sp macro="" textlink="">
      <xdr:nvSpPr>
        <xdr:cNvPr id="20" name="Прямоугольник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609600" y="13144500"/>
          <a:ext cx="609600" cy="190500"/>
        </a:xfrm>
        <a:prstGeom prst="rect">
          <a:avLst/>
        </a:prstGeom>
        <a:solidFill>
          <a:srgbClr val="FF9999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H119"/>
  <sheetViews>
    <sheetView tabSelected="1" zoomScale="80" zoomScaleNormal="80" workbookViewId="0">
      <pane xSplit="9" ySplit="17" topLeftCell="J18" activePane="bottomRight" state="frozen"/>
      <selection pane="topRight" activeCell="J1" sqref="J1"/>
      <selection pane="bottomLeft" activeCell="A18" sqref="A18"/>
      <selection pane="bottomRight"/>
    </sheetView>
  </sheetViews>
  <sheetFormatPr defaultRowHeight="15" x14ac:dyDescent="0.25"/>
  <cols>
    <col min="1" max="1" width="9.140625" style="5"/>
    <col min="2" max="2" width="16.7109375" customWidth="1"/>
    <col min="3" max="3" width="10.28515625" style="5" customWidth="1"/>
    <col min="4" max="4" width="18.28515625" customWidth="1"/>
    <col min="5" max="5" width="12.85546875" customWidth="1"/>
    <col min="6" max="6" width="19.5703125" customWidth="1"/>
    <col min="7" max="7" width="12.42578125" customWidth="1"/>
    <col min="8" max="8" width="11" customWidth="1"/>
    <col min="9" max="9" width="35.7109375" customWidth="1"/>
    <col min="10" max="10" width="31.7109375" customWidth="1"/>
    <col min="11" max="11" width="28.7109375" customWidth="1"/>
    <col min="12" max="12" width="31.7109375" customWidth="1"/>
    <col min="13" max="13" width="30.7109375" customWidth="1"/>
    <col min="14" max="14" width="31.7109375" customWidth="1"/>
    <col min="15" max="15" width="30.7109375" customWidth="1"/>
    <col min="16" max="17" width="31.7109375" customWidth="1"/>
    <col min="18" max="18" width="30.7109375" customWidth="1"/>
    <col min="19" max="19" width="31.7109375" customWidth="1"/>
    <col min="20" max="20" width="30.7109375" customWidth="1"/>
    <col min="21" max="21" width="31.7109375" customWidth="1"/>
    <col min="22" max="22" width="34.28515625" customWidth="1"/>
    <col min="23" max="23" width="15.7109375" customWidth="1"/>
    <col min="24" max="34" width="9.140625" style="5"/>
  </cols>
  <sheetData>
    <row r="1" spans="1:23" s="5" customFormat="1" x14ac:dyDescent="0.25">
      <c r="A1" s="10"/>
      <c r="B1" s="29"/>
      <c r="C1" s="10"/>
      <c r="D1" s="10"/>
      <c r="E1" s="10"/>
      <c r="F1" s="10"/>
      <c r="G1" s="10"/>
      <c r="H1" s="13"/>
      <c r="I1" s="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s="5" customForma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s="6" customFormat="1" x14ac:dyDescent="0.25">
      <c r="A3" s="30"/>
      <c r="B3" s="30"/>
      <c r="C3" s="30"/>
      <c r="D3" s="30"/>
      <c r="E3" s="30"/>
      <c r="F3" s="30"/>
      <c r="G3" s="30"/>
      <c r="H3" s="30"/>
      <c r="I3" s="31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s="6" customForma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s="6" customFormat="1" ht="15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s="6" customFormat="1" ht="1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s="6" customFormat="1" x14ac:dyDescent="0.25">
      <c r="A7" s="30"/>
      <c r="B7" s="30"/>
      <c r="C7" s="30"/>
      <c r="D7" s="32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s="6" customForma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s="6" customFormat="1" x14ac:dyDescent="0.25">
      <c r="K9" s="6" t="s">
        <v>53</v>
      </c>
    </row>
    <row r="10" spans="1:23" s="6" customFormat="1" x14ac:dyDescent="0.25">
      <c r="K10" s="6" t="str">
        <f>"от "&amp;DAY(H1)&amp;"."&amp;MONTH(H1)&amp;"."&amp;YEAR(H1)</f>
        <v>от 0.1.1900</v>
      </c>
    </row>
    <row r="11" spans="1:23" s="5" customFormat="1" x14ac:dyDescent="0.25">
      <c r="G11" s="28"/>
      <c r="H11" s="28"/>
      <c r="M11" s="28"/>
      <c r="N11" s="28"/>
      <c r="S11" s="28"/>
      <c r="T11" s="28"/>
    </row>
    <row r="12" spans="1:23" s="5" customFormat="1" x14ac:dyDescent="0.25">
      <c r="F12" s="5" t="s">
        <v>0</v>
      </c>
      <c r="G12" s="5" t="s">
        <v>93</v>
      </c>
      <c r="H12" s="5" t="s">
        <v>93</v>
      </c>
      <c r="K12" s="5" t="s">
        <v>1</v>
      </c>
      <c r="L12" s="9"/>
      <c r="M12" s="5" t="s">
        <v>93</v>
      </c>
      <c r="N12" s="5" t="s">
        <v>93</v>
      </c>
      <c r="Q12" s="5" t="s">
        <v>2</v>
      </c>
      <c r="R12" s="9"/>
      <c r="S12" s="5" t="s">
        <v>93</v>
      </c>
      <c r="T12" s="5" t="s">
        <v>93</v>
      </c>
    </row>
    <row r="13" spans="1:23" s="5" customFormat="1" x14ac:dyDescent="0.25"/>
    <row r="14" spans="1:23" x14ac:dyDescent="0.25">
      <c r="B14" s="5"/>
      <c r="D14" s="5"/>
      <c r="E14" s="5"/>
      <c r="F14" s="5"/>
      <c r="G14" s="5"/>
      <c r="H14" s="5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6" t="s">
        <v>23</v>
      </c>
      <c r="W14" s="36"/>
    </row>
    <row r="15" spans="1:23" x14ac:dyDescent="0.25">
      <c r="B15" s="36" t="s">
        <v>3</v>
      </c>
      <c r="C15" s="41" t="s">
        <v>86</v>
      </c>
      <c r="D15" s="36" t="s">
        <v>4</v>
      </c>
      <c r="E15" s="36" t="s">
        <v>5</v>
      </c>
      <c r="F15" s="36"/>
      <c r="G15" s="36" t="s">
        <v>7</v>
      </c>
      <c r="H15" s="36"/>
      <c r="I15" s="36" t="s">
        <v>10</v>
      </c>
      <c r="J15" s="36" t="s">
        <v>11</v>
      </c>
      <c r="K15" s="36" t="s">
        <v>12</v>
      </c>
      <c r="L15" s="36" t="s">
        <v>13</v>
      </c>
      <c r="M15" s="36" t="s">
        <v>14</v>
      </c>
      <c r="N15" s="36" t="s">
        <v>15</v>
      </c>
      <c r="O15" s="36" t="s">
        <v>16</v>
      </c>
      <c r="P15" s="36" t="s">
        <v>17</v>
      </c>
      <c r="Q15" s="36" t="s">
        <v>18</v>
      </c>
      <c r="R15" s="36" t="s">
        <v>19</v>
      </c>
      <c r="S15" s="36" t="s">
        <v>20</v>
      </c>
      <c r="T15" s="36" t="s">
        <v>21</v>
      </c>
      <c r="U15" s="36" t="s">
        <v>22</v>
      </c>
      <c r="V15" s="36" t="s">
        <v>24</v>
      </c>
      <c r="W15" s="36" t="s">
        <v>25</v>
      </c>
    </row>
    <row r="16" spans="1:23" x14ac:dyDescent="0.25">
      <c r="B16" s="36"/>
      <c r="C16" s="42"/>
      <c r="D16" s="36"/>
      <c r="E16" s="36" t="s">
        <v>6</v>
      </c>
      <c r="F16" s="37" t="str">
        <f>"Пробурено скважин в "&amp;G1&amp;" г."</f>
        <v>Пробурено скважин в  г.</v>
      </c>
      <c r="G16" s="36" t="s">
        <v>8</v>
      </c>
      <c r="H16" s="36" t="s">
        <v>9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 spans="2:23" x14ac:dyDescent="0.25">
      <c r="B17" s="36"/>
      <c r="C17" s="43"/>
      <c r="D17" s="36"/>
      <c r="E17" s="36"/>
      <c r="F17" s="37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</row>
    <row r="18" spans="2:23" ht="15" customHeight="1" x14ac:dyDescent="0.25">
      <c r="B18" s="47"/>
      <c r="C18" s="44"/>
      <c r="D18" s="25"/>
      <c r="E18" s="25"/>
      <c r="F18" s="25"/>
      <c r="G18" s="8"/>
      <c r="H18" s="8"/>
      <c r="I18" s="3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3" t="s">
        <v>42</v>
      </c>
      <c r="W18" s="11">
        <v>0</v>
      </c>
    </row>
    <row r="19" spans="2:23" x14ac:dyDescent="0.25">
      <c r="B19" s="48"/>
      <c r="C19" s="45"/>
      <c r="D19" s="26"/>
      <c r="E19" s="26"/>
      <c r="F19" s="26"/>
      <c r="G19" s="26"/>
      <c r="H19" s="26"/>
      <c r="I19" s="3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3" t="s">
        <v>43</v>
      </c>
      <c r="W19" s="11">
        <v>0</v>
      </c>
    </row>
    <row r="20" spans="2:23" x14ac:dyDescent="0.25">
      <c r="B20" s="48"/>
      <c r="C20" s="45"/>
      <c r="D20" s="26"/>
      <c r="E20" s="26"/>
      <c r="F20" s="26"/>
      <c r="G20" s="26"/>
      <c r="H20" s="26"/>
      <c r="I20" s="3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3" t="s">
        <v>44</v>
      </c>
      <c r="W20" s="11">
        <v>0</v>
      </c>
    </row>
    <row r="21" spans="2:23" x14ac:dyDescent="0.25">
      <c r="B21" s="48"/>
      <c r="C21" s="45"/>
      <c r="D21" s="26"/>
      <c r="E21" s="26"/>
      <c r="F21" s="26"/>
      <c r="G21" s="26"/>
      <c r="H21" s="26"/>
      <c r="I21" s="3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35"/>
      <c r="W21" s="34"/>
    </row>
    <row r="22" spans="2:23" x14ac:dyDescent="0.25">
      <c r="B22" s="48"/>
      <c r="C22" s="45"/>
      <c r="E22" s="26"/>
      <c r="F22" s="26"/>
      <c r="G22" s="26"/>
      <c r="H22" s="26"/>
      <c r="I22" s="3" t="s">
        <v>35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3" t="s">
        <v>35</v>
      </c>
      <c r="W22" s="11">
        <f ca="1">SUM(INDIRECT(ADDRESS(ROW(),COLUMN()-13,4)):INDIRECT(ADDRESS(ROW(),COLUMN()-2,4)))</f>
        <v>0</v>
      </c>
    </row>
    <row r="23" spans="2:23" x14ac:dyDescent="0.25">
      <c r="B23" s="48"/>
      <c r="C23" s="45"/>
      <c r="D23" s="26"/>
      <c r="E23" s="26"/>
      <c r="F23" s="26"/>
      <c r="G23" s="26"/>
      <c r="H23" s="26"/>
      <c r="I23" s="3" t="s">
        <v>36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 t="s">
        <v>36</v>
      </c>
      <c r="W23" s="12">
        <f ca="1">IF(SUM(INDIRECT(ADDRESS(ROW()+17,COLUMN()-13,4)):INDIRECT(ADDRESS(ROW()+17,COLUMN()-2,4)))&gt;0, SUM(INDIRECT(ADDRESS(ROW()+17,COLUMN()-13,4)):INDIRECT(ADDRESS(ROW()+17,COLUMN()-2,4)))/30,0)</f>
        <v>0</v>
      </c>
    </row>
    <row r="24" spans="2:23" x14ac:dyDescent="0.25">
      <c r="B24" s="48"/>
      <c r="C24" s="45"/>
      <c r="D24" s="26" t="s">
        <v>29</v>
      </c>
      <c r="E24" s="12">
        <f ca="1">INDIRECT("W"&amp;(ROW()-1))</f>
        <v>0</v>
      </c>
      <c r="F24" s="26"/>
      <c r="G24" s="26"/>
      <c r="H24" s="26"/>
      <c r="I24" s="3" t="s">
        <v>37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3" t="s">
        <v>37</v>
      </c>
      <c r="W24" s="11">
        <f ca="1">SUM(INDIRECT(ADDRESS(ROW(),COLUMN()-13,4)):INDIRECT(ADDRESS(ROW(),COLUMN()-2,4)))</f>
        <v>0</v>
      </c>
    </row>
    <row r="25" spans="2:23" x14ac:dyDescent="0.25">
      <c r="B25" s="48"/>
      <c r="C25" s="45"/>
      <c r="D25" s="26" t="s">
        <v>30</v>
      </c>
      <c r="E25" s="12">
        <f ca="1">INDIRECT("W"&amp;(ROW()+2))</f>
        <v>0</v>
      </c>
      <c r="F25" s="26"/>
      <c r="G25" s="26"/>
      <c r="H25" s="26"/>
      <c r="I25" s="3" t="s">
        <v>38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3" t="s">
        <v>38</v>
      </c>
      <c r="W25" s="11">
        <f ca="1">SUM(INDIRECT(ADDRESS(ROW(),COLUMN()-13,4)):INDIRECT(ADDRESS(ROW(),COLUMN()-2,4)))</f>
        <v>0</v>
      </c>
    </row>
    <row r="26" spans="2:23" x14ac:dyDescent="0.25">
      <c r="B26" s="48"/>
      <c r="C26" s="45"/>
      <c r="D26" s="26"/>
      <c r="E26" s="26"/>
      <c r="F26" s="26"/>
      <c r="G26" s="26"/>
      <c r="H26" s="26"/>
      <c r="I26" s="3" t="s">
        <v>39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3" t="s">
        <v>39</v>
      </c>
      <c r="W26" s="11">
        <f ca="1">SUM(INDIRECT(ADDRESS(ROW(),COLUMN()-13,4)):INDIRECT(ADDRESS(ROW(),COLUMN()-2,4)))</f>
        <v>0</v>
      </c>
    </row>
    <row r="27" spans="2:23" x14ac:dyDescent="0.25">
      <c r="B27" s="48"/>
      <c r="C27" s="45"/>
      <c r="D27" s="26"/>
      <c r="E27" s="26"/>
      <c r="F27" s="26"/>
      <c r="G27" s="26"/>
      <c r="H27" s="26"/>
      <c r="I27" s="3" t="s">
        <v>40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3" t="s">
        <v>45</v>
      </c>
      <c r="W27" s="12">
        <f ca="1">IF(SUM(INDIRECT(ADDRESS(ROW()+13,COLUMN()-13,4)):INDIRECT(ADDRESS(ROW()+13,COLUMN()-2,4)))&gt;0,SUM(INDIRECT(ADDRESS(ROW()-5,COLUMN()-13,4)):INDIRECT(ADDRESS(ROW()-5,COLUMN()-2,4)))/SUM(INDIRECT(ADDRESS(ROW()+13,COLUMN()-13,4)):INDIRECT(ADDRESS(ROW()+13,COLUMN()-2,4)))*30,0)</f>
        <v>0</v>
      </c>
    </row>
    <row r="28" spans="2:23" x14ac:dyDescent="0.25">
      <c r="B28" s="48"/>
      <c r="C28" s="46"/>
      <c r="D28" s="26"/>
      <c r="E28" s="26"/>
      <c r="F28" s="26"/>
      <c r="G28" s="26"/>
      <c r="H28" s="26"/>
      <c r="I28" s="3" t="s">
        <v>41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3" t="s">
        <v>46</v>
      </c>
      <c r="W28" s="17">
        <f ca="1">IF(SUM(INDIRECT(ADDRESS(ROW()-6,COLUMN()-13,4)):INDIRECT(ADDRESS(ROW()-6,COLUMN()-2,4)))&gt;0,SUM(INDIRECT(ADDRESS(ROW()+12,COLUMN()-13,4)):INDIRECT(ADDRESS(ROW()+12,COLUMN()-2,4)))/SUM(INDIRECT(ADDRESS(ROW()-6,COLUMN()-13,4)):INDIRECT(ADDRESS(ROW()-6,COLUMN()-2,4)))*1000,0)</f>
        <v>0</v>
      </c>
    </row>
    <row r="29" spans="2:23" ht="15" customHeight="1" x14ac:dyDescent="0.25">
      <c r="B29" s="48"/>
      <c r="C29" s="44"/>
      <c r="D29" s="25"/>
      <c r="E29" s="25"/>
      <c r="F29" s="25"/>
      <c r="G29" s="8"/>
      <c r="H29" s="8"/>
      <c r="I29" s="3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3" t="s">
        <v>42</v>
      </c>
      <c r="W29" s="11">
        <v>0</v>
      </c>
    </row>
    <row r="30" spans="2:23" x14ac:dyDescent="0.25">
      <c r="B30" s="48"/>
      <c r="C30" s="45"/>
      <c r="D30" s="26"/>
      <c r="E30" s="26"/>
      <c r="F30" s="26"/>
      <c r="G30" s="26"/>
      <c r="H30" s="26"/>
      <c r="I30" s="3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3" t="s">
        <v>43</v>
      </c>
      <c r="W30" s="11">
        <v>0</v>
      </c>
    </row>
    <row r="31" spans="2:23" x14ac:dyDescent="0.25">
      <c r="B31" s="48"/>
      <c r="C31" s="45"/>
      <c r="D31" s="26"/>
      <c r="E31" s="26"/>
      <c r="F31" s="26"/>
      <c r="G31" s="26"/>
      <c r="H31" s="26"/>
      <c r="I31" s="3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3" t="s">
        <v>44</v>
      </c>
      <c r="W31" s="11">
        <v>0</v>
      </c>
    </row>
    <row r="32" spans="2:23" x14ac:dyDescent="0.25">
      <c r="B32" s="48"/>
      <c r="C32" s="45"/>
      <c r="D32" s="26"/>
      <c r="E32" s="26"/>
      <c r="F32" s="26"/>
      <c r="G32" s="26"/>
      <c r="H32" s="26"/>
      <c r="I32" s="3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35"/>
      <c r="W32" s="35"/>
    </row>
    <row r="33" spans="2:23" x14ac:dyDescent="0.25">
      <c r="B33" s="48"/>
      <c r="C33" s="45"/>
      <c r="E33" s="26"/>
      <c r="F33" s="26"/>
      <c r="G33" s="26"/>
      <c r="H33" s="26"/>
      <c r="I33" s="3" t="s">
        <v>35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3" t="s">
        <v>35</v>
      </c>
      <c r="W33" s="11">
        <f ca="1">SUM(INDIRECT(ADDRESS(ROW(),COLUMN()-13,4)):INDIRECT(ADDRESS(ROW(),COLUMN()-2,4)))</f>
        <v>0</v>
      </c>
    </row>
    <row r="34" spans="2:23" x14ac:dyDescent="0.25">
      <c r="B34" s="48"/>
      <c r="C34" s="45"/>
      <c r="D34" s="26"/>
      <c r="E34" s="26"/>
      <c r="F34" s="26"/>
      <c r="G34" s="26"/>
      <c r="H34" s="26"/>
      <c r="I34" s="3" t="s">
        <v>36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3" t="s">
        <v>36</v>
      </c>
      <c r="W34" s="12">
        <f ca="1">IF(SUM(INDIRECT(ADDRESS(ROW()+7,COLUMN()-13,4)):INDIRECT(ADDRESS(ROW()+7,COLUMN()-2,4)))&gt;0, SUM(INDIRECT(ADDRESS(ROW()+7,COLUMN()-13,4)):INDIRECT(ADDRESS(ROW()+7,COLUMN()-2,4)))/30,0)</f>
        <v>0</v>
      </c>
    </row>
    <row r="35" spans="2:23" x14ac:dyDescent="0.25">
      <c r="B35" s="48"/>
      <c r="C35" s="45"/>
      <c r="D35" s="26" t="s">
        <v>29</v>
      </c>
      <c r="E35" s="12">
        <f ca="1">INDIRECT("W"&amp;(ROW()-1))</f>
        <v>0</v>
      </c>
      <c r="F35" s="26"/>
      <c r="G35" s="26"/>
      <c r="H35" s="26"/>
      <c r="I35" s="3" t="s">
        <v>37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3" t="s">
        <v>37</v>
      </c>
      <c r="W35" s="11">
        <f ca="1">SUM(INDIRECT(ADDRESS(ROW(),COLUMN()-13,4)):INDIRECT(ADDRESS(ROW(),COLUMN()-2,4)))</f>
        <v>0</v>
      </c>
    </row>
    <row r="36" spans="2:23" x14ac:dyDescent="0.25">
      <c r="B36" s="48"/>
      <c r="C36" s="45"/>
      <c r="D36" s="26" t="s">
        <v>30</v>
      </c>
      <c r="E36" s="12">
        <f ca="1">INDIRECT("W"&amp;(ROW()+2))</f>
        <v>0</v>
      </c>
      <c r="F36" s="26"/>
      <c r="G36" s="26"/>
      <c r="H36" s="26"/>
      <c r="I36" s="3" t="s">
        <v>38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3" t="s">
        <v>38</v>
      </c>
      <c r="W36" s="11">
        <f ca="1">SUM(INDIRECT(ADDRESS(ROW(),COLUMN()-13,4)):INDIRECT(ADDRESS(ROW(),COLUMN()-2,4)))</f>
        <v>0</v>
      </c>
    </row>
    <row r="37" spans="2:23" x14ac:dyDescent="0.25">
      <c r="B37" s="48"/>
      <c r="C37" s="45"/>
      <c r="D37" s="26"/>
      <c r="E37" s="26"/>
      <c r="F37" s="26"/>
      <c r="G37" s="26"/>
      <c r="H37" s="26"/>
      <c r="I37" s="3" t="s">
        <v>39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3" t="s">
        <v>39</v>
      </c>
      <c r="W37" s="11">
        <f ca="1">SUM(INDIRECT(ADDRESS(ROW(),COLUMN()-13,4)):INDIRECT(ADDRESS(ROW(),COLUMN()-2,4)))</f>
        <v>0</v>
      </c>
    </row>
    <row r="38" spans="2:23" x14ac:dyDescent="0.25">
      <c r="B38" s="48"/>
      <c r="C38" s="45"/>
      <c r="D38" s="26"/>
      <c r="E38" s="26"/>
      <c r="F38" s="26"/>
      <c r="G38" s="26"/>
      <c r="H38" s="26"/>
      <c r="I38" s="3" t="s">
        <v>40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3" t="s">
        <v>45</v>
      </c>
      <c r="W38" s="12">
        <f ca="1">IF(SUM(INDIRECT(ADDRESS(ROW()+3,COLUMN()-13,4)):INDIRECT(ADDRESS(ROW()+3,COLUMN()-2,4)))&gt;0,SUM(INDIRECT(ADDRESS(ROW()-5,COLUMN()-13,4)):INDIRECT(ADDRESS(ROW()-5,COLUMN()-2,4)))/SUM(INDIRECT(ADDRESS(ROW()+3,COLUMN()-13,4)):INDIRECT(ADDRESS(ROW()+3,COLUMN()-2,4)))*30,0)</f>
        <v>0</v>
      </c>
    </row>
    <row r="39" spans="2:23" x14ac:dyDescent="0.25">
      <c r="B39" s="49"/>
      <c r="C39" s="46"/>
      <c r="D39" s="26"/>
      <c r="E39" s="26"/>
      <c r="F39" s="26"/>
      <c r="G39" s="26"/>
      <c r="H39" s="26"/>
      <c r="I39" s="3" t="s">
        <v>41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3" t="s">
        <v>46</v>
      </c>
      <c r="W39" s="17">
        <f ca="1">IF(SUM(INDIRECT(ADDRESS(ROW()-6,COLUMN()-13,4)):INDIRECT(ADDRESS(ROW()-6,COLUMN()-2,4)))&gt;0,SUM(INDIRECT(ADDRESS(ROW()+2,COLUMN()-13,4)):INDIRECT(ADDRESS(ROW()+2,COLUMN()-2,4)))/SUM(INDIRECT(ADDRESS(ROW()-6,COLUMN()-13,4)):INDIRECT(ADDRESS(ROW()-6,COLUMN()-2,4)))*1000,0)</f>
        <v>0</v>
      </c>
    </row>
    <row r="40" spans="2:23" s="5" customFormat="1" x14ac:dyDescent="0.25">
      <c r="B40" s="10"/>
      <c r="C40" s="10"/>
      <c r="D40" s="10"/>
      <c r="E40" s="10"/>
      <c r="F40" s="10"/>
      <c r="G40" s="10"/>
      <c r="H40" s="10"/>
      <c r="I40" s="10" t="s">
        <v>87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0"/>
      <c r="W40" s="10"/>
    </row>
    <row r="41" spans="2:23" s="5" customFormat="1" x14ac:dyDescent="0.25">
      <c r="B41" s="10"/>
      <c r="C41" s="10"/>
      <c r="D41" s="10"/>
      <c r="E41" s="10"/>
      <c r="F41" s="10"/>
      <c r="G41" s="10"/>
      <c r="H41" s="10"/>
      <c r="I41" s="10" t="s">
        <v>88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0"/>
      <c r="W41" s="10"/>
    </row>
    <row r="42" spans="2:23" s="5" customFormat="1" x14ac:dyDescent="0.25">
      <c r="B42" s="5" t="s">
        <v>55</v>
      </c>
      <c r="I42" s="10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0"/>
      <c r="W42" s="10"/>
    </row>
    <row r="43" spans="2:23" x14ac:dyDescent="0.25">
      <c r="B43" s="38"/>
      <c r="C43" s="44"/>
      <c r="D43" s="38"/>
      <c r="E43" s="38">
        <f>SUM(E18)</f>
        <v>0</v>
      </c>
      <c r="F43" s="38">
        <f>SUM(F18)</f>
        <v>0</v>
      </c>
      <c r="G43" s="38"/>
      <c r="H43" s="38"/>
      <c r="I43" s="3" t="s">
        <v>35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3" t="s">
        <v>35</v>
      </c>
      <c r="W43" s="11">
        <f ca="1">SUM(INDIRECT(ADDRESS(ROW(),COLUMN()-13,4)):INDIRECT(ADDRESS(ROW(),COLUMN()-2,4)))</f>
        <v>0</v>
      </c>
    </row>
    <row r="44" spans="2:23" x14ac:dyDescent="0.25">
      <c r="B44" s="39"/>
      <c r="C44" s="45"/>
      <c r="D44" s="39"/>
      <c r="E44" s="39"/>
      <c r="F44" s="39"/>
      <c r="G44" s="39"/>
      <c r="H44" s="39"/>
      <c r="I44" s="3" t="s">
        <v>36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3" t="s">
        <v>36</v>
      </c>
      <c r="W44" s="12">
        <f ca="1">IF(SUM(INDIRECT(ADDRESS(ROW()+23,COLUMN()-13,4)):INDIRECT(ADDRESS(ROW()+23,COLUMN()-2,4)))&gt;0,SUM(INDIRECT(ADDRESS(ROW()+23,COLUMN()-13,4)):INDIRECT(ADDRESS(ROW()+23,COLUMN()-2,4)))/30,0)</f>
        <v>0</v>
      </c>
    </row>
    <row r="45" spans="2:23" x14ac:dyDescent="0.25">
      <c r="B45" s="39"/>
      <c r="C45" s="45"/>
      <c r="D45" s="40"/>
      <c r="E45" s="40"/>
      <c r="F45" s="40"/>
      <c r="G45" s="40"/>
      <c r="H45" s="40"/>
      <c r="I45" s="3" t="s">
        <v>43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3" t="s">
        <v>43</v>
      </c>
      <c r="W45" s="11">
        <f ca="1">SUM(INDIRECT(ADDRESS(ROW(),COLUMN()-13,4)):INDIRECT(ADDRESS(ROW(),COLUMN()-2,4)))</f>
        <v>0</v>
      </c>
    </row>
    <row r="46" spans="2:23" x14ac:dyDescent="0.25">
      <c r="B46" s="39"/>
      <c r="C46" s="45"/>
      <c r="D46" s="26" t="s">
        <v>29</v>
      </c>
      <c r="E46" s="12">
        <f ca="1">INDIRECT("W"&amp;(ROW()-2))</f>
        <v>0</v>
      </c>
      <c r="F46" s="26"/>
      <c r="G46" s="26"/>
      <c r="H46" s="26"/>
      <c r="I46" s="3" t="s">
        <v>37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3" t="s">
        <v>37</v>
      </c>
      <c r="W46" s="11">
        <f ca="1">SUM(INDIRECT(ADDRESS(ROW(),COLUMN()-13,4)):INDIRECT(ADDRESS(ROW(),COLUMN()-2,4)))</f>
        <v>0</v>
      </c>
    </row>
    <row r="47" spans="2:23" x14ac:dyDescent="0.25">
      <c r="B47" s="39"/>
      <c r="C47" s="45"/>
      <c r="D47" s="26" t="s">
        <v>47</v>
      </c>
      <c r="E47" s="12">
        <f ca="1">INDIRECT("W"&amp;(ROW()+6))</f>
        <v>0</v>
      </c>
      <c r="F47" s="26"/>
      <c r="G47" s="26"/>
      <c r="H47" s="26"/>
      <c r="I47" s="3" t="s">
        <v>38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3" t="s">
        <v>38</v>
      </c>
      <c r="W47" s="11">
        <f ca="1">SUM(INDIRECT(ADDRESS(ROW(),COLUMN()-13,4)):INDIRECT(ADDRESS(ROW(),COLUMN()-2,4)))</f>
        <v>0</v>
      </c>
    </row>
    <row r="48" spans="2:23" x14ac:dyDescent="0.25">
      <c r="B48" s="39"/>
      <c r="C48" s="45"/>
      <c r="D48" s="26"/>
      <c r="E48" s="26"/>
      <c r="F48" s="26"/>
      <c r="G48" s="26"/>
      <c r="H48" s="26"/>
      <c r="I48" s="3" t="s">
        <v>39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3" t="s">
        <v>39</v>
      </c>
      <c r="W48" s="11">
        <f ca="1">SUM(INDIRECT(ADDRESS(ROW(),COLUMN()-13,4)):INDIRECT(ADDRESS(ROW(),COLUMN()-2,4)))</f>
        <v>0</v>
      </c>
    </row>
    <row r="49" spans="2:23" x14ac:dyDescent="0.25">
      <c r="B49" s="39"/>
      <c r="C49" s="45"/>
      <c r="D49" s="26"/>
      <c r="E49" s="26"/>
      <c r="F49" s="26"/>
      <c r="G49" s="26"/>
      <c r="H49" s="26"/>
      <c r="I49" s="3" t="s">
        <v>48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3" t="s">
        <v>48</v>
      </c>
      <c r="W49" s="11">
        <f ca="1">SUM(INDIRECT(ADDRESS(ROW(),COLUMN()-13,4)):INDIRECT(ADDRESS(ROW(),COLUMN()-2,4)))</f>
        <v>0</v>
      </c>
    </row>
    <row r="50" spans="2:23" x14ac:dyDescent="0.25">
      <c r="B50" s="39"/>
      <c r="C50" s="45"/>
      <c r="D50" s="26"/>
      <c r="E50" s="26"/>
      <c r="F50" s="26"/>
      <c r="G50" s="26"/>
      <c r="H50" s="26"/>
      <c r="I50" s="3" t="s">
        <v>49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3" t="s">
        <v>49</v>
      </c>
      <c r="W50" s="12">
        <f ca="1">SUM(INDIRECT(ADDRESS(ROW(),COLUMN()-13,4)):INDIRECT(ADDRESS(ROW(),COLUMN()-2,4)))/12</f>
        <v>0</v>
      </c>
    </row>
    <row r="51" spans="2:23" x14ac:dyDescent="0.25">
      <c r="B51" s="39"/>
      <c r="C51" s="45"/>
      <c r="D51" s="2"/>
      <c r="E51" s="2"/>
      <c r="F51" s="2"/>
      <c r="G51" s="2"/>
      <c r="H51" s="2"/>
      <c r="I51" s="3" t="s">
        <v>50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3" t="s">
        <v>50</v>
      </c>
      <c r="W51" s="12">
        <f ca="1">SUM(INDIRECT(ADDRESS(ROW(),COLUMN()-13,4)):INDIRECT(ADDRESS(ROW(),COLUMN()-2,4)))/12</f>
        <v>0</v>
      </c>
    </row>
    <row r="52" spans="2:23" x14ac:dyDescent="0.25">
      <c r="B52" s="39"/>
      <c r="C52" s="45"/>
      <c r="D52" s="2"/>
      <c r="E52" s="2"/>
      <c r="F52" s="2"/>
      <c r="G52" s="2"/>
      <c r="H52" s="2"/>
      <c r="I52" s="3" t="s">
        <v>51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3" t="s">
        <v>51</v>
      </c>
      <c r="W52" s="12">
        <f ca="1">SUM(INDIRECT(ADDRESS(ROW(),COLUMN()-13,4)):INDIRECT(ADDRESS(ROW(),COLUMN()-2,4)))/12</f>
        <v>0</v>
      </c>
    </row>
    <row r="53" spans="2:23" x14ac:dyDescent="0.25">
      <c r="B53" s="39"/>
      <c r="C53" s="45"/>
      <c r="D53" s="2"/>
      <c r="E53" s="2"/>
      <c r="F53" s="2"/>
      <c r="G53" s="2"/>
      <c r="H53" s="2"/>
      <c r="I53" s="3" t="s">
        <v>40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3" t="s">
        <v>52</v>
      </c>
      <c r="W53" s="12">
        <f ca="1">IF(SUM(INDIRECT(ADDRESS(ROW()+14,COLUMN()-13,4)):INDIRECT(ADDRESS(ROW()+14,COLUMN()-2,4)))&gt;0,SUM(INDIRECT(ADDRESS(ROW()-10,COLUMN()-13,4)):INDIRECT(ADDRESS(ROW()-10,COLUMN()-2,4)))/SUM(INDIRECT(ADDRESS(ROW()+14,COLUMN()-13,4)):INDIRECT(ADDRESS(ROW()+14,COLUMN()-2,4)))*30,0)</f>
        <v>0</v>
      </c>
    </row>
    <row r="54" spans="2:23" x14ac:dyDescent="0.25">
      <c r="B54" s="39"/>
      <c r="C54" s="46"/>
      <c r="D54" s="15"/>
      <c r="E54" s="15"/>
      <c r="F54" s="15"/>
      <c r="G54" s="15"/>
      <c r="H54" s="15"/>
      <c r="I54" s="3" t="s">
        <v>41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3" t="s">
        <v>41</v>
      </c>
      <c r="W54" s="17">
        <f ca="1">IF(SUM(INDIRECT(ADDRESS(ROW()-11,COLUMN()-13,4)):INDIRECT(ADDRESS(ROW()-11,COLUMN()-2,4)))&gt;0,SUM(INDIRECT(ADDRESS(ROW()+13,COLUMN()-13,4)):INDIRECT(ADDRESS(ROW()+13,COLUMN()-2,4)))/SUM(INDIRECT(ADDRESS(ROW()-11,COLUMN()-13,4)):INDIRECT(ADDRESS(ROW()-11,COLUMN()-2,4)))*1000,0)</f>
        <v>0</v>
      </c>
    </row>
    <row r="55" spans="2:23" x14ac:dyDescent="0.25">
      <c r="B55" s="39"/>
      <c r="C55" s="44"/>
      <c r="D55" s="38"/>
      <c r="E55" s="38">
        <f>SUM(E30)</f>
        <v>0</v>
      </c>
      <c r="F55" s="38">
        <f>SUM(F30)</f>
        <v>0</v>
      </c>
      <c r="G55" s="38"/>
      <c r="H55" s="38"/>
      <c r="I55" s="3" t="s">
        <v>35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3" t="s">
        <v>35</v>
      </c>
      <c r="W55" s="11">
        <f ca="1">SUM(INDIRECT(ADDRESS(ROW(),COLUMN()-13,4)):INDIRECT(ADDRESS(ROW(),COLUMN()-2,4)))</f>
        <v>0</v>
      </c>
    </row>
    <row r="56" spans="2:23" x14ac:dyDescent="0.25">
      <c r="B56" s="39"/>
      <c r="C56" s="45"/>
      <c r="D56" s="39"/>
      <c r="E56" s="39"/>
      <c r="F56" s="39"/>
      <c r="G56" s="39"/>
      <c r="H56" s="39"/>
      <c r="I56" s="3" t="s">
        <v>36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3" t="s">
        <v>36</v>
      </c>
      <c r="W56" s="12">
        <f ca="1">IF(SUM(INDIRECT(ADDRESS(ROW()+14,COLUMN()-13,4)):INDIRECT(ADDRESS(ROW()+14,COLUMN()-2,4)))&gt;0,SUM(INDIRECT(ADDRESS(ROW()+14,COLUMN()-13,4)):INDIRECT(ADDRESS(ROW()+14,COLUMN()-2,4)))/30,0)</f>
        <v>0</v>
      </c>
    </row>
    <row r="57" spans="2:23" x14ac:dyDescent="0.25">
      <c r="B57" s="39"/>
      <c r="C57" s="45"/>
      <c r="D57" s="40"/>
      <c r="E57" s="40"/>
      <c r="F57" s="40"/>
      <c r="G57" s="40"/>
      <c r="H57" s="40"/>
      <c r="I57" s="3" t="s">
        <v>43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3" t="s">
        <v>43</v>
      </c>
      <c r="W57" s="11">
        <f ca="1">SUM(INDIRECT(ADDRESS(ROW(),COLUMN()-13,4)):INDIRECT(ADDRESS(ROW(),COLUMN()-2,4)))</f>
        <v>0</v>
      </c>
    </row>
    <row r="58" spans="2:23" x14ac:dyDescent="0.25">
      <c r="B58" s="39"/>
      <c r="C58" s="45"/>
      <c r="D58" s="26" t="s">
        <v>29</v>
      </c>
      <c r="E58" s="12">
        <f ca="1">INDIRECT("W"&amp;(ROW()-2))</f>
        <v>0</v>
      </c>
      <c r="F58" s="26"/>
      <c r="G58" s="26"/>
      <c r="H58" s="26"/>
      <c r="I58" s="3" t="s">
        <v>37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3" t="s">
        <v>37</v>
      </c>
      <c r="W58" s="11">
        <f ca="1">SUM(INDIRECT(ADDRESS(ROW(),COLUMN()-13,4)):INDIRECT(ADDRESS(ROW(),COLUMN()-2,4)))</f>
        <v>0</v>
      </c>
    </row>
    <row r="59" spans="2:23" x14ac:dyDescent="0.25">
      <c r="B59" s="39"/>
      <c r="C59" s="45"/>
      <c r="D59" s="26" t="s">
        <v>47</v>
      </c>
      <c r="E59" s="12">
        <f ca="1">INDIRECT("W"&amp;(ROW()+6))</f>
        <v>0</v>
      </c>
      <c r="F59" s="26"/>
      <c r="G59" s="26"/>
      <c r="H59" s="26"/>
      <c r="I59" s="3" t="s">
        <v>38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3" t="s">
        <v>38</v>
      </c>
      <c r="W59" s="11">
        <f ca="1">SUM(INDIRECT(ADDRESS(ROW(),COLUMN()-13,4)):INDIRECT(ADDRESS(ROW(),COLUMN()-2,4)))</f>
        <v>0</v>
      </c>
    </row>
    <row r="60" spans="2:23" x14ac:dyDescent="0.25">
      <c r="B60" s="39"/>
      <c r="C60" s="45"/>
      <c r="D60" s="26"/>
      <c r="E60" s="26"/>
      <c r="F60" s="26"/>
      <c r="G60" s="26"/>
      <c r="H60" s="26"/>
      <c r="I60" s="3" t="s">
        <v>39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3" t="s">
        <v>39</v>
      </c>
      <c r="W60" s="11">
        <f ca="1">SUM(INDIRECT(ADDRESS(ROW(),COLUMN()-13,4)):INDIRECT(ADDRESS(ROW(),COLUMN()-2,4)))</f>
        <v>0</v>
      </c>
    </row>
    <row r="61" spans="2:23" x14ac:dyDescent="0.25">
      <c r="B61" s="39"/>
      <c r="C61" s="45"/>
      <c r="D61" s="26"/>
      <c r="E61" s="26"/>
      <c r="F61" s="26"/>
      <c r="G61" s="26"/>
      <c r="H61" s="26"/>
      <c r="I61" s="3" t="s">
        <v>48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3" t="s">
        <v>48</v>
      </c>
      <c r="W61" s="11">
        <f ca="1">SUM(INDIRECT(ADDRESS(ROW(),COLUMN()-13,4)):INDIRECT(ADDRESS(ROW(),COLUMN()-2,4)))</f>
        <v>0</v>
      </c>
    </row>
    <row r="62" spans="2:23" x14ac:dyDescent="0.25">
      <c r="B62" s="39"/>
      <c r="C62" s="45"/>
      <c r="D62" s="26"/>
      <c r="E62" s="26"/>
      <c r="F62" s="26"/>
      <c r="G62" s="26"/>
      <c r="H62" s="26"/>
      <c r="I62" s="3" t="s">
        <v>49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3" t="s">
        <v>49</v>
      </c>
      <c r="W62" s="12">
        <f ca="1">SUM(INDIRECT(ADDRESS(ROW(),COLUMN()-13,4)):INDIRECT(ADDRESS(ROW(),COLUMN()-2,4)))/12</f>
        <v>0</v>
      </c>
    </row>
    <row r="63" spans="2:23" x14ac:dyDescent="0.25">
      <c r="B63" s="39"/>
      <c r="C63" s="45"/>
      <c r="D63" s="26"/>
      <c r="E63" s="26"/>
      <c r="F63" s="26"/>
      <c r="G63" s="26"/>
      <c r="H63" s="26"/>
      <c r="I63" s="3" t="s">
        <v>50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3" t="s">
        <v>50</v>
      </c>
      <c r="W63" s="12">
        <f ca="1">SUM(INDIRECT(ADDRESS(ROW(),COLUMN()-13,4)):INDIRECT(ADDRESS(ROW(),COLUMN()-2,4)))/12</f>
        <v>0</v>
      </c>
    </row>
    <row r="64" spans="2:23" x14ac:dyDescent="0.25">
      <c r="B64" s="39"/>
      <c r="C64" s="45"/>
      <c r="D64" s="26"/>
      <c r="E64" s="26"/>
      <c r="F64" s="26"/>
      <c r="G64" s="26"/>
      <c r="H64" s="26"/>
      <c r="I64" s="3" t="s">
        <v>51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3" t="s">
        <v>51</v>
      </c>
      <c r="W64" s="12">
        <f ca="1">SUM(INDIRECT(ADDRESS(ROW(),COLUMN()-13,4)):INDIRECT(ADDRESS(ROW(),COLUMN()-2,4)))/12</f>
        <v>0</v>
      </c>
    </row>
    <row r="65" spans="2:23" x14ac:dyDescent="0.25">
      <c r="B65" s="39"/>
      <c r="C65" s="45"/>
      <c r="D65" s="26"/>
      <c r="E65" s="26"/>
      <c r="F65" s="26"/>
      <c r="G65" s="26"/>
      <c r="H65" s="26"/>
      <c r="I65" s="3" t="s">
        <v>40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3" t="s">
        <v>52</v>
      </c>
      <c r="W65" s="12">
        <f ca="1">IF(SUM(INDIRECT(ADDRESS(ROW()+5,COLUMN()-13,4)):INDIRECT(ADDRESS(ROW()+5,COLUMN()-2,4)))&gt;0,SUM(INDIRECT(ADDRESS(ROW()-10,COLUMN()-13,4)):INDIRECT(ADDRESS(ROW()-10,COLUMN()-2,4)))/SUM(INDIRECT(ADDRESS(ROW()+5,COLUMN()-13,4)):INDIRECT(ADDRESS(ROW()+5,COLUMN()-2,4)))*30,0)</f>
        <v>0</v>
      </c>
    </row>
    <row r="66" spans="2:23" x14ac:dyDescent="0.25">
      <c r="B66" s="40"/>
      <c r="C66" s="46"/>
      <c r="D66" s="26"/>
      <c r="E66" s="26"/>
      <c r="F66" s="26"/>
      <c r="G66" s="26"/>
      <c r="H66" s="26"/>
      <c r="I66" s="3" t="s">
        <v>41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3" t="s">
        <v>41</v>
      </c>
      <c r="W66" s="17">
        <f ca="1">IF(SUM(INDIRECT(ADDRESS(ROW()-11,COLUMN()-13,4)):INDIRECT(ADDRESS(ROW()-11,COLUMN()-2,4)))&gt;0,SUM(INDIRECT(ADDRESS(ROW()+4,COLUMN()-13,4)):INDIRECT(ADDRESS(ROW()+4,COLUMN()-2,4)))/SUM(INDIRECT(ADDRESS(ROW()-11,COLUMN()-13,4)):INDIRECT(ADDRESS(ROW()-11,COLUMN()-2,4)))*1000,0)</f>
        <v>0</v>
      </c>
    </row>
    <row r="67" spans="2:23" s="10" customFormat="1" x14ac:dyDescent="0.25">
      <c r="I67" s="10" t="s">
        <v>87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</row>
    <row r="68" spans="2:23" s="10" customFormat="1" x14ac:dyDescent="0.25">
      <c r="I68" s="10" t="s">
        <v>89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</row>
    <row r="69" spans="2:23" s="10" customFormat="1" x14ac:dyDescent="0.25">
      <c r="I69" s="10" t="s">
        <v>90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</row>
    <row r="70" spans="2:23" s="10" customFormat="1" x14ac:dyDescent="0.25">
      <c r="I70" s="10" t="s">
        <v>88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</row>
    <row r="71" spans="2:23" s="10" customFormat="1" x14ac:dyDescent="0.25">
      <c r="I71" s="10" t="s">
        <v>91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</row>
    <row r="72" spans="2:23" s="10" customFormat="1" x14ac:dyDescent="0.25">
      <c r="I72" s="10" t="s">
        <v>92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</row>
    <row r="73" spans="2:23" s="5" customFormat="1" x14ac:dyDescent="0.25">
      <c r="B73" s="5" t="s">
        <v>56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2:23" x14ac:dyDescent="0.25">
      <c r="B74" s="38"/>
      <c r="C74" s="44"/>
      <c r="D74" s="38"/>
      <c r="E74" s="38"/>
      <c r="F74" s="38"/>
      <c r="G74" s="38"/>
      <c r="H74" s="38"/>
      <c r="I74" s="3" t="s">
        <v>35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3" t="s">
        <v>35</v>
      </c>
      <c r="W74" s="11">
        <f ca="1">SUM(INDIRECT(ADDRESS(ROW(),COLUMN()-13,4)):INDIRECT(ADDRESS(ROW(),COLUMN()-2,4)))</f>
        <v>0</v>
      </c>
    </row>
    <row r="75" spans="2:23" x14ac:dyDescent="0.25">
      <c r="B75" s="39"/>
      <c r="C75" s="45"/>
      <c r="D75" s="39"/>
      <c r="E75" s="39"/>
      <c r="F75" s="39"/>
      <c r="G75" s="39"/>
      <c r="H75" s="39"/>
      <c r="I75" s="3" t="s">
        <v>36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3" t="s">
        <v>36</v>
      </c>
      <c r="W75" s="12">
        <f ca="1">IF(SUM(INDIRECT(ADDRESS(ROW()+23,COLUMN()-13,4)):INDIRECT(ADDRESS(ROW()+23,COLUMN()-2,4)))&gt;0,SUM(INDIRECT(ADDRESS(ROW()+23,COLUMN()-13,4)):INDIRECT(ADDRESS(ROW()+23,COLUMN()-2,4)))/30,0)</f>
        <v>0</v>
      </c>
    </row>
    <row r="76" spans="2:23" x14ac:dyDescent="0.25">
      <c r="B76" s="39"/>
      <c r="C76" s="45"/>
      <c r="D76" s="40"/>
      <c r="E76" s="40"/>
      <c r="F76" s="40"/>
      <c r="G76" s="40"/>
      <c r="H76" s="40"/>
      <c r="I76" s="3" t="s">
        <v>43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3" t="s">
        <v>43</v>
      </c>
      <c r="W76" s="11">
        <f ca="1">SUM(INDIRECT(ADDRESS(ROW(),COLUMN()-13,4)):INDIRECT(ADDRESS(ROW(),COLUMN()-2,4)))</f>
        <v>0</v>
      </c>
    </row>
    <row r="77" spans="2:23" x14ac:dyDescent="0.25">
      <c r="B77" s="39"/>
      <c r="C77" s="45"/>
      <c r="D77" s="16" t="s">
        <v>29</v>
      </c>
      <c r="E77" s="12">
        <f ca="1">INDIRECT("W"&amp;(ROW()-2))</f>
        <v>0</v>
      </c>
      <c r="F77" s="26"/>
      <c r="G77" s="26"/>
      <c r="H77" s="26"/>
      <c r="I77" s="3" t="s">
        <v>37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3" t="s">
        <v>37</v>
      </c>
      <c r="W77" s="11">
        <f ca="1">SUM(INDIRECT(ADDRESS(ROW(),COLUMN()-13,4)):INDIRECT(ADDRESS(ROW(),COLUMN()-2,4)))</f>
        <v>0</v>
      </c>
    </row>
    <row r="78" spans="2:23" x14ac:dyDescent="0.25">
      <c r="B78" s="39"/>
      <c r="C78" s="45"/>
      <c r="D78" s="16" t="s">
        <v>47</v>
      </c>
      <c r="E78" s="12">
        <f ca="1">INDIRECT("W"&amp;(ROW()+6))</f>
        <v>0</v>
      </c>
      <c r="F78" s="26"/>
      <c r="G78" s="26"/>
      <c r="H78" s="26"/>
      <c r="I78" s="3" t="s">
        <v>38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3" t="s">
        <v>38</v>
      </c>
      <c r="W78" s="11">
        <f ca="1">SUM(INDIRECT(ADDRESS(ROW(),COLUMN()-13,4)):INDIRECT(ADDRESS(ROW(),COLUMN()-2,4)))</f>
        <v>0</v>
      </c>
    </row>
    <row r="79" spans="2:23" x14ac:dyDescent="0.25">
      <c r="B79" s="39"/>
      <c r="C79" s="45"/>
      <c r="D79" s="16"/>
      <c r="E79" s="26"/>
      <c r="F79" s="26"/>
      <c r="G79" s="26"/>
      <c r="H79" s="26"/>
      <c r="I79" s="3" t="s">
        <v>39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3" t="s">
        <v>39</v>
      </c>
      <c r="W79" s="11">
        <f ca="1">SUM(INDIRECT(ADDRESS(ROW(),COLUMN()-13,4)):INDIRECT(ADDRESS(ROW(),COLUMN()-2,4)))</f>
        <v>0</v>
      </c>
    </row>
    <row r="80" spans="2:23" x14ac:dyDescent="0.25">
      <c r="B80" s="39"/>
      <c r="C80" s="45"/>
      <c r="D80" s="16"/>
      <c r="E80" s="2"/>
      <c r="F80" s="2"/>
      <c r="G80" s="2"/>
      <c r="H80" s="2"/>
      <c r="I80" s="3" t="s">
        <v>48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3" t="s">
        <v>48</v>
      </c>
      <c r="W80" s="11">
        <f ca="1">SUM(INDIRECT(ADDRESS(ROW(),COLUMN()-13,4)):INDIRECT(ADDRESS(ROW(),COLUMN()-2,4)))</f>
        <v>0</v>
      </c>
    </row>
    <row r="81" spans="2:23" x14ac:dyDescent="0.25">
      <c r="B81" s="39"/>
      <c r="C81" s="45"/>
      <c r="D81" s="16"/>
      <c r="E81" s="2"/>
      <c r="F81" s="2"/>
      <c r="G81" s="2"/>
      <c r="H81" s="2"/>
      <c r="I81" s="3" t="s">
        <v>49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3" t="s">
        <v>49</v>
      </c>
      <c r="W81" s="12">
        <f ca="1">SUM(INDIRECT(ADDRESS(ROW(),COLUMN()-13,4)):INDIRECT(ADDRESS(ROW(),COLUMN()-2,4)))/12</f>
        <v>0</v>
      </c>
    </row>
    <row r="82" spans="2:23" x14ac:dyDescent="0.25">
      <c r="B82" s="39"/>
      <c r="C82" s="45"/>
      <c r="D82" s="16"/>
      <c r="E82" s="2"/>
      <c r="F82" s="2"/>
      <c r="G82" s="2"/>
      <c r="H82" s="2"/>
      <c r="I82" s="3" t="s">
        <v>50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3" t="s">
        <v>50</v>
      </c>
      <c r="W82" s="12">
        <f ca="1">SUM(INDIRECT(ADDRESS(ROW(),COLUMN()-13,4)):INDIRECT(ADDRESS(ROW(),COLUMN()-2,4)))/12</f>
        <v>0</v>
      </c>
    </row>
    <row r="83" spans="2:23" x14ac:dyDescent="0.25">
      <c r="B83" s="39"/>
      <c r="C83" s="45"/>
      <c r="D83" s="16"/>
      <c r="E83" s="2"/>
      <c r="F83" s="2"/>
      <c r="G83" s="2"/>
      <c r="H83" s="2"/>
      <c r="I83" s="3" t="s">
        <v>51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3" t="s">
        <v>51</v>
      </c>
      <c r="W83" s="12">
        <f ca="1">SUM(INDIRECT(ADDRESS(ROW(),COLUMN()-13,4)):INDIRECT(ADDRESS(ROW(),COLUMN()-2,4)))/12</f>
        <v>0</v>
      </c>
    </row>
    <row r="84" spans="2:23" x14ac:dyDescent="0.25">
      <c r="B84" s="39"/>
      <c r="C84" s="45"/>
      <c r="D84" s="16"/>
      <c r="E84" s="2"/>
      <c r="F84" s="2"/>
      <c r="G84" s="2"/>
      <c r="H84" s="2"/>
      <c r="I84" s="3" t="s">
        <v>40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3" t="s">
        <v>52</v>
      </c>
      <c r="W84" s="12">
        <f ca="1">IF(SUM(INDIRECT(ADDRESS(ROW()+14,COLUMN()-13,4)):INDIRECT(ADDRESS(ROW()+14,COLUMN()-2,4)))&gt;0,SUM(INDIRECT(ADDRESS(ROW()-10,COLUMN()-13,4)):INDIRECT(ADDRESS(ROW()-10,COLUMN()-2,4)))/SUM(INDIRECT(ADDRESS(ROW()+14,COLUMN()-13,4)):INDIRECT(ADDRESS(ROW()+14,COLUMN()-2,4)))*30,0)</f>
        <v>0</v>
      </c>
    </row>
    <row r="85" spans="2:23" x14ac:dyDescent="0.25">
      <c r="B85" s="39"/>
      <c r="C85" s="46"/>
      <c r="D85" s="16"/>
      <c r="E85" s="15"/>
      <c r="F85" s="15"/>
      <c r="G85" s="15"/>
      <c r="H85" s="15"/>
      <c r="I85" s="3" t="s">
        <v>41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3" t="s">
        <v>41</v>
      </c>
      <c r="W85" s="17">
        <f ca="1">IF(SUM(INDIRECT(ADDRESS(ROW()-11,COLUMN()-13,4)):INDIRECT(ADDRESS(ROW()-11,COLUMN()-2,4)))&gt;0,SUM(INDIRECT(ADDRESS(ROW()+13,COLUMN()-13,4)):INDIRECT(ADDRESS(ROW()+13,COLUMN()-2,4)))/SUM(INDIRECT(ADDRESS(ROW()-11,COLUMN()-13,4)):INDIRECT(ADDRESS(ROW()-11,COLUMN()-2,4)))*1000,0)</f>
        <v>0</v>
      </c>
    </row>
    <row r="86" spans="2:23" x14ac:dyDescent="0.25">
      <c r="B86" s="39"/>
      <c r="C86" s="44"/>
      <c r="D86" s="38"/>
      <c r="E86" s="38"/>
      <c r="F86" s="38"/>
      <c r="G86" s="38"/>
      <c r="H86" s="38"/>
      <c r="I86" s="3" t="s">
        <v>35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3" t="s">
        <v>35</v>
      </c>
      <c r="W86" s="11">
        <f ca="1">SUM(INDIRECT(ADDRESS(ROW(),COLUMN()-13,4)):INDIRECT(ADDRESS(ROW(),COLUMN()-2,4)))</f>
        <v>0</v>
      </c>
    </row>
    <row r="87" spans="2:23" x14ac:dyDescent="0.25">
      <c r="B87" s="39"/>
      <c r="C87" s="45"/>
      <c r="D87" s="39"/>
      <c r="E87" s="39"/>
      <c r="F87" s="39"/>
      <c r="G87" s="39"/>
      <c r="H87" s="39"/>
      <c r="I87" s="3" t="s">
        <v>36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3" t="s">
        <v>36</v>
      </c>
      <c r="W87" s="12">
        <f ca="1">IF(SUM(INDIRECT(ADDRESS(ROW()+14,COLUMN()-13,4)):INDIRECT(ADDRESS(ROW()+14,COLUMN()-2,4)))&gt;0,SUM(INDIRECT(ADDRESS(ROW()+14,COLUMN()-13,4)):INDIRECT(ADDRESS(ROW()+14,COLUMN()-2,4)))/30,0)</f>
        <v>0</v>
      </c>
    </row>
    <row r="88" spans="2:23" x14ac:dyDescent="0.25">
      <c r="B88" s="39"/>
      <c r="C88" s="45"/>
      <c r="D88" s="40"/>
      <c r="E88" s="40"/>
      <c r="F88" s="40"/>
      <c r="G88" s="40"/>
      <c r="H88" s="40"/>
      <c r="I88" s="3" t="s">
        <v>43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3" t="s">
        <v>43</v>
      </c>
      <c r="W88" s="11">
        <f ca="1">SUM(INDIRECT(ADDRESS(ROW(),COLUMN()-13,4)):INDIRECT(ADDRESS(ROW(),COLUMN()-2,4)))</f>
        <v>0</v>
      </c>
    </row>
    <row r="89" spans="2:23" x14ac:dyDescent="0.25">
      <c r="B89" s="39"/>
      <c r="C89" s="45"/>
      <c r="D89" s="16" t="s">
        <v>29</v>
      </c>
      <c r="E89" s="12">
        <f ca="1">INDIRECT("W"&amp;(ROW()-2))</f>
        <v>0</v>
      </c>
      <c r="F89" s="26"/>
      <c r="G89" s="26"/>
      <c r="H89" s="26"/>
      <c r="I89" s="3" t="s">
        <v>37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3" t="s">
        <v>37</v>
      </c>
      <c r="W89" s="11">
        <f ca="1">SUM(INDIRECT(ADDRESS(ROW(),COLUMN()-13,4)):INDIRECT(ADDRESS(ROW(),COLUMN()-2,4)))</f>
        <v>0</v>
      </c>
    </row>
    <row r="90" spans="2:23" x14ac:dyDescent="0.25">
      <c r="B90" s="39"/>
      <c r="C90" s="45"/>
      <c r="D90" s="16" t="s">
        <v>47</v>
      </c>
      <c r="E90" s="12">
        <f ca="1">INDIRECT("W"&amp;(ROW()+6))</f>
        <v>0</v>
      </c>
      <c r="F90" s="26"/>
      <c r="G90" s="26"/>
      <c r="H90" s="26"/>
      <c r="I90" s="3" t="s">
        <v>38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3" t="s">
        <v>38</v>
      </c>
      <c r="W90" s="11">
        <f ca="1">SUM(INDIRECT(ADDRESS(ROW(),COLUMN()-13,4)):INDIRECT(ADDRESS(ROW(),COLUMN()-2,4)))</f>
        <v>0</v>
      </c>
    </row>
    <row r="91" spans="2:23" x14ac:dyDescent="0.25">
      <c r="B91" s="39"/>
      <c r="C91" s="45"/>
      <c r="D91" s="16"/>
      <c r="E91" s="26"/>
      <c r="F91" s="26"/>
      <c r="G91" s="26"/>
      <c r="H91" s="26"/>
      <c r="I91" s="3" t="s">
        <v>39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3" t="s">
        <v>39</v>
      </c>
      <c r="W91" s="11">
        <f ca="1">SUM(INDIRECT(ADDRESS(ROW(),COLUMN()-13,4)):INDIRECT(ADDRESS(ROW(),COLUMN()-2,4)))</f>
        <v>0</v>
      </c>
    </row>
    <row r="92" spans="2:23" x14ac:dyDescent="0.25">
      <c r="B92" s="39"/>
      <c r="C92" s="45"/>
      <c r="D92" s="16"/>
      <c r="E92" s="26"/>
      <c r="F92" s="26"/>
      <c r="G92" s="26"/>
      <c r="H92" s="26"/>
      <c r="I92" s="3" t="s">
        <v>48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3" t="s">
        <v>48</v>
      </c>
      <c r="W92" s="11">
        <f ca="1">SUM(INDIRECT(ADDRESS(ROW(),COLUMN()-13,4)):INDIRECT(ADDRESS(ROW(),COLUMN()-2,4)))</f>
        <v>0</v>
      </c>
    </row>
    <row r="93" spans="2:23" x14ac:dyDescent="0.25">
      <c r="B93" s="39"/>
      <c r="C93" s="45"/>
      <c r="D93" s="16"/>
      <c r="E93" s="26"/>
      <c r="F93" s="26"/>
      <c r="G93" s="26"/>
      <c r="H93" s="26"/>
      <c r="I93" s="3" t="s">
        <v>49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3" t="s">
        <v>49</v>
      </c>
      <c r="W93" s="12">
        <f ca="1">SUM(INDIRECT(ADDRESS(ROW(),COLUMN()-13,4)):INDIRECT(ADDRESS(ROW(),COLUMN()-2,4)))/12</f>
        <v>0</v>
      </c>
    </row>
    <row r="94" spans="2:23" x14ac:dyDescent="0.25">
      <c r="B94" s="39"/>
      <c r="C94" s="45"/>
      <c r="D94" s="16"/>
      <c r="E94" s="26"/>
      <c r="F94" s="26"/>
      <c r="G94" s="26"/>
      <c r="H94" s="26"/>
      <c r="I94" s="3" t="s">
        <v>50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3" t="s">
        <v>50</v>
      </c>
      <c r="W94" s="12">
        <f ca="1">SUM(INDIRECT(ADDRESS(ROW(),COLUMN()-13,4)):INDIRECT(ADDRESS(ROW(),COLUMN()-2,4)))/12</f>
        <v>0</v>
      </c>
    </row>
    <row r="95" spans="2:23" x14ac:dyDescent="0.25">
      <c r="B95" s="39"/>
      <c r="C95" s="45"/>
      <c r="D95" s="16"/>
      <c r="E95" s="26"/>
      <c r="F95" s="26"/>
      <c r="G95" s="26"/>
      <c r="H95" s="26"/>
      <c r="I95" s="3" t="s">
        <v>51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3" t="s">
        <v>51</v>
      </c>
      <c r="W95" s="12">
        <f ca="1">SUM(INDIRECT(ADDRESS(ROW(),COLUMN()-13,4)):INDIRECT(ADDRESS(ROW(),COLUMN()-2,4)))/12</f>
        <v>0</v>
      </c>
    </row>
    <row r="96" spans="2:23" x14ac:dyDescent="0.25">
      <c r="B96" s="39"/>
      <c r="C96" s="45"/>
      <c r="D96" s="16"/>
      <c r="E96" s="26"/>
      <c r="F96" s="26"/>
      <c r="G96" s="26"/>
      <c r="H96" s="26"/>
      <c r="I96" s="3" t="s">
        <v>40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3" t="s">
        <v>52</v>
      </c>
      <c r="W96" s="12">
        <f ca="1">IF(SUM(INDIRECT(ADDRESS(ROW()+5,COLUMN()-13,4)):INDIRECT(ADDRESS(ROW()+5,COLUMN()-2,4)))&gt;0,SUM(INDIRECT(ADDRESS(ROW()-10,COLUMN()-13,4)):INDIRECT(ADDRESS(ROW()-10,COLUMN()-2,4)))/SUM(INDIRECT(ADDRESS(ROW()+5,COLUMN()-13,4)):INDIRECT(ADDRESS(ROW()+5,COLUMN()-2,4)))*30,0)</f>
        <v>0</v>
      </c>
    </row>
    <row r="97" spans="1:26" x14ac:dyDescent="0.25">
      <c r="B97" s="40"/>
      <c r="C97" s="46"/>
      <c r="D97" s="16"/>
      <c r="E97" s="26"/>
      <c r="F97" s="26"/>
      <c r="G97" s="26"/>
      <c r="H97" s="26"/>
      <c r="I97" s="3" t="s">
        <v>41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3" t="s">
        <v>41</v>
      </c>
      <c r="W97" s="17">
        <f ca="1">IF(SUM(INDIRECT(ADDRESS(ROW()-11,COLUMN()-13,4)):INDIRECT(ADDRESS(ROW()-11,COLUMN()-2,4)))&gt;0,SUM(INDIRECT(ADDRESS(ROW()+4,COLUMN()-13,4)):INDIRECT(ADDRESS(ROW()+4,COLUMN()-2,4)))/SUM(INDIRECT(ADDRESS(ROW()-11,COLUMN()-13,4)):INDIRECT(ADDRESS(ROW()-11,COLUMN()-2,4)))*1000,0)</f>
        <v>0</v>
      </c>
    </row>
    <row r="98" spans="1:26" s="10" customFormat="1" x14ac:dyDescent="0.25">
      <c r="I98" s="10" t="s">
        <v>87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</row>
    <row r="99" spans="1:26" s="10" customFormat="1" hidden="1" x14ac:dyDescent="0.25">
      <c r="I99" s="10" t="s">
        <v>89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</row>
    <row r="100" spans="1:26" s="10" customFormat="1" hidden="1" x14ac:dyDescent="0.25">
      <c r="I100" s="10" t="s">
        <v>90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</row>
    <row r="101" spans="1:26" s="10" customFormat="1" hidden="1" x14ac:dyDescent="0.25">
      <c r="I101" s="10" t="s">
        <v>88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</row>
    <row r="102" spans="1:26" s="10" customFormat="1" hidden="1" x14ac:dyDescent="0.25">
      <c r="D102" s="27"/>
      <c r="I102" s="10" t="s">
        <v>91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</row>
    <row r="103" spans="1:26" s="10" customFormat="1" hidden="1" x14ac:dyDescent="0.25">
      <c r="D103" s="27"/>
      <c r="E103" s="27"/>
      <c r="F103" s="27"/>
      <c r="G103" s="27"/>
      <c r="H103" s="27"/>
      <c r="I103" s="10" t="s">
        <v>92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27"/>
      <c r="W103" s="27"/>
      <c r="Y103" s="27"/>
      <c r="Z103" s="27"/>
    </row>
    <row r="104" spans="1:26" s="5" customFormat="1" x14ac:dyDescent="0.25">
      <c r="A104" s="29"/>
      <c r="B104" s="30" t="s">
        <v>54</v>
      </c>
      <c r="C104" s="29"/>
      <c r="D104" s="30"/>
      <c r="E104" s="30"/>
      <c r="F104" s="30"/>
      <c r="G104" s="30"/>
      <c r="H104" s="3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Y104" s="6"/>
      <c r="Z104" s="6"/>
    </row>
    <row r="105" spans="1:26" s="5" customFormat="1" x14ac:dyDescent="0.25">
      <c r="A105" s="29"/>
      <c r="B105" s="30"/>
      <c r="C105" s="29"/>
      <c r="D105" s="30"/>
      <c r="E105" s="30"/>
      <c r="F105" s="30"/>
      <c r="G105" s="30"/>
      <c r="H105" s="30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s="5" customFormat="1" x14ac:dyDescent="0.25">
      <c r="A106" s="29"/>
      <c r="B106" s="30"/>
      <c r="C106" s="29"/>
      <c r="D106" s="30"/>
      <c r="E106" s="30"/>
      <c r="F106" s="30"/>
      <c r="G106" s="30"/>
      <c r="H106" s="30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s="5" customFormat="1" x14ac:dyDescent="0.25">
      <c r="A107" s="29"/>
      <c r="B107" s="30"/>
      <c r="C107" s="29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27"/>
      <c r="Y107" s="27"/>
      <c r="Z107" s="27"/>
    </row>
    <row r="108" spans="1:26" s="5" customFormat="1" x14ac:dyDescent="0.25">
      <c r="A108" s="29"/>
      <c r="B108" s="30"/>
      <c r="C108" s="29"/>
      <c r="D108" s="30"/>
      <c r="E108" s="30"/>
      <c r="F108" s="30"/>
      <c r="G108" s="30"/>
      <c r="H108" s="3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s="5" customFormat="1" x14ac:dyDescent="0.25">
      <c r="A109" s="29"/>
      <c r="B109" s="30"/>
      <c r="C109" s="29"/>
      <c r="D109" s="30"/>
      <c r="E109" s="30"/>
      <c r="F109" s="30"/>
      <c r="G109" s="30"/>
      <c r="H109" s="3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s="5" customFormat="1" x14ac:dyDescent="0.25">
      <c r="A110" s="29"/>
      <c r="B110" s="29"/>
      <c r="C110" s="29"/>
      <c r="D110" s="29"/>
      <c r="E110" s="29"/>
      <c r="F110" s="29"/>
      <c r="G110" s="29"/>
      <c r="H110" s="29"/>
    </row>
    <row r="111" spans="1:26" s="5" customFormat="1" x14ac:dyDescent="0.25">
      <c r="A111" s="29"/>
      <c r="B111" s="29"/>
      <c r="C111" s="29"/>
      <c r="D111" s="29"/>
      <c r="E111" s="29"/>
      <c r="F111" s="29"/>
      <c r="G111" s="29"/>
      <c r="H111" s="29"/>
    </row>
    <row r="112" spans="1:26" s="5" customFormat="1" x14ac:dyDescent="0.25">
      <c r="A112" s="29"/>
      <c r="B112" s="29"/>
      <c r="C112" s="29"/>
      <c r="D112" s="29"/>
      <c r="E112" s="29"/>
      <c r="F112" s="29"/>
      <c r="G112" s="29"/>
      <c r="H112" s="29"/>
    </row>
    <row r="113" spans="1:8" s="5" customFormat="1" x14ac:dyDescent="0.25">
      <c r="A113" s="29"/>
      <c r="B113" s="29"/>
      <c r="C113" s="29"/>
      <c r="D113" s="29"/>
      <c r="E113" s="29"/>
      <c r="F113" s="29"/>
      <c r="G113" s="29"/>
      <c r="H113" s="29"/>
    </row>
    <row r="114" spans="1:8" s="5" customFormat="1" x14ac:dyDescent="0.25">
      <c r="A114" s="29"/>
      <c r="B114" s="29"/>
      <c r="C114" s="29"/>
      <c r="D114" s="29"/>
      <c r="E114" s="29"/>
      <c r="F114" s="29"/>
      <c r="G114" s="29"/>
      <c r="H114" s="29"/>
    </row>
    <row r="115" spans="1:8" s="5" customFormat="1" x14ac:dyDescent="0.25">
      <c r="A115" s="29"/>
      <c r="B115" s="29"/>
      <c r="C115" s="29"/>
      <c r="D115" s="29"/>
      <c r="E115" s="29"/>
      <c r="F115" s="29"/>
      <c r="G115" s="29"/>
      <c r="H115" s="29"/>
    </row>
    <row r="116" spans="1:8" s="5" customFormat="1" x14ac:dyDescent="0.25">
      <c r="A116" s="29"/>
      <c r="B116" s="29"/>
      <c r="C116" s="29"/>
      <c r="D116" s="29"/>
      <c r="E116" s="29"/>
      <c r="F116" s="29"/>
      <c r="G116" s="29"/>
      <c r="H116" s="29"/>
    </row>
    <row r="117" spans="1:8" s="5" customFormat="1" x14ac:dyDescent="0.25"/>
    <row r="118" spans="1:8" s="5" customFormat="1" x14ac:dyDescent="0.25"/>
    <row r="119" spans="1:8" s="5" customFormat="1" x14ac:dyDescent="0.25"/>
  </sheetData>
  <mergeCells count="54">
    <mergeCell ref="D86:D88"/>
    <mergeCell ref="E86:E88"/>
    <mergeCell ref="F86:F88"/>
    <mergeCell ref="G86:G88"/>
    <mergeCell ref="H86:H88"/>
    <mergeCell ref="B43:B66"/>
    <mergeCell ref="B74:B97"/>
    <mergeCell ref="C15:C17"/>
    <mergeCell ref="C18:C28"/>
    <mergeCell ref="C43:C54"/>
    <mergeCell ref="C29:C39"/>
    <mergeCell ref="B18:B39"/>
    <mergeCell ref="C74:C85"/>
    <mergeCell ref="C55:C66"/>
    <mergeCell ref="C86:C97"/>
    <mergeCell ref="H43:H45"/>
    <mergeCell ref="D74:D76"/>
    <mergeCell ref="E74:E76"/>
    <mergeCell ref="F74:F76"/>
    <mergeCell ref="G74:G76"/>
    <mergeCell ref="H74:H76"/>
    <mergeCell ref="D43:D45"/>
    <mergeCell ref="E43:E45"/>
    <mergeCell ref="F43:F45"/>
    <mergeCell ref="G43:G45"/>
    <mergeCell ref="D55:D57"/>
    <mergeCell ref="E55:E57"/>
    <mergeCell ref="F55:F57"/>
    <mergeCell ref="G55:G57"/>
    <mergeCell ref="H55:H57"/>
    <mergeCell ref="U15:U17"/>
    <mergeCell ref="V14:W14"/>
    <mergeCell ref="V15:V17"/>
    <mergeCell ref="W15:W17"/>
    <mergeCell ref="O15:O17"/>
    <mergeCell ref="P15:P17"/>
    <mergeCell ref="Q15:Q17"/>
    <mergeCell ref="R15:R17"/>
    <mergeCell ref="S15:S17"/>
    <mergeCell ref="T15:T17"/>
    <mergeCell ref="N15:N17"/>
    <mergeCell ref="B15:B17"/>
    <mergeCell ref="D15:D17"/>
    <mergeCell ref="E15:F15"/>
    <mergeCell ref="E16:E17"/>
    <mergeCell ref="F16:F17"/>
    <mergeCell ref="G15:H15"/>
    <mergeCell ref="G16:G17"/>
    <mergeCell ref="H16:H17"/>
    <mergeCell ref="I15:I17"/>
    <mergeCell ref="J15:J17"/>
    <mergeCell ref="K15:K17"/>
    <mergeCell ref="L15:L17"/>
    <mergeCell ref="M15:M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B3:V70"/>
  <sheetViews>
    <sheetView topLeftCell="A19" workbookViewId="0">
      <selection activeCell="B1" sqref="B1"/>
    </sheetView>
  </sheetViews>
  <sheetFormatPr defaultRowHeight="15" x14ac:dyDescent="0.25"/>
  <cols>
    <col min="2" max="2" width="20.7109375" customWidth="1"/>
    <col min="3" max="7" width="15.7109375" customWidth="1"/>
    <col min="8" max="8" width="36.28515625" customWidth="1"/>
    <col min="9" max="9" width="31.7109375" customWidth="1"/>
    <col min="10" max="10" width="28.7109375" customWidth="1"/>
    <col min="11" max="11" width="31.7109375" customWidth="1"/>
    <col min="12" max="12" width="30.7109375" customWidth="1"/>
    <col min="13" max="13" width="31.7109375" customWidth="1"/>
    <col min="14" max="14" width="30.7109375" customWidth="1"/>
    <col min="15" max="16" width="31.7109375" customWidth="1"/>
    <col min="17" max="17" width="30.7109375" customWidth="1"/>
    <col min="18" max="18" width="31.7109375" customWidth="1"/>
    <col min="19" max="19" width="30.7109375" customWidth="1"/>
    <col min="20" max="20" width="31.7109375" customWidth="1"/>
    <col min="21" max="21" width="35.7109375" customWidth="1"/>
    <col min="22" max="22" width="15.7109375" customWidth="1"/>
  </cols>
  <sheetData>
    <row r="3" spans="2:22" x14ac:dyDescent="0.25">
      <c r="J3" t="s">
        <v>85</v>
      </c>
    </row>
    <row r="4" spans="2:22" x14ac:dyDescent="0.25">
      <c r="J4" s="24" t="s">
        <v>84</v>
      </c>
    </row>
    <row r="6" spans="2:22" x14ac:dyDescent="0.25">
      <c r="E6" t="s">
        <v>0</v>
      </c>
      <c r="G6" t="s">
        <v>83</v>
      </c>
      <c r="J6" t="s">
        <v>1</v>
      </c>
      <c r="L6" t="s">
        <v>82</v>
      </c>
      <c r="P6" t="s">
        <v>2</v>
      </c>
      <c r="R6" t="s">
        <v>82</v>
      </c>
    </row>
    <row r="8" spans="2:22" x14ac:dyDescent="0.25"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36" t="s">
        <v>23</v>
      </c>
      <c r="V8" s="36"/>
    </row>
    <row r="9" spans="2:22" x14ac:dyDescent="0.25">
      <c r="B9" s="36" t="s">
        <v>3</v>
      </c>
      <c r="C9" s="36" t="s">
        <v>4</v>
      </c>
      <c r="D9" s="36" t="s">
        <v>5</v>
      </c>
      <c r="E9" s="36"/>
      <c r="F9" s="36" t="s">
        <v>7</v>
      </c>
      <c r="G9" s="36"/>
      <c r="H9" s="36" t="s">
        <v>10</v>
      </c>
      <c r="I9" s="36" t="s">
        <v>11</v>
      </c>
      <c r="J9" s="36" t="s">
        <v>12</v>
      </c>
      <c r="K9" s="36" t="s">
        <v>13</v>
      </c>
      <c r="L9" s="36" t="s">
        <v>14</v>
      </c>
      <c r="M9" s="36" t="s">
        <v>15</v>
      </c>
      <c r="N9" s="36" t="s">
        <v>16</v>
      </c>
      <c r="O9" s="36" t="s">
        <v>17</v>
      </c>
      <c r="P9" s="36" t="s">
        <v>18</v>
      </c>
      <c r="Q9" s="36" t="s">
        <v>19</v>
      </c>
      <c r="R9" s="36" t="s">
        <v>20</v>
      </c>
      <c r="S9" s="36" t="s">
        <v>21</v>
      </c>
      <c r="T9" s="36" t="s">
        <v>22</v>
      </c>
      <c r="U9" s="36" t="s">
        <v>24</v>
      </c>
      <c r="V9" s="36" t="s">
        <v>25</v>
      </c>
    </row>
    <row r="10" spans="2:22" x14ac:dyDescent="0.25">
      <c r="B10" s="36"/>
      <c r="C10" s="36"/>
      <c r="D10" s="36" t="s">
        <v>6</v>
      </c>
      <c r="E10" s="36" t="s">
        <v>81</v>
      </c>
      <c r="F10" s="36" t="s">
        <v>8</v>
      </c>
      <c r="G10" s="36" t="s">
        <v>9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spans="2:22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4" spans="2:22" x14ac:dyDescent="0.25">
      <c r="B14" s="51" t="s">
        <v>80</v>
      </c>
      <c r="C14" s="19" t="s">
        <v>79</v>
      </c>
      <c r="D14" s="19" t="s">
        <v>67</v>
      </c>
      <c r="E14" s="19" t="s">
        <v>67</v>
      </c>
      <c r="F14" s="19" t="s">
        <v>78</v>
      </c>
      <c r="G14" s="19" t="s">
        <v>78</v>
      </c>
      <c r="H14" s="3" t="s">
        <v>31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3" t="s">
        <v>42</v>
      </c>
      <c r="V14" s="18">
        <v>2</v>
      </c>
    </row>
    <row r="15" spans="2:22" x14ac:dyDescent="0.25">
      <c r="B15" s="51"/>
      <c r="C15" s="18"/>
      <c r="D15" s="18"/>
      <c r="E15" s="18"/>
      <c r="F15" s="18"/>
      <c r="G15" s="18"/>
      <c r="H15" s="3" t="s">
        <v>32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3"/>
      <c r="V15" s="18"/>
    </row>
    <row r="16" spans="2:22" x14ac:dyDescent="0.25">
      <c r="B16" s="51"/>
      <c r="C16" s="18" t="s">
        <v>26</v>
      </c>
      <c r="D16" s="3" t="s">
        <v>77</v>
      </c>
      <c r="E16" s="18"/>
      <c r="F16" s="18"/>
      <c r="G16" s="18"/>
      <c r="H16" s="3" t="s">
        <v>33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3" t="s">
        <v>43</v>
      </c>
      <c r="V16" s="18">
        <v>2</v>
      </c>
    </row>
    <row r="17" spans="2:22" x14ac:dyDescent="0.25">
      <c r="B17" s="51"/>
      <c r="C17" s="18" t="s">
        <v>27</v>
      </c>
      <c r="D17" s="3" t="s">
        <v>76</v>
      </c>
      <c r="E17" s="18"/>
      <c r="F17" s="18"/>
      <c r="G17" s="18"/>
      <c r="H17" s="3" t="s">
        <v>34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3" t="s">
        <v>44</v>
      </c>
      <c r="V17" s="18">
        <v>35</v>
      </c>
    </row>
    <row r="18" spans="2:22" x14ac:dyDescent="0.25">
      <c r="B18" s="51"/>
      <c r="C18" s="18" t="s">
        <v>28</v>
      </c>
      <c r="D18" s="23" t="s">
        <v>75</v>
      </c>
      <c r="E18" s="18"/>
      <c r="F18" s="18"/>
      <c r="G18" s="18"/>
      <c r="H18" s="3" t="s">
        <v>35</v>
      </c>
      <c r="I18" s="18">
        <v>3286</v>
      </c>
      <c r="J18" s="18">
        <v>2910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3" t="s">
        <v>35</v>
      </c>
      <c r="V18" s="18">
        <v>6196</v>
      </c>
    </row>
    <row r="19" spans="2:22" x14ac:dyDescent="0.25">
      <c r="B19" s="51"/>
      <c r="C19" s="18"/>
      <c r="D19" s="18"/>
      <c r="E19" s="18"/>
      <c r="F19" s="18"/>
      <c r="G19" s="18"/>
      <c r="H19" s="3" t="s">
        <v>36</v>
      </c>
      <c r="I19" s="4">
        <v>1</v>
      </c>
      <c r="J19" s="4">
        <v>0.8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3" t="s">
        <v>36</v>
      </c>
      <c r="V19" s="4">
        <v>1.8</v>
      </c>
    </row>
    <row r="20" spans="2:22" x14ac:dyDescent="0.25">
      <c r="B20" s="51"/>
      <c r="C20" s="18" t="s">
        <v>29</v>
      </c>
      <c r="D20" s="22" t="s">
        <v>74</v>
      </c>
      <c r="E20" s="18"/>
      <c r="F20" s="18"/>
      <c r="G20" s="18"/>
      <c r="H20" s="3" t="s">
        <v>37</v>
      </c>
      <c r="I20" s="18">
        <v>1</v>
      </c>
      <c r="J20" s="18">
        <v>1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3" t="s">
        <v>37</v>
      </c>
      <c r="V20" s="18">
        <v>2</v>
      </c>
    </row>
    <row r="21" spans="2:22" x14ac:dyDescent="0.25">
      <c r="B21" s="51"/>
      <c r="C21" s="18" t="s">
        <v>30</v>
      </c>
      <c r="D21" s="22" t="s">
        <v>73</v>
      </c>
      <c r="E21" s="18"/>
      <c r="F21" s="18"/>
      <c r="G21" s="18"/>
      <c r="H21" s="3" t="s">
        <v>38</v>
      </c>
      <c r="I21" s="18">
        <v>0</v>
      </c>
      <c r="J21" s="18">
        <v>1</v>
      </c>
      <c r="K21" s="18">
        <v>1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3" t="s">
        <v>38</v>
      </c>
      <c r="V21" s="18">
        <v>2</v>
      </c>
    </row>
    <row r="22" spans="2:22" x14ac:dyDescent="0.25">
      <c r="B22" s="51"/>
      <c r="C22" s="18"/>
      <c r="D22" s="18"/>
      <c r="E22" s="18"/>
      <c r="F22" s="18"/>
      <c r="G22" s="18"/>
      <c r="H22" s="3" t="s">
        <v>39</v>
      </c>
      <c r="I22" s="18">
        <v>0</v>
      </c>
      <c r="J22" s="18">
        <v>1</v>
      </c>
      <c r="K22" s="18">
        <v>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3" t="s">
        <v>39</v>
      </c>
      <c r="V22" s="18">
        <v>2</v>
      </c>
    </row>
    <row r="23" spans="2:22" x14ac:dyDescent="0.25">
      <c r="B23" s="51"/>
      <c r="C23" s="18"/>
      <c r="D23" s="18"/>
      <c r="E23" s="18"/>
      <c r="F23" s="18"/>
      <c r="G23" s="18"/>
      <c r="H23" s="3" t="s">
        <v>40</v>
      </c>
      <c r="I23" s="4">
        <v>3286.0012700000002</v>
      </c>
      <c r="J23" s="4">
        <v>3637.5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3" t="s">
        <v>45</v>
      </c>
      <c r="V23" s="4">
        <v>3442.2229600000001</v>
      </c>
    </row>
    <row r="24" spans="2:22" x14ac:dyDescent="0.25">
      <c r="B24" s="51"/>
      <c r="C24" s="18"/>
      <c r="D24" s="18"/>
      <c r="E24" s="18"/>
      <c r="F24" s="18"/>
      <c r="G24" s="18"/>
      <c r="H24" s="3" t="s">
        <v>41</v>
      </c>
      <c r="I24" s="21">
        <v>9.1296400000000002</v>
      </c>
      <c r="J24" s="21">
        <v>8.24742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3" t="s">
        <v>46</v>
      </c>
      <c r="V24" s="21">
        <v>8.7152999999999992</v>
      </c>
    </row>
    <row r="27" spans="2:22" x14ac:dyDescent="0.25">
      <c r="B27" t="s">
        <v>72</v>
      </c>
    </row>
    <row r="28" spans="2:22" x14ac:dyDescent="0.25">
      <c r="B28" s="50" t="s">
        <v>6</v>
      </c>
      <c r="C28" s="50"/>
      <c r="D28" s="50" t="s">
        <v>67</v>
      </c>
      <c r="E28" s="50" t="s">
        <v>67</v>
      </c>
      <c r="F28" s="50"/>
      <c r="G28" s="50"/>
      <c r="H28" s="3" t="s">
        <v>35</v>
      </c>
      <c r="I28" s="18">
        <v>3286</v>
      </c>
      <c r="J28" s="18">
        <v>2910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3" t="s">
        <v>35</v>
      </c>
      <c r="V28" s="18">
        <v>6196</v>
      </c>
    </row>
    <row r="29" spans="2:22" x14ac:dyDescent="0.25">
      <c r="B29" s="50"/>
      <c r="C29" s="50"/>
      <c r="D29" s="50"/>
      <c r="E29" s="50"/>
      <c r="F29" s="50"/>
      <c r="G29" s="50"/>
      <c r="H29" s="3" t="s">
        <v>36</v>
      </c>
      <c r="I29" s="4">
        <v>1</v>
      </c>
      <c r="J29" s="4">
        <v>0.8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3" t="s">
        <v>36</v>
      </c>
      <c r="V29" s="4">
        <v>1.8</v>
      </c>
    </row>
    <row r="30" spans="2:22" x14ac:dyDescent="0.25">
      <c r="B30" s="50"/>
      <c r="C30" s="50"/>
      <c r="D30" s="50"/>
      <c r="E30" s="50"/>
      <c r="F30" s="50"/>
      <c r="G30" s="50"/>
      <c r="H30" s="3" t="s">
        <v>43</v>
      </c>
      <c r="I30" s="18">
        <v>1</v>
      </c>
      <c r="J30" s="18">
        <v>1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3" t="s">
        <v>43</v>
      </c>
      <c r="V30" s="18">
        <v>2</v>
      </c>
    </row>
    <row r="31" spans="2:22" x14ac:dyDescent="0.25">
      <c r="B31" s="50"/>
      <c r="C31" s="18" t="s">
        <v>29</v>
      </c>
      <c r="D31" s="22" t="s">
        <v>71</v>
      </c>
      <c r="E31" s="18"/>
      <c r="F31" s="18"/>
      <c r="G31" s="18"/>
      <c r="H31" s="3" t="s">
        <v>37</v>
      </c>
      <c r="I31" s="18">
        <v>1</v>
      </c>
      <c r="J31" s="18">
        <v>1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3" t="s">
        <v>37</v>
      </c>
      <c r="V31" s="18">
        <v>2</v>
      </c>
    </row>
    <row r="32" spans="2:22" x14ac:dyDescent="0.25">
      <c r="B32" s="50"/>
      <c r="C32" s="18" t="s">
        <v>47</v>
      </c>
      <c r="D32" s="22" t="s">
        <v>70</v>
      </c>
      <c r="E32" s="18"/>
      <c r="F32" s="18"/>
      <c r="G32" s="18"/>
      <c r="H32" s="3" t="s">
        <v>38</v>
      </c>
      <c r="I32" s="18">
        <v>0</v>
      </c>
      <c r="J32" s="18">
        <v>1</v>
      </c>
      <c r="K32" s="18">
        <v>1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3" t="s">
        <v>38</v>
      </c>
      <c r="V32" s="18">
        <v>2</v>
      </c>
    </row>
    <row r="33" spans="2:22" x14ac:dyDescent="0.25">
      <c r="B33" s="50"/>
      <c r="C33" s="18"/>
      <c r="D33" s="18"/>
      <c r="E33" s="18"/>
      <c r="F33" s="18"/>
      <c r="G33" s="18"/>
      <c r="H33" s="3" t="s">
        <v>39</v>
      </c>
      <c r="I33" s="18">
        <v>0</v>
      </c>
      <c r="J33" s="18">
        <v>1</v>
      </c>
      <c r="K33" s="18">
        <v>1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3" t="s">
        <v>39</v>
      </c>
      <c r="V33" s="18">
        <v>2</v>
      </c>
    </row>
    <row r="34" spans="2:22" x14ac:dyDescent="0.25">
      <c r="B34" s="50"/>
      <c r="C34" s="18"/>
      <c r="D34" s="18"/>
      <c r="E34" s="18"/>
      <c r="F34" s="18"/>
      <c r="G34" s="18"/>
      <c r="H34" s="3" t="s">
        <v>48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35</v>
      </c>
      <c r="U34" s="3" t="s">
        <v>48</v>
      </c>
      <c r="V34" s="18">
        <v>35</v>
      </c>
    </row>
    <row r="35" spans="2:22" x14ac:dyDescent="0.25">
      <c r="B35" s="50"/>
      <c r="C35" s="18"/>
      <c r="D35" s="18"/>
      <c r="E35" s="18"/>
      <c r="F35" s="18"/>
      <c r="G35" s="18"/>
      <c r="H35" s="3" t="s">
        <v>49</v>
      </c>
      <c r="I35" s="4">
        <v>0.96774000000000004</v>
      </c>
      <c r="J35" s="4">
        <v>0.85714000000000001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3" t="s">
        <v>49</v>
      </c>
      <c r="V35" s="4">
        <v>0.15207000000000001</v>
      </c>
    </row>
    <row r="36" spans="2:22" x14ac:dyDescent="0.25">
      <c r="B36" s="50"/>
      <c r="C36" s="18"/>
      <c r="D36" s="18"/>
      <c r="E36" s="18"/>
      <c r="F36" s="18"/>
      <c r="G36" s="18"/>
      <c r="H36" s="3" t="s">
        <v>50</v>
      </c>
      <c r="I36" s="4">
        <v>0.29032000000000002</v>
      </c>
      <c r="J36" s="4">
        <v>0.14285999999999999</v>
      </c>
      <c r="K36" s="4">
        <v>0.22581000000000001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3" t="s">
        <v>50</v>
      </c>
      <c r="V36" s="4">
        <v>5.4919999999999997E-2</v>
      </c>
    </row>
    <row r="37" spans="2:22" x14ac:dyDescent="0.25">
      <c r="B37" s="50"/>
      <c r="C37" s="18"/>
      <c r="D37" s="18"/>
      <c r="E37" s="18"/>
      <c r="F37" s="18"/>
      <c r="G37" s="18"/>
      <c r="H37" s="3" t="s">
        <v>51</v>
      </c>
      <c r="I37" s="4">
        <v>0</v>
      </c>
      <c r="J37" s="4">
        <v>0</v>
      </c>
      <c r="K37" s="4">
        <v>0.45161000000000001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3" t="s">
        <v>51</v>
      </c>
      <c r="V37" s="4">
        <v>3.7629999999999997E-2</v>
      </c>
    </row>
    <row r="38" spans="2:22" x14ac:dyDescent="0.25">
      <c r="B38" s="50"/>
      <c r="C38" s="18"/>
      <c r="D38" s="18"/>
      <c r="E38" s="18"/>
      <c r="F38" s="18"/>
      <c r="G38" s="18"/>
      <c r="H38" s="3" t="s">
        <v>40</v>
      </c>
      <c r="I38" s="4">
        <v>3286.0012700000002</v>
      </c>
      <c r="J38" s="4">
        <v>3637.5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3" t="s">
        <v>52</v>
      </c>
      <c r="V38" s="4">
        <v>3442.2229600000001</v>
      </c>
    </row>
    <row r="39" spans="2:22" x14ac:dyDescent="0.25">
      <c r="B39" s="50"/>
      <c r="C39" s="18"/>
      <c r="D39" s="18"/>
      <c r="E39" s="18"/>
      <c r="F39" s="18"/>
      <c r="G39" s="18"/>
      <c r="H39" s="3" t="s">
        <v>41</v>
      </c>
      <c r="I39" s="21">
        <v>9.1296400000000002</v>
      </c>
      <c r="J39" s="21">
        <v>8.24742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3" t="s">
        <v>69</v>
      </c>
      <c r="V39" s="21">
        <v>8.7152999999999992</v>
      </c>
    </row>
    <row r="45" spans="2:22" x14ac:dyDescent="0.25">
      <c r="B45" t="s">
        <v>68</v>
      </c>
    </row>
    <row r="46" spans="2:22" x14ac:dyDescent="0.25">
      <c r="B46" s="50" t="s">
        <v>6</v>
      </c>
      <c r="C46" s="50"/>
      <c r="D46" s="50" t="s">
        <v>67</v>
      </c>
      <c r="E46" s="50" t="s">
        <v>67</v>
      </c>
      <c r="F46" s="50"/>
      <c r="G46" s="50"/>
      <c r="H46" s="3" t="s">
        <v>35</v>
      </c>
      <c r="I46" s="18">
        <v>3286</v>
      </c>
      <c r="J46" s="18">
        <v>2910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3" t="s">
        <v>35</v>
      </c>
      <c r="V46" s="18">
        <v>6196</v>
      </c>
    </row>
    <row r="47" spans="2:22" x14ac:dyDescent="0.25">
      <c r="B47" s="50"/>
      <c r="C47" s="50"/>
      <c r="D47" s="50"/>
      <c r="E47" s="50"/>
      <c r="F47" s="50"/>
      <c r="G47" s="50"/>
      <c r="H47" s="3" t="s">
        <v>36</v>
      </c>
      <c r="I47" s="4">
        <v>1</v>
      </c>
      <c r="J47" s="4">
        <v>0.8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3" t="s">
        <v>36</v>
      </c>
      <c r="V47" s="4">
        <v>1.8</v>
      </c>
    </row>
    <row r="48" spans="2:22" x14ac:dyDescent="0.25">
      <c r="B48" s="50"/>
      <c r="C48" s="50"/>
      <c r="D48" s="50"/>
      <c r="E48" s="50"/>
      <c r="F48" s="50"/>
      <c r="G48" s="50"/>
      <c r="H48" s="3" t="s">
        <v>43</v>
      </c>
      <c r="I48" s="18">
        <v>1</v>
      </c>
      <c r="J48" s="18">
        <v>1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3" t="s">
        <v>43</v>
      </c>
      <c r="V48" s="18">
        <v>2</v>
      </c>
    </row>
    <row r="49" spans="2:22" x14ac:dyDescent="0.25">
      <c r="B49" s="50"/>
      <c r="C49" s="18" t="s">
        <v>29</v>
      </c>
      <c r="D49" s="22" t="s">
        <v>66</v>
      </c>
      <c r="E49" s="18"/>
      <c r="F49" s="18"/>
      <c r="G49" s="18"/>
      <c r="H49" s="3" t="s">
        <v>37</v>
      </c>
      <c r="I49" s="18">
        <v>1</v>
      </c>
      <c r="J49" s="18">
        <v>1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3" t="s">
        <v>37</v>
      </c>
      <c r="V49" s="18">
        <v>2</v>
      </c>
    </row>
    <row r="50" spans="2:22" x14ac:dyDescent="0.25">
      <c r="B50" s="50"/>
      <c r="C50" s="18" t="s">
        <v>47</v>
      </c>
      <c r="D50" s="22" t="s">
        <v>65</v>
      </c>
      <c r="E50" s="18"/>
      <c r="F50" s="18"/>
      <c r="G50" s="18"/>
      <c r="H50" s="3" t="s">
        <v>38</v>
      </c>
      <c r="I50" s="18">
        <v>0</v>
      </c>
      <c r="J50" s="18">
        <v>1</v>
      </c>
      <c r="K50" s="18">
        <v>1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3" t="s">
        <v>38</v>
      </c>
      <c r="V50" s="18">
        <v>2</v>
      </c>
    </row>
    <row r="51" spans="2:22" x14ac:dyDescent="0.25">
      <c r="B51" s="50"/>
      <c r="C51" s="18"/>
      <c r="D51" s="18"/>
      <c r="E51" s="18"/>
      <c r="F51" s="18"/>
      <c r="G51" s="18"/>
      <c r="H51" s="3" t="s">
        <v>39</v>
      </c>
      <c r="I51" s="18">
        <v>0</v>
      </c>
      <c r="J51" s="18">
        <v>1</v>
      </c>
      <c r="K51" s="18">
        <v>1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3" t="s">
        <v>39</v>
      </c>
      <c r="V51" s="18">
        <v>2</v>
      </c>
    </row>
    <row r="52" spans="2:22" x14ac:dyDescent="0.25">
      <c r="B52" s="50"/>
      <c r="C52" s="18"/>
      <c r="D52" s="18"/>
      <c r="E52" s="18"/>
      <c r="F52" s="18"/>
      <c r="G52" s="18"/>
      <c r="H52" s="3" t="s">
        <v>48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35</v>
      </c>
      <c r="U52" s="3" t="s">
        <v>48</v>
      </c>
      <c r="V52" s="18">
        <v>35</v>
      </c>
    </row>
    <row r="53" spans="2:22" x14ac:dyDescent="0.25">
      <c r="B53" s="50"/>
      <c r="C53" s="18"/>
      <c r="D53" s="18"/>
      <c r="E53" s="18"/>
      <c r="F53" s="18"/>
      <c r="G53" s="18"/>
      <c r="H53" s="3" t="s">
        <v>49</v>
      </c>
      <c r="I53" s="4">
        <v>0.96774000000000004</v>
      </c>
      <c r="J53" s="4">
        <v>0.85714000000000001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3" t="s">
        <v>49</v>
      </c>
      <c r="V53" s="4">
        <v>0.15207000000000001</v>
      </c>
    </row>
    <row r="54" spans="2:22" x14ac:dyDescent="0.25">
      <c r="B54" s="50"/>
      <c r="C54" s="18"/>
      <c r="D54" s="18"/>
      <c r="E54" s="18"/>
      <c r="F54" s="18"/>
      <c r="G54" s="18"/>
      <c r="H54" s="3" t="s">
        <v>50</v>
      </c>
      <c r="I54" s="4">
        <v>0.29032000000000002</v>
      </c>
      <c r="J54" s="4">
        <v>0.14285999999999999</v>
      </c>
      <c r="K54" s="4">
        <v>0.22581000000000001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3" t="s">
        <v>50</v>
      </c>
      <c r="V54" s="4">
        <v>5.4919999999999997E-2</v>
      </c>
    </row>
    <row r="55" spans="2:22" x14ac:dyDescent="0.25">
      <c r="B55" s="50"/>
      <c r="C55" s="18"/>
      <c r="D55" s="18"/>
      <c r="E55" s="18"/>
      <c r="F55" s="18"/>
      <c r="G55" s="18"/>
      <c r="H55" s="3" t="s">
        <v>51</v>
      </c>
      <c r="I55" s="4">
        <v>0</v>
      </c>
      <c r="J55" s="4">
        <v>0</v>
      </c>
      <c r="K55" s="4">
        <v>0.45161000000000001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3" t="s">
        <v>51</v>
      </c>
      <c r="V55" s="4">
        <v>3.7629999999999997E-2</v>
      </c>
    </row>
    <row r="56" spans="2:22" x14ac:dyDescent="0.25">
      <c r="B56" s="50"/>
      <c r="C56" s="18"/>
      <c r="D56" s="18"/>
      <c r="E56" s="18"/>
      <c r="F56" s="18"/>
      <c r="G56" s="18"/>
      <c r="H56" s="3" t="s">
        <v>40</v>
      </c>
      <c r="I56" s="4">
        <v>3286.0012700000002</v>
      </c>
      <c r="J56" s="4">
        <v>3637.5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3" t="s">
        <v>52</v>
      </c>
      <c r="V56" s="4">
        <v>3442.2229600000001</v>
      </c>
    </row>
    <row r="57" spans="2:22" x14ac:dyDescent="0.25">
      <c r="B57" s="50"/>
      <c r="C57" s="18"/>
      <c r="D57" s="18"/>
      <c r="E57" s="18"/>
      <c r="F57" s="18"/>
      <c r="G57" s="18"/>
      <c r="H57" s="3" t="s">
        <v>41</v>
      </c>
      <c r="I57" s="21">
        <v>9.1296400000000002</v>
      </c>
      <c r="J57" s="21">
        <v>8.24742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3" t="s">
        <v>41</v>
      </c>
      <c r="V57" s="21">
        <v>8.7152999999999992</v>
      </c>
    </row>
    <row r="62" spans="2:22" x14ac:dyDescent="0.25">
      <c r="B62" s="20" t="s">
        <v>54</v>
      </c>
    </row>
    <row r="63" spans="2:22" x14ac:dyDescent="0.25">
      <c r="C63" s="20" t="s">
        <v>64</v>
      </c>
    </row>
    <row r="64" spans="2:22" x14ac:dyDescent="0.25">
      <c r="C64" s="20" t="s">
        <v>63</v>
      </c>
    </row>
    <row r="65" spans="3:3" x14ac:dyDescent="0.25">
      <c r="C65" s="20" t="s">
        <v>62</v>
      </c>
    </row>
    <row r="66" spans="3:3" x14ac:dyDescent="0.25">
      <c r="C66" s="20" t="s">
        <v>61</v>
      </c>
    </row>
    <row r="67" spans="3:3" x14ac:dyDescent="0.25">
      <c r="C67" s="20" t="s">
        <v>60</v>
      </c>
    </row>
    <row r="68" spans="3:3" x14ac:dyDescent="0.25">
      <c r="C68" s="20" t="s">
        <v>59</v>
      </c>
    </row>
    <row r="69" spans="3:3" x14ac:dyDescent="0.25">
      <c r="C69" s="20" t="s">
        <v>58</v>
      </c>
    </row>
    <row r="70" spans="3:3" x14ac:dyDescent="0.25">
      <c r="C70" s="20" t="s">
        <v>57</v>
      </c>
    </row>
  </sheetData>
  <mergeCells count="37">
    <mergeCell ref="F9:G9"/>
    <mergeCell ref="F10:F11"/>
    <mergeCell ref="G10:G11"/>
    <mergeCell ref="T9:T11"/>
    <mergeCell ref="U8:V8"/>
    <mergeCell ref="U9:U11"/>
    <mergeCell ref="V9:V11"/>
    <mergeCell ref="R9:R11"/>
    <mergeCell ref="S9:S11"/>
    <mergeCell ref="B14:B24"/>
    <mergeCell ref="N9:N11"/>
    <mergeCell ref="O9:O11"/>
    <mergeCell ref="P9:P11"/>
    <mergeCell ref="Q9:Q11"/>
    <mergeCell ref="M9:M11"/>
    <mergeCell ref="B9:B11"/>
    <mergeCell ref="C9:C11"/>
    <mergeCell ref="D9:E9"/>
    <mergeCell ref="D10:D11"/>
    <mergeCell ref="E10:E11"/>
    <mergeCell ref="H9:H11"/>
    <mergeCell ref="I9:I11"/>
    <mergeCell ref="J9:J11"/>
    <mergeCell ref="K9:K11"/>
    <mergeCell ref="L9:L11"/>
    <mergeCell ref="E28:E30"/>
    <mergeCell ref="F28:F30"/>
    <mergeCell ref="G28:G30"/>
    <mergeCell ref="B46:B57"/>
    <mergeCell ref="C46:C48"/>
    <mergeCell ref="D46:D48"/>
    <mergeCell ref="E46:E48"/>
    <mergeCell ref="F46:F48"/>
    <mergeCell ref="G46:G48"/>
    <mergeCell ref="B28:B39"/>
    <mergeCell ref="C28:C30"/>
    <mergeCell ref="D28:D30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Год</vt:lpstr>
      <vt:lpstr>Примечания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Штыкова А.В.</dc:creator>
  <cp:lastModifiedBy>first</cp:lastModifiedBy>
  <dcterms:created xsi:type="dcterms:W3CDTF">2016-02-17T11:08:01Z</dcterms:created>
  <dcterms:modified xsi:type="dcterms:W3CDTF">2017-08-04T09:30:48Z</dcterms:modified>
</cp:coreProperties>
</file>